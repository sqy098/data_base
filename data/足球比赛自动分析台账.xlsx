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31f905478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看板" sheetId="1" r:id="R5719b20d8a324c84"/>
    <x:sheet xmlns:r="http://schemas.openxmlformats.org/officeDocument/2006/relationships" name="比赛台账" sheetId="2" r:id="R418598c9ed1b4b01"/>
    <x:sheet xmlns:r="http://schemas.openxmlformats.org/officeDocument/2006/relationships" name="赛事字典" sheetId="3" r:id="R3b7892fb526543c4"/>
    <x:sheet xmlns:r="http://schemas.openxmlformats.org/officeDocument/2006/relationships" name="维度战绩" sheetId="4" r:id="R3922979a8227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 hh:mm"/>
    <x:numFmt numFmtId="201" formatCode="0.00;-0.00;0.00"/>
    <x:numFmt numFmtId="202" formatCode="#,##0"/>
    <x:numFmt numFmtId="203" formatCode="0.0%"/>
    <x:numFmt numFmtId="204" formatCode="yyyy-mm-dd"/>
    <x:numFmt numFmtId="205" formatCode="+0.00;-0.00;0.00"/>
    <x:numFmt numFmtId="206" formatCode="yyyy-mm"/>
    <x:numFmt numFmtId="207" formatCode="0.00"/>
  </x:numFmts>
  <x:fonts count="12">
    <x:font>
      <x:sz val="11"/>
      <x:name val="Carlito"/>
    </x:font>
    <x:font>
      <x:b/>
      <x:sz val="11"/>
      <x:color rgb="FFFFFFFF"/>
      <x:name val="Carlito"/>
    </x:font>
    <x:font>
      <x:i/>
      <x:sz val="11"/>
      <x:color rgb="FFD9EAF7"/>
      <x:name val="Carlito"/>
    </x:font>
    <x:font>
      <x:sz val="11"/>
      <x:color rgb="FF163A5F"/>
      <x:name val="Carlito"/>
    </x:font>
    <x:font>
      <x:sz val="11"/>
      <x:color rgb="FF243B53"/>
      <x:name val="Carlito"/>
    </x:font>
    <x:font>
      <x:sz val="11"/>
      <x:color rgb="FFD9EAF7"/>
      <x:name val="Carlito"/>
    </x:font>
    <x:font>
      <x:b/>
      <x:sz val="11"/>
      <x:color rgb="FF102A43"/>
      <x:name val="Carlito"/>
    </x:font>
    <x:font>
      <x:sz val="11"/>
      <x:color rgb="FF7C5B13"/>
      <x:name val="Carlito"/>
    </x:font>
    <x:font>
      <x:sz val="11"/>
      <x:color rgb="FFF4F7FB"/>
      <x:name val="Carlito"/>
    </x:font>
    <x:font>
      <x:sz val="11"/>
      <x:color rgb="FF627D98"/>
      <x:name val="Carlito"/>
    </x:font>
    <x:font>
      <x:b/>
      <x:sz val="11"/>
      <x:color rgb="FF243B53"/>
      <x:name val="Carlito"/>
    </x:font>
    <x:font>
      <x:b/>
      <x:sz val="11"/>
      <x:color rgb="FF8A5A00"/>
      <x:name val="Carlito"/>
    </x:font>
  </x:fonts>
  <x:fills count="41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63A5F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1FA187"/>
      </x:patternFill>
    </x:fill>
    <x:fill>
      <x:patternFill patternType="solid">
        <x:fgColor rgb="FFFFFFFF"/>
      </x:patternFill>
    </x:fill>
    <x:fill>
      <x:patternFill patternType="solid">
        <x:fgColor rgb="FFF2994A"/>
      </x:patternFill>
    </x:fill>
    <x:fill>
      <x:patternFill patternType="solid">
        <x:fgColor rgb="FF27AE60"/>
      </x:patternFill>
    </x:fill>
    <x:fill>
      <x:patternFill patternType="solid">
        <x:fgColor rgb="FFFFF9E8"/>
      </x:patternFill>
    </x:fill>
    <x:fill>
      <x:patternFill patternType="solid">
        <x:fgColor rgb="FFF4F7FB"/>
      </x:patternFill>
    </x:fill>
    <x:fill>
      <x:patternFill patternType="solid">
        <x:fgColor rgb="FF102A43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2F80ED"/>
      </x:patternFill>
    </x:fill>
    <x:fill>
      <x:patternFill patternType="solid">
        <x:fgColor rgb="FF2A9D8F"/>
      </x:patternFill>
    </x:fill>
    <x:fill>
      <x:patternFill patternType="solid">
        <x:fgColor rgb="FF27AE60"/>
      </x:patternFill>
    </x:fill>
    <x:fill>
      <x:patternFill patternType="solid">
        <x:fgColor rgb="FFF2994A"/>
      </x:patternFill>
    </x:fill>
    <x:fill>
      <x:patternFill patternType="solid">
        <x:fgColor rgb="FFFFF8E1"/>
      </x:patternFill>
    </x:fill>
    <x:fill>
      <x:patternFill patternType="solid">
        <x:fgColor rgb="FFEAF2FF"/>
      </x:patternFill>
    </x:fill>
    <x:fill>
      <x:patternFill patternType="solid">
        <x:fgColor rgb="FFFFF2E5"/>
      </x:patternFill>
    </x:fill>
    <x:fill>
      <x:patternFill patternType="solid">
        <x:fgColor rgb="FFF8FAFC"/>
      </x:patternFill>
    </x:fill>
    <x:fill>
      <x:patternFill patternType="solid">
        <x:fgColor rgb="FFF4F7FB"/>
      </x:patternFill>
    </x:fill>
    <x:fill>
      <x:patternFill patternType="solid">
        <x:fgColor rgb="FF102A43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2F80ED"/>
      </x:patternFill>
    </x:fill>
    <x:fill>
      <x:patternFill patternType="solid">
        <x:fgColor rgb="FF2A9D8F"/>
      </x:patternFill>
    </x:fill>
    <x:fill>
      <x:patternFill patternType="solid">
        <x:fgColor rgb="FF27AE60"/>
      </x:patternFill>
    </x:fill>
    <x:fill>
      <x:patternFill patternType="solid">
        <x:fgColor rgb="FFF2994A"/>
      </x:patternFill>
    </x:fill>
    <x:fill>
      <x:patternFill patternType="solid">
        <x:fgColor rgb="FFFFF8E1"/>
      </x:patternFill>
    </x:fill>
    <x:fill>
      <x:patternFill patternType="solid">
        <x:fgColor rgb="FFEAF2FF"/>
      </x:patternFill>
    </x:fill>
    <x:fill>
      <x:patternFill patternType="solid">
        <x:fgColor rgb="FFFFF2E5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F7D6D6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F7D6D6"/>
      </x:patternFill>
    </x:fill>
  </x:fills>
  <x:borders count="34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bottom style="thin">
        <x:color rgb="FFEDF2F7"/>
      </x:bottom>
    </x:border>
    <x:border>
      <x:top style="thin">
        <x:color rgb="FFEDF2F7"/>
      </x:top>
      <x:bottom style="thin">
        <x:color rgb="FFEDF2F7"/>
      </x:bottom>
    </x:border>
    <x:border>
      <x:top style="thin">
        <x:color rgb="FFEDF2F7"/>
      </x:top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2F80ED"/>
      </x:left>
      <x:top style="thin">
        <x:color rgb="FF2F80ED"/>
      </x:top>
      <x:bottom style="thin">
        <x:color rgb="FF2F80ED"/>
      </x:bottom>
    </x:border>
    <x:border>
      <x:top style="thin">
        <x:color rgb="FF2F80ED"/>
      </x:top>
      <x:bottom style="thin">
        <x:color rgb="FF2F80ED"/>
      </x:bottom>
    </x:border>
    <x:border>
      <x:right style="thin">
        <x:color rgb="FF2F80ED"/>
      </x:right>
      <x:top style="thin">
        <x:color rgb="FF2F80ED"/>
      </x:top>
      <x:bottom style="thin">
        <x:color rgb="FF2F80ED"/>
      </x:bottom>
    </x:border>
    <x:border>
      <x:left style="thin">
        <x:color rgb="FF2A9D8F"/>
      </x:left>
      <x:top style="thin">
        <x:color rgb="FF2A9D8F"/>
      </x:top>
      <x:bottom style="thin">
        <x:color rgb="FF2A9D8F"/>
      </x:bottom>
    </x:border>
    <x:border>
      <x:top style="thin">
        <x:color rgb="FF2A9D8F"/>
      </x:top>
      <x:bottom style="thin">
        <x:color rgb="FF2A9D8F"/>
      </x:bottom>
    </x:border>
    <x:border>
      <x:right style="thin">
        <x:color rgb="FF2A9D8F"/>
      </x:right>
      <x:top style="thin">
        <x:color rgb="FF2A9D8F"/>
      </x:top>
      <x:bottom style="thin">
        <x:color rgb="FF2A9D8F"/>
      </x:bottom>
    </x:border>
    <x:border>
      <x:left style="thin">
        <x:color rgb="FF27AE60"/>
      </x:left>
      <x:top style="thin">
        <x:color rgb="FF27AE60"/>
      </x:top>
      <x:bottom style="thin">
        <x:color rgb="FF27AE60"/>
      </x:bottom>
    </x:border>
    <x:border>
      <x:top style="thin">
        <x:color rgb="FF27AE60"/>
      </x:top>
      <x:bottom style="thin">
        <x:color rgb="FF27AE60"/>
      </x:bottom>
    </x:border>
    <x:border>
      <x:right style="thin">
        <x:color rgb="FF27AE60"/>
      </x:right>
      <x:top style="thin">
        <x:color rgb="FF27AE60"/>
      </x:top>
      <x:bottom style="thin">
        <x:color rgb="FF27AE60"/>
      </x:bottom>
    </x:border>
    <x:border>
      <x:left style="thin">
        <x:color rgb="FFF2994A"/>
      </x:left>
      <x:top style="thin">
        <x:color rgb="FFF2994A"/>
      </x:top>
      <x:bottom style="thin">
        <x:color rgb="FFF2994A"/>
      </x:bottom>
    </x:border>
    <x:border>
      <x:top style="thin">
        <x:color rgb="FFF2994A"/>
      </x:top>
      <x:bottom style="thin">
        <x:color rgb="FFF2994A"/>
      </x:bottom>
    </x:border>
    <x:border>
      <x:right style="thin">
        <x:color rgb="FFF2994A"/>
      </x:right>
      <x:top style="thin">
        <x:color rgb="FFF2994A"/>
      </x:top>
      <x:bottom style="thin">
        <x:color rgb="FFF2994A"/>
      </x:bottom>
    </x:border>
    <x:border>
      <x:left style="thin">
        <x:color rgb="FFF0D58C"/>
      </x:left>
      <x:top style="thin">
        <x:color rgb="FFF0D58C"/>
      </x:top>
      <x:bottom style="thin">
        <x:color rgb="FFF0D58C"/>
      </x:bottom>
    </x:border>
    <x:border>
      <x:top style="thin">
        <x:color rgb="FFF0D58C"/>
      </x:top>
      <x:bottom style="thin">
        <x:color rgb="FFF0D58C"/>
      </x:bottom>
    </x:border>
    <x:border>
      <x:right style="thin">
        <x:color rgb="FFF0D58C"/>
      </x:right>
      <x:top style="thin">
        <x:color rgb="FFF0D58C"/>
      </x:top>
      <x:bottom style="thin">
        <x:color rgb="FFF0D58C"/>
      </x:bottom>
    </x:border>
    <x:border>
      <x:left style="thin">
        <x:color rgb="FF163A5F"/>
      </x:left>
      <x:top style="thin">
        <x:color rgb="FF163A5F"/>
      </x:top>
      <x:bottom style="thin">
        <x:color rgb="FF163A5F"/>
      </x:bottom>
    </x:border>
    <x:border>
      <x:top style="thin">
        <x:color rgb="FF163A5F"/>
      </x:top>
      <x:bottom style="thin">
        <x:color rgb="FF163A5F"/>
      </x:bottom>
    </x:border>
    <x:border>
      <x:right style="thin">
        <x:color rgb="FF163A5F"/>
      </x:right>
      <x:top style="thin">
        <x:color rgb="FF163A5F"/>
      </x:top>
      <x:bottom style="thin">
        <x:color rgb="FF163A5F"/>
      </x:bottom>
    </x:border>
    <x:border>
      <x:left style="thin">
        <x:color rgb="FFEDF2F7"/>
      </x:left>
      <x:right style="thin">
        <x:color rgb="FFEDF2F7"/>
      </x:right>
      <x:top style="thin">
        <x:color rgb="FFEDF2F7"/>
      </x:top>
      <x:bottom style="thin">
        <x:color rgb="FFEDF2F7"/>
      </x:bottom>
    </x:border>
  </x:borders>
  <x:cellStyleXfs count="1">
    <x:xf numFmtId="0" fontId="0" fillId="0" borderId="0"/>
  </x:cellStyleXfs>
  <x:cellXfs count="5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0" fontId="4" fillId="0" borderId="5" xfId="0" applyNumberFormat="1" applyFont="1" applyFill="1" applyBorder="1"/>
    <x:xf numFmtId="200" fontId="4" fillId="0" borderId="5" xfId="0" applyNumberFormat="1" applyFont="1" applyFill="1" applyBorder="1"/>
    <x:xf numFmtId="201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wrapText="1"/>
    </x:xf>
    <x:xf numFmtId="201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4" xfId="0" applyNumberFormat="1" applyFont="1" applyFill="1" applyBorder="1"/>
    <x:xf numFmtId="202" fontId="4" fillId="0" borderId="5" xfId="0" applyNumberFormat="1" applyFont="1" applyFill="1" applyBorder="1"/>
    <x:xf numFmtId="202" fontId="4" fillId="0" borderId="6" xfId="0" applyNumberFormat="1" applyFont="1" applyFill="1" applyBorder="1"/>
    <x:xf numFmtId="202" fontId="4" fillId="0" borderId="4" xfId="0" applyNumberFormat="1" applyFont="1" applyFill="1" applyBorder="1" applyAlignment="1">
      <x:alignment wrapText="1"/>
    </x:xf>
    <x:xf numFmtId="202" fontId="4" fillId="0" borderId="5" xfId="0" applyNumberFormat="1" applyFont="1" applyFill="1" applyBorder="1" applyAlignment="1">
      <x:alignment wrapText="1"/>
    </x:xf>
    <x:xf numFmtId="202" fontId="4" fillId="0" borderId="6" xfId="0" applyNumberFormat="1" applyFont="1" applyFill="1" applyBorder="1" applyAlignment="1">
      <x:alignment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/>
    </x:xf>
    <x:xf numFmtId="0" fontId="1" fillId="5" borderId="2" xfId="0" applyNumberFormat="1" applyFont="1" applyFill="1" applyBorder="1" applyAlignment="1">
      <x:alignment horizontal="center"/>
    </x:xf>
    <x:xf numFmtId="0" fontId="1" fillId="5" borderId="3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1" fillId="5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202" fontId="6" fillId="7" borderId="7" xfId="0" applyNumberFormat="1" applyFont="1" applyFill="1" applyBorder="1"/>
    <x:xf numFmtId="202" fontId="6" fillId="7" borderId="8" xfId="0" applyNumberFormat="1" applyFont="1" applyFill="1" applyBorder="1"/>
    <x:xf numFmtId="202" fontId="6" fillId="7" borderId="9" xfId="0" applyNumberFormat="1" applyFont="1" applyFill="1" applyBorder="1"/>
    <x:xf numFmtId="202" fontId="6" fillId="7" borderId="10" xfId="0" applyNumberFormat="1" applyFont="1" applyFill="1" applyBorder="1"/>
    <x:xf numFmtId="202" fontId="6" fillId="7" borderId="0" xfId="0" applyNumberFormat="1" applyFont="1" applyFill="1" applyBorder="1"/>
    <x:xf numFmtId="202" fontId="6" fillId="7" borderId="11" xfId="0" applyNumberFormat="1" applyFont="1" applyFill="1" applyBorder="1"/>
    <x:xf numFmtId="202" fontId="6" fillId="7" borderId="12" xfId="0" applyNumberFormat="1" applyFont="1" applyFill="1" applyBorder="1"/>
    <x:xf numFmtId="202" fontId="6" fillId="7" borderId="13" xfId="0" applyNumberFormat="1" applyFont="1" applyFill="1" applyBorder="1"/>
    <x:xf numFmtId="202" fontId="6" fillId="7" borderId="14" xfId="0" applyNumberFormat="1" applyFont="1" applyFill="1" applyBorder="1"/>
    <x:xf numFmtId="202" fontId="6" fillId="7" borderId="7" xfId="0" applyNumberFormat="1" applyFont="1" applyFill="1" applyBorder="1" applyAlignment="1">
      <x:alignment horizontal="center"/>
    </x:xf>
    <x:xf numFmtId="202" fontId="6" fillId="7" borderId="8" xfId="0" applyNumberFormat="1" applyFont="1" applyFill="1" applyBorder="1" applyAlignment="1">
      <x:alignment horizontal="center"/>
    </x:xf>
    <x:xf numFmtId="202" fontId="6" fillId="7" borderId="9" xfId="0" applyNumberFormat="1" applyFont="1" applyFill="1" applyBorder="1" applyAlignment="1">
      <x:alignment horizontal="center"/>
    </x:xf>
    <x:xf numFmtId="202" fontId="6" fillId="7" borderId="10" xfId="0" applyNumberFormat="1" applyFont="1" applyFill="1" applyBorder="1" applyAlignment="1">
      <x:alignment horizontal="center"/>
    </x:xf>
    <x:xf numFmtId="202" fontId="6" fillId="7" borderId="0" xfId="0" applyNumberFormat="1" applyFont="1" applyFill="1" applyBorder="1" applyAlignment="1">
      <x:alignment horizontal="center"/>
    </x:xf>
    <x:xf numFmtId="202" fontId="6" fillId="7" borderId="11" xfId="0" applyNumberFormat="1" applyFont="1" applyFill="1" applyBorder="1" applyAlignment="1">
      <x:alignment horizontal="center"/>
    </x:xf>
    <x:xf numFmtId="202" fontId="6" fillId="7" borderId="12" xfId="0" applyNumberFormat="1" applyFont="1" applyFill="1" applyBorder="1" applyAlignment="1">
      <x:alignment horizontal="center"/>
    </x:xf>
    <x:xf numFmtId="202" fontId="6" fillId="7" borderId="13" xfId="0" applyNumberFormat="1" applyFont="1" applyFill="1" applyBorder="1" applyAlignment="1">
      <x:alignment horizontal="center"/>
    </x:xf>
    <x:xf numFmtId="202" fontId="6" fillId="7" borderId="14" xfId="0" applyNumberFormat="1" applyFont="1" applyFill="1" applyBorder="1" applyAlignment="1">
      <x:alignment horizontal="center"/>
    </x:xf>
    <x:xf numFmtId="202" fontId="6" fillId="7" borderId="7" xfId="0" applyNumberFormat="1" applyFont="1" applyFill="1" applyBorder="1" applyAlignment="1">
      <x:alignment horizontal="center" vertical="center"/>
    </x:xf>
    <x:xf numFmtId="202" fontId="6" fillId="7" borderId="8" xfId="0" applyNumberFormat="1" applyFont="1" applyFill="1" applyBorder="1" applyAlignment="1">
      <x:alignment horizontal="center" vertical="center"/>
    </x:xf>
    <x:xf numFmtId="202" fontId="6" fillId="7" borderId="9" xfId="0" applyNumberFormat="1" applyFont="1" applyFill="1" applyBorder="1" applyAlignment="1">
      <x:alignment horizontal="center" vertical="center"/>
    </x:xf>
    <x:xf numFmtId="202" fontId="6" fillId="7" borderId="10" xfId="0" applyNumberFormat="1" applyFont="1" applyFill="1" applyBorder="1" applyAlignment="1">
      <x:alignment horizontal="center" vertical="center"/>
    </x:xf>
    <x:xf numFmtId="202" fontId="6" fillId="7" borderId="0" xfId="0" applyNumberFormat="1" applyFont="1" applyFill="1" applyBorder="1" applyAlignment="1">
      <x:alignment horizontal="center" vertical="center"/>
    </x:xf>
    <x:xf numFmtId="202" fontId="6" fillId="7" borderId="11" xfId="0" applyNumberFormat="1" applyFont="1" applyFill="1" applyBorder="1" applyAlignment="1">
      <x:alignment horizontal="center" vertical="center"/>
    </x:xf>
    <x:xf numFmtId="202" fontId="6" fillId="7" borderId="12" xfId="0" applyNumberFormat="1" applyFont="1" applyFill="1" applyBorder="1" applyAlignment="1">
      <x:alignment horizontal="center" vertical="center"/>
    </x:xf>
    <x:xf numFmtId="202" fontId="6" fillId="7" borderId="13" xfId="0" applyNumberFormat="1" applyFont="1" applyFill="1" applyBorder="1" applyAlignment="1">
      <x:alignment horizontal="center" vertical="center"/>
    </x:xf>
    <x:xf numFmtId="202" fontId="6" fillId="7" borderId="14" xfId="0" applyNumberFormat="1" applyFont="1" applyFill="1" applyBorder="1" applyAlignment="1">
      <x:alignment horizontal="center" vertical="center"/>
    </x:xf>
    <x:xf numFmtId="201" fontId="6" fillId="7" borderId="7" xfId="0" applyNumberFormat="1" applyFont="1" applyFill="1" applyBorder="1"/>
    <x:xf numFmtId="201" fontId="6" fillId="7" borderId="8" xfId="0" applyNumberFormat="1" applyFont="1" applyFill="1" applyBorder="1"/>
    <x:xf numFmtId="201" fontId="6" fillId="7" borderId="9" xfId="0" applyNumberFormat="1" applyFont="1" applyFill="1" applyBorder="1"/>
    <x:xf numFmtId="201" fontId="6" fillId="7" borderId="10" xfId="0" applyNumberFormat="1" applyFont="1" applyFill="1" applyBorder="1"/>
    <x:xf numFmtId="201" fontId="6" fillId="7" borderId="0" xfId="0" applyNumberFormat="1" applyFont="1" applyFill="1" applyBorder="1"/>
    <x:xf numFmtId="201" fontId="6" fillId="7" borderId="11" xfId="0" applyNumberFormat="1" applyFont="1" applyFill="1" applyBorder="1"/>
    <x:xf numFmtId="201" fontId="6" fillId="7" borderId="12" xfId="0" applyNumberFormat="1" applyFont="1" applyFill="1" applyBorder="1"/>
    <x:xf numFmtId="201" fontId="6" fillId="7" borderId="13" xfId="0" applyNumberFormat="1" applyFont="1" applyFill="1" applyBorder="1"/>
    <x:xf numFmtId="201" fontId="6" fillId="7" borderId="14" xfId="0" applyNumberFormat="1" applyFont="1" applyFill="1" applyBorder="1"/>
    <x:xf numFmtId="201" fontId="6" fillId="7" borderId="7" xfId="0" applyNumberFormat="1" applyFont="1" applyFill="1" applyBorder="1" applyAlignment="1">
      <x:alignment horizontal="center"/>
    </x:xf>
    <x:xf numFmtId="201" fontId="6" fillId="7" borderId="8" xfId="0" applyNumberFormat="1" applyFont="1" applyFill="1" applyBorder="1" applyAlignment="1">
      <x:alignment horizontal="center"/>
    </x:xf>
    <x:xf numFmtId="201" fontId="6" fillId="7" borderId="9" xfId="0" applyNumberFormat="1" applyFont="1" applyFill="1" applyBorder="1" applyAlignment="1">
      <x:alignment horizontal="center"/>
    </x:xf>
    <x:xf numFmtId="201" fontId="6" fillId="7" borderId="10" xfId="0" applyNumberFormat="1" applyFont="1" applyFill="1" applyBorder="1" applyAlignment="1">
      <x:alignment horizontal="center"/>
    </x:xf>
    <x:xf numFmtId="201" fontId="6" fillId="7" borderId="0" xfId="0" applyNumberFormat="1" applyFont="1" applyFill="1" applyBorder="1" applyAlignment="1">
      <x:alignment horizontal="center"/>
    </x:xf>
    <x:xf numFmtId="201" fontId="6" fillId="7" borderId="11" xfId="0" applyNumberFormat="1" applyFont="1" applyFill="1" applyBorder="1" applyAlignment="1">
      <x:alignment horizontal="center"/>
    </x:xf>
    <x:xf numFmtId="201" fontId="6" fillId="7" borderId="12" xfId="0" applyNumberFormat="1" applyFont="1" applyFill="1" applyBorder="1" applyAlignment="1">
      <x:alignment horizontal="center"/>
    </x:xf>
    <x:xf numFmtId="201" fontId="6" fillId="7" borderId="13" xfId="0" applyNumberFormat="1" applyFont="1" applyFill="1" applyBorder="1" applyAlignment="1">
      <x:alignment horizontal="center"/>
    </x:xf>
    <x:xf numFmtId="201" fontId="6" fillId="7" borderId="14" xfId="0" applyNumberFormat="1" applyFont="1" applyFill="1" applyBorder="1" applyAlignment="1">
      <x:alignment horizontal="center"/>
    </x:xf>
    <x:xf numFmtId="201" fontId="6" fillId="7" borderId="7" xfId="0" applyNumberFormat="1" applyFont="1" applyFill="1" applyBorder="1" applyAlignment="1">
      <x:alignment horizontal="center" vertical="center"/>
    </x:xf>
    <x:xf numFmtId="201" fontId="6" fillId="7" borderId="8" xfId="0" applyNumberFormat="1" applyFont="1" applyFill="1" applyBorder="1" applyAlignment="1">
      <x:alignment horizontal="center" vertical="center"/>
    </x:xf>
    <x:xf numFmtId="201" fontId="6" fillId="7" borderId="9" xfId="0" applyNumberFormat="1" applyFont="1" applyFill="1" applyBorder="1" applyAlignment="1">
      <x:alignment horizontal="center" vertical="center"/>
    </x:xf>
    <x:xf numFmtId="201" fontId="6" fillId="7" borderId="10" xfId="0" applyNumberFormat="1" applyFont="1" applyFill="1" applyBorder="1" applyAlignment="1">
      <x:alignment horizontal="center" vertical="center"/>
    </x:xf>
    <x:xf numFmtId="201" fontId="6" fillId="7" borderId="0" xfId="0" applyNumberFormat="1" applyFont="1" applyFill="1" applyBorder="1" applyAlignment="1">
      <x:alignment horizontal="center" vertical="center"/>
    </x:xf>
    <x:xf numFmtId="201" fontId="6" fillId="7" borderId="11" xfId="0" applyNumberFormat="1" applyFont="1" applyFill="1" applyBorder="1" applyAlignment="1">
      <x:alignment horizontal="center" vertical="center"/>
    </x:xf>
    <x:xf numFmtId="201" fontId="6" fillId="7" borderId="12" xfId="0" applyNumberFormat="1" applyFont="1" applyFill="1" applyBorder="1" applyAlignment="1">
      <x:alignment horizontal="center" vertical="center"/>
    </x:xf>
    <x:xf numFmtId="201" fontId="6" fillId="7" borderId="13" xfId="0" applyNumberFormat="1" applyFont="1" applyFill="1" applyBorder="1" applyAlignment="1">
      <x:alignment horizontal="center" vertical="center"/>
    </x:xf>
    <x:xf numFmtId="201" fontId="6" fillId="7" borderId="1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2" xfId="0" applyNumberFormat="1" applyFont="1" applyFill="1" applyBorder="1" applyAlignment="1">
      <x:alignment horizontal="center"/>
    </x:xf>
    <x:xf numFmtId="0" fontId="1" fillId="8" borderId="3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1" fillId="8" borderId="2" xfId="0" applyNumberFormat="1" applyFont="1" applyFill="1" applyBorder="1" applyAlignment="1">
      <x:alignment horizontal="center" vertical="center"/>
    </x:xf>
    <x:xf numFmtId="0" fontId="1" fillId="8" borderId="3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/>
    </x:xf>
    <x:xf numFmtId="0" fontId="1" fillId="6" borderId="2" xfId="0" applyNumberFormat="1" applyFont="1" applyFill="1" applyBorder="1" applyAlignment="1">
      <x:alignment horizontal="center"/>
    </x:xf>
    <x:xf numFmtId="0" fontId="1" fillId="6" borderId="3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wrapText="1"/>
    </x:xf>
    <x:xf numFmtId="0" fontId="1" fillId="8" borderId="2" xfId="0" applyNumberFormat="1" applyFont="1" applyFill="1" applyBorder="1" applyAlignment="1">
      <x:alignment wrapText="1"/>
    </x:xf>
    <x:xf numFmtId="0" fontId="1" fillId="8" borderId="3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2" xfId="0" applyNumberFormat="1" applyFont="1" applyFill="1" applyBorder="1" applyAlignment="1">
      <x:alignment horizontal="center" wrapText="1"/>
    </x:xf>
    <x:xf numFmtId="0" fontId="1" fillId="8" borderId="3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203" fontId="4" fillId="0" borderId="4" xfId="0" applyNumberFormat="1" applyFont="1" applyFill="1" applyBorder="1" applyAlignment="1">
      <x:alignment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203" fontId="4" fillId="0" borderId="6" xfId="0" applyNumberFormat="1" applyFont="1" applyFill="1" applyBorder="1" applyAlignment="1">
      <x:alignment vertical="center" wrapText="1"/>
    </x:xf>
    <x:xf numFmtId="203" fontId="6" fillId="7" borderId="7" xfId="0" applyNumberFormat="1" applyFont="1" applyFill="1" applyBorder="1"/>
    <x:xf numFmtId="203" fontId="6" fillId="7" borderId="8" xfId="0" applyNumberFormat="1" applyFont="1" applyFill="1" applyBorder="1"/>
    <x:xf numFmtId="203" fontId="6" fillId="7" borderId="9" xfId="0" applyNumberFormat="1" applyFont="1" applyFill="1" applyBorder="1"/>
    <x:xf numFmtId="203" fontId="6" fillId="7" borderId="10" xfId="0" applyNumberFormat="1" applyFont="1" applyFill="1" applyBorder="1"/>
    <x:xf numFmtId="203" fontId="6" fillId="7" borderId="0" xfId="0" applyNumberFormat="1" applyFont="1" applyFill="1" applyBorder="1"/>
    <x:xf numFmtId="203" fontId="6" fillId="7" borderId="11" xfId="0" applyNumberFormat="1" applyFont="1" applyFill="1" applyBorder="1"/>
    <x:xf numFmtId="203" fontId="6" fillId="7" borderId="12" xfId="0" applyNumberFormat="1" applyFont="1" applyFill="1" applyBorder="1"/>
    <x:xf numFmtId="203" fontId="6" fillId="7" borderId="13" xfId="0" applyNumberFormat="1" applyFont="1" applyFill="1" applyBorder="1"/>
    <x:xf numFmtId="203" fontId="6" fillId="7" borderId="14" xfId="0" applyNumberFormat="1" applyFont="1" applyFill="1" applyBorder="1"/>
    <x:xf numFmtId="203" fontId="6" fillId="7" borderId="7" xfId="0" applyNumberFormat="1" applyFont="1" applyFill="1" applyBorder="1" applyAlignment="1">
      <x:alignment horizontal="center"/>
    </x:xf>
    <x:xf numFmtId="203" fontId="6" fillId="7" borderId="8" xfId="0" applyNumberFormat="1" applyFont="1" applyFill="1" applyBorder="1" applyAlignment="1">
      <x:alignment horizontal="center"/>
    </x:xf>
    <x:xf numFmtId="203" fontId="6" fillId="7" borderId="9" xfId="0" applyNumberFormat="1" applyFont="1" applyFill="1" applyBorder="1" applyAlignment="1">
      <x:alignment horizontal="center"/>
    </x:xf>
    <x:xf numFmtId="203" fontId="6" fillId="7" borderId="10" xfId="0" applyNumberFormat="1" applyFont="1" applyFill="1" applyBorder="1" applyAlignment="1">
      <x:alignment horizontal="center"/>
    </x:xf>
    <x:xf numFmtId="203" fontId="6" fillId="7" borderId="0" xfId="0" applyNumberFormat="1" applyFont="1" applyFill="1" applyBorder="1" applyAlignment="1">
      <x:alignment horizontal="center"/>
    </x:xf>
    <x:xf numFmtId="203" fontId="6" fillId="7" borderId="11" xfId="0" applyNumberFormat="1" applyFont="1" applyFill="1" applyBorder="1" applyAlignment="1">
      <x:alignment horizontal="center"/>
    </x:xf>
    <x:xf numFmtId="203" fontId="6" fillId="7" borderId="12" xfId="0" applyNumberFormat="1" applyFont="1" applyFill="1" applyBorder="1" applyAlignment="1">
      <x:alignment horizontal="center"/>
    </x:xf>
    <x:xf numFmtId="203" fontId="6" fillId="7" borderId="13" xfId="0" applyNumberFormat="1" applyFont="1" applyFill="1" applyBorder="1" applyAlignment="1">
      <x:alignment horizontal="center"/>
    </x:xf>
    <x:xf numFmtId="203" fontId="6" fillId="7" borderId="14" xfId="0" applyNumberFormat="1" applyFont="1" applyFill="1" applyBorder="1" applyAlignment="1">
      <x:alignment horizontal="center"/>
    </x:xf>
    <x:xf numFmtId="203" fontId="6" fillId="7" borderId="7" xfId="0" applyNumberFormat="1" applyFont="1" applyFill="1" applyBorder="1" applyAlignment="1">
      <x:alignment horizontal="center" vertical="center"/>
    </x:xf>
    <x:xf numFmtId="203" fontId="6" fillId="7" borderId="8" xfId="0" applyNumberFormat="1" applyFont="1" applyFill="1" applyBorder="1" applyAlignment="1">
      <x:alignment horizontal="center" vertical="center"/>
    </x:xf>
    <x:xf numFmtId="203" fontId="6" fillId="7" borderId="9" xfId="0" applyNumberFormat="1" applyFont="1" applyFill="1" applyBorder="1" applyAlignment="1">
      <x:alignment horizontal="center" vertical="center"/>
    </x:xf>
    <x:xf numFmtId="203" fontId="6" fillId="7" borderId="10" xfId="0" applyNumberFormat="1" applyFont="1" applyFill="1" applyBorder="1" applyAlignment="1">
      <x:alignment horizontal="center" vertical="center"/>
    </x:xf>
    <x:xf numFmtId="203" fontId="6" fillId="7" borderId="0" xfId="0" applyNumberFormat="1" applyFont="1" applyFill="1" applyBorder="1" applyAlignment="1">
      <x:alignment horizontal="center" vertical="center"/>
    </x:xf>
    <x:xf numFmtId="203" fontId="6" fillId="7" borderId="11" xfId="0" applyNumberFormat="1" applyFont="1" applyFill="1" applyBorder="1" applyAlignment="1">
      <x:alignment horizontal="center" vertical="center"/>
    </x:xf>
    <x:xf numFmtId="203" fontId="6" fillId="7" borderId="12" xfId="0" applyNumberFormat="1" applyFont="1" applyFill="1" applyBorder="1" applyAlignment="1">
      <x:alignment horizontal="center" vertical="center"/>
    </x:xf>
    <x:xf numFmtId="203" fontId="6" fillId="7" borderId="13" xfId="0" applyNumberFormat="1" applyFont="1" applyFill="1" applyBorder="1" applyAlignment="1">
      <x:alignment horizontal="center" vertical="center"/>
    </x:xf>
    <x:xf numFmtId="203" fontId="6" fillId="7" borderId="1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2" xfId="0" applyNumberFormat="1" applyFont="1" applyFill="1" applyBorder="1"/>
    <x:xf numFmtId="0" fontId="1" fillId="9" borderId="3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2" xfId="0" applyNumberFormat="1" applyFont="1" applyFill="1" applyBorder="1" applyAlignment="1">
      <x:alignment horizontal="center"/>
    </x:xf>
    <x:xf numFmtId="0" fontId="1" fillId="9" borderId="3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1" fillId="9" borderId="2" xfId="0" applyNumberFormat="1" applyFont="1" applyFill="1" applyBorder="1" applyAlignment="1">
      <x:alignment horizontal="center" vertical="center"/>
    </x:xf>
    <x:xf numFmtId="0" fontId="1" fillId="9" borderId="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3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9" borderId="3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/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vertical="center"/>
    </x:xf>
    <x:xf numFmtId="0" fontId="9" fillId="14" borderId="0" xfId="0" applyNumberFormat="1" applyFont="1" applyFill="1" applyBorder="1" applyAlignment="1">
      <x:alignment vertical="center"/>
    </x:xf>
    <x:xf numFmtId="0" fontId="9" fillId="14" borderId="1" xfId="0" applyNumberFormat="1" applyFont="1" applyFill="1" applyBorder="1" applyAlignment="1">
      <x:alignment vertical="center"/>
    </x:xf>
    <x:xf numFmtId="0" fontId="9" fillId="14" borderId="2" xfId="0" applyNumberFormat="1" applyFont="1" applyFill="1" applyBorder="1" applyAlignment="1">
      <x:alignment vertical="center"/>
    </x:xf>
    <x:xf numFmtId="0" fontId="9" fillId="14" borderId="3" xfId="0" applyNumberFormat="1" applyFont="1" applyFill="1" applyBorder="1" applyAlignment="1">
      <x:alignment vertical="center"/>
    </x:xf>
    <x:xf numFmtId="0" fontId="9" fillId="14" borderId="1" xfId="0" applyNumberFormat="1" applyFont="1" applyFill="1" applyBorder="1" applyAlignment="1">
      <x:alignment horizontal="left" vertical="center"/>
    </x:xf>
    <x:xf numFmtId="0" fontId="9" fillId="14" borderId="2" xfId="0" applyNumberFormat="1" applyFont="1" applyFill="1" applyBorder="1" applyAlignment="1">
      <x:alignment horizontal="left" vertical="center"/>
    </x:xf>
    <x:xf numFmtId="0" fontId="9" fillId="14" borderId="3" xfId="0" applyNumberFormat="1" applyFont="1" applyFill="1" applyBorder="1" applyAlignment="1">
      <x:alignment horizontal="left" vertical="center"/>
    </x:xf>
    <x:xf numFmtId="0" fontId="4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" fillId="15" borderId="15" xfId="0" applyNumberFormat="1" applyFont="1" applyFill="1" applyBorder="1" applyAlignment="1">
      <x:alignment vertical="center"/>
    </x:xf>
    <x:xf numFmtId="0" fontId="1" fillId="15" borderId="16" xfId="0" applyNumberFormat="1" applyFont="1" applyFill="1" applyBorder="1" applyAlignment="1">
      <x:alignment vertical="center"/>
    </x:xf>
    <x:xf numFmtId="0" fontId="1" fillId="15" borderId="17" xfId="0" applyNumberFormat="1" applyFont="1" applyFill="1" applyBorder="1" applyAlignment="1">
      <x:alignment vertical="center"/>
    </x:xf>
    <x:xf numFmtId="0" fontId="1" fillId="15" borderId="15" xfId="0" applyNumberFormat="1" applyFont="1" applyFill="1" applyBorder="1" applyAlignment="1">
      <x:alignment horizontal="left" vertical="center"/>
    </x:xf>
    <x:xf numFmtId="0" fontId="1" fillId="15" borderId="16" xfId="0" applyNumberFormat="1" applyFont="1" applyFill="1" applyBorder="1" applyAlignment="1">
      <x:alignment horizontal="left" vertical="center"/>
    </x:xf>
    <x:xf numFmtId="0" fontId="1" fillId="15" borderId="17" xfId="0" applyNumberFormat="1" applyFont="1" applyFill="1" applyBorder="1" applyAlignment="1">
      <x:alignment horizontal="left" vertical="center"/>
    </x:xf>
    <x:xf numFmtId="0" fontId="10" fillId="14" borderId="0" xfId="0" applyNumberFormat="1" applyFont="1" applyFill="1" applyBorder="1" applyAlignment="1">
      <x:alignment vertical="center"/>
    </x:xf>
    <x:xf numFmtId="0" fontId="10" fillId="14" borderId="7" xfId="0" applyNumberFormat="1" applyFont="1" applyFill="1" applyBorder="1" applyAlignment="1">
      <x:alignment vertical="center"/>
    </x:xf>
    <x:xf numFmtId="0" fontId="10" fillId="14" borderId="8" xfId="0" applyNumberFormat="1" applyFont="1" applyFill="1" applyBorder="1" applyAlignment="1">
      <x:alignment vertical="center"/>
    </x:xf>
    <x:xf numFmtId="0" fontId="10" fillId="14" borderId="9" xfId="0" applyNumberFormat="1" applyFont="1" applyFill="1" applyBorder="1" applyAlignment="1">
      <x:alignment vertical="center"/>
    </x:xf>
    <x:xf numFmtId="0" fontId="10" fillId="14" borderId="12" xfId="0" applyNumberFormat="1" applyFont="1" applyFill="1" applyBorder="1" applyAlignment="1">
      <x:alignment vertical="center"/>
    </x:xf>
    <x:xf numFmtId="0" fontId="10" fillId="14" borderId="13" xfId="0" applyNumberFormat="1" applyFont="1" applyFill="1" applyBorder="1" applyAlignment="1">
      <x:alignment vertical="center"/>
    </x:xf>
    <x:xf numFmtId="0" fontId="10" fillId="14" borderId="14" xfId="0" applyNumberFormat="1" applyFont="1" applyFill="1" applyBorder="1" applyAlignment="1">
      <x:alignment vertical="center"/>
    </x:xf>
    <x:xf numFmtId="0" fontId="10" fillId="14" borderId="7" xfId="0" applyNumberFormat="1" applyFont="1" applyFill="1" applyBorder="1" applyAlignment="1">
      <x:alignment horizontal="center" vertical="center"/>
    </x:xf>
    <x:xf numFmtId="0" fontId="10" fillId="14" borderId="8" xfId="0" applyNumberFormat="1" applyFont="1" applyFill="1" applyBorder="1" applyAlignment="1">
      <x:alignment horizontal="center" vertical="center"/>
    </x:xf>
    <x:xf numFmtId="0" fontId="10" fillId="14" borderId="9" xfId="0" applyNumberFormat="1" applyFont="1" applyFill="1" applyBorder="1" applyAlignment="1">
      <x:alignment horizontal="center" vertical="center"/>
    </x:xf>
    <x:xf numFmtId="0" fontId="10" fillId="14" borderId="12" xfId="0" applyNumberFormat="1" applyFont="1" applyFill="1" applyBorder="1" applyAlignment="1">
      <x:alignment horizontal="center" vertical="center"/>
    </x:xf>
    <x:xf numFmtId="0" fontId="10" fillId="14" borderId="13" xfId="0" applyNumberFormat="1" applyFont="1" applyFill="1" applyBorder="1" applyAlignment="1">
      <x:alignment horizontal="center" vertical="center"/>
    </x:xf>
    <x:xf numFmtId="0" fontId="10" fillId="14" borderId="14" xfId="0" applyNumberFormat="1" applyFont="1" applyFill="1" applyBorder="1" applyAlignment="1">
      <x:alignment horizontal="center" vertical="center"/>
    </x:xf>
    <x:xf numFmtId="202" fontId="10" fillId="14" borderId="7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" fillId="16" borderId="18" xfId="0" applyNumberFormat="1" applyFont="1" applyFill="1" applyBorder="1" applyAlignment="1">
      <x:alignment vertical="center"/>
    </x:xf>
    <x:xf numFmtId="0" fontId="1" fillId="16" borderId="19" xfId="0" applyNumberFormat="1" applyFont="1" applyFill="1" applyBorder="1" applyAlignment="1">
      <x:alignment vertical="center"/>
    </x:xf>
    <x:xf numFmtId="0" fontId="1" fillId="16" borderId="20" xfId="0" applyNumberFormat="1" applyFont="1" applyFill="1" applyBorder="1" applyAlignment="1">
      <x:alignment vertical="center"/>
    </x:xf>
    <x:xf numFmtId="0" fontId="1" fillId="16" borderId="18" xfId="0" applyNumberFormat="1" applyFont="1" applyFill="1" applyBorder="1" applyAlignment="1">
      <x:alignment horizontal="left" vertical="center"/>
    </x:xf>
    <x:xf numFmtId="0" fontId="1" fillId="16" borderId="19" xfId="0" applyNumberFormat="1" applyFont="1" applyFill="1" applyBorder="1" applyAlignment="1">
      <x:alignment horizontal="left" vertical="center"/>
    </x:xf>
    <x:xf numFmtId="0" fontId="1" fillId="16" borderId="20" xfId="0" applyNumberFormat="1" applyFont="1" applyFill="1" applyBorder="1" applyAlignment="1">
      <x:alignment horizontal="left" vertical="center"/>
    </x:xf>
    <x:xf numFmtId="205" fontId="10" fillId="14" borderId="7" xfId="0" applyNumberFormat="1" applyFont="1" applyFill="1" applyBorder="1" applyAlignment="1">
      <x:alignment horizontal="center" vertical="center"/>
    </x:xf>
    <x:xf numFmtId="0" fontId="4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" fillId="17" borderId="21" xfId="0" applyNumberFormat="1" applyFont="1" applyFill="1" applyBorder="1" applyAlignment="1">
      <x:alignment vertical="center"/>
    </x:xf>
    <x:xf numFmtId="0" fontId="1" fillId="17" borderId="22" xfId="0" applyNumberFormat="1" applyFont="1" applyFill="1" applyBorder="1" applyAlignment="1">
      <x:alignment vertical="center"/>
    </x:xf>
    <x:xf numFmtId="0" fontId="1" fillId="17" borderId="23" xfId="0" applyNumberFormat="1" applyFont="1" applyFill="1" applyBorder="1" applyAlignment="1">
      <x:alignment vertical="center"/>
    </x:xf>
    <x:xf numFmtId="0" fontId="1" fillId="17" borderId="21" xfId="0" applyNumberFormat="1" applyFont="1" applyFill="1" applyBorder="1" applyAlignment="1">
      <x:alignment horizontal="left" vertical="center"/>
    </x:xf>
    <x:xf numFmtId="0" fontId="1" fillId="17" borderId="22" xfId="0" applyNumberFormat="1" applyFont="1" applyFill="1" applyBorder="1" applyAlignment="1">
      <x:alignment horizontal="left" vertical="center"/>
    </x:xf>
    <x:xf numFmtId="0" fontId="1" fillId="17" borderId="23" xfId="0" applyNumberFormat="1" applyFont="1" applyFill="1" applyBorder="1" applyAlignment="1">
      <x:alignment horizontal="left" vertical="center"/>
    </x:xf>
    <x:xf numFmtId="203" fontId="10" fillId="14" borderId="7" xfId="0" applyNumberFormat="1" applyFont="1" applyFill="1" applyBorder="1" applyAlignment="1">
      <x:alignment horizontal="center" vertical="center"/>
    </x:xf>
    <x:xf numFmtId="0" fontId="4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" fillId="18" borderId="24" xfId="0" applyNumberFormat="1" applyFont="1" applyFill="1" applyBorder="1" applyAlignment="1">
      <x:alignment vertical="center"/>
    </x:xf>
    <x:xf numFmtId="0" fontId="1" fillId="18" borderId="25" xfId="0" applyNumberFormat="1" applyFont="1" applyFill="1" applyBorder="1" applyAlignment="1">
      <x:alignment vertical="center"/>
    </x:xf>
    <x:xf numFmtId="0" fontId="1" fillId="18" borderId="26" xfId="0" applyNumberFormat="1" applyFont="1" applyFill="1" applyBorder="1" applyAlignment="1">
      <x:alignment vertical="center"/>
    </x:xf>
    <x:xf numFmtId="0" fontId="1" fillId="18" borderId="24" xfId="0" applyNumberFormat="1" applyFont="1" applyFill="1" applyBorder="1" applyAlignment="1">
      <x:alignment horizontal="left" vertical="center"/>
    </x:xf>
    <x:xf numFmtId="0" fontId="1" fillId="18" borderId="25" xfId="0" applyNumberFormat="1" applyFont="1" applyFill="1" applyBorder="1" applyAlignment="1">
      <x:alignment horizontal="left" vertical="center"/>
    </x:xf>
    <x:xf numFmtId="0" fontId="1" fillId="18" borderId="26" xfId="0" applyNumberFormat="1" applyFont="1" applyFill="1" applyBorder="1" applyAlignment="1">
      <x:alignment horizontal="left" vertical="center"/>
    </x:xf>
    <x:xf numFmtId="0" fontId="4" fillId="19" borderId="0" xfId="0" applyNumberFormat="1" applyFont="1" applyFill="1" applyBorder="1" applyAlignment="1">
      <x:alignment vertical="center"/>
    </x:xf>
    <x:xf numFmtId="0" fontId="11" fillId="19" borderId="0" xfId="0" applyNumberFormat="1" applyFont="1" applyFill="1" applyBorder="1" applyAlignment="1">
      <x:alignment vertical="center"/>
    </x:xf>
    <x:xf numFmtId="0" fontId="11" fillId="19" borderId="27" xfId="0" applyNumberFormat="1" applyFont="1" applyFill="1" applyBorder="1" applyAlignment="1">
      <x:alignment vertical="center"/>
    </x:xf>
    <x:xf numFmtId="0" fontId="11" fillId="19" borderId="28" xfId="0" applyNumberFormat="1" applyFont="1" applyFill="1" applyBorder="1" applyAlignment="1">
      <x:alignment vertical="center"/>
    </x:xf>
    <x:xf numFmtId="0" fontId="11" fillId="19" borderId="29" xfId="0" applyNumberFormat="1" applyFont="1" applyFill="1" applyBorder="1" applyAlignment="1">
      <x:alignment vertical="center"/>
    </x:xf>
    <x:xf numFmtId="0" fontId="11" fillId="19" borderId="27" xfId="0" applyNumberFormat="1" applyFont="1" applyFill="1" applyBorder="1" applyAlignment="1">
      <x:alignment horizontal="left" vertical="center"/>
    </x:xf>
    <x:xf numFmtId="0" fontId="11" fillId="19" borderId="28" xfId="0" applyNumberFormat="1" applyFont="1" applyFill="1" applyBorder="1" applyAlignment="1">
      <x:alignment horizontal="left" vertical="center"/>
    </x:xf>
    <x:xf numFmtId="0" fontId="11" fillId="19" borderId="29" xfId="0" applyNumberFormat="1" applyFont="1" applyFill="1" applyBorder="1" applyAlignment="1">
      <x:alignment horizontal="left" vertical="center"/>
    </x:xf>
    <x:xf numFmtId="0" fontId="1" fillId="13" borderId="0" xfId="0" applyNumberFormat="1" applyFont="1" applyFill="1" applyBorder="1" applyAlignment="1">
      <x:alignment vertical="center"/>
    </x:xf>
    <x:xf numFmtId="0" fontId="1" fillId="13" borderId="30" xfId="0" applyNumberFormat="1" applyFont="1" applyFill="1" applyBorder="1" applyAlignment="1">
      <x:alignment vertical="center"/>
    </x:xf>
    <x:xf numFmtId="0" fontId="1" fillId="13" borderId="31" xfId="0" applyNumberFormat="1" applyFont="1" applyFill="1" applyBorder="1" applyAlignment="1">
      <x:alignment vertical="center"/>
    </x:xf>
    <x:xf numFmtId="0" fontId="1" fillId="13" borderId="32" xfId="0" applyNumberFormat="1" applyFont="1" applyFill="1" applyBorder="1" applyAlignment="1">
      <x:alignment vertical="center"/>
    </x:xf>
    <x:xf numFmtId="0" fontId="1" fillId="13" borderId="30" xfId="0" applyNumberFormat="1" applyFont="1" applyFill="1" applyBorder="1" applyAlignment="1">
      <x:alignment horizontal="left" vertical="center"/>
    </x:xf>
    <x:xf numFmtId="0" fontId="1" fillId="13" borderId="31" xfId="0" applyNumberFormat="1" applyFont="1" applyFill="1" applyBorder="1" applyAlignment="1">
      <x:alignment horizontal="left" vertical="center"/>
    </x:xf>
    <x:xf numFmtId="0" fontId="1" fillId="13" borderId="32" xfId="0" applyNumberFormat="1" applyFont="1" applyFill="1" applyBorder="1" applyAlignment="1">
      <x:alignment horizontal="left" vertical="center"/>
    </x:xf>
    <x:xf numFmtId="0" fontId="4" fillId="20" borderId="0" xfId="0" applyNumberFormat="1" applyFont="1" applyFill="1" applyBorder="1" applyAlignment="1">
      <x:alignment vertical="center"/>
    </x:xf>
    <x:xf numFmtId="0" fontId="10" fillId="20" borderId="0" xfId="0" applyNumberFormat="1" applyFont="1" applyFill="1" applyBorder="1" applyAlignment="1">
      <x:alignment vertical="center"/>
    </x:xf>
    <x:xf numFmtId="0" fontId="10" fillId="20" borderId="1" xfId="0" applyNumberFormat="1" applyFont="1" applyFill="1" applyBorder="1" applyAlignment="1">
      <x:alignment vertical="center"/>
    </x:xf>
    <x:xf numFmtId="0" fontId="10" fillId="20" borderId="3" xfId="0" applyNumberFormat="1" applyFont="1" applyFill="1" applyBorder="1" applyAlignment="1">
      <x:alignment vertical="center"/>
    </x:xf>
    <x:xf numFmtId="0" fontId="10" fillId="20" borderId="1" xfId="0" applyNumberFormat="1" applyFont="1" applyFill="1" applyBorder="1" applyAlignment="1">
      <x:alignment horizontal="left" vertical="center"/>
    </x:xf>
    <x:xf numFmtId="0" fontId="10" fillId="20" borderId="3" xfId="0" applyNumberFormat="1" applyFont="1" applyFill="1" applyBorder="1" applyAlignment="1">
      <x:alignment horizontal="left" vertical="center"/>
    </x:xf>
    <x:xf numFmtId="0" fontId="4" fillId="14" borderId="1" xfId="0" applyNumberFormat="1" applyFont="1" applyFill="1" applyBorder="1" applyAlignment="1">
      <x:alignment vertical="center"/>
    </x:xf>
    <x:xf numFmtId="0" fontId="4" fillId="14" borderId="2" xfId="0" applyNumberFormat="1" applyFont="1" applyFill="1" applyBorder="1" applyAlignment="1">
      <x:alignment vertical="center"/>
    </x:xf>
    <x:xf numFmtId="0" fontId="4" fillId="14" borderId="3" xfId="0" applyNumberFormat="1" applyFont="1" applyFill="1" applyBorder="1" applyAlignment="1">
      <x:alignment vertical="center"/>
    </x:xf>
    <x:xf numFmtId="0" fontId="4" fillId="14" borderId="1" xfId="0" applyNumberFormat="1" applyFont="1" applyFill="1" applyBorder="1" applyAlignment="1">
      <x:alignment vertical="center" wrapText="1"/>
    </x:xf>
    <x:xf numFmtId="0" fontId="4" fillId="14" borderId="2" xfId="0" applyNumberFormat="1" applyFont="1" applyFill="1" applyBorder="1" applyAlignment="1">
      <x:alignment vertical="center" wrapText="1"/>
    </x:xf>
    <x:xf numFmtId="0" fontId="4" fillId="14" borderId="3" xfId="0" applyNumberFormat="1" applyFont="1" applyFill="1" applyBorder="1" applyAlignment="1">
      <x:alignment vertical="center" wrapText="1"/>
    </x:xf>
    <x:xf numFmtId="0" fontId="4" fillId="14" borderId="1" xfId="0" applyNumberFormat="1" applyFont="1" applyFill="1" applyBorder="1" applyAlignment="1">
      <x:alignment horizontal="left" vertical="center" wrapText="1"/>
    </x:xf>
    <x:xf numFmtId="0" fontId="4" fillId="14" borderId="2" xfId="0" applyNumberFormat="1" applyFont="1" applyFill="1" applyBorder="1" applyAlignment="1">
      <x:alignment horizontal="left" vertical="center" wrapText="1"/>
    </x:xf>
    <x:xf numFmtId="0" fontId="4" fillId="14" borderId="3" xfId="0" applyNumberFormat="1" applyFont="1" applyFill="1" applyBorder="1" applyAlignment="1">
      <x:alignment horizontal="left" vertical="center" wrapText="1"/>
    </x:xf>
    <x:xf numFmtId="0" fontId="4" fillId="21" borderId="0" xfId="0" applyNumberFormat="1" applyFont="1" applyFill="1" applyBorder="1" applyAlignment="1">
      <x:alignment vertical="center"/>
    </x:xf>
    <x:xf numFmtId="0" fontId="10" fillId="21" borderId="0" xfId="0" applyNumberFormat="1" applyFont="1" applyFill="1" applyBorder="1" applyAlignment="1">
      <x:alignment vertical="center"/>
    </x:xf>
    <x:xf numFmtId="0" fontId="10" fillId="21" borderId="1" xfId="0" applyNumberFormat="1" applyFont="1" applyFill="1" applyBorder="1" applyAlignment="1">
      <x:alignment vertical="center"/>
    </x:xf>
    <x:xf numFmtId="0" fontId="10" fillId="21" borderId="3" xfId="0" applyNumberFormat="1" applyFont="1" applyFill="1" applyBorder="1" applyAlignment="1">
      <x:alignment vertical="center"/>
    </x:xf>
    <x:xf numFmtId="0" fontId="10" fillId="21" borderId="1" xfId="0" applyNumberFormat="1" applyFont="1" applyFill="1" applyBorder="1" applyAlignment="1">
      <x:alignment horizontal="left" vertical="center"/>
    </x:xf>
    <x:xf numFmtId="0" fontId="10" fillId="21" borderId="3" xfId="0" applyNumberFormat="1" applyFont="1" applyFill="1" applyBorder="1" applyAlignment="1">
      <x:alignment horizontal="left" vertical="center"/>
    </x:xf>
    <x:xf numFmtId="206" fontId="8" fillId="11" borderId="0" xfId="0" applyNumberFormat="1" applyFont="1" applyFill="1" applyBorder="1"/>
    <x:xf numFmtId="207" fontId="8" fillId="11" borderId="0" xfId="0" applyNumberFormat="1" applyFont="1" applyFill="1" applyBorder="1"/>
    <x:xf numFmtId="0" fontId="4" fillId="20" borderId="1" xfId="0" applyNumberFormat="1" applyFont="1" applyFill="1" applyBorder="1" applyAlignment="1">
      <x:alignment vertical="center"/>
    </x:xf>
    <x:xf numFmtId="0" fontId="4" fillId="20" borderId="2" xfId="0" applyNumberFormat="1" applyFont="1" applyFill="1" applyBorder="1" applyAlignment="1">
      <x:alignment vertical="center"/>
    </x:xf>
    <x:xf numFmtId="0" fontId="4" fillId="20" borderId="3" xfId="0" applyNumberFormat="1" applyFont="1" applyFill="1" applyBorder="1" applyAlignment="1">
      <x:alignment vertical="center"/>
    </x:xf>
    <x:xf numFmtId="0" fontId="4" fillId="20" borderId="1" xfId="0" applyNumberFormat="1" applyFont="1" applyFill="1" applyBorder="1" applyAlignment="1">
      <x:alignment vertical="center" wrapText="1"/>
    </x:xf>
    <x:xf numFmtId="0" fontId="4" fillId="20" borderId="2" xfId="0" applyNumberFormat="1" applyFont="1" applyFill="1" applyBorder="1" applyAlignment="1">
      <x:alignment vertical="center" wrapText="1"/>
    </x:xf>
    <x:xf numFmtId="0" fontId="4" fillId="20" borderId="3" xfId="0" applyNumberFormat="1" applyFont="1" applyFill="1" applyBorder="1" applyAlignment="1">
      <x:alignment vertical="center" wrapText="1"/>
    </x:xf>
    <x:xf numFmtId="0" fontId="4" fillId="20" borderId="1" xfId="0" applyNumberFormat="1" applyFont="1" applyFill="1" applyBorder="1" applyAlignment="1">
      <x:alignment horizontal="left" vertical="center" wrapText="1"/>
    </x:xf>
    <x:xf numFmtId="0" fontId="4" fillId="20" borderId="2" xfId="0" applyNumberFormat="1" applyFont="1" applyFill="1" applyBorder="1" applyAlignment="1">
      <x:alignment horizontal="left" vertical="center" wrapText="1"/>
    </x:xf>
    <x:xf numFmtId="0" fontId="4" fillId="20" borderId="3" xfId="0" applyNumberFormat="1" applyFont="1" applyFill="1" applyBorder="1" applyAlignment="1">
      <x:alignment horizontal="left" vertical="center" wrapText="1"/>
    </x:xf>
    <x:xf numFmtId="0" fontId="4" fillId="21" borderId="1" xfId="0" applyNumberFormat="1" applyFont="1" applyFill="1" applyBorder="1" applyAlignment="1">
      <x:alignment vertical="center"/>
    </x:xf>
    <x:xf numFmtId="0" fontId="4" fillId="21" borderId="2" xfId="0" applyNumberFormat="1" applyFont="1" applyFill="1" applyBorder="1" applyAlignment="1">
      <x:alignment vertical="center"/>
    </x:xf>
    <x:xf numFmtId="0" fontId="4" fillId="21" borderId="3" xfId="0" applyNumberFormat="1" applyFont="1" applyFill="1" applyBorder="1" applyAlignment="1">
      <x:alignment vertical="center"/>
    </x:xf>
    <x:xf numFmtId="0" fontId="4" fillId="21" borderId="1" xfId="0" applyNumberFormat="1" applyFont="1" applyFill="1" applyBorder="1" applyAlignment="1">
      <x:alignment vertical="center" wrapText="1"/>
    </x:xf>
    <x:xf numFmtId="0" fontId="4" fillId="21" borderId="2" xfId="0" applyNumberFormat="1" applyFont="1" applyFill="1" applyBorder="1" applyAlignment="1">
      <x:alignment vertical="center" wrapText="1"/>
    </x:xf>
    <x:xf numFmtId="0" fontId="4" fillId="21" borderId="3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horizontal="left" vertical="center" wrapText="1"/>
    </x:xf>
    <x:xf numFmtId="0" fontId="4" fillId="21" borderId="2" xfId="0" applyNumberFormat="1" applyFont="1" applyFill="1" applyBorder="1" applyAlignment="1">
      <x:alignment horizontal="left" vertical="center" wrapText="1"/>
    </x:xf>
    <x:xf numFmtId="0" fontId="4" fillId="21" borderId="3" xfId="0" applyNumberFormat="1" applyFont="1" applyFill="1" applyBorder="1" applyAlignment="1">
      <x:alignment horizontal="left" vertical="center" wrapText="1"/>
    </x:xf>
    <x:xf numFmtId="0" fontId="4" fillId="14" borderId="1" xfId="0" applyNumberFormat="1" applyFont="1" applyFill="1" applyBorder="1" applyAlignment="1">
      <x:alignment horizontal="left" vertical="top" wrapText="1"/>
    </x:xf>
    <x:xf numFmtId="0" fontId="4" fillId="14" borderId="2" xfId="0" applyNumberFormat="1" applyFont="1" applyFill="1" applyBorder="1" applyAlignment="1">
      <x:alignment horizontal="left" vertical="top" wrapText="1"/>
    </x:xf>
    <x:xf numFmtId="0" fontId="4" fillId="14" borderId="3" xfId="0" applyNumberFormat="1" applyFont="1" applyFill="1" applyBorder="1" applyAlignment="1">
      <x:alignment horizontal="left" vertical="top" wrapText="1"/>
    </x:xf>
    <x:xf numFmtId="0" fontId="4" fillId="22" borderId="0" xfId="0" applyNumberFormat="1" applyFont="1" applyFill="1" applyBorder="1" applyAlignment="1">
      <x:alignment vertical="center"/>
    </x:xf>
    <x:xf numFmtId="0" fontId="4" fillId="22" borderId="1" xfId="0" applyNumberFormat="1" applyFont="1" applyFill="1" applyBorder="1" applyAlignment="1">
      <x:alignment vertical="center"/>
    </x:xf>
    <x:xf numFmtId="0" fontId="4" fillId="22" borderId="2" xfId="0" applyNumberFormat="1" applyFont="1" applyFill="1" applyBorder="1" applyAlignment="1">
      <x:alignment vertical="center"/>
    </x:xf>
    <x:xf numFmtId="0" fontId="4" fillId="22" borderId="3" xfId="0" applyNumberFormat="1" applyFont="1" applyFill="1" applyBorder="1" applyAlignment="1">
      <x:alignment vertical="center"/>
    </x:xf>
    <x:xf numFmtId="0" fontId="4" fillId="22" borderId="1" xfId="0" applyNumberFormat="1" applyFont="1" applyFill="1" applyBorder="1" applyAlignment="1">
      <x:alignment vertical="center" wrapText="1"/>
    </x:xf>
    <x:xf numFmtId="0" fontId="4" fillId="22" borderId="2" xfId="0" applyNumberFormat="1" applyFont="1" applyFill="1" applyBorder="1" applyAlignment="1">
      <x:alignment vertical="center" wrapText="1"/>
    </x:xf>
    <x:xf numFmtId="0" fontId="4" fillId="22" borderId="3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horizontal="left" vertical="center" wrapText="1"/>
    </x:xf>
    <x:xf numFmtId="0" fontId="4" fillId="22" borderId="2" xfId="0" applyNumberFormat="1" applyFont="1" applyFill="1" applyBorder="1" applyAlignment="1">
      <x:alignment horizontal="left" vertical="center" wrapText="1"/>
    </x:xf>
    <x:xf numFmtId="0" fontId="4" fillId="22" borderId="3" xfId="0" applyNumberFormat="1" applyFont="1" applyFill="1" applyBorder="1" applyAlignment="1">
      <x:alignment horizontal="left" vertical="center" wrapText="1"/>
    </x:xf>
    <x:xf numFmtId="0" fontId="4" fillId="22" borderId="1" xfId="0" applyNumberFormat="1" applyFont="1" applyFill="1" applyBorder="1" applyAlignment="1">
      <x:alignment horizontal="left" vertical="top" wrapText="1"/>
    </x:xf>
    <x:xf numFmtId="0" fontId="4" fillId="22" borderId="2" xfId="0" applyNumberFormat="1" applyFont="1" applyFill="1" applyBorder="1" applyAlignment="1">
      <x:alignment horizontal="left" vertical="top" wrapText="1"/>
    </x:xf>
    <x:xf numFmtId="0" fontId="4" fillId="22" borderId="3" xfId="0" applyNumberFormat="1" applyFont="1" applyFill="1" applyBorder="1" applyAlignment="1">
      <x:alignment horizontal="left" vertical="top" wrapText="1"/>
    </x:xf>
    <x:xf numFmtId="0" fontId="0" fillId="23" borderId="0" xfId="0" applyNumberFormat="1" applyFont="1" applyFill="1" applyBorder="1"/>
    <x:xf numFmtId="0" fontId="4" fillId="23" borderId="0" xfId="0" applyNumberFormat="1" applyFont="1" applyFill="1" applyBorder="1"/>
    <x:xf numFmtId="0" fontId="4" fillId="23" borderId="0" xfId="0" applyNumberFormat="1" applyFont="1" applyFill="1" applyBorder="1" applyAlignment="1">
      <x:alignment vertical="center"/>
    </x:xf>
    <x:xf numFmtId="0" fontId="8" fillId="23" borderId="0" xfId="0" applyNumberFormat="1" applyFont="1" applyFill="1" applyBorder="1"/>
    <x:xf numFmtId="0" fontId="4" fillId="24" borderId="0" xfId="0" applyNumberFormat="1" applyFont="1" applyFill="1" applyBorder="1" applyAlignment="1">
      <x:alignment vertical="center"/>
    </x:xf>
    <x:xf numFmtId="0" fontId="1" fillId="24" borderId="0" xfId="0" applyNumberFormat="1" applyFont="1" applyFill="1" applyBorder="1" applyAlignment="1">
      <x:alignment vertical="center"/>
    </x:xf>
    <x:xf numFmtId="0" fontId="1" fillId="24" borderId="0" xfId="0" applyNumberFormat="1" applyFont="1" applyFill="1" applyBorder="1" applyAlignment="1">
      <x:alignment horizontal="left" vertical="center"/>
    </x:xf>
    <x:xf numFmtId="0" fontId="4" fillId="25" borderId="0" xfId="0" applyNumberFormat="1" applyFont="1" applyFill="1" applyBorder="1" applyAlignment="1">
      <x:alignment vertical="center"/>
    </x:xf>
    <x:xf numFmtId="0" fontId="5" fillId="25" borderId="0" xfId="0" applyNumberFormat="1" applyFont="1" applyFill="1" applyBorder="1" applyAlignment="1">
      <x:alignment vertical="center"/>
    </x:xf>
    <x:xf numFmtId="0" fontId="5" fillId="25" borderId="0" xfId="0" applyNumberFormat="1" applyFont="1" applyFill="1" applyBorder="1" applyAlignment="1">
      <x:alignment horizontal="left" vertical="center"/>
    </x:xf>
    <x:xf numFmtId="0" fontId="4" fillId="26" borderId="0" xfId="0" applyNumberFormat="1" applyFont="1" applyFill="1" applyBorder="1" applyAlignment="1">
      <x:alignment vertical="center"/>
    </x:xf>
    <x:xf numFmtId="0" fontId="9" fillId="26" borderId="0" xfId="0" applyNumberFormat="1" applyFont="1" applyFill="1" applyBorder="1" applyAlignment="1">
      <x:alignment vertical="center"/>
    </x:xf>
    <x:xf numFmtId="0" fontId="9" fillId="26" borderId="1" xfId="0" applyNumberFormat="1" applyFont="1" applyFill="1" applyBorder="1" applyAlignment="1">
      <x:alignment vertical="center"/>
    </x:xf>
    <x:xf numFmtId="0" fontId="9" fillId="26" borderId="2" xfId="0" applyNumberFormat="1" applyFont="1" applyFill="1" applyBorder="1" applyAlignment="1">
      <x:alignment vertical="center"/>
    </x:xf>
    <x:xf numFmtId="0" fontId="9" fillId="26" borderId="3" xfId="0" applyNumberFormat="1" applyFont="1" applyFill="1" applyBorder="1" applyAlignment="1">
      <x:alignment vertical="center"/>
    </x:xf>
    <x:xf numFmtId="0" fontId="9" fillId="26" borderId="1" xfId="0" applyNumberFormat="1" applyFont="1" applyFill="1" applyBorder="1" applyAlignment="1">
      <x:alignment horizontal="left" vertical="center"/>
    </x:xf>
    <x:xf numFmtId="0" fontId="9" fillId="26" borderId="2" xfId="0" applyNumberFormat="1" applyFont="1" applyFill="1" applyBorder="1" applyAlignment="1">
      <x:alignment horizontal="left" vertical="center"/>
    </x:xf>
    <x:xf numFmtId="0" fontId="9" fillId="26" borderId="3" xfId="0" applyNumberFormat="1" applyFont="1" applyFill="1" applyBorder="1" applyAlignment="1">
      <x:alignment horizontal="left" vertical="center"/>
    </x:xf>
    <x:xf numFmtId="0" fontId="4" fillId="27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/>
    </x:xf>
    <x:xf numFmtId="0" fontId="1" fillId="27" borderId="15" xfId="0" applyNumberFormat="1" applyFont="1" applyFill="1" applyBorder="1" applyAlignment="1">
      <x:alignment vertical="center"/>
    </x:xf>
    <x:xf numFmtId="0" fontId="1" fillId="27" borderId="16" xfId="0" applyNumberFormat="1" applyFont="1" applyFill="1" applyBorder="1" applyAlignment="1">
      <x:alignment vertical="center"/>
    </x:xf>
    <x:xf numFmtId="0" fontId="1" fillId="27" borderId="17" xfId="0" applyNumberFormat="1" applyFont="1" applyFill="1" applyBorder="1" applyAlignment="1">
      <x:alignment vertical="center"/>
    </x:xf>
    <x:xf numFmtId="0" fontId="1" fillId="27" borderId="15" xfId="0" applyNumberFormat="1" applyFont="1" applyFill="1" applyBorder="1" applyAlignment="1">
      <x:alignment horizontal="left" vertical="center"/>
    </x:xf>
    <x:xf numFmtId="0" fontId="1" fillId="27" borderId="16" xfId="0" applyNumberFormat="1" applyFont="1" applyFill="1" applyBorder="1" applyAlignment="1">
      <x:alignment horizontal="left" vertical="center"/>
    </x:xf>
    <x:xf numFmtId="0" fontId="1" fillId="27" borderId="17" xfId="0" applyNumberFormat="1" applyFont="1" applyFill="1" applyBorder="1" applyAlignment="1">
      <x:alignment horizontal="left" vertical="center"/>
    </x:xf>
    <x:xf numFmtId="0" fontId="10" fillId="26" borderId="0" xfId="0" applyNumberFormat="1" applyFont="1" applyFill="1" applyBorder="1" applyAlignment="1">
      <x:alignment vertical="center"/>
    </x:xf>
    <x:xf numFmtId="0" fontId="10" fillId="26" borderId="7" xfId="0" applyNumberFormat="1" applyFont="1" applyFill="1" applyBorder="1" applyAlignment="1">
      <x:alignment vertical="center"/>
    </x:xf>
    <x:xf numFmtId="0" fontId="10" fillId="26" borderId="8" xfId="0" applyNumberFormat="1" applyFont="1" applyFill="1" applyBorder="1" applyAlignment="1">
      <x:alignment vertical="center"/>
    </x:xf>
    <x:xf numFmtId="0" fontId="10" fillId="26" borderId="9" xfId="0" applyNumberFormat="1" applyFont="1" applyFill="1" applyBorder="1" applyAlignment="1">
      <x:alignment vertical="center"/>
    </x:xf>
    <x:xf numFmtId="0" fontId="10" fillId="26" borderId="12" xfId="0" applyNumberFormat="1" applyFont="1" applyFill="1" applyBorder="1" applyAlignment="1">
      <x:alignment vertical="center"/>
    </x:xf>
    <x:xf numFmtId="0" fontId="10" fillId="26" borderId="13" xfId="0" applyNumberFormat="1" applyFont="1" applyFill="1" applyBorder="1" applyAlignment="1">
      <x:alignment vertical="center"/>
    </x:xf>
    <x:xf numFmtId="0" fontId="10" fillId="26" borderId="14" xfId="0" applyNumberFormat="1" applyFont="1" applyFill="1" applyBorder="1" applyAlignment="1">
      <x:alignment vertical="center"/>
    </x:xf>
    <x:xf numFmtId="0" fontId="10" fillId="26" borderId="7" xfId="0" applyNumberFormat="1" applyFont="1" applyFill="1" applyBorder="1" applyAlignment="1">
      <x:alignment horizontal="center" vertical="center"/>
    </x:xf>
    <x:xf numFmtId="0" fontId="10" fillId="26" borderId="8" xfId="0" applyNumberFormat="1" applyFont="1" applyFill="1" applyBorder="1" applyAlignment="1">
      <x:alignment horizontal="center" vertical="center"/>
    </x:xf>
    <x:xf numFmtId="0" fontId="10" fillId="26" borderId="9" xfId="0" applyNumberFormat="1" applyFont="1" applyFill="1" applyBorder="1" applyAlignment="1">
      <x:alignment horizontal="center" vertical="center"/>
    </x:xf>
    <x:xf numFmtId="0" fontId="10" fillId="26" borderId="12" xfId="0" applyNumberFormat="1" applyFont="1" applyFill="1" applyBorder="1" applyAlignment="1">
      <x:alignment horizontal="center" vertical="center"/>
    </x:xf>
    <x:xf numFmtId="0" fontId="10" fillId="26" borderId="13" xfId="0" applyNumberFormat="1" applyFont="1" applyFill="1" applyBorder="1" applyAlignment="1">
      <x:alignment horizontal="center" vertical="center"/>
    </x:xf>
    <x:xf numFmtId="0" fontId="10" fillId="26" borderId="14" xfId="0" applyNumberFormat="1" applyFont="1" applyFill="1" applyBorder="1" applyAlignment="1">
      <x:alignment horizontal="center" vertical="center"/>
    </x:xf>
    <x:xf numFmtId="202" fontId="10" fillId="26" borderId="7" xfId="0" applyNumberFormat="1" applyFont="1" applyFill="1" applyBorder="1" applyAlignment="1">
      <x:alignment horizontal="center" vertical="center"/>
    </x:xf>
    <x:xf numFmtId="0" fontId="4" fillId="28" borderId="0" xfId="0" applyNumberFormat="1" applyFont="1" applyFill="1" applyBorder="1" applyAlignment="1">
      <x:alignment vertical="center"/>
    </x:xf>
    <x:xf numFmtId="0" fontId="1" fillId="28" borderId="0" xfId="0" applyNumberFormat="1" applyFont="1" applyFill="1" applyBorder="1" applyAlignment="1">
      <x:alignment vertical="center"/>
    </x:xf>
    <x:xf numFmtId="0" fontId="1" fillId="28" borderId="18" xfId="0" applyNumberFormat="1" applyFont="1" applyFill="1" applyBorder="1" applyAlignment="1">
      <x:alignment vertical="center"/>
    </x:xf>
    <x:xf numFmtId="0" fontId="1" fillId="28" borderId="19" xfId="0" applyNumberFormat="1" applyFont="1" applyFill="1" applyBorder="1" applyAlignment="1">
      <x:alignment vertical="center"/>
    </x:xf>
    <x:xf numFmtId="0" fontId="1" fillId="28" borderId="20" xfId="0" applyNumberFormat="1" applyFont="1" applyFill="1" applyBorder="1" applyAlignment="1">
      <x:alignment vertical="center"/>
    </x:xf>
    <x:xf numFmtId="0" fontId="1" fillId="28" borderId="18" xfId="0" applyNumberFormat="1" applyFont="1" applyFill="1" applyBorder="1" applyAlignment="1">
      <x:alignment horizontal="left" vertical="center"/>
    </x:xf>
    <x:xf numFmtId="0" fontId="1" fillId="28" borderId="19" xfId="0" applyNumberFormat="1" applyFont="1" applyFill="1" applyBorder="1" applyAlignment="1">
      <x:alignment horizontal="left" vertical="center"/>
    </x:xf>
    <x:xf numFmtId="0" fontId="1" fillId="28" borderId="20" xfId="0" applyNumberFormat="1" applyFont="1" applyFill="1" applyBorder="1" applyAlignment="1">
      <x:alignment horizontal="left" vertical="center"/>
    </x:xf>
    <x:xf numFmtId="205" fontId="10" fillId="26" borderId="7" xfId="0" applyNumberFormat="1" applyFont="1" applyFill="1" applyBorder="1" applyAlignment="1">
      <x:alignment horizontal="center" vertical="center"/>
    </x:xf>
    <x:xf numFmtId="0" fontId="4" fillId="29" borderId="0" xfId="0" applyNumberFormat="1" applyFont="1" applyFill="1" applyBorder="1" applyAlignment="1">
      <x:alignment vertical="center"/>
    </x:xf>
    <x:xf numFmtId="0" fontId="1" fillId="29" borderId="0" xfId="0" applyNumberFormat="1" applyFont="1" applyFill="1" applyBorder="1" applyAlignment="1">
      <x:alignment vertical="center"/>
    </x:xf>
    <x:xf numFmtId="0" fontId="1" fillId="29" borderId="21" xfId="0" applyNumberFormat="1" applyFont="1" applyFill="1" applyBorder="1" applyAlignment="1">
      <x:alignment vertical="center"/>
    </x:xf>
    <x:xf numFmtId="0" fontId="1" fillId="29" borderId="22" xfId="0" applyNumberFormat="1" applyFont="1" applyFill="1" applyBorder="1" applyAlignment="1">
      <x:alignment vertical="center"/>
    </x:xf>
    <x:xf numFmtId="0" fontId="1" fillId="29" borderId="23" xfId="0" applyNumberFormat="1" applyFont="1" applyFill="1" applyBorder="1" applyAlignment="1">
      <x:alignment vertical="center"/>
    </x:xf>
    <x:xf numFmtId="0" fontId="1" fillId="29" borderId="21" xfId="0" applyNumberFormat="1" applyFont="1" applyFill="1" applyBorder="1" applyAlignment="1">
      <x:alignment horizontal="left" vertical="center"/>
    </x:xf>
    <x:xf numFmtId="0" fontId="1" fillId="29" borderId="22" xfId="0" applyNumberFormat="1" applyFont="1" applyFill="1" applyBorder="1" applyAlignment="1">
      <x:alignment horizontal="left" vertical="center"/>
    </x:xf>
    <x:xf numFmtId="0" fontId="1" fillId="29" borderId="23" xfId="0" applyNumberFormat="1" applyFont="1" applyFill="1" applyBorder="1" applyAlignment="1">
      <x:alignment horizontal="left" vertical="center"/>
    </x:xf>
    <x:xf numFmtId="203" fontId="10" fillId="26" borderId="7" xfId="0" applyNumberFormat="1" applyFont="1" applyFill="1" applyBorder="1" applyAlignment="1">
      <x:alignment horizontal="center" vertical="center"/>
    </x:xf>
    <x:xf numFmtId="0" fontId="4" fillId="30" borderId="0" xfId="0" applyNumberFormat="1" applyFont="1" applyFill="1" applyBorder="1" applyAlignment="1">
      <x:alignment vertical="center"/>
    </x:xf>
    <x:xf numFmtId="0" fontId="1" fillId="30" borderId="0" xfId="0" applyNumberFormat="1" applyFont="1" applyFill="1" applyBorder="1" applyAlignment="1">
      <x:alignment vertical="center"/>
    </x:xf>
    <x:xf numFmtId="0" fontId="1" fillId="30" borderId="24" xfId="0" applyNumberFormat="1" applyFont="1" applyFill="1" applyBorder="1" applyAlignment="1">
      <x:alignment vertical="center"/>
    </x:xf>
    <x:xf numFmtId="0" fontId="1" fillId="30" borderId="25" xfId="0" applyNumberFormat="1" applyFont="1" applyFill="1" applyBorder="1" applyAlignment="1">
      <x:alignment vertical="center"/>
    </x:xf>
    <x:xf numFmtId="0" fontId="1" fillId="30" borderId="26" xfId="0" applyNumberFormat="1" applyFont="1" applyFill="1" applyBorder="1" applyAlignment="1">
      <x:alignment vertical="center"/>
    </x:xf>
    <x:xf numFmtId="0" fontId="1" fillId="30" borderId="24" xfId="0" applyNumberFormat="1" applyFont="1" applyFill="1" applyBorder="1" applyAlignment="1">
      <x:alignment horizontal="left" vertical="center"/>
    </x:xf>
    <x:xf numFmtId="0" fontId="1" fillId="30" borderId="25" xfId="0" applyNumberFormat="1" applyFont="1" applyFill="1" applyBorder="1" applyAlignment="1">
      <x:alignment horizontal="left" vertical="center"/>
    </x:xf>
    <x:xf numFmtId="0" fontId="1" fillId="30" borderId="26" xfId="0" applyNumberFormat="1" applyFont="1" applyFill="1" applyBorder="1" applyAlignment="1">
      <x:alignment horizontal="left" vertical="center"/>
    </x:xf>
    <x:xf numFmtId="0" fontId="4" fillId="31" borderId="0" xfId="0" applyNumberFormat="1" applyFont="1" applyFill="1" applyBorder="1" applyAlignment="1">
      <x:alignment vertical="center"/>
    </x:xf>
    <x:xf numFmtId="0" fontId="11" fillId="31" borderId="0" xfId="0" applyNumberFormat="1" applyFont="1" applyFill="1" applyBorder="1" applyAlignment="1">
      <x:alignment vertical="center"/>
    </x:xf>
    <x:xf numFmtId="0" fontId="11" fillId="31" borderId="27" xfId="0" applyNumberFormat="1" applyFont="1" applyFill="1" applyBorder="1" applyAlignment="1">
      <x:alignment vertical="center"/>
    </x:xf>
    <x:xf numFmtId="0" fontId="11" fillId="31" borderId="28" xfId="0" applyNumberFormat="1" applyFont="1" applyFill="1" applyBorder="1" applyAlignment="1">
      <x:alignment vertical="center"/>
    </x:xf>
    <x:xf numFmtId="0" fontId="11" fillId="31" borderId="29" xfId="0" applyNumberFormat="1" applyFont="1" applyFill="1" applyBorder="1" applyAlignment="1">
      <x:alignment vertical="center"/>
    </x:xf>
    <x:xf numFmtId="0" fontId="11" fillId="31" borderId="27" xfId="0" applyNumberFormat="1" applyFont="1" applyFill="1" applyBorder="1" applyAlignment="1">
      <x:alignment horizontal="left" vertical="center"/>
    </x:xf>
    <x:xf numFmtId="0" fontId="11" fillId="31" borderId="28" xfId="0" applyNumberFormat="1" applyFont="1" applyFill="1" applyBorder="1" applyAlignment="1">
      <x:alignment horizontal="left" vertical="center"/>
    </x:xf>
    <x:xf numFmtId="0" fontId="11" fillId="31" borderId="29" xfId="0" applyNumberFormat="1" applyFont="1" applyFill="1" applyBorder="1" applyAlignment="1">
      <x:alignment horizontal="left" vertical="center"/>
    </x:xf>
    <x:xf numFmtId="0" fontId="1" fillId="25" borderId="0" xfId="0" applyNumberFormat="1" applyFont="1" applyFill="1" applyBorder="1" applyAlignment="1">
      <x:alignment vertical="center"/>
    </x:xf>
    <x:xf numFmtId="0" fontId="1" fillId="25" borderId="30" xfId="0" applyNumberFormat="1" applyFont="1" applyFill="1" applyBorder="1" applyAlignment="1">
      <x:alignment vertical="center"/>
    </x:xf>
    <x:xf numFmtId="0" fontId="1" fillId="25" borderId="31" xfId="0" applyNumberFormat="1" applyFont="1" applyFill="1" applyBorder="1" applyAlignment="1">
      <x:alignment vertical="center"/>
    </x:xf>
    <x:xf numFmtId="0" fontId="1" fillId="25" borderId="32" xfId="0" applyNumberFormat="1" applyFont="1" applyFill="1" applyBorder="1" applyAlignment="1">
      <x:alignment vertical="center"/>
    </x:xf>
    <x:xf numFmtId="0" fontId="1" fillId="25" borderId="30" xfId="0" applyNumberFormat="1" applyFont="1" applyFill="1" applyBorder="1" applyAlignment="1">
      <x:alignment horizontal="left" vertical="center"/>
    </x:xf>
    <x:xf numFmtId="0" fontId="1" fillId="25" borderId="31" xfId="0" applyNumberFormat="1" applyFont="1" applyFill="1" applyBorder="1" applyAlignment="1">
      <x:alignment horizontal="left" vertical="center"/>
    </x:xf>
    <x:xf numFmtId="0" fontId="1" fillId="25" borderId="32" xfId="0" applyNumberFormat="1" applyFont="1" applyFill="1" applyBorder="1" applyAlignment="1">
      <x:alignment horizontal="left" vertical="center"/>
    </x:xf>
    <x:xf numFmtId="0" fontId="4" fillId="32" borderId="0" xfId="0" applyNumberFormat="1" applyFont="1" applyFill="1" applyBorder="1" applyAlignment="1">
      <x:alignment vertical="center"/>
    </x:xf>
    <x:xf numFmtId="0" fontId="10" fillId="32" borderId="0" xfId="0" applyNumberFormat="1" applyFont="1" applyFill="1" applyBorder="1" applyAlignment="1">
      <x:alignment vertical="center"/>
    </x:xf>
    <x:xf numFmtId="0" fontId="10" fillId="32" borderId="1" xfId="0" applyNumberFormat="1" applyFont="1" applyFill="1" applyBorder="1" applyAlignment="1">
      <x:alignment vertical="center"/>
    </x:xf>
    <x:xf numFmtId="0" fontId="10" fillId="32" borderId="3" xfId="0" applyNumberFormat="1" applyFont="1" applyFill="1" applyBorder="1" applyAlignment="1">
      <x:alignment vertical="center"/>
    </x:xf>
    <x:xf numFmtId="0" fontId="10" fillId="32" borderId="1" xfId="0" applyNumberFormat="1" applyFont="1" applyFill="1" applyBorder="1" applyAlignment="1">
      <x:alignment horizontal="left" vertical="center"/>
    </x:xf>
    <x:xf numFmtId="0" fontId="10" fillId="32" borderId="3" xfId="0" applyNumberFormat="1" applyFont="1" applyFill="1" applyBorder="1" applyAlignment="1">
      <x:alignment horizontal="left" vertical="center"/>
    </x:xf>
    <x:xf numFmtId="0" fontId="4" fillId="26" borderId="1" xfId="0" applyNumberFormat="1" applyFont="1" applyFill="1" applyBorder="1" applyAlignment="1">
      <x:alignment vertical="center"/>
    </x:xf>
    <x:xf numFmtId="0" fontId="4" fillId="26" borderId="2" xfId="0" applyNumberFormat="1" applyFont="1" applyFill="1" applyBorder="1" applyAlignment="1">
      <x:alignment vertical="center"/>
    </x:xf>
    <x:xf numFmtId="0" fontId="4" fillId="26" borderId="3" xfId="0" applyNumberFormat="1" applyFont="1" applyFill="1" applyBorder="1" applyAlignment="1">
      <x:alignment vertical="center"/>
    </x:xf>
    <x:xf numFmtId="0" fontId="4" fillId="26" borderId="1" xfId="0" applyNumberFormat="1" applyFont="1" applyFill="1" applyBorder="1" applyAlignment="1">
      <x:alignment vertical="center" wrapText="1"/>
    </x:xf>
    <x:xf numFmtId="0" fontId="4" fillId="26" borderId="2" xfId="0" applyNumberFormat="1" applyFont="1" applyFill="1" applyBorder="1" applyAlignment="1">
      <x:alignment vertical="center" wrapText="1"/>
    </x:xf>
    <x:xf numFmtId="0" fontId="4" fillId="26" borderId="3" xfId="0" applyNumberFormat="1" applyFont="1" applyFill="1" applyBorder="1" applyAlignment="1">
      <x:alignment vertical="center" wrapText="1"/>
    </x:xf>
    <x:xf numFmtId="0" fontId="4" fillId="26" borderId="1" xfId="0" applyNumberFormat="1" applyFont="1" applyFill="1" applyBorder="1" applyAlignment="1">
      <x:alignment horizontal="left" vertical="center" wrapText="1"/>
    </x:xf>
    <x:xf numFmtId="0" fontId="4" fillId="26" borderId="2" xfId="0" applyNumberFormat="1" applyFont="1" applyFill="1" applyBorder="1" applyAlignment="1">
      <x:alignment horizontal="left" vertical="center" wrapText="1"/>
    </x:xf>
    <x:xf numFmtId="0" fontId="4" fillId="26" borderId="3" xfId="0" applyNumberFormat="1" applyFont="1" applyFill="1" applyBorder="1" applyAlignment="1">
      <x:alignment horizontal="left" vertical="center" wrapText="1"/>
    </x:xf>
    <x:xf numFmtId="0" fontId="4" fillId="33" borderId="0" xfId="0" applyNumberFormat="1" applyFont="1" applyFill="1" applyBorder="1" applyAlignment="1">
      <x:alignment vertical="center"/>
    </x:xf>
    <x:xf numFmtId="0" fontId="10" fillId="33" borderId="0" xfId="0" applyNumberFormat="1" applyFont="1" applyFill="1" applyBorder="1" applyAlignment="1">
      <x:alignment vertical="center"/>
    </x:xf>
    <x:xf numFmtId="0" fontId="10" fillId="33" borderId="1" xfId="0" applyNumberFormat="1" applyFont="1" applyFill="1" applyBorder="1" applyAlignment="1">
      <x:alignment vertical="center"/>
    </x:xf>
    <x:xf numFmtId="0" fontId="10" fillId="33" borderId="3" xfId="0" applyNumberFormat="1" applyFont="1" applyFill="1" applyBorder="1" applyAlignment="1">
      <x:alignment vertical="center"/>
    </x:xf>
    <x:xf numFmtId="0" fontId="10" fillId="33" borderId="1" xfId="0" applyNumberFormat="1" applyFont="1" applyFill="1" applyBorder="1" applyAlignment="1">
      <x:alignment horizontal="left" vertical="center"/>
    </x:xf>
    <x:xf numFmtId="0" fontId="10" fillId="33" borderId="3" xfId="0" applyNumberFormat="1" applyFont="1" applyFill="1" applyBorder="1" applyAlignment="1">
      <x:alignment horizontal="left" vertical="center"/>
    </x:xf>
    <x:xf numFmtId="204" fontId="8" fillId="23" borderId="0" xfId="0" applyNumberFormat="1" applyFont="1" applyFill="1" applyBorder="1"/>
    <x:xf numFmtId="207" fontId="8" fillId="23" borderId="0" xfId="0" applyNumberFormat="1" applyFont="1" applyFill="1" applyBorder="1"/>
    <x:xf numFmtId="0" fontId="4" fillId="32" borderId="1" xfId="0" applyNumberFormat="1" applyFont="1" applyFill="1" applyBorder="1" applyAlignment="1">
      <x:alignment vertical="center"/>
    </x:xf>
    <x:xf numFmtId="0" fontId="4" fillId="32" borderId="2" xfId="0" applyNumberFormat="1" applyFont="1" applyFill="1" applyBorder="1" applyAlignment="1">
      <x:alignment vertical="center"/>
    </x:xf>
    <x:xf numFmtId="0" fontId="4" fillId="32" borderId="3" xfId="0" applyNumberFormat="1" applyFont="1" applyFill="1" applyBorder="1" applyAlignment="1">
      <x:alignment vertical="center"/>
    </x:xf>
    <x:xf numFmtId="0" fontId="4" fillId="32" borderId="1" xfId="0" applyNumberFormat="1" applyFont="1" applyFill="1" applyBorder="1" applyAlignment="1">
      <x:alignment vertical="center" wrapText="1"/>
    </x:xf>
    <x:xf numFmtId="0" fontId="4" fillId="32" borderId="2" xfId="0" applyNumberFormat="1" applyFont="1" applyFill="1" applyBorder="1" applyAlignment="1">
      <x:alignment vertical="center" wrapText="1"/>
    </x:xf>
    <x:xf numFmtId="0" fontId="4" fillId="32" borderId="3" xfId="0" applyNumberFormat="1" applyFont="1" applyFill="1" applyBorder="1" applyAlignment="1">
      <x:alignment vertical="center" wrapText="1"/>
    </x:xf>
    <x:xf numFmtId="0" fontId="4" fillId="32" borderId="1" xfId="0" applyNumberFormat="1" applyFont="1" applyFill="1" applyBorder="1" applyAlignment="1">
      <x:alignment horizontal="left" vertical="center" wrapText="1"/>
    </x:xf>
    <x:xf numFmtId="0" fontId="4" fillId="32" borderId="2" xfId="0" applyNumberFormat="1" applyFont="1" applyFill="1" applyBorder="1" applyAlignment="1">
      <x:alignment horizontal="left" vertical="center" wrapText="1"/>
    </x:xf>
    <x:xf numFmtId="0" fontId="4" fillId="32" borderId="3" xfId="0" applyNumberFormat="1" applyFont="1" applyFill="1" applyBorder="1" applyAlignment="1">
      <x:alignment horizontal="left" vertical="center" wrapText="1"/>
    </x:xf>
    <x:xf numFmtId="0" fontId="4" fillId="33" borderId="1" xfId="0" applyNumberFormat="1" applyFont="1" applyFill="1" applyBorder="1" applyAlignment="1">
      <x:alignment vertical="center"/>
    </x:xf>
    <x:xf numFmtId="0" fontId="4" fillId="33" borderId="2" xfId="0" applyNumberFormat="1" applyFont="1" applyFill="1" applyBorder="1" applyAlignment="1">
      <x:alignment vertical="center"/>
    </x:xf>
    <x:xf numFmtId="0" fontId="4" fillId="33" borderId="3" xfId="0" applyNumberFormat="1" applyFont="1" applyFill="1" applyBorder="1" applyAlignment="1">
      <x:alignment vertical="center"/>
    </x:xf>
    <x:xf numFmtId="0" fontId="4" fillId="33" borderId="1" xfId="0" applyNumberFormat="1" applyFont="1" applyFill="1" applyBorder="1" applyAlignment="1">
      <x:alignment vertical="center" wrapText="1"/>
    </x:xf>
    <x:xf numFmtId="0" fontId="4" fillId="33" borderId="2" xfId="0" applyNumberFormat="1" applyFont="1" applyFill="1" applyBorder="1" applyAlignment="1">
      <x:alignment vertical="center" wrapText="1"/>
    </x:xf>
    <x:xf numFmtId="0" fontId="4" fillId="33" borderId="3" xfId="0" applyNumberFormat="1" applyFont="1" applyFill="1" applyBorder="1" applyAlignment="1">
      <x:alignment vertical="center" wrapText="1"/>
    </x:xf>
    <x:xf numFmtId="0" fontId="4" fillId="33" borderId="1" xfId="0" applyNumberFormat="1" applyFont="1" applyFill="1" applyBorder="1" applyAlignment="1">
      <x:alignment horizontal="left" vertical="center" wrapText="1"/>
    </x:xf>
    <x:xf numFmtId="0" fontId="4" fillId="33" borderId="2" xfId="0" applyNumberFormat="1" applyFont="1" applyFill="1" applyBorder="1" applyAlignment="1">
      <x:alignment horizontal="left" vertical="center" wrapText="1"/>
    </x:xf>
    <x:xf numFmtId="0" fontId="4" fillId="33" borderId="3" xfId="0" applyNumberFormat="1" applyFont="1" applyFill="1" applyBorder="1" applyAlignment="1">
      <x:alignment horizontal="left" vertical="center" wrapText="1"/>
    </x:xf>
    <x:xf numFmtId="0" fontId="4" fillId="26" borderId="1" xfId="0" applyNumberFormat="1" applyFont="1" applyFill="1" applyBorder="1" applyAlignment="1">
      <x:alignment horizontal="left" vertical="top" wrapText="1"/>
    </x:xf>
    <x:xf numFmtId="0" fontId="4" fillId="26" borderId="2" xfId="0" applyNumberFormat="1" applyFont="1" applyFill="1" applyBorder="1" applyAlignment="1">
      <x:alignment horizontal="left" vertical="top" wrapText="1"/>
    </x:xf>
    <x:xf numFmtId="0" fontId="4" fillId="26" borderId="3" xfId="0" applyNumberFormat="1" applyFont="1" applyFill="1" applyBorder="1" applyAlignment="1">
      <x:alignment horizontal="left" vertical="top" wrapText="1"/>
    </x:xf>
    <x:xf numFmtId="0" fontId="4" fillId="34" borderId="0" xfId="0" applyNumberFormat="1" applyFont="1" applyFill="1" applyBorder="1" applyAlignment="1">
      <x:alignment vertical="center"/>
    </x:xf>
    <x:xf numFmtId="0" fontId="4" fillId="34" borderId="1" xfId="0" applyNumberFormat="1" applyFont="1" applyFill="1" applyBorder="1" applyAlignment="1">
      <x:alignment vertical="center"/>
    </x:xf>
    <x:xf numFmtId="0" fontId="4" fillId="34" borderId="2" xfId="0" applyNumberFormat="1" applyFont="1" applyFill="1" applyBorder="1" applyAlignment="1">
      <x:alignment vertical="center"/>
    </x:xf>
    <x:xf numFmtId="0" fontId="4" fillId="34" borderId="3" xfId="0" applyNumberFormat="1" applyFont="1" applyFill="1" applyBorder="1" applyAlignment="1">
      <x:alignment vertical="center"/>
    </x:xf>
    <x:xf numFmtId="0" fontId="4" fillId="34" borderId="1" xfId="0" applyNumberFormat="1" applyFont="1" applyFill="1" applyBorder="1" applyAlignment="1">
      <x:alignment vertical="center" wrapText="1"/>
    </x:xf>
    <x:xf numFmtId="0" fontId="4" fillId="34" borderId="2" xfId="0" applyNumberFormat="1" applyFont="1" applyFill="1" applyBorder="1" applyAlignment="1">
      <x:alignment vertical="center" wrapText="1"/>
    </x:xf>
    <x:xf numFmtId="0" fontId="4" fillId="34" borderId="3" xfId="0" applyNumberFormat="1" applyFont="1" applyFill="1" applyBorder="1" applyAlignment="1">
      <x:alignment vertical="center" wrapText="1"/>
    </x:xf>
    <x:xf numFmtId="0" fontId="4" fillId="34" borderId="1" xfId="0" applyNumberFormat="1" applyFont="1" applyFill="1" applyBorder="1" applyAlignment="1">
      <x:alignment horizontal="left" vertical="center" wrapText="1"/>
    </x:xf>
    <x:xf numFmtId="0" fontId="4" fillId="34" borderId="2" xfId="0" applyNumberFormat="1" applyFont="1" applyFill="1" applyBorder="1" applyAlignment="1">
      <x:alignment horizontal="left" vertical="center" wrapText="1"/>
    </x:xf>
    <x:xf numFmtId="0" fontId="4" fillId="34" borderId="3" xfId="0" applyNumberFormat="1" applyFont="1" applyFill="1" applyBorder="1" applyAlignment="1">
      <x:alignment horizontal="left" vertical="center" wrapText="1"/>
    </x:xf>
    <x:xf numFmtId="0" fontId="4" fillId="34" borderId="1" xfId="0" applyNumberFormat="1" applyFont="1" applyFill="1" applyBorder="1" applyAlignment="1">
      <x:alignment horizontal="left" vertical="top" wrapText="1"/>
    </x:xf>
    <x:xf numFmtId="0" fontId="4" fillId="34" borderId="2" xfId="0" applyNumberFormat="1" applyFont="1" applyFill="1" applyBorder="1" applyAlignment="1">
      <x:alignment horizontal="left" vertical="top" wrapText="1"/>
    </x:xf>
    <x:xf numFmtId="0" fontId="4" fillId="34" borderId="3" xfId="0" applyNumberFormat="1" applyFont="1" applyFill="1" applyBorder="1" applyAlignment="1">
      <x:alignment horizontal="left" vertical="top" wrapText="1"/>
    </x:xf>
    <x:xf numFmtId="0" fontId="4" fillId="0" borderId="33" xfId="0" applyNumberFormat="1" applyFont="1" applyFill="1" applyBorder="1"/>
    <x:xf numFmtId="0" fontId="4" fillId="0" borderId="33" xfId="0" applyNumberFormat="1" applyFont="1" applyFill="1" applyBorder="1" applyAlignment="1">
      <x:alignment wrapText="1"/>
    </x:xf>
    <x:xf numFmtId="202" fontId="4" fillId="0" borderId="33" xfId="0" applyNumberFormat="1" applyFont="1" applyFill="1" applyBorder="1" applyAlignment="1">
      <x:alignment wrapText="1"/>
    </x:xf>
    <x:xf numFmtId="200" fontId="4" fillId="0" borderId="33" xfId="0" applyNumberFormat="1" applyFont="1" applyFill="1" applyBorder="1" applyAlignment="1">
      <x:alignment wrapText="1"/>
    </x:xf>
    <x:xf numFmtId="0" fontId="4" fillId="35" borderId="33" xfId="0" applyNumberFormat="1" applyFont="1" applyFill="1" applyBorder="1" applyAlignment="1">
      <x:alignment wrapText="1"/>
    </x:xf>
    <x:xf numFmtId="202" fontId="4" fillId="35" borderId="33" xfId="0" applyNumberFormat="1" applyFont="1" applyFill="1" applyBorder="1" applyAlignment="1">
      <x:alignment wrapText="1"/>
    </x:xf>
    <x:xf numFmtId="200" fontId="4" fillId="35" borderId="33" xfId="0" applyNumberFormat="1" applyFont="1" applyFill="1" applyBorder="1" applyAlignment="1">
      <x:alignment wrapText="1"/>
    </x:xf>
    <x:xf numFmtId="0" fontId="4" fillId="36" borderId="33" xfId="0" applyNumberFormat="1" applyFont="1" applyFill="1" applyBorder="1" applyAlignment="1">
      <x:alignment wrapText="1"/>
    </x:xf>
    <x:xf numFmtId="202" fontId="4" fillId="36" borderId="33" xfId="0" applyNumberFormat="1" applyFont="1" applyFill="1" applyBorder="1" applyAlignment="1">
      <x:alignment wrapText="1"/>
    </x:xf>
    <x:xf numFmtId="200" fontId="4" fillId="36" borderId="33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4" fillId="36" borderId="0" xfId="0" applyNumberFormat="1" applyFont="1" applyFill="1" applyBorder="1"/>
    <x:xf numFmtId="0" fontId="4" fillId="36" borderId="33" xfId="0" applyNumberFormat="1" applyFont="1" applyFill="1" applyBorder="1"/>
    <x:xf numFmtId="201" fontId="4" fillId="36" borderId="33" xfId="0" applyNumberFormat="1" applyFont="1" applyFill="1" applyBorder="1" applyAlignment="1">
      <x:alignment wrapText="1"/>
    </x:xf>
    <x:xf numFmtId="203" fontId="4" fillId="36" borderId="33" xfId="0" applyNumberFormat="1" applyFont="1" applyFill="1" applyBorder="1" applyAlignment="1">
      <x:alignment wrapText="1"/>
    </x:xf>
    <x:xf numFmtId="201" fontId="4" fillId="37" borderId="33" xfId="0" applyNumberFormat="1" applyFont="1" applyFill="1" applyBorder="1" applyAlignment="1">
      <x:alignment wrapText="1"/>
    </x:xf>
    <x:xf numFmtId="0" fontId="4" fillId="38" borderId="33" xfId="0" applyNumberFormat="1" applyFont="1" applyFill="1" applyBorder="1" applyAlignment="1">
      <x:alignment wrapText="1"/>
    </x:xf>
    <x:xf numFmtId="202" fontId="4" fillId="38" borderId="33" xfId="0" applyNumberFormat="1" applyFont="1" applyFill="1" applyBorder="1" applyAlignment="1">
      <x:alignment wrapText="1"/>
    </x:xf>
    <x:xf numFmtId="200" fontId="4" fillId="38" borderId="33" xfId="0" applyNumberFormat="1" applyFont="1" applyFill="1" applyBorder="1" applyAlignment="1">
      <x:alignment wrapText="1"/>
    </x:xf>
    <x:xf numFmtId="0" fontId="4" fillId="39" borderId="33" xfId="0" applyNumberFormat="1" applyFont="1" applyFill="1" applyBorder="1" applyAlignment="1">
      <x:alignment wrapText="1"/>
    </x:xf>
    <x:xf numFmtId="202" fontId="4" fillId="39" borderId="33" xfId="0" applyNumberFormat="1" applyFont="1" applyFill="1" applyBorder="1" applyAlignment="1">
      <x:alignment wrapText="1"/>
    </x:xf>
    <x:xf numFmtId="200" fontId="4" fillId="39" borderId="33" xfId="0" applyNumberFormat="1" applyFont="1" applyFill="1" applyBorder="1" applyAlignment="1">
      <x:alignment wrapText="1"/>
    </x:xf>
    <x:xf numFmtId="201" fontId="4" fillId="39" borderId="33" xfId="0" applyNumberFormat="1" applyFont="1" applyFill="1" applyBorder="1" applyAlignment="1">
      <x:alignment wrapText="1"/>
    </x:xf>
    <x:xf numFmtId="203" fontId="4" fillId="39" borderId="33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4" fillId="39" borderId="0" xfId="0" applyNumberFormat="1" applyFont="1" applyFill="1" applyBorder="1"/>
    <x:xf numFmtId="0" fontId="4" fillId="39" borderId="33" xfId="0" applyNumberFormat="1" applyFont="1" applyFill="1" applyBorder="1"/>
    <x:xf numFmtId="201" fontId="4" fillId="40" borderId="33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7" fontId="4" fillId="0" borderId="4" xfId="0" applyNumberFormat="1" applyFont="1" applyFill="1" applyBorder="1" applyAlignment="1">
      <x:alignment vertical="center" wrapText="1"/>
    </x:xf>
    <x:xf numFmtId="207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color rgb="FF27AE60"/>
      </x:font>
      <x:fill>
        <x:patternFill>
          <x:bgColor rgb="FFEAF8EF"/>
        </x:patternFill>
      </x:fill>
    </x:dxf>
    <x:dxf>
      <x:font>
        <x:color rgb="FFB45309"/>
      </x:font>
      <x:fill>
        <x:patternFill>
          <x:bgColor rgb="FFFFF4E5"/>
        </x:patternFill>
      </x:fill>
    </x:dxf>
    <x:dxf>
      <x:font>
        <x:color rgb="FF27AE60"/>
      </x:font>
      <x:fill>
        <x:patternFill>
          <x:bgColor rgb="FFEAF8EF"/>
        </x:patternFill>
      </x:fill>
    </x:dxf>
    <x:dxf>
      <x:font>
        <x:color rgb="FFD64545"/>
      </x:font>
      <x:fill>
        <x:patternFill>
          <x:bgColor rgb="FFFDECEC"/>
        </x:patternFill>
      </x:fill>
    </x:dxf>
    <x:dxf>
      <x:font>
        <x:color rgb="FFB45309"/>
      </x:font>
      <x:fill>
        <x:patternFill>
          <x:bgColor rgb="FFFFF4E5"/>
        </x:patternFill>
      </x:fill>
    </x:dxf>
    <x:dxf>
      <x:font>
        <x:color rgb="FF8A5A00"/>
      </x:font>
      <x:fill>
        <x:patternFill>
          <x:bgColor rgb="FFFFF8E1"/>
        </x:patternFill>
      </x:fill>
    </x:dxf>
    <x:dxf>
      <x:font>
        <x:color rgb="FF163A5F"/>
      </x:font>
      <x:fill>
        <x:patternFill>
          <x:bgColor rgb="FFEAF2FF"/>
        </x:patternFill>
      </x:fill>
    </x:dxf>
    <x:dxf>
      <x:font>
        <x:color rgb="FF8A5A00"/>
      </x:font>
      <x:fill>
        <x:patternFill>
          <x:bgColor rgb="FFFFF8E1"/>
        </x:patternFill>
      </x:fill>
    </x:dxf>
    <x:dxf>
      <x:font>
        <x:color rgb="FF163A5F"/>
      </x:font>
      <x:fill>
        <x:patternFill>
          <x:bgColor rgb="FFEAF2FF"/>
        </x:patternFill>
      </x:fill>
    </x:dxf>
    <x:dxf>
      <x:font>
        <x:color rgb="FF27AE60"/>
      </x:font>
      <x:fill>
        <x:patternFill>
          <x:bgColor rgb="FFEAF8EF"/>
        </x:patternFill>
      </x:fill>
    </x:dxf>
    <x:dxf>
      <x:font>
        <x:color rgb="FFB45309"/>
      </x:font>
      <x:fill>
        <x:patternFill>
          <x:bgColor rgb="FFFFF4E5"/>
        </x:patternFill>
      </x:fill>
    </x:dxf>
    <x:dxf>
      <x:font>
        <x:color rgb="FF27AE60"/>
      </x:font>
      <x:fill>
        <x:patternFill>
          <x:bgColor rgb="FFEAF8EF"/>
        </x:patternFill>
      </x:fill>
    </x:dxf>
    <x:dxf>
      <x:font>
        <x:color rgb="FFD64545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4b74727cd4941" /><Relationship Type="http://schemas.openxmlformats.org/officeDocument/2006/relationships/theme" Target="/xl/theme/theme1.xml" Id="R304b089562d748fb" /><Relationship Type="http://schemas.openxmlformats.org/officeDocument/2006/relationships/sharedStrings" Target="/xl/sharedStrings.xml" Id="R4ebbeba156794d3f" /><Relationship Type="http://schemas.openxmlformats.org/officeDocument/2006/relationships/worksheet" Target="/xl/worksheets/sheet1.xml" Id="R5719b20d8a324c84" /><Relationship Type="http://schemas.openxmlformats.org/officeDocument/2006/relationships/worksheet" Target="/xl/worksheets/sheet2.xml" Id="R418598c9ed1b4b01" /><Relationship Type="http://schemas.openxmlformats.org/officeDocument/2006/relationships/worksheet" Target="/xl/worksheets/sheet3.xml" Id="R3b7892fb526543c4" /><Relationship Type="http://schemas.openxmlformats.org/officeDocument/2006/relationships/worksheet" Target="/xl/worksheets/sheet4.xml" Id="R3922979a82274f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66015a1e674284" /><Relationship Type="http://schemas.openxmlformats.org/officeDocument/2006/relationships/chart" Target="/xl/drawings/charts/chart2.xml" Id="R4aceae5b77964d5f" /><Relationship Type="http://schemas.openxmlformats.org/officeDocument/2006/relationships/chart" Target="/xl/drawings/charts/chart3.xml" Id="R0f85c50a84c64d06" /><Relationship Type="http://schemas.openxmlformats.org/officeDocument/2006/relationships/chart" Target="/xl/drawings/charts/chart4.xml" Id="R544ccadfef4840eb" /><Relationship Type="http://schemas.openxmlformats.org/officeDocument/2006/relationships/chart" Target="/xl/drawings/charts/chart5.xml" Id="R3cbcced42fd04ac7" /><Relationship Type="http://schemas.openxmlformats.org/officeDocument/2006/relationships/chart" Target="/xl/drawings/charts/chart6.xml" Id="R84651bea658e46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4ab71ee300ec40bd" /><Relationship Type="http://schemas.openxmlformats.org/officeDocument/2006/relationships/chart" Target="/xl/drawings/charts/chart8.xml" Id="R4d03e8ae47064102" /><Relationship Type="http://schemas.openxmlformats.org/officeDocument/2006/relationships/chart" Target="/xl/drawings/charts/chart9.xml" Id="R792a0228e4e64083" /><Relationship Type="http://schemas.openxmlformats.org/officeDocument/2006/relationships/chart" Target="/xl/drawings/charts/chart10.xml" Id="R9f2c88f6d00449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让球月度盈亏（单位）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让球盈亏</c:v>
          </c:tx>
          <c:spPr>
            <a:ln xmlns:a="http://schemas.openxmlformats.org/drawingml/2006/main" w="23813">
              <a:solidFill>
                <a:srgbClr val="2F80ED"/>
              </a:solidFill>
              <a:prstDash val="solid"/>
            </a:ln>
          </c:spPr>
          <c:marker>
            <c:symbol val="none"/>
          </c:marker>
          <c:cat>
            <c:strRef>
              <c:f>'数据看板'!$H$2:$H$7</c:f>
              <c:strCache>
                <c:ptCount val="0"/>
              </c:strCache>
            </c:strRef>
          </c:cat>
          <c:val>
            <c:numRef>
              <c:f>'数据看板'!$I$2:$I$7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大小球月度盈亏（单位）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大小球盈亏</c:v>
          </c:tx>
          <c:spPr>
            <a:ln xmlns:a="http://schemas.openxmlformats.org/drawingml/2006/main" w="23813">
              <a:solidFill>
                <a:srgbClr val="F2994A"/>
              </a:solidFill>
              <a:prstDash val="solid"/>
            </a:ln>
          </c:spPr>
          <c:marker>
            <c:symbol val="none"/>
          </c:marker>
          <c:cat>
            <c:strRef>
              <c:f>'数据看板'!$K$2:$K$7</c:f>
              <c:strCache>
                <c:ptCount val="0"/>
              </c:strCache>
            </c:strRef>
          </c:cat>
          <c:val>
            <c:numRef>
              <c:f>'数据看板'!$L$2:$L$7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赛事让球 Top 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让球盈亏</c:v>
          </c:tx>
          <c:spPr>
            <a:solidFill xmlns:a="http://schemas.openxmlformats.org/drawingml/2006/main">
              <a:srgbClr val="2F80ED"/>
            </a:solidFill>
          </c:spPr>
          <c:cat>
            <c:strRef>
              <c:f>'数据看板'!$N$2:$N$6</c:f>
              <c:strCache>
                <c:ptCount val="0"/>
              </c:strCache>
            </c:strRef>
          </c:cat>
          <c:val>
            <c:numRef>
              <c:f>'数据看板'!$O$2:$O$6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赛事大小球 Top 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大小球盈亏</c:v>
          </c:tx>
          <c:spPr>
            <a:solidFill xmlns:a="http://schemas.openxmlformats.org/drawingml/2006/main">
              <a:srgbClr val="F2994A"/>
            </a:solidFill>
          </c:spPr>
          <c:cat>
            <c:strRef>
              <c:f>'数据看板'!$Q$2:$Q$6</c:f>
              <c:strCache>
                <c:ptCount val="0"/>
              </c:strCache>
            </c:strRef>
          </c:cat>
          <c:val>
            <c:numRef>
              <c:f>'数据看板'!$R$2:$R$6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球队让球 Top 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让球盈亏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'数据看板'!$N$11:$N$15</c:f>
              <c:strCache>
                <c:ptCount val="0"/>
              </c:strCache>
            </c:strRef>
          </c:cat>
          <c:val>
            <c:numRef>
              <c:f>'数据看板'!$O$11:$O$15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球队大小球 Top 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大小球盈亏</c:v>
          </c:tx>
          <c:spPr>
            <a:solidFill xmlns:a="http://schemas.openxmlformats.org/drawingml/2006/main">
              <a:srgbClr val="27AE60"/>
            </a:solidFill>
          </c:spPr>
          <c:cat>
            <c:strRef>
              <c:f>'数据看板'!$Q$11:$Q$15</c:f>
              <c:strCache>
                <c:ptCount val="0"/>
              </c:strCache>
            </c:strRef>
          </c:cat>
          <c:val>
            <c:numRef>
              <c:f>'数据看板'!$R$11:$R$15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赛事让球盈亏 Top 10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盈亏单位</c:v>
          </c:tx>
          <c:spPr>
            <a:solidFill xmlns:a="http://schemas.openxmlformats.org/drawingml/2006/main">
              <a:srgbClr val="2F80ED"/>
            </a:solidFill>
          </c:spPr>
          <c:cat>
            <c:strRef>
              <c:f>'维度战绩'!$B$46:$B$55</c:f>
              <c:strCache>
                <c:ptCount val="0"/>
              </c:strCache>
            </c:strRef>
          </c:cat>
          <c:val>
            <c:numRef>
              <c:f>'维度战绩'!$E$46:$E$55</c:f>
              <c:numCache>
                <c:formatCode>0.00;-0.00;0.00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;-0.00;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赛事大小球盈亏 Top 10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盈亏单位</c:v>
          </c:tx>
          <c:spPr>
            <a:solidFill xmlns:a="http://schemas.openxmlformats.org/drawingml/2006/main">
              <a:srgbClr val="F2994A"/>
            </a:solidFill>
          </c:spPr>
          <c:cat>
            <c:strRef>
              <c:f>'维度战绩'!$J$46:$J$55</c:f>
              <c:strCache>
                <c:ptCount val="0"/>
              </c:strCache>
            </c:strRef>
          </c:cat>
          <c:val>
            <c:numRef>
              <c:f>'维度战绩'!$M$46:$M$55</c:f>
              <c:numCache>
                <c:formatCode>0.00;-0.00;0.00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;-0.00;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球队让球盈亏 Top 10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盈亏单位</c:v>
          </c:tx>
          <c:spPr>
            <a:solidFill xmlns:a="http://schemas.openxmlformats.org/drawingml/2006/main">
              <a:srgbClr val="1FA187"/>
            </a:solidFill>
          </c:spPr>
          <c:cat>
            <c:strRef>
              <c:f>'维度战绩'!$B$170:$B$179</c:f>
              <c:strCache>
                <c:ptCount val="0"/>
              </c:strCache>
            </c:strRef>
          </c:cat>
          <c:val>
            <c:numRef>
              <c:f>'维度战绩'!$E$170:$E$179</c:f>
              <c:numCache>
                <c:formatCode>0.00;-0.00;0.00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;-0.00;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球队大小球盈亏 Top 10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盈亏单位</c:v>
          </c:tx>
          <c:spPr>
            <a:solidFill xmlns:a="http://schemas.openxmlformats.org/drawingml/2006/main">
              <a:srgbClr val="27AE60"/>
            </a:solidFill>
          </c:spPr>
          <c:cat>
            <c:strRef>
              <c:f>'维度战绩'!$J$170:$J$179</c:f>
              <c:strCache>
                <c:ptCount val="0"/>
              </c:strCache>
            </c:strRef>
          </c:cat>
          <c:val>
            <c:numRef>
              <c:f>'维度战绩'!$M$170:$M$179</c:f>
              <c:numCache>
                <c:formatCode>0.00;-0.00;0.00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;-0.00;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66015a1e67428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6</xdr:col>
      <xdr:colOff>0</xdr:colOff>
      <xdr:row>53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ceae5b77964d5f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6</xdr:col>
      <xdr:colOff>0</xdr:colOff>
      <xdr:row>70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85c50a84c64d06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6</xdr:col>
      <xdr:colOff>0</xdr:colOff>
      <xdr:row>86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4ccadfef4840eb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6</xdr:col>
      <xdr:colOff>0</xdr:colOff>
      <xdr:row>103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bcced42fd04ac7"/>
        </a:graphicData>
      </a:graphic>
    </xdr:graphicFrame>
    <xdr:clientData/>
  </xdr:twoCellAnchor>
  <xdr:twoCellAnchor>
    <xdr:from>
      <xdr:col>0</xdr:col>
      <xdr:colOff>0</xdr:colOff>
      <xdr:row>104</xdr:row>
      <xdr:rowOff>0</xdr:rowOff>
    </xdr:from>
    <xdr:to>
      <xdr:col>6</xdr:col>
      <xdr:colOff>0</xdr:colOff>
      <xdr:row>119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651bea658e466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b71ee300ec40bd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03e8ae4706410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2a0228e4e64083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2c88f6d00449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MatchLedger" displayName="MatchLedger" ref="A4:R2573" headerRowCount="1" totalsRowCount="0" totalsRowShown="0">
  <x:tableColumns count="18">
    <x:tableColumn id="1" name="匹配键"/>
    <x:tableColumn id="2" name="开球时间"/>
    <x:tableColumn id="3" name="赛事"/>
    <x:tableColumn id="4" name="主队"/>
    <x:tableColumn id="5" name="客队"/>
    <x:tableColumn id="6" name="让球推荐"/>
    <x:tableColumn id="7" name="大小球推荐"/>
    <x:tableColumn id="8" name="可选/加仓"/>
    <x:tableColumn id="9" name="冻结时间"/>
    <x:tableColumn id="10" name="状态"/>
    <x:tableColumn id="11" name="终场比分"/>
    <x:tableColumn id="12" name="让球结论"/>
    <x:tableColumn id="13" name="大小球结论"/>
    <x:tableColumn id="14" name="让球盈亏单位"/>
    <x:tableColumn id="15" name="大小球盈亏单位"/>
    <x:tableColumn id="16" name="总盈亏单位"/>
    <x:tableColumn id="17" name="数据来源"/>
    <x:tableColumn id="18" name="总结结论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gueDictionary" displayName="LeagueDictionary" ref="A4:I145" headerRowCount="1" totalsRowCount="0" totalsRowShown="0">
  <x:tableColumns count="9">
    <x:tableColumn id="1" name="字典ID"/>
    <x:tableColumn id="2" name="原赛事名称"/>
    <x:tableColumn id="3" name="规范赛事名称"/>
    <x:tableColumn id="4" name="出现次数"/>
    <x:tableColumn id="5" name="首次开球时间"/>
    <x:tableColumn id="6" name="最后开球时间"/>
    <x:tableColumn id="7" name="示例匹配键"/>
    <x:tableColumn id="8" name="维护状态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gueHandicapPerformance" displayName="LeagueHandicapPerformance" ref="A45:G166" headerRowCount="1" totalsRowCount="0" totalsRowShown="0">
  <x:tableColumns count="7">
    <x:tableColumn id="1" name="排名"/>
    <x:tableColumn id="2" name="赛事｜让球"/>
    <x:tableColumn id="3" name="已结算场次"/>
    <x:tableColumn id="4" name="让球注数"/>
    <x:tableColumn id="5" name="让球盈亏"/>
    <x:tableColumn id="6" name="正收益率"/>
    <x:tableColumn id="7" name="场均盈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agueTotalPerformance" displayName="LeagueTotalPerformance" ref="I45:O166" headerRowCount="1" totalsRowCount="0" totalsRowShown="0">
  <x:tableColumns count="7">
    <x:tableColumn id="1" name="排名"/>
    <x:tableColumn id="2" name="赛事｜大小球"/>
    <x:tableColumn id="3" name="已结算场次"/>
    <x:tableColumn id="4" name="大小球注数"/>
    <x:tableColumn id="5" name="大小球盈亏"/>
    <x:tableColumn id="6" name="正收益率"/>
    <x:tableColumn id="7" name="场均盈亏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TeamHandicapPerformance" displayName="TeamHandicapPerformance" ref="A169:G1235" headerRowCount="1" totalsRowCount="0" totalsRowShown="0">
  <x:tableColumns count="7">
    <x:tableColumn id="1" name="排名"/>
    <x:tableColumn id="2" name="球队｜让球"/>
    <x:tableColumn id="3" name="参与场次"/>
    <x:tableColumn id="4" name="让球注数"/>
    <x:tableColumn id="5" name="让球盈亏"/>
    <x:tableColumn id="6" name="正收益率"/>
    <x:tableColumn id="7" name="场均盈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amTotalPerformance" displayName="TeamTotalPerformance" ref="I169:O1235" headerRowCount="1" totalsRowCount="0" totalsRowShown="0">
  <x:tableColumns count="7">
    <x:tableColumn id="1" name="排名"/>
    <x:tableColumn id="2" name="球队｜大小球"/>
    <x:tableColumn id="3" name="参与场次"/>
    <x:tableColumn id="4" name="大小球注数"/>
    <x:tableColumn id="5" name="大小球盈亏"/>
    <x:tableColumn id="6" name="正收益率"/>
    <x:tableColumn id="7" name="场均盈亏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93fdaed7b046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51979bc0ad43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70c791bd3e40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64d041719794dc6" /><Relationship Type="http://schemas.openxmlformats.org/officeDocument/2006/relationships/table" Target="/xl/tables/table3.xml" Id="R98f685d0aaa94ac1" /><Relationship Type="http://schemas.openxmlformats.org/officeDocument/2006/relationships/table" Target="/xl/tables/table4.xml" Id="Rbd0c8a410c654f4e" /><Relationship Type="http://schemas.openxmlformats.org/officeDocument/2006/relationships/table" Target="/xl/tables/table5.xml" Id="R683a74c9bb2040a7" /><Relationship Type="http://schemas.openxmlformats.org/officeDocument/2006/relationships/table" Target="/xl/tables/table6.xml" Id="Rcef897e5ace641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2.200000047683716" hidden="0" customWidth="1"/>
    <x:col min="8" max="8" width="2.200000047683716" hidden="0" customWidth="1"/>
    <x:col min="9" max="9" width="2.200000047683716" hidden="0" customWidth="1"/>
    <x:col min="10" max="10" width="2.200000047683716" hidden="0" customWidth="1"/>
    <x:col min="11" max="11" width="2.200000047683716" hidden="0" customWidth="1"/>
    <x:col min="12" max="12" width="2.200000047683716" hidden="0" customWidth="1"/>
    <x:col min="13" max="13" width="2.200000047683716" hidden="0" customWidth="1"/>
    <x:col min="14" max="14" width="2.200000047683716" hidden="0" customWidth="1"/>
    <x:col min="15" max="15" width="2.200000047683716" hidden="0" customWidth="1"/>
    <x:col min="16" max="16" width="2.200000047683716" hidden="0" customWidth="1"/>
    <x:col min="17" max="17" width="2.200000047683716" hidden="0" customWidth="1"/>
    <x:col min="18" max="18" width="2.200000047683716" hidden="0" customWidth="1"/>
  </x:cols>
  <x:sheetData>
    <x:row r="1" ht="25.5" customHeight="1">
      <x:c r="A1" s="383" t="str">
        <x:v>足球战绩 · 手机看板</x:v>
      </x:c>
      <x:c r="B1" s="383"/>
      <x:c r="C1" s="383"/>
      <x:c r="D1" s="383"/>
      <x:c r="E1" s="383"/>
      <x:c r="F1" s="383"/>
      <x:c r="G1" s="380" t="str">
        <x:v>月份起始</x:v>
      </x:c>
      <x:c r="H1" s="380" t="str">
        <x:v>月份</x:v>
      </x:c>
      <x:c r="I1" s="380" t="str">
        <x:v>让球盈亏</x:v>
      </x:c>
      <x:c r="J1" s="380"/>
      <x:c r="K1" s="380" t="str">
        <x:v>月份</x:v>
      </x:c>
      <x:c r="L1" s="380" t="str">
        <x:v>大小球盈亏</x:v>
      </x:c>
      <x:c r="M1" s="380"/>
      <x:c r="N1" s="380" t="str">
        <x:v>赛事</x:v>
      </x:c>
      <x:c r="O1" s="380" t="str">
        <x:v>让球盈亏</x:v>
      </x:c>
      <x:c r="P1" s="380"/>
      <x:c r="Q1" s="380" t="str">
        <x:v>赛事</x:v>
      </x:c>
      <x:c r="R1" s="380" t="str">
        <x:v>大小球盈亏</x:v>
      </x:c>
    </x:row>
    <x:row r="2" ht="25.5" customHeight="1">
      <x:c r="A2" s="383"/>
      <x:c r="B2" s="383"/>
      <x:c r="C2" s="383"/>
      <x:c r="D2" s="383"/>
      <x:c r="E2" s="383"/>
      <x:c r="F2" s="383"/>
      <x:c r="G2" s="479" t="n">
        <x:v>46054</x:v>
      </x:c>
      <x:c r="H2" s="380" t="str">
        <x:v>2026-02</x:v>
      </x:c>
      <x:c r="I2" s="480" t="n">
        <x:v>-28.5</x:v>
      </x:c>
      <x:c r="J2" s="380"/>
      <x:c r="K2" s="380" t="str">
        <x:v>2026-02</x:v>
      </x:c>
      <x:c r="L2" s="480" t="n">
        <x:v>5.5</x:v>
      </x:c>
      <x:c r="M2" s="380"/>
      <x:c r="N2" s="380" t="str">
        <x:v>墨西哥超（Liga MX，Clausura）</x:v>
      </x:c>
      <x:c r="O2" s="380" t="n">
        <x:v>10.5</x:v>
      </x:c>
      <x:c r="P2" s="380"/>
      <x:c r="Q2" s="380" t="str">
        <x:v>印度超级联赛（Indian Super League）</x:v>
      </x:c>
      <x:c r="R2" s="380" t="n">
        <x:v>13.5</x:v>
      </x:c>
    </x:row>
    <x:row r="3">
      <x:c r="A3" s="386" t="str">
        <x:v>让球与大小球分开核算｜赛事、球队、近 50 场一页纵向查看</x:v>
      </x:c>
      <x:c r="B3" s="386"/>
      <x:c r="C3" s="386"/>
      <x:c r="D3" s="386"/>
      <x:c r="E3" s="386"/>
      <x:c r="F3" s="386"/>
      <x:c r="G3" s="479" t="n">
        <x:v>46082</x:v>
      </x:c>
      <x:c r="H3" s="380" t="str">
        <x:v>2026-03</x:v>
      </x:c>
      <x:c r="I3" s="480" t="n">
        <x:v>-10.5</x:v>
      </x:c>
      <x:c r="J3" s="380"/>
      <x:c r="K3" s="380" t="str">
        <x:v>2026-03</x:v>
      </x:c>
      <x:c r="L3" s="480" t="n">
        <x:v>-12</x:v>
      </x:c>
      <x:c r="M3" s="380"/>
      <x:c r="N3" s="380" t="str">
        <x:v>国际足联世界杯</x:v>
      </x:c>
      <x:c r="O3" s="380" t="n">
        <x:v>8.5</x:v>
      </x:c>
      <x:c r="P3" s="380"/>
      <x:c r="Q3" s="380" t="str">
        <x:v>中北美冠军杯（CONCACAF Champions Cup）</x:v>
      </x:c>
      <x:c r="R3" s="380" t="n">
        <x:v>10</x:v>
      </x:c>
    </x:row>
    <x:row r="4">
      <x:c r="A4" s="392" t="str">
        <x:v>数据截至 2026-07-18 18:59（北京时间）｜向下滑动查看全部模块</x:v>
      </x:c>
      <x:c r="B4" s="393"/>
      <x:c r="C4" s="393"/>
      <x:c r="D4" s="393"/>
      <x:c r="E4" s="393"/>
      <x:c r="F4" s="394"/>
      <x:c r="G4" s="479" t="n">
        <x:v>46113</x:v>
      </x:c>
      <x:c r="H4" s="380" t="str">
        <x:v>2026-04</x:v>
      </x:c>
      <x:c r="I4" s="480" t="n">
        <x:v>-12</x:v>
      </x:c>
      <x:c r="J4" s="380"/>
      <x:c r="K4" s="380" t="str">
        <x:v>2026-04</x:v>
      </x:c>
      <x:c r="L4" s="480" t="n">
        <x:v>-1.5</x:v>
      </x:c>
      <x:c r="M4" s="380"/>
      <x:c r="N4" s="380" t="str">
        <x:v>澳大利亚 维多利亚州超级联赛1（VPL1）</x:v>
      </x:c>
      <x:c r="O4" s="380" t="n">
        <x:v>6.5</x:v>
      </x:c>
      <x:c r="P4" s="380"/>
      <x:c r="Q4" s="380" t="str">
        <x:v>阿根廷职业联赛（Liga Profesional·Apertura）</x:v>
      </x:c>
      <x:c r="R4" s="380" t="n">
        <x:v>9.5</x:v>
      </x:c>
    </x:row>
    <x:row r="5">
      <x:c r="A5" s="379"/>
      <x:c r="B5" s="379"/>
      <x:c r="C5" s="379"/>
      <x:c r="D5" s="379"/>
      <x:c r="E5" s="379"/>
      <x:c r="F5" s="379"/>
      <x:c r="G5" s="479" t="n">
        <x:v>46143</x:v>
      </x:c>
      <x:c r="H5" s="380" t="str">
        <x:v>2026-05</x:v>
      </x:c>
      <x:c r="I5" s="480" t="n">
        <x:v>-2</x:v>
      </x:c>
      <x:c r="J5" s="380"/>
      <x:c r="K5" s="380" t="str">
        <x:v>2026-05</x:v>
      </x:c>
      <x:c r="L5" s="480" t="n">
        <x:v>-2.5</x:v>
      </x:c>
      <x:c r="M5" s="380"/>
      <x:c r="N5" s="380" t="str">
        <x:v>墨西哥甲级扩展联赛（Liga de Expansión MX）</x:v>
      </x:c>
      <x:c r="O5" s="380" t="n">
        <x:v>6</x:v>
      </x:c>
      <x:c r="P5" s="380"/>
      <x:c r="Q5" s="380" t="str">
        <x:v>国际友谊赛</x:v>
      </x:c>
      <x:c r="R5" s="380" t="n">
        <x:v>8</x:v>
      </x:c>
    </x:row>
    <x:row r="6" ht="18" customHeight="1">
      <x:c r="A6" s="400" t="str">
        <x:v>累计比赛</x:v>
      </x:c>
      <x:c r="B6" s="401"/>
      <x:c r="C6" s="402"/>
      <x:c r="D6" s="422" t="str">
        <x:v>已结算比赛</x:v>
      </x:c>
      <x:c r="E6" s="423"/>
      <x:c r="F6" s="424"/>
      <x:c r="G6" s="479" t="n">
        <x:v>46174</x:v>
      </x:c>
      <x:c r="H6" s="380" t="str">
        <x:v>2026-06</x:v>
      </x:c>
      <x:c r="I6" s="480" t="n">
        <x:v>-16.5</x:v>
      </x:c>
      <x:c r="J6" s="380"/>
      <x:c r="K6" s="380" t="str">
        <x:v>2026-06</x:v>
      </x:c>
      <x:c r="L6" s="480" t="n">
        <x:v>6.5</x:v>
      </x:c>
      <x:c r="M6" s="380"/>
      <x:c r="N6" s="380" t="str">
        <x:v>英格兰超级联赛（Premier League）</x:v>
      </x:c>
      <x:c r="O6" s="380" t="n">
        <x:v>5</x:v>
      </x:c>
      <x:c r="P6" s="380"/>
      <x:c r="Q6" s="380" t="str">
        <x:v>英格兰冠军联赛（英冠）</x:v>
      </x:c>
      <x:c r="R6" s="380" t="n">
        <x:v>8</x:v>
      </x:c>
    </x:row>
    <x:row r="7" ht="22.5" customHeight="1">
      <x:c r="A7" s="416" t="n">
        <x:f>COUNTA('比赛台账'!$B$5:$B$2600)</x:f>
        <x:v>2569</x:v>
      </x:c>
      <x:c r="B7" s="411"/>
      <x:c r="C7" s="412"/>
      <x:c r="D7" s="416" t="n">
        <x:f>COUNTIF('比赛台账'!$J$5:$J$2600,"已结算")</x:f>
        <x:v>1888</x:v>
      </x:c>
      <x:c r="E7" s="411"/>
      <x:c r="F7" s="412"/>
      <x:c r="G7" s="479" t="n">
        <x:v>46204</x:v>
      </x:c>
      <x:c r="H7" s="380" t="str">
        <x:v>2026-07</x:v>
      </x:c>
      <x:c r="I7" s="480" t="n">
        <x:v>4</x:v>
      </x:c>
      <x:c r="J7" s="380"/>
      <x:c r="K7" s="380" t="str">
        <x:v>2026-07</x:v>
      </x:c>
      <x:c r="L7" s="480" t="n">
        <x:v>3.5</x:v>
      </x:c>
      <x:c r="M7" s="380"/>
      <x:c r="N7" s="380"/>
      <x:c r="O7" s="380"/>
      <x:c r="P7" s="380"/>
      <x:c r="Q7" s="380"/>
      <x:c r="R7" s="380"/>
    </x:row>
    <x:row r="8" ht="22.5" customHeight="1">
      <x:c r="A8" s="413"/>
      <x:c r="B8" s="414"/>
      <x:c r="C8" s="415"/>
      <x:c r="D8" s="413"/>
      <x:c r="E8" s="414"/>
      <x:c r="F8" s="415"/>
      <x:c r="G8" s="380"/>
      <x:c r="H8" s="380"/>
      <x:c r="I8" s="380"/>
      <x:c r="J8" s="380"/>
      <x:c r="K8" s="380"/>
      <x:c r="L8" s="380"/>
      <x:c r="M8" s="380"/>
      <x:c r="N8" s="380"/>
      <x:c r="O8" s="380"/>
      <x:c r="P8" s="380"/>
      <x:c r="Q8" s="380"/>
      <x:c r="R8" s="380"/>
    </x:row>
    <x:row r="9">
      <x:c r="A9" s="379"/>
      <x:c r="B9" s="379"/>
      <x:c r="C9" s="379"/>
      <x:c r="D9" s="379"/>
      <x:c r="E9" s="379"/>
      <x:c r="F9" s="379"/>
      <x:c r="G9" s="380"/>
      <x:c r="H9" s="380"/>
      <x:c r="I9" s="380"/>
      <x:c r="J9" s="380"/>
      <x:c r="K9" s="380"/>
      <x:c r="L9" s="380"/>
      <x:c r="M9" s="380"/>
      <x:c r="N9" s="380"/>
      <x:c r="O9" s="380"/>
      <x:c r="P9" s="380"/>
      <x:c r="Q9" s="380"/>
      <x:c r="R9" s="380"/>
    </x:row>
    <x:row r="10" ht="18" customHeight="1">
      <x:c r="A10" s="400" t="str">
        <x:v>让球盈亏（单位）</x:v>
      </x:c>
      <x:c r="B10" s="401"/>
      <x:c r="C10" s="402"/>
      <x:c r="D10" s="431" t="str">
        <x:v>让球正收益率</x:v>
      </x:c>
      <x:c r="E10" s="432"/>
      <x:c r="F10" s="433"/>
      <x:c r="G10" s="380"/>
      <x:c r="H10" s="380"/>
      <x:c r="I10" s="380"/>
      <x:c r="J10" s="380"/>
      <x:c r="K10" s="380"/>
      <x:c r="L10" s="380"/>
      <x:c r="M10" s="380"/>
      <x:c r="N10" s="380" t="str">
        <x:v>球队</x:v>
      </x:c>
      <x:c r="O10" s="380" t="str">
        <x:v>让球盈亏</x:v>
      </x:c>
      <x:c r="P10" s="380"/>
      <x:c r="Q10" s="380" t="str">
        <x:v>球队</x:v>
      </x:c>
      <x:c r="R10" s="380" t="str">
        <x:v>大小球盈亏</x:v>
      </x:c>
    </x:row>
    <x:row r="11" ht="22.5" customHeight="1">
      <x:c r="A11" s="425" t="n">
        <x:f>SUM('比赛台账'!$N$5:$N$2600)</x:f>
        <x:v>-65.5</x:v>
      </x:c>
      <x:c r="B11" s="411"/>
      <x:c r="C11" s="412"/>
      <x:c r="D11" s="434" t="n">
        <x:f>IF(COUNT('比赛台账'!$N$5:$N$2600)=0,0,COUNTIF('比赛台账'!$N$5:$N$2600,"&gt;0")/COUNT('比赛台账'!$N$5:$N$2600))</x:f>
        <x:v>0.44431946006749157</x:v>
      </x:c>
      <x:c r="E11" s="411"/>
      <x:c r="F11" s="412"/>
      <x:c r="G11" s="380"/>
      <x:c r="H11" s="380"/>
      <x:c r="I11" s="380"/>
      <x:c r="J11" s="380"/>
      <x:c r="K11" s="380"/>
      <x:c r="L11" s="380"/>
      <x:c r="M11" s="380"/>
      <x:c r="N11" s="380" t="str">
        <x:v>南墨尔本</x:v>
      </x:c>
      <x:c r="O11" s="380" t="n">
        <x:v>5</x:v>
      </x:c>
      <x:c r="P11" s="380"/>
      <x:c r="Q11" s="380" t="str">
        <x:v>巴兰基亚青年</x:v>
      </x:c>
      <x:c r="R11" s="380" t="n">
        <x:v>6</x:v>
      </x:c>
    </x:row>
    <x:row r="12" ht="22.5" customHeight="1">
      <x:c r="A12" s="413"/>
      <x:c r="B12" s="414"/>
      <x:c r="C12" s="415"/>
      <x:c r="D12" s="413"/>
      <x:c r="E12" s="414"/>
      <x:c r="F12" s="415"/>
      <x:c r="G12" s="380"/>
      <x:c r="H12" s="380"/>
      <x:c r="I12" s="380"/>
      <x:c r="J12" s="380"/>
      <x:c r="K12" s="380"/>
      <x:c r="L12" s="380"/>
      <x:c r="M12" s="380"/>
      <x:c r="N12" s="380" t="str">
        <x:v>帕丘卡</x:v>
      </x:c>
      <x:c r="O12" s="380" t="n">
        <x:v>5</x:v>
      </x:c>
      <x:c r="P12" s="380"/>
      <x:c r="Q12" s="380" t="str">
        <x:v>旁遮普FC</x:v>
      </x:c>
      <x:c r="R12" s="380" t="n">
        <x:v>5</x:v>
      </x:c>
    </x:row>
    <x:row r="13">
      <x:c r="A13" s="379"/>
      <x:c r="B13" s="379"/>
      <x:c r="C13" s="379"/>
      <x:c r="D13" s="379"/>
      <x:c r="E13" s="379"/>
      <x:c r="F13" s="379"/>
      <x:c r="G13" s="380"/>
      <x:c r="H13" s="380"/>
      <x:c r="I13" s="380"/>
      <x:c r="J13" s="380"/>
      <x:c r="K13" s="380"/>
      <x:c r="L13" s="380"/>
      <x:c r="M13" s="380"/>
      <x:c r="N13" s="380" t="str">
        <x:v>本特利绿茵</x:v>
      </x:c>
      <x:c r="O13" s="380" t="n">
        <x:v>4.5</x:v>
      </x:c>
      <x:c r="P13" s="380"/>
      <x:c r="Q13" s="380" t="str">
        <x:v>拉努斯（Lanús）</x:v>
      </x:c>
      <x:c r="R13" s="380" t="n">
        <x:v>5</x:v>
      </x:c>
    </x:row>
    <x:row r="14" ht="18" customHeight="1">
      <x:c r="A14" s="440" t="str">
        <x:v>大小球盈亏（单位）</x:v>
      </x:c>
      <x:c r="B14" s="441"/>
      <x:c r="C14" s="442"/>
      <x:c r="D14" s="431" t="str">
        <x:v>大小球正收益率</x:v>
      </x:c>
      <x:c r="E14" s="432"/>
      <x:c r="F14" s="433"/>
      <x:c r="G14" s="380"/>
      <x:c r="H14" s="380"/>
      <x:c r="I14" s="380"/>
      <x:c r="J14" s="380"/>
      <x:c r="K14" s="380"/>
      <x:c r="L14" s="380"/>
      <x:c r="M14" s="380"/>
      <x:c r="N14" s="380" t="str">
        <x:v>瑞典</x:v>
      </x:c>
      <x:c r="O14" s="380" t="n">
        <x:v>4</x:v>
      </x:c>
      <x:c r="P14" s="380"/>
      <x:c r="Q14" s="380" t="str">
        <x:v>伯明翰城</x:v>
      </x:c>
      <x:c r="R14" s="380" t="n">
        <x:v>4</x:v>
      </x:c>
    </x:row>
    <x:row r="15" ht="22.5" customHeight="1">
      <x:c r="A15" s="425" t="n">
        <x:f>SUM('比赛台账'!$O$5:$O$2600)</x:f>
        <x:v>-0.5</x:v>
      </x:c>
      <x:c r="B15" s="411"/>
      <x:c r="C15" s="412"/>
      <x:c r="D15" s="434" t="n">
        <x:f>IF(COUNT('比赛台账'!$O$5:$O$2600)=0,0,COUNTIF('比赛台账'!$O$5:$O$2600,"&gt;0")/COUNT('比赛台账'!$O$5:$O$2600))</x:f>
        <x:v>0.484472049689441</x:v>
      </x:c>
      <x:c r="E15" s="411"/>
      <x:c r="F15" s="412"/>
      <x:c r="G15" s="380"/>
      <x:c r="H15" s="380"/>
      <x:c r="I15" s="380"/>
      <x:c r="J15" s="380"/>
      <x:c r="K15" s="380"/>
      <x:c r="L15" s="380"/>
      <x:c r="M15" s="380"/>
      <x:c r="N15" s="380" t="str">
        <x:v>马都拉联</x:v>
      </x:c>
      <x:c r="O15" s="380" t="n">
        <x:v>4</x:v>
      </x:c>
      <x:c r="P15" s="380"/>
      <x:c r="Q15" s="380" t="str">
        <x:v>清奈泰坦（Chennaiyin FC）</x:v>
      </x:c>
      <x:c r="R15" s="380" t="n">
        <x:v>4</x:v>
      </x:c>
    </x:row>
    <x:row r="16" ht="22.5" customHeight="1">
      <x:c r="A16" s="413"/>
      <x:c r="B16" s="414"/>
      <x:c r="C16" s="415"/>
      <x:c r="D16" s="413"/>
      <x:c r="E16" s="414"/>
      <x:c r="F16" s="415"/>
      <x:c r="G16" s="380"/>
      <x:c r="H16" s="380"/>
      <x:c r="I16" s="380"/>
      <x:c r="J16" s="380"/>
      <x:c r="K16" s="380"/>
      <x:c r="L16" s="380"/>
      <x:c r="M16" s="380"/>
      <x:c r="N16" s="380"/>
      <x:c r="O16" s="380"/>
      <x:c r="P16" s="380"/>
      <x:c r="Q16" s="380"/>
      <x:c r="R16" s="380"/>
    </x:row>
    <x:row r="17">
      <x:c r="A17" s="379"/>
      <x:c r="B17" s="379"/>
      <x:c r="C17" s="379"/>
      <x:c r="D17" s="379"/>
      <x:c r="E17" s="379"/>
      <x:c r="F17" s="379"/>
      <x:c r="G17" s="380"/>
      <x:c r="H17" s="380"/>
      <x:c r="I17" s="380"/>
      <x:c r="J17" s="380"/>
      <x:c r="K17" s="380"/>
      <x:c r="L17" s="380"/>
      <x:c r="M17" s="380"/>
      <x:c r="N17" s="380"/>
      <x:c r="O17" s="380"/>
      <x:c r="P17" s="380"/>
      <x:c r="Q17" s="380"/>
      <x:c r="R17" s="380"/>
    </x:row>
    <x:row r="18">
      <x:c r="A18" s="448" t="str">
        <x:f>"辅助合计："&amp;TEXT(SUM('比赛台账'!$P$5:$P$2600),"+0.00;-0.00;0.00")&amp;" 单位｜仅作合计，不参与任何排名"</x:f>
        <x:v>辅助合计：-66.00 单位｜仅作合计，不参与任何排名</x:v>
      </x:c>
      <x:c r="B18" s="449"/>
      <x:c r="C18" s="449"/>
      <x:c r="D18" s="449"/>
      <x:c r="E18" s="449"/>
      <x:c r="F18" s="450"/>
      <x:c r="G18" s="380"/>
      <x:c r="H18" s="380"/>
      <x:c r="I18" s="380"/>
      <x:c r="J18" s="380"/>
      <x:c r="K18" s="380"/>
      <x:c r="L18" s="380"/>
      <x:c r="M18" s="380"/>
      <x:c r="N18" s="380"/>
      <x:c r="O18" s="380"/>
      <x:c r="P18" s="380"/>
      <x:c r="Q18" s="380"/>
      <x:c r="R18" s="380"/>
    </x:row>
    <x:row r="19">
      <x:c r="A19" s="379"/>
      <x:c r="B19" s="379"/>
      <x:c r="C19" s="379"/>
      <x:c r="D19" s="379"/>
      <x:c r="E19" s="379"/>
      <x:c r="F19" s="379"/>
      <x:c r="G19" s="380"/>
      <x:c r="H19" s="380"/>
      <x:c r="I19" s="380"/>
      <x:c r="J19" s="380"/>
      <x:c r="K19" s="380"/>
      <x:c r="L19" s="380"/>
      <x:c r="M19" s="380"/>
      <x:c r="N19" s="380"/>
      <x:c r="O19" s="380"/>
      <x:c r="P19" s="380"/>
      <x:c r="Q19" s="380"/>
      <x:c r="R19" s="380"/>
    </x:row>
    <x:row r="20" ht="21" customHeight="1">
      <x:c r="A20" s="455" t="str">
        <x:v>当前领跑 · 两类市场独立排名</x:v>
      </x:c>
      <x:c r="B20" s="456"/>
      <x:c r="C20" s="456"/>
      <x:c r="D20" s="456"/>
      <x:c r="E20" s="456"/>
      <x:c r="F20" s="457"/>
      <x:c r="G20" s="380"/>
      <x:c r="H20" s="380"/>
      <x:c r="I20" s="380"/>
      <x:c r="J20" s="380"/>
      <x:c r="K20" s="380"/>
      <x:c r="L20" s="380"/>
      <x:c r="M20" s="380"/>
      <x:c r="N20" s="380"/>
      <x:c r="O20" s="380"/>
      <x:c r="P20" s="380"/>
      <x:c r="Q20" s="380"/>
      <x:c r="R20" s="380"/>
    </x:row>
    <x:row r="21" ht="22.5" customHeight="1">
      <x:c r="A21" s="462" t="str">
        <x:v>让球赛事</x:v>
      </x:c>
      <x:c r="B21" s="463"/>
      <x:c r="C21" s="470" t="str">
        <x:v>墨西哥超（Liga MX，Clausura）｜+10.50 单位</x:v>
      </x:c>
      <x:c r="D21" s="471"/>
      <x:c r="E21" s="471"/>
      <x:c r="F21" s="472"/>
      <x:c r="G21" s="380"/>
      <x:c r="H21" s="380"/>
      <x:c r="I21" s="380"/>
      <x:c r="J21" s="380"/>
      <x:c r="K21" s="380"/>
      <x:c r="L21" s="380"/>
      <x:c r="M21" s="380"/>
      <x:c r="N21" s="380"/>
      <x:c r="O21" s="380"/>
      <x:c r="P21" s="380"/>
      <x:c r="Q21" s="380"/>
      <x:c r="R21" s="380"/>
    </x:row>
    <x:row r="22" ht="22.5" customHeight="1">
      <x:c r="A22" s="462" t="str">
        <x:v>让球队伍</x:v>
      </x:c>
      <x:c r="B22" s="463"/>
      <x:c r="C22" s="470" t="str">
        <x:v>南墨尔本｜+5.00 单位</x:v>
      </x:c>
      <x:c r="D22" s="471"/>
      <x:c r="E22" s="471"/>
      <x:c r="F22" s="472"/>
      <x:c r="G22" s="380"/>
      <x:c r="H22" s="380"/>
      <x:c r="I22" s="380"/>
      <x:c r="J22" s="380"/>
      <x:c r="K22" s="380"/>
      <x:c r="L22" s="380"/>
      <x:c r="M22" s="380"/>
      <x:c r="N22" s="380"/>
      <x:c r="O22" s="380"/>
      <x:c r="P22" s="380"/>
      <x:c r="Q22" s="380"/>
      <x:c r="R22" s="380"/>
    </x:row>
    <x:row r="23" ht="22.5" customHeight="1">
      <x:c r="A23" s="477" t="str">
        <x:v>大小球赛事</x:v>
      </x:c>
      <x:c r="B23" s="478"/>
      <x:c r="C23" s="470" t="str">
        <x:v>印度超级联赛（Indian Super League）｜+13.50 单位</x:v>
      </x:c>
      <x:c r="D23" s="471"/>
      <x:c r="E23" s="471"/>
      <x:c r="F23" s="472"/>
      <x:c r="G23" s="380"/>
      <x:c r="H23" s="380"/>
      <x:c r="I23" s="380"/>
      <x:c r="J23" s="380"/>
      <x:c r="K23" s="380"/>
      <x:c r="L23" s="380"/>
      <x:c r="M23" s="380"/>
      <x:c r="N23" s="380"/>
      <x:c r="O23" s="380"/>
      <x:c r="P23" s="380"/>
      <x:c r="Q23" s="380"/>
      <x:c r="R23" s="380"/>
    </x:row>
    <x:row r="24" ht="22.5" customHeight="1">
      <x:c r="A24" s="477" t="str">
        <x:v>大小球队伍</x:v>
      </x:c>
      <x:c r="B24" s="478"/>
      <x:c r="C24" s="470" t="str">
        <x:v>巴兰基亚青年｜+6.00 单位</x:v>
      </x:c>
      <x:c r="D24" s="471"/>
      <x:c r="E24" s="471"/>
      <x:c r="F24" s="472"/>
      <x:c r="G24" s="380"/>
      <x:c r="H24" s="380"/>
      <x:c r="I24" s="380"/>
      <x:c r="J24" s="380"/>
      <x:c r="K24" s="380"/>
      <x:c r="L24" s="380"/>
      <x:c r="M24" s="380"/>
      <x:c r="N24" s="380"/>
      <x:c r="O24" s="380"/>
      <x:c r="P24" s="380"/>
      <x:c r="Q24" s="380"/>
      <x:c r="R24" s="380"/>
    </x:row>
    <x:row r="25">
      <x:c r="A25" s="379"/>
      <x:c r="B25" s="379"/>
      <x:c r="C25" s="379"/>
      <x:c r="D25" s="379"/>
      <x:c r="E25" s="379"/>
      <x:c r="F25" s="379"/>
      <x:c r="G25" s="380"/>
      <x:c r="H25" s="380"/>
      <x:c r="I25" s="380"/>
      <x:c r="J25" s="380"/>
      <x:c r="K25" s="380"/>
      <x:c r="L25" s="380"/>
      <x:c r="M25" s="380"/>
      <x:c r="N25" s="380"/>
      <x:c r="O25" s="380"/>
      <x:c r="P25" s="380"/>
      <x:c r="Q25" s="380"/>
      <x:c r="R25" s="380"/>
    </x:row>
    <x:row r="26" ht="21" customHeight="1">
      <x:c r="A26" s="455" t="str">
        <x:v>近 6 个月走势</x:v>
      </x:c>
      <x:c r="B26" s="456"/>
      <x:c r="C26" s="456"/>
      <x:c r="D26" s="456"/>
      <x:c r="E26" s="456"/>
      <x:c r="F26" s="457"/>
      <x:c r="G26" s="380"/>
      <x:c r="H26" s="380"/>
      <x:c r="I26" s="380"/>
      <x:c r="J26" s="380"/>
      <x:c r="K26" s="380"/>
      <x:c r="L26" s="380"/>
      <x:c r="M26" s="380"/>
      <x:c r="N26" s="380"/>
      <x:c r="O26" s="380"/>
      <x:c r="P26" s="380"/>
      <x:c r="Q26" s="380"/>
      <x:c r="R26" s="380"/>
    </x:row>
    <x:row r="27">
      <x:c r="A27" s="379"/>
      <x:c r="B27" s="379"/>
      <x:c r="C27" s="379"/>
      <x:c r="D27" s="379"/>
      <x:c r="E27" s="379"/>
      <x:c r="F27" s="379"/>
      <x:c r="G27" s="380"/>
      <x:c r="H27" s="380"/>
      <x:c r="I27" s="380"/>
      <x:c r="J27" s="380"/>
      <x:c r="K27" s="380"/>
      <x:c r="L27" s="380"/>
      <x:c r="M27" s="380"/>
      <x:c r="N27" s="380"/>
      <x:c r="O27" s="380"/>
      <x:c r="P27" s="380"/>
      <x:c r="Q27" s="380"/>
      <x:c r="R27" s="380"/>
    </x:row>
    <x:row r="28">
      <x:c r="A28" s="379"/>
      <x:c r="B28" s="379"/>
      <x:c r="C28" s="379"/>
      <x:c r="D28" s="379"/>
      <x:c r="E28" s="379"/>
      <x:c r="F28" s="379"/>
      <x:c r="G28" s="380"/>
      <x:c r="H28" s="380"/>
      <x:c r="I28" s="380"/>
      <x:c r="J28" s="380"/>
      <x:c r="K28" s="380"/>
      <x:c r="L28" s="380"/>
      <x:c r="M28" s="380"/>
      <x:c r="N28" s="380"/>
      <x:c r="O28" s="380"/>
      <x:c r="P28" s="380"/>
      <x:c r="Q28" s="380"/>
      <x:c r="R28" s="380"/>
    </x:row>
    <x:row r="29">
      <x:c r="A29" s="379"/>
      <x:c r="B29" s="379"/>
      <x:c r="C29" s="379"/>
      <x:c r="D29" s="379"/>
      <x:c r="E29" s="379"/>
      <x:c r="F29" s="379"/>
      <x:c r="G29" s="380"/>
      <x:c r="H29" s="380"/>
      <x:c r="I29" s="380"/>
      <x:c r="J29" s="380"/>
      <x:c r="K29" s="380"/>
      <x:c r="L29" s="380"/>
      <x:c r="M29" s="380"/>
      <x:c r="N29" s="380"/>
      <x:c r="O29" s="380"/>
      <x:c r="P29" s="380"/>
      <x:c r="Q29" s="380"/>
      <x:c r="R29" s="380"/>
    </x:row>
    <x:row r="30">
      <x:c r="A30" s="379"/>
      <x:c r="B30" s="379"/>
      <x:c r="C30" s="379"/>
      <x:c r="D30" s="379"/>
      <x:c r="E30" s="379"/>
      <x:c r="F30" s="379"/>
      <x:c r="G30" s="380"/>
      <x:c r="H30" s="380"/>
      <x:c r="I30" s="380"/>
      <x:c r="J30" s="380"/>
      <x:c r="K30" s="380"/>
      <x:c r="L30" s="380"/>
      <x:c r="M30" s="380"/>
      <x:c r="N30" s="380"/>
      <x:c r="O30" s="380"/>
      <x:c r="P30" s="380"/>
      <x:c r="Q30" s="380"/>
      <x:c r="R30" s="380"/>
    </x:row>
    <x:row r="31">
      <x:c r="A31" s="379"/>
      <x:c r="B31" s="379"/>
      <x:c r="C31" s="379"/>
      <x:c r="D31" s="379"/>
      <x:c r="E31" s="379"/>
      <x:c r="F31" s="379"/>
      <x:c r="G31"/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 s="379"/>
      <x:c r="B32" s="379"/>
      <x:c r="C32" s="379"/>
      <x:c r="D32" s="379"/>
      <x:c r="E32" s="379"/>
      <x:c r="F32" s="379"/>
      <x:c r="G32"/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 s="379"/>
      <x:c r="B33" s="379"/>
      <x:c r="C33" s="379"/>
      <x:c r="D33" s="379"/>
      <x:c r="E33" s="379"/>
      <x:c r="F33" s="379"/>
      <x:c r="G33"/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 s="379"/>
      <x:c r="B34" s="379"/>
      <x:c r="C34" s="379"/>
      <x:c r="D34" s="379"/>
      <x:c r="E34" s="379"/>
      <x:c r="F34" s="379"/>
      <x:c r="G34"/>
      <x:c r="H34"/>
      <x:c r="I34"/>
      <x:c r="J34"/>
      <x:c r="K34"/>
      <x:c r="L34"/>
      <x:c r="M34"/>
      <x:c r="N34"/>
      <x:c r="O34"/>
      <x:c r="P34"/>
      <x:c r="Q34"/>
      <x:c r="R34"/>
    </x:row>
    <x:row r="35">
      <x:c r="A35" s="379"/>
      <x:c r="B35" s="379"/>
      <x:c r="C35" s="379"/>
      <x:c r="D35" s="379"/>
      <x:c r="E35" s="379"/>
      <x:c r="F35" s="379"/>
      <x:c r="G35"/>
      <x:c r="H35"/>
      <x:c r="I35"/>
      <x:c r="J35"/>
      <x:c r="K35"/>
      <x:c r="L35"/>
      <x:c r="M35"/>
      <x:c r="N35"/>
      <x:c r="O35"/>
      <x:c r="P35"/>
      <x:c r="Q35"/>
      <x:c r="R35"/>
    </x:row>
    <x:row r="36">
      <x:c r="A36" s="379"/>
      <x:c r="B36" s="379"/>
      <x:c r="C36" s="379"/>
      <x:c r="D36" s="379"/>
      <x:c r="E36" s="379"/>
      <x:c r="F36" s="379"/>
      <x:c r="G36"/>
      <x:c r="H36"/>
      <x:c r="I36"/>
      <x:c r="J36"/>
      <x:c r="K36"/>
      <x:c r="L36"/>
      <x:c r="M36"/>
      <x:c r="N36"/>
      <x:c r="O36"/>
      <x:c r="P36"/>
      <x:c r="Q36"/>
      <x:c r="R36"/>
    </x:row>
    <x:row r="37">
      <x:c r="A37" s="379"/>
      <x:c r="B37" s="379"/>
      <x:c r="C37" s="379"/>
      <x:c r="D37" s="379"/>
      <x:c r="E37" s="379"/>
      <x:c r="F37" s="379"/>
      <x:c r="G37"/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 s="379"/>
      <x:c r="B38" s="379"/>
      <x:c r="C38" s="379"/>
      <x:c r="D38" s="379"/>
      <x:c r="E38" s="379"/>
      <x:c r="F38" s="379"/>
      <x:c r="G38"/>
      <x:c r="H38"/>
      <x:c r="I38"/>
      <x:c r="J38"/>
      <x:c r="K38"/>
      <x:c r="L38"/>
      <x:c r="M38"/>
      <x:c r="N38"/>
      <x:c r="O38"/>
      <x:c r="P38"/>
      <x:c r="Q38"/>
      <x:c r="R38"/>
    </x:row>
    <x:row r="39">
      <x:c r="A39" s="379"/>
      <x:c r="B39" s="379"/>
      <x:c r="C39" s="379"/>
      <x:c r="D39" s="379"/>
      <x:c r="E39" s="379"/>
      <x:c r="F39" s="379"/>
      <x:c r="G39"/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s="379"/>
      <x:c r="B40" s="379"/>
      <x:c r="C40" s="379"/>
      <x:c r="D40" s="379"/>
      <x:c r="E40" s="379"/>
      <x:c r="F40" s="379"/>
      <x:c r="G40"/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s="379"/>
      <x:c r="B41" s="379"/>
      <x:c r="C41" s="379"/>
      <x:c r="D41" s="379"/>
      <x:c r="E41" s="379"/>
      <x:c r="F41" s="379"/>
      <x:c r="G41"/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s="379"/>
      <x:c r="B42" s="379"/>
      <x:c r="C42" s="379"/>
      <x:c r="D42" s="379"/>
      <x:c r="E42" s="379"/>
      <x:c r="F42" s="379"/>
      <x:c r="G42"/>
      <x:c r="H42"/>
      <x:c r="I42"/>
      <x:c r="J42"/>
      <x:c r="K42"/>
      <x:c r="L42"/>
      <x:c r="M42"/>
      <x:c r="N42"/>
      <x:c r="O42"/>
      <x:c r="P42"/>
      <x:c r="Q42"/>
      <x:c r="R42"/>
    </x:row>
    <x:row r="43">
      <x:c r="A43" s="379"/>
      <x:c r="B43" s="379"/>
      <x:c r="C43" s="379"/>
      <x:c r="D43" s="379"/>
      <x:c r="E43" s="379"/>
      <x:c r="F43" s="379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s="379"/>
      <x:c r="B44" s="379"/>
      <x:c r="C44" s="379"/>
      <x:c r="D44" s="379"/>
      <x:c r="E44" s="379"/>
      <x:c r="F44" s="379"/>
      <x:c r="G44"/>
      <x:c r="H44"/>
      <x:c r="I44"/>
      <x:c r="J44"/>
      <x:c r="K44"/>
      <x:c r="L44"/>
      <x:c r="M44"/>
      <x:c r="N44"/>
      <x:c r="O44"/>
      <x:c r="P44"/>
      <x:c r="Q44"/>
      <x:c r="R44"/>
    </x:row>
    <x:row r="45">
      <x:c r="A45" s="379"/>
      <x:c r="B45" s="379"/>
      <x:c r="C45" s="379"/>
      <x:c r="D45" s="379"/>
      <x:c r="E45" s="379"/>
      <x:c r="F45" s="379"/>
      <x:c r="G45"/>
      <x:c r="H45"/>
      <x:c r="I45"/>
      <x:c r="J45"/>
      <x:c r="K45"/>
      <x:c r="L45"/>
      <x:c r="M45"/>
      <x:c r="N45"/>
      <x:c r="O45"/>
      <x:c r="P45"/>
      <x:c r="Q45"/>
      <x:c r="R45"/>
    </x:row>
    <x:row r="46">
      <x:c r="A46" s="379"/>
      <x:c r="B46" s="379"/>
      <x:c r="C46" s="379"/>
      <x:c r="D46" s="379"/>
      <x:c r="E46" s="379"/>
      <x:c r="F46" s="379"/>
      <x:c r="G46"/>
      <x:c r="H46"/>
      <x:c r="I46"/>
      <x:c r="J46"/>
      <x:c r="K46"/>
      <x:c r="L46"/>
      <x:c r="M46"/>
      <x:c r="N46"/>
      <x:c r="O46"/>
      <x:c r="P46"/>
      <x:c r="Q46"/>
      <x:c r="R46"/>
    </x:row>
    <x:row r="47">
      <x:c r="A47" s="379"/>
      <x:c r="B47" s="379"/>
      <x:c r="C47" s="379"/>
      <x:c r="D47" s="379"/>
      <x:c r="E47" s="379"/>
      <x:c r="F47" s="379"/>
      <x:c r="G47"/>
      <x:c r="H47"/>
      <x:c r="I47"/>
      <x:c r="J47"/>
      <x:c r="K47"/>
      <x:c r="L47"/>
      <x:c r="M47"/>
      <x:c r="N47"/>
      <x:c r="O47"/>
      <x:c r="P47"/>
      <x:c r="Q47"/>
      <x:c r="R47"/>
    </x:row>
    <x:row r="48">
      <x:c r="A48" s="379"/>
      <x:c r="B48" s="379"/>
      <x:c r="C48" s="379"/>
      <x:c r="D48" s="379"/>
      <x:c r="E48" s="379"/>
      <x:c r="F48" s="379"/>
      <x:c r="G48"/>
      <x:c r="H48"/>
      <x:c r="I48"/>
      <x:c r="J48"/>
      <x:c r="K48"/>
      <x:c r="L48"/>
      <x:c r="M48"/>
      <x:c r="N48"/>
      <x:c r="O48"/>
      <x:c r="P48"/>
      <x:c r="Q48"/>
      <x:c r="R48"/>
    </x:row>
    <x:row r="49">
      <x:c r="A49" s="379"/>
      <x:c r="B49" s="379"/>
      <x:c r="C49" s="379"/>
      <x:c r="D49" s="379"/>
      <x:c r="E49" s="379"/>
      <x:c r="F49" s="379"/>
      <x:c r="G49"/>
      <x:c r="H49"/>
      <x:c r="I49"/>
      <x:c r="J49"/>
      <x:c r="K49"/>
      <x:c r="L49"/>
      <x:c r="M49"/>
      <x:c r="N49"/>
      <x:c r="O49"/>
      <x:c r="P49"/>
      <x:c r="Q49"/>
      <x:c r="R49"/>
    </x:row>
    <x:row r="50">
      <x:c r="A50" s="379"/>
      <x:c r="B50" s="379"/>
      <x:c r="C50" s="379"/>
      <x:c r="D50" s="379"/>
      <x:c r="E50" s="379"/>
      <x:c r="F50" s="379"/>
      <x:c r="G50"/>
      <x:c r="H50"/>
      <x:c r="I50"/>
      <x:c r="J50"/>
      <x:c r="K50"/>
      <x:c r="L50"/>
      <x:c r="M50"/>
      <x:c r="N50"/>
      <x:c r="O50"/>
      <x:c r="P50"/>
      <x:c r="Q50"/>
      <x:c r="R50"/>
    </x:row>
    <x:row r="51">
      <x:c r="A51" s="379"/>
      <x:c r="B51" s="379"/>
      <x:c r="C51" s="379"/>
      <x:c r="D51" s="379"/>
      <x:c r="E51" s="379"/>
      <x:c r="F51" s="379"/>
      <x:c r="G51"/>
      <x:c r="H51"/>
      <x:c r="I51"/>
      <x:c r="J51"/>
      <x:c r="K51"/>
      <x:c r="L51"/>
      <x:c r="M51"/>
      <x:c r="N51"/>
      <x:c r="O51"/>
      <x:c r="P51"/>
      <x:c r="Q51"/>
      <x:c r="R51"/>
    </x:row>
    <x:row r="52">
      <x:c r="A52" s="379"/>
      <x:c r="B52" s="379"/>
      <x:c r="C52" s="379"/>
      <x:c r="D52" s="379"/>
      <x:c r="E52" s="379"/>
      <x:c r="F52" s="379"/>
      <x:c r="G52"/>
      <x:c r="H52"/>
      <x:c r="I52"/>
      <x:c r="J52"/>
      <x:c r="K52"/>
      <x:c r="L52"/>
      <x:c r="M52"/>
      <x:c r="N52"/>
      <x:c r="O52"/>
      <x:c r="P52"/>
      <x:c r="Q52"/>
      <x:c r="R52"/>
    </x:row>
    <x:row r="53">
      <x:c r="A53" s="379"/>
      <x:c r="B53" s="379"/>
      <x:c r="C53" s="379"/>
      <x:c r="D53" s="379"/>
      <x:c r="E53" s="379"/>
      <x:c r="F53" s="379"/>
      <x:c r="G53"/>
      <x:c r="H53"/>
      <x:c r="I53"/>
      <x:c r="J53"/>
      <x:c r="K53"/>
      <x:c r="L53"/>
      <x:c r="M53"/>
      <x:c r="N53"/>
      <x:c r="O53"/>
      <x:c r="P53"/>
      <x:c r="Q53"/>
      <x:c r="R53"/>
    </x:row>
    <x:row r="54">
      <x:c r="A54" s="379"/>
      <x:c r="B54" s="379"/>
      <x:c r="C54" s="379"/>
      <x:c r="D54" s="379"/>
      <x:c r="E54" s="379"/>
      <x:c r="F54" s="379"/>
      <x:c r="G54"/>
      <x:c r="H54"/>
      <x:c r="I54"/>
      <x:c r="J54"/>
      <x:c r="K54"/>
      <x:c r="L54"/>
      <x:c r="M54"/>
      <x:c r="N54"/>
      <x:c r="O54"/>
      <x:c r="P54"/>
      <x:c r="Q54"/>
      <x:c r="R54"/>
    </x:row>
    <x:row r="55" ht="21" customHeight="1">
      <x:c r="A55" s="455" t="str">
        <x:v>赛事维度盈亏</x:v>
      </x:c>
      <x:c r="B55" s="456"/>
      <x:c r="C55" s="456"/>
      <x:c r="D55" s="456"/>
      <x:c r="E55" s="456"/>
      <x:c r="F55" s="457"/>
      <x:c r="G55"/>
      <x:c r="H55"/>
      <x:c r="I55"/>
      <x:c r="J55"/>
      <x:c r="K55"/>
      <x:c r="L55"/>
      <x:c r="M55"/>
      <x:c r="N55"/>
      <x:c r="O55"/>
      <x:c r="P55"/>
      <x:c r="Q55"/>
      <x:c r="R55"/>
    </x:row>
    <x:row r="56">
      <x:c r="A56" s="379"/>
      <x:c r="B56" s="379"/>
      <x:c r="C56" s="379"/>
      <x:c r="D56" s="379"/>
      <x:c r="E56" s="379"/>
      <x:c r="F56" s="379"/>
      <x:c r="G56"/>
      <x:c r="H56"/>
      <x:c r="I56"/>
      <x:c r="J56"/>
      <x:c r="K56"/>
      <x:c r="L56"/>
      <x:c r="M56"/>
      <x:c r="N56"/>
      <x:c r="O56"/>
      <x:c r="P56"/>
      <x:c r="Q56"/>
      <x:c r="R56"/>
    </x:row>
    <x:row r="57">
      <x:c r="A57" s="379"/>
      <x:c r="B57" s="379"/>
      <x:c r="C57" s="379"/>
      <x:c r="D57" s="379"/>
      <x:c r="E57" s="379"/>
      <x:c r="F57" s="379"/>
      <x:c r="G57"/>
      <x:c r="H57"/>
      <x:c r="I57"/>
      <x:c r="J57"/>
      <x:c r="K57"/>
      <x:c r="L57"/>
      <x:c r="M57"/>
      <x:c r="N57"/>
      <x:c r="O57"/>
      <x:c r="P57"/>
      <x:c r="Q57"/>
      <x:c r="R57"/>
    </x:row>
    <x:row r="58">
      <x:c r="A58" s="379"/>
      <x:c r="B58" s="379"/>
      <x:c r="C58" s="379"/>
      <x:c r="D58" s="379"/>
      <x:c r="E58" s="379"/>
      <x:c r="F58" s="379"/>
      <x:c r="G58"/>
      <x:c r="H58"/>
      <x:c r="I58"/>
      <x:c r="J58"/>
      <x:c r="K58"/>
      <x:c r="L58"/>
      <x:c r="M58"/>
      <x:c r="N58"/>
      <x:c r="O58"/>
      <x:c r="P58"/>
      <x:c r="Q58"/>
      <x:c r="R58"/>
    </x:row>
    <x:row r="59">
      <x:c r="A59" s="379"/>
      <x:c r="B59" s="379"/>
      <x:c r="C59" s="379"/>
      <x:c r="D59" s="379"/>
      <x:c r="E59" s="379"/>
      <x:c r="F59" s="379"/>
      <x:c r="G59"/>
      <x:c r="H59"/>
      <x:c r="I59"/>
      <x:c r="J59"/>
      <x:c r="K59"/>
      <x:c r="L59"/>
      <x:c r="M59"/>
      <x:c r="N59"/>
      <x:c r="O59"/>
      <x:c r="P59"/>
      <x:c r="Q59"/>
      <x:c r="R59"/>
    </x:row>
    <x:row r="60">
      <x:c r="A60" s="379"/>
      <x:c r="B60" s="379"/>
      <x:c r="C60" s="379"/>
      <x:c r="D60" s="379"/>
      <x:c r="E60" s="379"/>
      <x:c r="F60" s="379"/>
      <x:c r="G60"/>
      <x:c r="H60"/>
      <x:c r="I60"/>
      <x:c r="J60"/>
      <x:c r="K60"/>
      <x:c r="L60"/>
      <x:c r="M60"/>
      <x:c r="N60"/>
      <x:c r="O60"/>
      <x:c r="P60"/>
      <x:c r="Q60"/>
      <x:c r="R60"/>
    </x:row>
    <x:row r="61">
      <x:c r="A61" s="379"/>
      <x:c r="B61" s="379"/>
      <x:c r="C61" s="379"/>
      <x:c r="D61" s="379"/>
      <x:c r="E61" s="379"/>
      <x:c r="F61" s="379"/>
      <x:c r="G61"/>
      <x:c r="H61"/>
      <x:c r="I61"/>
      <x:c r="J61"/>
      <x:c r="K61"/>
      <x:c r="L61"/>
      <x:c r="M61"/>
      <x:c r="N61"/>
      <x:c r="O61"/>
      <x:c r="P61"/>
      <x:c r="Q61"/>
      <x:c r="R61"/>
    </x:row>
    <x:row r="62">
      <x:c r="A62" s="379"/>
      <x:c r="B62" s="379"/>
      <x:c r="C62" s="379"/>
      <x:c r="D62" s="379"/>
      <x:c r="E62" s="379"/>
      <x:c r="F62" s="379"/>
      <x:c r="G62"/>
      <x:c r="H62"/>
      <x:c r="I62"/>
      <x:c r="J62"/>
      <x:c r="K62"/>
      <x:c r="L62"/>
      <x:c r="M62"/>
      <x:c r="N62"/>
      <x:c r="O62"/>
      <x:c r="P62"/>
      <x:c r="Q62"/>
      <x:c r="R62"/>
    </x:row>
    <x:row r="63">
      <x:c r="A63" s="379"/>
      <x:c r="B63" s="379"/>
      <x:c r="C63" s="379"/>
      <x:c r="D63" s="379"/>
      <x:c r="E63" s="379"/>
      <x:c r="F63" s="379"/>
      <x:c r="G63"/>
      <x:c r="H63"/>
      <x:c r="I63"/>
      <x:c r="J63"/>
      <x:c r="K63"/>
      <x:c r="L63"/>
      <x:c r="M63"/>
      <x:c r="N63"/>
      <x:c r="O63"/>
      <x:c r="P63"/>
      <x:c r="Q63"/>
      <x:c r="R63"/>
    </x:row>
    <x:row r="64">
      <x:c r="A64" s="379"/>
      <x:c r="B64" s="379"/>
      <x:c r="C64" s="379"/>
      <x:c r="D64" s="379"/>
      <x:c r="E64" s="379"/>
      <x:c r="F64" s="379"/>
      <x:c r="G64"/>
      <x:c r="H64"/>
      <x:c r="I64"/>
      <x:c r="J64"/>
      <x:c r="K64"/>
      <x:c r="L64"/>
      <x:c r="M64"/>
      <x:c r="N64"/>
      <x:c r="O64"/>
      <x:c r="P64"/>
      <x:c r="Q64"/>
      <x:c r="R64"/>
    </x:row>
    <x:row r="65">
      <x:c r="A65" s="379"/>
      <x:c r="B65" s="379"/>
      <x:c r="C65" s="379"/>
      <x:c r="D65" s="379"/>
      <x:c r="E65" s="379"/>
      <x:c r="F65" s="379"/>
      <x:c r="G65"/>
      <x:c r="H65"/>
      <x:c r="I65"/>
      <x:c r="J65"/>
      <x:c r="K65"/>
      <x:c r="L65"/>
      <x:c r="M65"/>
      <x:c r="N65"/>
      <x:c r="O65"/>
      <x:c r="P65"/>
      <x:c r="Q65"/>
      <x:c r="R65"/>
    </x:row>
    <x:row r="66">
      <x:c r="A66" s="379"/>
      <x:c r="B66" s="379"/>
      <x:c r="C66" s="379"/>
      <x:c r="D66" s="379"/>
      <x:c r="E66" s="379"/>
      <x:c r="F66" s="379"/>
      <x:c r="G66"/>
      <x:c r="H66"/>
      <x:c r="I66"/>
      <x:c r="J66"/>
      <x:c r="K66"/>
      <x:c r="L66"/>
      <x:c r="M66"/>
      <x:c r="N66"/>
      <x:c r="O66"/>
      <x:c r="P66"/>
      <x:c r="Q66"/>
      <x:c r="R66"/>
    </x:row>
    <x:row r="67" ht="32" customHeight="1">
      <x:c r="A67" s="379"/>
      <x:c r="B67" s="379"/>
      <x:c r="C67" s="379"/>
      <x:c r="D67" s="379"/>
      <x:c r="E67" s="379"/>
      <x:c r="F67" s="379"/>
      <x:c r="G67"/>
      <x:c r="H67"/>
      <x:c r="I67"/>
      <x:c r="J67"/>
      <x:c r="K67"/>
      <x:c r="L67"/>
      <x:c r="M67"/>
      <x:c r="N67"/>
      <x:c r="O67"/>
      <x:c r="P67"/>
      <x:c r="Q67"/>
      <x:c r="R67"/>
    </x:row>
    <x:row r="68">
      <x:c r="A68" s="379"/>
      <x:c r="B68" s="379"/>
      <x:c r="C68" s="379"/>
      <x:c r="D68" s="379"/>
      <x:c r="E68" s="379"/>
      <x:c r="F68" s="379"/>
      <x:c r="G68"/>
      <x:c r="H68"/>
      <x:c r="I68"/>
      <x:c r="J68"/>
      <x:c r="K68"/>
      <x:c r="L68"/>
      <x:c r="M68"/>
      <x:c r="N68"/>
      <x:c r="O68"/>
      <x:c r="P68"/>
      <x:c r="Q68"/>
      <x:c r="R68"/>
    </x:row>
    <x:row r="69">
      <x:c r="A69" s="379"/>
      <x:c r="B69" s="379"/>
      <x:c r="C69" s="379"/>
      <x:c r="D69" s="379"/>
      <x:c r="E69" s="379"/>
      <x:c r="F69" s="379"/>
      <x:c r="G69"/>
      <x:c r="H69"/>
      <x:c r="I69"/>
      <x:c r="J69"/>
      <x:c r="K69"/>
      <x:c r="L69"/>
      <x:c r="M69"/>
      <x:c r="N69"/>
      <x:c r="O69"/>
      <x:c r="P69"/>
      <x:c r="Q69"/>
      <x:c r="R69"/>
    </x:row>
    <x:row r="70">
      <x:c r="A70" s="379"/>
      <x:c r="B70" s="379"/>
      <x:c r="C70" s="379"/>
      <x:c r="D70" s="379"/>
      <x:c r="E70" s="379"/>
      <x:c r="F70" s="379"/>
      <x:c r="G70"/>
      <x:c r="H70"/>
      <x:c r="I70"/>
      <x:c r="J70"/>
      <x:c r="K70"/>
      <x:c r="L70"/>
      <x:c r="M70"/>
      <x:c r="N70"/>
      <x:c r="O70"/>
      <x:c r="P70"/>
      <x:c r="Q70"/>
      <x:c r="R70"/>
    </x:row>
    <x:row r="71">
      <x:c r="A71" s="379"/>
      <x:c r="B71" s="379"/>
      <x:c r="C71" s="379"/>
      <x:c r="D71" s="379"/>
      <x:c r="E71" s="379"/>
      <x:c r="F71" s="379"/>
      <x:c r="G71"/>
      <x:c r="H71"/>
      <x:c r="I71"/>
      <x:c r="J71"/>
      <x:c r="K71"/>
      <x:c r="L71"/>
      <x:c r="M71"/>
      <x:c r="N71"/>
      <x:c r="O71"/>
      <x:c r="P71"/>
      <x:c r="Q71"/>
      <x:c r="R71"/>
    </x:row>
    <x:row r="72">
      <x:c r="A72" s="379"/>
      <x:c r="B72" s="379"/>
      <x:c r="C72" s="379"/>
      <x:c r="D72" s="379"/>
      <x:c r="E72" s="379"/>
      <x:c r="F72" s="379"/>
      <x:c r="G72"/>
      <x:c r="H72"/>
      <x:c r="I72"/>
      <x:c r="J72"/>
      <x:c r="K72"/>
      <x:c r="L72"/>
      <x:c r="M72"/>
      <x:c r="N72"/>
      <x:c r="O72"/>
      <x:c r="P72"/>
      <x:c r="Q72"/>
      <x:c r="R72"/>
    </x:row>
    <x:row r="73">
      <x:c r="A73" s="379"/>
      <x:c r="B73" s="379"/>
      <x:c r="C73" s="379"/>
      <x:c r="D73" s="379"/>
      <x:c r="E73" s="379"/>
      <x:c r="F73" s="379"/>
      <x:c r="G73"/>
      <x:c r="H73"/>
      <x:c r="I73"/>
      <x:c r="J73"/>
      <x:c r="K73"/>
      <x:c r="L73"/>
      <x:c r="M73"/>
      <x:c r="N73"/>
      <x:c r="O73"/>
      <x:c r="P73"/>
      <x:c r="Q73"/>
      <x:c r="R73"/>
    </x:row>
    <x:row r="74">
      <x:c r="A74" s="379"/>
      <x:c r="B74" s="379"/>
      <x:c r="C74" s="379"/>
      <x:c r="D74" s="379"/>
      <x:c r="E74" s="379"/>
      <x:c r="F74" s="379"/>
      <x:c r="G74"/>
      <x:c r="H74"/>
      <x:c r="I74"/>
      <x:c r="J74"/>
      <x:c r="K74"/>
      <x:c r="L74"/>
      <x:c r="M74"/>
      <x:c r="N74"/>
      <x:c r="O74"/>
      <x:c r="P74"/>
      <x:c r="Q74"/>
      <x:c r="R74"/>
    </x:row>
    <x:row r="75">
      <x:c r="A75" s="379"/>
      <x:c r="B75" s="379"/>
      <x:c r="C75" s="379"/>
      <x:c r="D75" s="379"/>
      <x:c r="E75" s="379"/>
      <x:c r="F75" s="379"/>
      <x:c r="G75"/>
      <x:c r="H75"/>
      <x:c r="I75"/>
      <x:c r="J75"/>
      <x:c r="K75"/>
      <x:c r="L75"/>
      <x:c r="M75"/>
      <x:c r="N75"/>
      <x:c r="O75"/>
      <x:c r="P75"/>
      <x:c r="Q75"/>
      <x:c r="R75"/>
    </x:row>
    <x:row r="76">
      <x:c r="A76" s="379"/>
      <x:c r="B76" s="379"/>
      <x:c r="C76" s="379"/>
      <x:c r="D76" s="379"/>
      <x:c r="E76" s="379"/>
      <x:c r="F76" s="379"/>
      <x:c r="G76"/>
      <x:c r="H76"/>
      <x:c r="I76"/>
      <x:c r="J76"/>
      <x:c r="K76"/>
      <x:c r="L76"/>
      <x:c r="M76"/>
      <x:c r="N76"/>
      <x:c r="O76"/>
      <x:c r="P76"/>
      <x:c r="Q76"/>
      <x:c r="R76"/>
    </x:row>
    <x:row r="77">
      <x:c r="A77" s="379"/>
      <x:c r="B77" s="379"/>
      <x:c r="C77" s="379"/>
      <x:c r="D77" s="379"/>
      <x:c r="E77" s="379"/>
      <x:c r="F77" s="379"/>
      <x:c r="G77"/>
      <x:c r="H77"/>
      <x:c r="I77"/>
      <x:c r="J77"/>
      <x:c r="K77"/>
      <x:c r="L77"/>
      <x:c r="M77"/>
      <x:c r="N77"/>
      <x:c r="O77"/>
      <x:c r="P77"/>
      <x:c r="Q77"/>
      <x:c r="R77"/>
    </x:row>
    <x:row r="78">
      <x:c r="A78" s="379"/>
      <x:c r="B78" s="379"/>
      <x:c r="C78" s="379"/>
      <x:c r="D78" s="379"/>
      <x:c r="E78" s="379"/>
      <x:c r="F78" s="379"/>
      <x:c r="G78"/>
      <x:c r="H78"/>
      <x:c r="I78"/>
      <x:c r="J78"/>
      <x:c r="K78"/>
      <x:c r="L78"/>
      <x:c r="M78"/>
      <x:c r="N78"/>
      <x:c r="O78"/>
      <x:c r="P78"/>
      <x:c r="Q78"/>
      <x:c r="R78"/>
    </x:row>
    <x:row r="79">
      <x:c r="A79" s="379"/>
      <x:c r="B79" s="379"/>
      <x:c r="C79" s="379"/>
      <x:c r="D79" s="379"/>
      <x:c r="E79" s="379"/>
      <x:c r="F79" s="379"/>
      <x:c r="G79"/>
      <x:c r="H79"/>
      <x:c r="I79"/>
      <x:c r="J79"/>
      <x:c r="K79"/>
      <x:c r="L79"/>
      <x:c r="M79"/>
      <x:c r="N79"/>
      <x:c r="O79"/>
      <x:c r="P79"/>
      <x:c r="Q79"/>
      <x:c r="R79"/>
    </x:row>
    <x:row r="80">
      <x:c r="A80" s="379"/>
      <x:c r="B80" s="379"/>
      <x:c r="C80" s="379"/>
      <x:c r="D80" s="379"/>
      <x:c r="E80" s="379"/>
      <x:c r="F80" s="379"/>
      <x:c r="G80"/>
      <x:c r="H80"/>
      <x:c r="I80"/>
      <x:c r="J80"/>
      <x:c r="K80"/>
      <x:c r="L80"/>
      <x:c r="M80"/>
      <x:c r="N80"/>
      <x:c r="O80"/>
      <x:c r="P80"/>
      <x:c r="Q80"/>
      <x:c r="R80"/>
    </x:row>
    <x:row r="81">
      <x:c r="A81" s="379"/>
      <x:c r="B81" s="379"/>
      <x:c r="C81" s="379"/>
      <x:c r="D81" s="379"/>
      <x:c r="E81" s="379"/>
      <x:c r="F81" s="379"/>
      <x:c r="G81"/>
      <x:c r="H81"/>
      <x:c r="I81"/>
      <x:c r="J81"/>
      <x:c r="K81"/>
      <x:c r="L81"/>
      <x:c r="M81"/>
      <x:c r="N81"/>
      <x:c r="O81"/>
      <x:c r="P81"/>
      <x:c r="Q81"/>
      <x:c r="R81"/>
    </x:row>
    <x:row r="82">
      <x:c r="A82" s="379"/>
      <x:c r="B82" s="379"/>
      <x:c r="C82" s="379"/>
      <x:c r="D82" s="379"/>
      <x:c r="E82" s="379"/>
      <x:c r="F82" s="379"/>
      <x:c r="G82"/>
      <x:c r="H82"/>
      <x:c r="I82"/>
      <x:c r="J82"/>
      <x:c r="K82"/>
      <x:c r="L82"/>
      <x:c r="M82"/>
      <x:c r="N82"/>
      <x:c r="O82"/>
      <x:c r="P82"/>
      <x:c r="Q82"/>
      <x:c r="R82"/>
    </x:row>
    <x:row r="83">
      <x:c r="A83" s="379"/>
      <x:c r="B83" s="379"/>
      <x:c r="C83" s="379"/>
      <x:c r="D83" s="379"/>
      <x:c r="E83" s="379"/>
      <x:c r="F83" s="379"/>
      <x:c r="G83"/>
      <x:c r="H83"/>
      <x:c r="I83"/>
      <x:c r="J83"/>
      <x:c r="K83"/>
      <x:c r="L83"/>
      <x:c r="M83"/>
      <x:c r="N83"/>
      <x:c r="O83"/>
      <x:c r="P83"/>
      <x:c r="Q83"/>
      <x:c r="R83"/>
    </x:row>
    <x:row r="84">
      <x:c r="A84" s="379"/>
      <x:c r="B84" s="379"/>
      <x:c r="C84" s="379"/>
      <x:c r="D84" s="379"/>
      <x:c r="E84" s="379"/>
      <x:c r="F84" s="379"/>
      <x:c r="G84"/>
      <x:c r="H84"/>
      <x:c r="I84"/>
      <x:c r="J84"/>
      <x:c r="K84"/>
      <x:c r="L84"/>
      <x:c r="M84"/>
      <x:c r="N84"/>
      <x:c r="O84"/>
      <x:c r="P84"/>
      <x:c r="Q84"/>
      <x:c r="R84"/>
    </x:row>
    <x:row r="85">
      <x:c r="A85" s="379"/>
      <x:c r="B85" s="379"/>
      <x:c r="C85" s="379"/>
      <x:c r="D85" s="379"/>
      <x:c r="E85" s="379"/>
      <x:c r="F85" s="379"/>
      <x:c r="G85"/>
      <x:c r="H85"/>
      <x:c r="I85"/>
      <x:c r="J85"/>
      <x:c r="K85"/>
      <x:c r="L85"/>
      <x:c r="M85"/>
      <x:c r="N85"/>
      <x:c r="O85"/>
      <x:c r="P85"/>
      <x:c r="Q85"/>
      <x:c r="R85"/>
    </x:row>
    <x:row r="86">
      <x:c r="A86" s="379"/>
      <x:c r="B86" s="379"/>
      <x:c r="C86" s="379"/>
      <x:c r="D86" s="379"/>
      <x:c r="E86" s="379"/>
      <x:c r="F86" s="379"/>
      <x:c r="G86"/>
      <x:c r="H86"/>
      <x:c r="I86"/>
      <x:c r="J86"/>
      <x:c r="K86"/>
      <x:c r="L86"/>
      <x:c r="M86"/>
      <x:c r="N86"/>
      <x:c r="O86"/>
      <x:c r="P86"/>
      <x:c r="Q86"/>
      <x:c r="R86"/>
    </x:row>
    <x:row r="87">
      <x:c r="A87" s="379"/>
      <x:c r="B87" s="379"/>
      <x:c r="C87" s="379"/>
      <x:c r="D87" s="379"/>
      <x:c r="E87" s="379"/>
      <x:c r="F87" s="379"/>
      <x:c r="G87"/>
      <x:c r="H87"/>
      <x:c r="I87"/>
      <x:c r="J87"/>
      <x:c r="K87"/>
      <x:c r="L87"/>
      <x:c r="M87"/>
      <x:c r="N87"/>
      <x:c r="O87"/>
      <x:c r="P87"/>
      <x:c r="Q87"/>
      <x:c r="R87"/>
    </x:row>
    <x:row r="88" ht="21" customHeight="1">
      <x:c r="A88" s="455" t="str">
        <x:v>单队维度盈亏</x:v>
      </x:c>
      <x:c r="B88" s="456"/>
      <x:c r="C88" s="456"/>
      <x:c r="D88" s="456"/>
      <x:c r="E88" s="456"/>
      <x:c r="F88" s="457"/>
      <x:c r="G88"/>
      <x:c r="H88"/>
      <x:c r="I88"/>
      <x:c r="J88"/>
      <x:c r="K88"/>
      <x:c r="L88"/>
      <x:c r="M88"/>
      <x:c r="N88"/>
      <x:c r="O88"/>
      <x:c r="P88"/>
      <x:c r="Q88"/>
      <x:c r="R88"/>
    </x:row>
    <x:row r="89">
      <x:c r="A89" s="379"/>
      <x:c r="B89" s="379"/>
      <x:c r="C89" s="379"/>
      <x:c r="D89" s="379"/>
      <x:c r="E89" s="379"/>
      <x:c r="F89" s="379"/>
      <x:c r="G89"/>
      <x:c r="H89"/>
      <x:c r="I89"/>
      <x:c r="J89"/>
      <x:c r="K89"/>
      <x:c r="L89"/>
      <x:c r="M89"/>
      <x:c r="N89"/>
      <x:c r="O89"/>
      <x:c r="P89"/>
      <x:c r="Q89"/>
      <x:c r="R89"/>
    </x:row>
    <x:row r="90">
      <x:c r="A90" s="379"/>
      <x:c r="B90" s="379"/>
      <x:c r="C90" s="379"/>
      <x:c r="D90" s="379"/>
      <x:c r="E90" s="379"/>
      <x:c r="F90" s="379"/>
      <x:c r="G90"/>
      <x:c r="H90"/>
      <x:c r="I90"/>
      <x:c r="J90"/>
      <x:c r="K90"/>
      <x:c r="L90"/>
      <x:c r="M90"/>
      <x:c r="N90"/>
      <x:c r="O90"/>
      <x:c r="P90"/>
      <x:c r="Q90"/>
      <x:c r="R90"/>
    </x:row>
    <x:row r="91">
      <x:c r="A91" s="379"/>
      <x:c r="B91" s="379"/>
      <x:c r="C91" s="379"/>
      <x:c r="D91" s="379"/>
      <x:c r="E91" s="379"/>
      <x:c r="F91" s="379"/>
      <x:c r="G91"/>
      <x:c r="H91"/>
      <x:c r="I91"/>
      <x:c r="J91"/>
      <x:c r="K91"/>
      <x:c r="L91"/>
      <x:c r="M91"/>
      <x:c r="N91"/>
      <x:c r="O91"/>
      <x:c r="P91"/>
      <x:c r="Q91"/>
      <x:c r="R91"/>
    </x:row>
    <x:row r="92">
      <x:c r="A92" s="379"/>
      <x:c r="B92" s="379"/>
      <x:c r="C92" s="379"/>
      <x:c r="D92" s="379"/>
      <x:c r="E92" s="379"/>
      <x:c r="F92" s="379"/>
      <x:c r="G92"/>
      <x:c r="H92"/>
      <x:c r="I92"/>
      <x:c r="J92"/>
      <x:c r="K92"/>
      <x:c r="L92"/>
      <x:c r="M92"/>
      <x:c r="N92"/>
      <x:c r="O92"/>
      <x:c r="P92"/>
      <x:c r="Q92"/>
      <x:c r="R92"/>
    </x:row>
    <x:row r="93">
      <x:c r="A93" s="379"/>
      <x:c r="B93" s="379"/>
      <x:c r="C93" s="379"/>
      <x:c r="D93" s="379"/>
      <x:c r="E93" s="379"/>
      <x:c r="F93" s="379"/>
      <x:c r="G93"/>
      <x:c r="H93"/>
      <x:c r="I93"/>
      <x:c r="J93"/>
      <x:c r="K93"/>
      <x:c r="L93"/>
      <x:c r="M93"/>
      <x:c r="N93"/>
      <x:c r="O93"/>
      <x:c r="P93"/>
      <x:c r="Q93"/>
      <x:c r="R93"/>
    </x:row>
    <x:row r="94">
      <x:c r="A94" s="379"/>
      <x:c r="B94" s="379"/>
      <x:c r="C94" s="379"/>
      <x:c r="D94" s="379"/>
      <x:c r="E94" s="379"/>
      <x:c r="F94" s="379"/>
      <x:c r="G94"/>
      <x:c r="H94"/>
      <x:c r="I94"/>
      <x:c r="J94"/>
      <x:c r="K94"/>
      <x:c r="L94"/>
      <x:c r="M94"/>
      <x:c r="N94"/>
      <x:c r="O94"/>
      <x:c r="P94"/>
      <x:c r="Q94"/>
      <x:c r="R94"/>
    </x:row>
    <x:row r="95">
      <x:c r="A95" s="379"/>
      <x:c r="B95" s="379"/>
      <x:c r="C95" s="379"/>
      <x:c r="D95" s="379"/>
      <x:c r="E95" s="379"/>
      <x:c r="F95" s="379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>
      <x:c r="A96" s="379"/>
      <x:c r="B96" s="379"/>
      <x:c r="C96" s="379"/>
      <x:c r="D96" s="379"/>
      <x:c r="E96" s="379"/>
      <x:c r="F96" s="379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>
      <x:c r="A97" s="379"/>
      <x:c r="B97" s="379"/>
      <x:c r="C97" s="379"/>
      <x:c r="D97" s="379"/>
      <x:c r="E97" s="379"/>
      <x:c r="F97" s="379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>
      <x:c r="A98" s="379"/>
      <x:c r="B98" s="379"/>
      <x:c r="C98" s="379"/>
      <x:c r="D98" s="379"/>
      <x:c r="E98" s="379"/>
      <x:c r="F98" s="379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>
      <x:c r="A99" s="379"/>
      <x:c r="B99" s="379"/>
      <x:c r="C99" s="379"/>
      <x:c r="D99" s="379"/>
      <x:c r="E99" s="379"/>
      <x:c r="F99" s="37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>
      <x:c r="A100" s="379"/>
      <x:c r="B100" s="379"/>
      <x:c r="C100" s="379"/>
      <x:c r="D100" s="379"/>
      <x:c r="E100" s="379"/>
      <x:c r="F100" s="379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>
      <x:c r="A101" s="379"/>
      <x:c r="B101" s="379"/>
      <x:c r="C101" s="379"/>
      <x:c r="D101" s="379"/>
      <x:c r="E101" s="379"/>
      <x:c r="F101" s="379"/>
      <x:c r="G101"/>
      <x:c r="H101"/>
      <x:c r="I101"/>
      <x:c r="J101"/>
      <x:c r="K101"/>
      <x:c r="L101"/>
      <x:c r="M101"/>
      <x:c r="N101"/>
      <x:c r="O101"/>
      <x:c r="P101"/>
      <x:c r="Q101"/>
      <x:c r="R101"/>
    </x:row>
    <x:row r="102">
      <x:c r="A102" s="379"/>
      <x:c r="B102" s="379"/>
      <x:c r="C102" s="379"/>
      <x:c r="D102" s="379"/>
      <x:c r="E102" s="379"/>
      <x:c r="F102" s="379"/>
      <x:c r="G102"/>
      <x:c r="H102"/>
      <x:c r="I102"/>
      <x:c r="J102"/>
      <x:c r="K102"/>
      <x:c r="L102"/>
      <x:c r="M102"/>
      <x:c r="N102"/>
      <x:c r="O102"/>
      <x:c r="P102"/>
      <x:c r="Q102"/>
      <x:c r="R102"/>
    </x:row>
    <x:row r="103">
      <x:c r="A103" s="379"/>
      <x:c r="B103" s="379"/>
      <x:c r="C103" s="379"/>
      <x:c r="D103" s="379"/>
      <x:c r="E103" s="379"/>
      <x:c r="F103" s="379"/>
      <x:c r="G103"/>
      <x:c r="H103"/>
      <x:c r="I103"/>
      <x:c r="J103"/>
      <x:c r="K103"/>
      <x:c r="L103"/>
      <x:c r="M103"/>
      <x:c r="N103"/>
      <x:c r="O103"/>
      <x:c r="P103"/>
      <x:c r="Q103"/>
      <x:c r="R103"/>
    </x:row>
    <x:row r="104">
      <x:c r="A104" s="379"/>
      <x:c r="B104" s="379"/>
      <x:c r="C104" s="379"/>
      <x:c r="D104" s="379"/>
      <x:c r="E104" s="379"/>
      <x:c r="F104" s="379"/>
      <x:c r="G104"/>
      <x:c r="H104"/>
      <x:c r="I104"/>
      <x:c r="J104"/>
      <x:c r="K104"/>
      <x:c r="L104"/>
      <x:c r="M104"/>
      <x:c r="N104"/>
      <x:c r="O104"/>
      <x:c r="P104"/>
      <x:c r="Q104"/>
      <x:c r="R104"/>
    </x:row>
    <x:row r="105">
      <x:c r="A105" s="379"/>
      <x:c r="B105" s="379"/>
      <x:c r="C105" s="379"/>
      <x:c r="D105" s="379"/>
      <x:c r="E105" s="379"/>
      <x:c r="F105" s="379"/>
      <x:c r="G105"/>
      <x:c r="H105"/>
      <x:c r="I105"/>
      <x:c r="J105"/>
      <x:c r="K105"/>
      <x:c r="L105"/>
      <x:c r="M105"/>
      <x:c r="N105"/>
      <x:c r="O105"/>
      <x:c r="P105"/>
      <x:c r="Q105"/>
      <x:c r="R105"/>
    </x:row>
    <x:row r="106">
      <x:c r="A106" s="379"/>
      <x:c r="B106" s="379"/>
      <x:c r="C106" s="379"/>
      <x:c r="D106" s="379"/>
      <x:c r="E106" s="379"/>
      <x:c r="F106" s="379"/>
      <x:c r="G106"/>
      <x:c r="H106"/>
      <x:c r="I106"/>
      <x:c r="J106"/>
      <x:c r="K106"/>
      <x:c r="L106"/>
      <x:c r="M106"/>
      <x:c r="N106"/>
      <x:c r="O106"/>
      <x:c r="P106"/>
      <x:c r="Q106"/>
      <x:c r="R106"/>
    </x:row>
    <x:row r="107">
      <x:c r="A107" s="379"/>
      <x:c r="B107" s="379"/>
      <x:c r="C107" s="379"/>
      <x:c r="D107" s="379"/>
      <x:c r="E107" s="379"/>
      <x:c r="F107" s="379"/>
      <x:c r="G107"/>
      <x:c r="H107"/>
      <x:c r="I107"/>
      <x:c r="J107"/>
      <x:c r="K107"/>
      <x:c r="L107"/>
      <x:c r="M107"/>
      <x:c r="N107"/>
      <x:c r="O107"/>
      <x:c r="P107"/>
      <x:c r="Q107"/>
      <x:c r="R107"/>
    </x:row>
    <x:row r="108">
      <x:c r="A108" s="379"/>
      <x:c r="B108" s="379"/>
      <x:c r="C108" s="379"/>
      <x:c r="D108" s="379"/>
      <x:c r="E108" s="379"/>
      <x:c r="F108" s="379"/>
      <x:c r="G108"/>
      <x:c r="H108"/>
      <x:c r="I108"/>
      <x:c r="J108"/>
      <x:c r="K108"/>
      <x:c r="L108"/>
      <x:c r="M108"/>
      <x:c r="N108"/>
      <x:c r="O108"/>
      <x:c r="P108"/>
      <x:c r="Q108"/>
      <x:c r="R108"/>
    </x:row>
    <x:row r="109">
      <x:c r="A109" s="379"/>
      <x:c r="B109" s="379"/>
      <x:c r="C109" s="379"/>
      <x:c r="D109" s="379"/>
      <x:c r="E109" s="379"/>
      <x:c r="F109" s="379"/>
      <x:c r="G109"/>
      <x:c r="H109"/>
      <x:c r="I109"/>
      <x:c r="J109"/>
      <x:c r="K109"/>
      <x:c r="L109"/>
      <x:c r="M109"/>
      <x:c r="N109"/>
      <x:c r="O109"/>
      <x:c r="P109"/>
      <x:c r="Q109"/>
      <x:c r="R109"/>
    </x:row>
    <x:row r="110">
      <x:c r="A110" s="379"/>
      <x:c r="B110" s="379"/>
      <x:c r="C110" s="379"/>
      <x:c r="D110" s="379"/>
      <x:c r="E110" s="379"/>
      <x:c r="F110" s="379"/>
      <x:c r="G110"/>
      <x:c r="H110"/>
      <x:c r="I110"/>
      <x:c r="J110"/>
      <x:c r="K110"/>
      <x:c r="L110"/>
      <x:c r="M110"/>
      <x:c r="N110"/>
      <x:c r="O110"/>
      <x:c r="P110"/>
      <x:c r="Q110"/>
      <x:c r="R110"/>
    </x:row>
    <x:row r="111">
      <x:c r="A111" s="379"/>
      <x:c r="B111" s="379"/>
      <x:c r="C111" s="379"/>
      <x:c r="D111" s="379"/>
      <x:c r="E111" s="379"/>
      <x:c r="F111" s="379"/>
      <x:c r="G111"/>
      <x:c r="H111"/>
      <x:c r="I111"/>
      <x:c r="J111"/>
      <x:c r="K111"/>
      <x:c r="L111"/>
      <x:c r="M111"/>
      <x:c r="N111"/>
      <x:c r="O111"/>
      <x:c r="P111"/>
      <x:c r="Q111"/>
      <x:c r="R111"/>
    </x:row>
    <x:row r="112">
      <x:c r="A112" s="379"/>
      <x:c r="B112" s="379"/>
      <x:c r="C112" s="379"/>
      <x:c r="D112" s="379"/>
      <x:c r="E112" s="379"/>
      <x:c r="F112" s="379"/>
      <x:c r="G112"/>
      <x:c r="H112"/>
      <x:c r="I112"/>
      <x:c r="J112"/>
      <x:c r="K112"/>
      <x:c r="L112"/>
      <x:c r="M112"/>
      <x:c r="N112"/>
      <x:c r="O112"/>
      <x:c r="P112"/>
      <x:c r="Q112"/>
      <x:c r="R112"/>
    </x:row>
    <x:row r="113">
      <x:c r="A113" s="379"/>
      <x:c r="B113" s="379"/>
      <x:c r="C113" s="379"/>
      <x:c r="D113" s="379"/>
      <x:c r="E113" s="379"/>
      <x:c r="F113" s="379"/>
      <x:c r="G113"/>
      <x:c r="H113"/>
      <x:c r="I113"/>
      <x:c r="J113"/>
      <x:c r="K113"/>
      <x:c r="L113"/>
      <x:c r="M113"/>
      <x:c r="N113"/>
      <x:c r="O113"/>
      <x:c r="P113"/>
      <x:c r="Q113"/>
      <x:c r="R113"/>
    </x:row>
    <x:row r="114">
      <x:c r="A114" s="379"/>
      <x:c r="B114" s="379"/>
      <x:c r="C114" s="379"/>
      <x:c r="D114" s="379"/>
      <x:c r="E114" s="379"/>
      <x:c r="F114" s="379"/>
      <x:c r="G114"/>
      <x:c r="H114"/>
      <x:c r="I114"/>
      <x:c r="J114"/>
      <x:c r="K114"/>
      <x:c r="L114"/>
      <x:c r="M114"/>
      <x:c r="N114"/>
      <x:c r="O114"/>
      <x:c r="P114"/>
      <x:c r="Q114"/>
      <x:c r="R114"/>
    </x:row>
    <x:row r="115">
      <x:c r="A115" s="379"/>
      <x:c r="B115" s="379"/>
      <x:c r="C115" s="379"/>
      <x:c r="D115" s="379"/>
      <x:c r="E115" s="379"/>
      <x:c r="F115" s="379"/>
      <x:c r="G115"/>
      <x:c r="H115"/>
      <x:c r="I115"/>
      <x:c r="J115"/>
      <x:c r="K115"/>
      <x:c r="L115"/>
      <x:c r="M115"/>
      <x:c r="N115"/>
      <x:c r="O115"/>
      <x:c r="P115"/>
      <x:c r="Q115"/>
      <x:c r="R115"/>
    </x:row>
    <x:row r="116">
      <x:c r="A116" s="379"/>
      <x:c r="B116" s="379"/>
      <x:c r="C116" s="379"/>
      <x:c r="D116" s="379"/>
      <x:c r="E116" s="379"/>
      <x:c r="F116" s="379"/>
      <x:c r="G116"/>
      <x:c r="H116"/>
      <x:c r="I116"/>
      <x:c r="J116"/>
      <x:c r="K116"/>
      <x:c r="L116"/>
      <x:c r="M116"/>
      <x:c r="N116"/>
      <x:c r="O116"/>
      <x:c r="P116"/>
      <x:c r="Q116"/>
      <x:c r="R116"/>
    </x:row>
    <x:row r="117">
      <x:c r="A117" s="379"/>
      <x:c r="B117" s="379"/>
      <x:c r="C117" s="379"/>
      <x:c r="D117" s="379"/>
      <x:c r="E117" s="379"/>
      <x:c r="F117" s="379"/>
      <x:c r="G117"/>
      <x:c r="H117"/>
      <x:c r="I117"/>
      <x:c r="J117"/>
      <x:c r="K117"/>
      <x:c r="L117"/>
      <x:c r="M117"/>
      <x:c r="N117"/>
      <x:c r="O117"/>
      <x:c r="P117"/>
      <x:c r="Q117"/>
      <x:c r="R117"/>
    </x:row>
    <x:row r="118">
      <x:c r="A118" s="379"/>
      <x:c r="B118" s="379"/>
      <x:c r="C118" s="379"/>
      <x:c r="D118" s="379"/>
      <x:c r="E118" s="379"/>
      <x:c r="F118" s="379"/>
      <x:c r="G118"/>
      <x:c r="H118"/>
      <x:c r="I118"/>
      <x:c r="J118"/>
      <x:c r="K118"/>
      <x:c r="L118"/>
      <x:c r="M118"/>
      <x:c r="N118"/>
      <x:c r="O118"/>
      <x:c r="P118"/>
      <x:c r="Q118"/>
      <x:c r="R118"/>
    </x:row>
    <x:row r="119">
      <x:c r="A119" s="379"/>
      <x:c r="B119" s="379"/>
      <x:c r="C119" s="379"/>
      <x:c r="D119" s="379"/>
      <x:c r="E119" s="379"/>
      <x:c r="F119" s="379"/>
      <x:c r="G119"/>
      <x:c r="H119"/>
      <x:c r="I119"/>
      <x:c r="J119"/>
      <x:c r="K119"/>
      <x:c r="L119"/>
      <x:c r="M119"/>
      <x:c r="N119"/>
      <x:c r="O119"/>
      <x:c r="P119"/>
      <x:c r="Q119"/>
      <x:c r="R119"/>
    </x:row>
    <x:row r="120">
      <x:c r="A120" s="379"/>
      <x:c r="B120" s="379"/>
      <x:c r="C120" s="379"/>
      <x:c r="D120" s="379"/>
      <x:c r="E120" s="379"/>
      <x:c r="F120" s="379"/>
      <x:c r="G120"/>
      <x:c r="H120"/>
      <x:c r="I120"/>
      <x:c r="J120"/>
      <x:c r="K120"/>
      <x:c r="L120"/>
      <x:c r="M120"/>
      <x:c r="N120"/>
      <x:c r="O120"/>
      <x:c r="P120"/>
      <x:c r="Q120"/>
      <x:c r="R120"/>
    </x:row>
    <x:row r="121" ht="21" customHeight="1">
      <x:c r="A121" s="455" t="str">
        <x:v>最佳 / 最差速览</x:v>
      </x:c>
      <x:c r="B121" s="456"/>
      <x:c r="C121" s="456"/>
      <x:c r="D121" s="456"/>
      <x:c r="E121" s="456"/>
      <x:c r="F121" s="457"/>
      <x:c r="G121"/>
      <x:c r="H121"/>
      <x:c r="I121"/>
      <x:c r="J121"/>
      <x:c r="K121"/>
      <x:c r="L121"/>
      <x:c r="M121"/>
      <x:c r="N121"/>
      <x:c r="O121"/>
      <x:c r="P121"/>
      <x:c r="Q121"/>
      <x:c r="R121"/>
    </x:row>
    <x:row r="122" ht="25.5" customHeight="1">
      <x:c r="A122" s="487" t="str">
        <x:v>赛事让球｜最佳：墨西哥超（Liga MX，Clausura） +10.50｜最差：德国乙级联赛（2. Bundesliga） -18.00</x:v>
      </x:c>
      <x:c r="B122" s="488"/>
      <x:c r="C122" s="488"/>
      <x:c r="D122" s="488"/>
      <x:c r="E122" s="488"/>
      <x:c r="F122" s="489"/>
      <x:c r="G122"/>
      <x:c r="H122"/>
      <x:c r="I122"/>
      <x:c r="J122"/>
      <x:c r="K122"/>
      <x:c r="L122"/>
      <x:c r="M122"/>
      <x:c r="N122"/>
      <x:c r="O122"/>
      <x:c r="P122"/>
      <x:c r="Q122"/>
      <x:c r="R122"/>
    </x:row>
    <x:row r="123" ht="25.5" customHeight="1">
      <x:c r="A123" s="496" t="str">
        <x:v>赛事大小球｜最佳：印度超级联赛（Indian Super League） +13.50｜最差：美职联（MLS） -11.00</x:v>
      </x:c>
      <x:c r="B123" s="497"/>
      <x:c r="C123" s="497"/>
      <x:c r="D123" s="497"/>
      <x:c r="E123" s="497"/>
      <x:c r="F123" s="498"/>
      <x:c r="G123"/>
      <x:c r="H123"/>
      <x:c r="I123"/>
      <x:c r="J123"/>
      <x:c r="K123"/>
      <x:c r="L123"/>
      <x:c r="M123"/>
      <x:c r="N123"/>
      <x:c r="O123"/>
      <x:c r="P123"/>
      <x:c r="Q123"/>
      <x:c r="R123"/>
    </x:row>
    <x:row r="124" ht="25.5" customHeight="1">
      <x:c r="A124" s="487" t="str">
        <x:v>球队让球｜最佳：南墨尔本 +5.00｜最差：永亚卡达（PSIM Yogyakarta） -5.50</x:v>
      </x:c>
      <x:c r="B124" s="488"/>
      <x:c r="C124" s="488"/>
      <x:c r="D124" s="488"/>
      <x:c r="E124" s="488"/>
      <x:c r="F124" s="489"/>
      <x:c r="G124"/>
      <x:c r="H124"/>
      <x:c r="I124"/>
      <x:c r="J124"/>
      <x:c r="K124"/>
      <x:c r="L124"/>
      <x:c r="M124"/>
      <x:c r="N124"/>
      <x:c r="O124"/>
      <x:c r="P124"/>
      <x:c r="Q124"/>
      <x:c r="R124"/>
    </x:row>
    <x:row r="125" ht="25.5" customHeight="1">
      <x:c r="A125" s="496" t="str">
        <x:v>球队大小球｜最佳：巴兰基亚青年 +6.00｜最差：老虎大学（Tigres UANL） -8.00</x:v>
      </x:c>
      <x:c r="B125" s="497"/>
      <x:c r="C125" s="497"/>
      <x:c r="D125" s="497"/>
      <x:c r="E125" s="497"/>
      <x:c r="F125" s="498"/>
      <x:c r="G125"/>
      <x:c r="H125"/>
      <x:c r="I125"/>
      <x:c r="J125"/>
      <x:c r="K125"/>
      <x:c r="L125"/>
      <x:c r="M125"/>
      <x:c r="N125"/>
      <x:c r="O125"/>
      <x:c r="P125"/>
      <x:c r="Q125"/>
      <x:c r="R125"/>
    </x:row>
    <x:row r="126">
      <x:c r="A126" s="379"/>
      <x:c r="B126" s="379"/>
      <x:c r="C126" s="379"/>
      <x:c r="D126" s="379"/>
      <x:c r="E126" s="379"/>
      <x:c r="F126" s="379"/>
      <x:c r="G126"/>
      <x:c r="H126"/>
      <x:c r="I126"/>
      <x:c r="J126"/>
      <x:c r="K126"/>
      <x:c r="L126"/>
      <x:c r="M126"/>
      <x:c r="N126"/>
      <x:c r="O126"/>
      <x:c r="P126"/>
      <x:c r="Q126"/>
      <x:c r="R126"/>
    </x:row>
    <x:row r="127" ht="21" customHeight="1">
      <x:c r="A127" s="455" t="str">
        <x:v>最新 50 场 · 详细卡片</x:v>
      </x:c>
      <x:c r="B127" s="456"/>
      <x:c r="C127" s="456"/>
      <x:c r="D127" s="456"/>
      <x:c r="E127" s="456"/>
      <x:c r="F127" s="457"/>
      <x:c r="G127"/>
      <x:c r="H127"/>
      <x:c r="I127"/>
      <x:c r="J127"/>
      <x:c r="K127"/>
      <x:c r="L127"/>
      <x:c r="M127"/>
      <x:c r="N127"/>
      <x:c r="O127"/>
      <x:c r="P127"/>
      <x:c r="Q127"/>
      <x:c r="R127"/>
    </x:row>
    <x:row r="128">
      <x:c r="A128" s="392" t="str">
        <x:v>比赛台账与详细卡片均按开球时间倒序｜最新比赛优先｜可搜索球队、赛事或状态</x:v>
      </x:c>
      <x:c r="B128" s="393"/>
      <x:c r="C128" s="393"/>
      <x:c r="D128" s="393"/>
      <x:c r="E128" s="393"/>
      <x:c r="F128" s="394"/>
      <x:c r="G128"/>
      <x:c r="H128"/>
      <x:c r="I128"/>
      <x:c r="J128"/>
      <x:c r="K128"/>
      <x:c r="L128"/>
      <x:c r="M128"/>
      <x:c r="N128"/>
      <x:c r="O128"/>
      <x:c r="P128"/>
      <x:c r="Q128"/>
      <x:c r="R128"/>
    </x:row>
    <x:row r="129" ht="118.5" customHeight="1">
      <x:c r="A129" s="499" t="str">
        <x:f>IF(1&gt;COUNTA('比赛台账'!$B$5:$B$2600),"","#1  "&amp;TEXT(INDEX('比赛台账'!$B$5:$B$2600,1),"yyyy-mm-dd hh:mm")&amp;"｜"&amp;IF(INDEX('比赛台账'!$J$5:$J$2600,1)="","—",INDEX('比赛台账'!$J$5:$J$2600,1))&amp;CHAR(10)&amp;IF(INDEX('比赛台账'!$C$5:$C$2600,1)="","—",INDEX('比赛台账'!$C$5:$C$2600,1))&amp;"｜"&amp;IF(INDEX('比赛台账'!$D$5:$D$2600,1)="","—",INDEX('比赛台账'!$D$5:$D$2600,1))&amp;" vs "&amp;IF(INDEX('比赛台账'!$E$5:$E$2600,1)="","—",INDEX('比赛台账'!$E$5:$E$2600,1))&amp;CHAR(10)&amp;"让球："&amp;IF(INDEX('比赛台账'!$F$5:$F$2600,1)="","—",INDEX('比赛台账'!$F$5:$F$2600,1))&amp;CHAR(10)&amp;"大小球："&amp;IF(INDEX('比赛台账'!$G$5:$G$2600,1)="","—",INDEX('比赛台账'!$G$5:$G$2600,1))&amp;CHAR(10)&amp;"可选/加仓："&amp;IF(INDEX('比赛台账'!$H$5:$H$2600,1)="","—",INDEX('比赛台账'!$H$5:$H$2600,1))&amp;CHAR(10)&amp;"冻结："&amp;IF(INDEX('比赛台账'!$I$5:$I$2600,1)="","—",TEXT(INDEX('比赛台账'!$I$5:$I$2600,1),"yyyy-mm-dd hh:mm"))&amp;CHAR(10)&amp;"比分："&amp;IF(INDEX('比赛台账'!$K$5:$K$2600,1)="","—",INDEX('比赛台账'!$K$5:$K$2600,1))&amp;"｜让球结论："&amp;IF(INDEX('比赛台账'!$L$5:$L$2600,1)="","—",INDEX('比赛台账'!$L$5:$L$2600,1))&amp;"｜大小球结论："&amp;IF(INDEX('比赛台账'!$M$5:$M$2600,1)="","—",INDEX('比赛台账'!$M$5:$M$2600,1))&amp;CHAR(10)&amp;"盈亏：让球 "&amp;IF(INDEX('比赛台账'!$N$5:$N$2600,1)="","—",TEXT(INDEX('比赛台账'!$N$5:$N$2600,1),"+0.00;-0.00;0.00"))&amp;"｜大小球 "&amp;IF(INDEX('比赛台账'!$O$5:$O$2600,1)="","—",TEXT(INDEX('比赛台账'!$O$5:$O$2600,1),"+0.00;-0.00;0.00"))&amp;"｜合计 "&amp;IF(INDEX('比赛台账'!$P$5:$P$2600,1)="","—",TEXT(INDEX('比赛台账'!$P$5:$P$2600,1),"+0.00;-0.00;0.00"))&amp;"（辅助）"&amp;CHAR(10)&amp;"来源："&amp;IF(INDEX('比赛台账'!$Q$5:$Q$2600,1)="","—",INDEX('比赛台账'!$Q$5:$Q$2600,1))&amp;CHAR(10)&amp;"备注："&amp;IF(INDEX('比赛台账'!$R$5:$R$2600,1)="","—",INDEX('比赛台账'!$R$5:$R$2600,1)))</x:f>
        <x:v>#1  2026-07-19 18:30｜需复核
规范中文名待确认（Republic of Korea - K-League 1）｜富川FC 1995（Bucheon FC 1995） vs 首尔FC（FC Seoul）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来源：https://www.livescore.mobi/football/korea-republic/k-league-1/bucheon-fc-1995-vs-fc-seoul/1723650/；https://www.fotmob.com/matches/x/x#5139969；查询时间：2026-07-18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29" s="500"/>
      <x:c r="C129" s="500"/>
      <x:c r="D129" s="500"/>
      <x:c r="E129" s="500"/>
      <x:c r="F129" s="501"/>
      <x:c r="G129"/>
      <x:c r="H129"/>
      <x:c r="I129"/>
      <x:c r="J129"/>
      <x:c r="K129"/>
      <x:c r="L129"/>
      <x:c r="M129"/>
      <x:c r="N129"/>
      <x:c r="O129"/>
      <x:c r="P129"/>
      <x:c r="Q129"/>
      <x:c r="R129"/>
    </x:row>
    <x:row r="130" ht="118.5" customHeight="1">
      <x:c r="A130" s="512" t="str">
        <x:f>IF(2&gt;COUNTA('比赛台账'!$B$5:$B$2600),"","#2  "&amp;TEXT(INDEX('比赛台账'!$B$5:$B$2600,2),"yyyy-mm-dd hh:mm")&amp;"｜"&amp;IF(INDEX('比赛台账'!$J$5:$J$2600,2)="","—",INDEX('比赛台账'!$J$5:$J$2600,2))&amp;CHAR(10)&amp;IF(INDEX('比赛台账'!$C$5:$C$2600,2)="","—",INDEX('比赛台账'!$C$5:$C$2600,2))&amp;"｜"&amp;IF(INDEX('比赛台账'!$D$5:$D$2600,2)="","—",INDEX('比赛台账'!$D$5:$D$2600,2))&amp;" vs "&amp;IF(INDEX('比赛台账'!$E$5:$E$2600,2)="","—",INDEX('比赛台账'!$E$5:$E$2600,2))&amp;CHAR(10)&amp;"让球："&amp;IF(INDEX('比赛台账'!$F$5:$F$2600,2)="","—",INDEX('比赛台账'!$F$5:$F$2600,2))&amp;CHAR(10)&amp;"大小球："&amp;IF(INDEX('比赛台账'!$G$5:$G$2600,2)="","—",INDEX('比赛台账'!$G$5:$G$2600,2))&amp;CHAR(10)&amp;"可选/加仓："&amp;IF(INDEX('比赛台账'!$H$5:$H$2600,2)="","—",INDEX('比赛台账'!$H$5:$H$2600,2))&amp;CHAR(10)&amp;"冻结："&amp;IF(INDEX('比赛台账'!$I$5:$I$2600,2)="","—",TEXT(INDEX('比赛台账'!$I$5:$I$2600,2),"yyyy-mm-dd hh:mm"))&amp;CHAR(10)&amp;"比分："&amp;IF(INDEX('比赛台账'!$K$5:$K$2600,2)="","—",INDEX('比赛台账'!$K$5:$K$2600,2))&amp;"｜让球结论："&amp;IF(INDEX('比赛台账'!$L$5:$L$2600,2)="","—",INDEX('比赛台账'!$L$5:$L$2600,2))&amp;"｜大小球结论："&amp;IF(INDEX('比赛台账'!$M$5:$M$2600,2)="","—",INDEX('比赛台账'!$M$5:$M$2600,2))&amp;CHAR(10)&amp;"盈亏：让球 "&amp;IF(INDEX('比赛台账'!$N$5:$N$2600,2)="","—",TEXT(INDEX('比赛台账'!$N$5:$N$2600,2),"+0.00;-0.00;0.00"))&amp;"｜大小球 "&amp;IF(INDEX('比赛台账'!$O$5:$O$2600,2)="","—",TEXT(INDEX('比赛台账'!$O$5:$O$2600,2),"+0.00;-0.00;0.00"))&amp;"｜合计 "&amp;IF(INDEX('比赛台账'!$P$5:$P$2600,2)="","—",TEXT(INDEX('比赛台账'!$P$5:$P$2600,2),"+0.00;-0.00;0.00"))&amp;"（辅助）"&amp;CHAR(10)&amp;"来源："&amp;IF(INDEX('比赛台账'!$Q$5:$Q$2600,2)="","—",INDEX('比赛台账'!$Q$5:$Q$2600,2))&amp;CHAR(10)&amp;"备注："&amp;IF(INDEX('比赛台账'!$R$5:$R$2600,2)="","—",INDEX('比赛台账'!$R$5:$R$2600,2)))</x:f>
        <x:v>#2  2026-07-19 18:30｜需复核
韩国K2联赛｜中文名待确认（Cheongju FC） vs 天安城（Cheonan City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来源：https://www.livescore.mobi/football/korea-republic/k-league-2/cheongju-fc-vs-cheonan-city/1729292/；https://www.fotmob.com/matches/x/x#5155844；查询时间：2026-07-18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30" s="513"/>
      <x:c r="C130" s="513"/>
      <x:c r="D130" s="513"/>
      <x:c r="E130" s="513"/>
      <x:c r="F130" s="514"/>
      <x:c r="G130"/>
      <x:c r="H130"/>
      <x:c r="I130"/>
      <x:c r="J130"/>
      <x:c r="K130"/>
      <x:c r="L130"/>
      <x:c r="M130"/>
      <x:c r="N130"/>
      <x:c r="O130"/>
      <x:c r="P130"/>
      <x:c r="Q130"/>
      <x:c r="R130"/>
    </x:row>
    <x:row r="131" ht="118.5" customHeight="1">
      <x:c r="A131" s="499" t="str">
        <x:f>IF(3&gt;COUNTA('比赛台账'!$B$5:$B$2600),"","#3  "&amp;TEXT(INDEX('比赛台账'!$B$5:$B$2600,3),"yyyy-mm-dd hh:mm")&amp;"｜"&amp;IF(INDEX('比赛台账'!$J$5:$J$2600,3)="","—",INDEX('比赛台账'!$J$5:$J$2600,3))&amp;CHAR(10)&amp;IF(INDEX('比赛台账'!$C$5:$C$2600,3)="","—",INDEX('比赛台账'!$C$5:$C$2600,3))&amp;"｜"&amp;IF(INDEX('比赛台账'!$D$5:$D$2600,3)="","—",INDEX('比赛台账'!$D$5:$D$2600,3))&amp;" vs "&amp;IF(INDEX('比赛台账'!$E$5:$E$2600,3)="","—",INDEX('比赛台账'!$E$5:$E$2600,3))&amp;CHAR(10)&amp;"让球："&amp;IF(INDEX('比赛台账'!$F$5:$F$2600,3)="","—",INDEX('比赛台账'!$F$5:$F$2600,3))&amp;CHAR(10)&amp;"大小球："&amp;IF(INDEX('比赛台账'!$G$5:$G$2600,3)="","—",INDEX('比赛台账'!$G$5:$G$2600,3))&amp;CHAR(10)&amp;"可选/加仓："&amp;IF(INDEX('比赛台账'!$H$5:$H$2600,3)="","—",INDEX('比赛台账'!$H$5:$H$2600,3))&amp;CHAR(10)&amp;"冻结："&amp;IF(INDEX('比赛台账'!$I$5:$I$2600,3)="","—",TEXT(INDEX('比赛台账'!$I$5:$I$2600,3),"yyyy-mm-dd hh:mm"))&amp;CHAR(10)&amp;"比分："&amp;IF(INDEX('比赛台账'!$K$5:$K$2600,3)="","—",INDEX('比赛台账'!$K$5:$K$2600,3))&amp;"｜让球结论："&amp;IF(INDEX('比赛台账'!$L$5:$L$2600,3)="","—",INDEX('比赛台账'!$L$5:$L$2600,3))&amp;"｜大小球结论："&amp;IF(INDEX('比赛台账'!$M$5:$M$2600,3)="","—",INDEX('比赛台账'!$M$5:$M$2600,3))&amp;CHAR(10)&amp;"盈亏：让球 "&amp;IF(INDEX('比赛台账'!$N$5:$N$2600,3)="","—",TEXT(INDEX('比赛台账'!$N$5:$N$2600,3),"+0.00;-0.00;0.00"))&amp;"｜大小球 "&amp;IF(INDEX('比赛台账'!$O$5:$O$2600,3)="","—",TEXT(INDEX('比赛台账'!$O$5:$O$2600,3),"+0.00;-0.00;0.00"))&amp;"｜合计 "&amp;IF(INDEX('比赛台账'!$P$5:$P$2600,3)="","—",TEXT(INDEX('比赛台账'!$P$5:$P$2600,3),"+0.00;-0.00;0.00"))&amp;"（辅助）"&amp;CHAR(10)&amp;"来源："&amp;IF(INDEX('比赛台账'!$Q$5:$Q$2600,3)="","—",INDEX('比赛台账'!$Q$5:$Q$2600,3))&amp;CHAR(10)&amp;"备注："&amp;IF(INDEX('比赛台账'!$R$5:$R$2600,3)="","—",INDEX('比赛台账'!$R$5:$R$2600,3)))</x:f>
        <x:v>#3  2026-07-19 18:30｜需复核
规范中文名待确认（Republic of Korea - K-League 1）｜安养FC（FC Anyang） vs 光州FC（Gwangju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来源：https://www.livescore.mobi/football/korea-republic/k-league-1/fc-anyang-vs-gwangju-fc/1723649/；https://www.fotmob.com/matches/x/x#5139968；查询时间：2026-07-18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31" s="500"/>
      <x:c r="C131" s="500"/>
      <x:c r="D131" s="500"/>
      <x:c r="E131" s="500"/>
      <x:c r="F131" s="501"/>
      <x:c r="G131"/>
      <x:c r="H131"/>
      <x:c r="I131"/>
      <x:c r="J131"/>
      <x:c r="K131"/>
      <x:c r="L131"/>
      <x:c r="M131"/>
      <x:c r="N131"/>
      <x:c r="O131"/>
      <x:c r="P131"/>
      <x:c r="Q131"/>
      <x:c r="R131"/>
    </x:row>
    <x:row r="132" ht="118.5" customHeight="1">
      <x:c r="A132" s="512" t="str">
        <x:f>IF(4&gt;COUNTA('比赛台账'!$B$5:$B$2600),"","#4  "&amp;TEXT(INDEX('比赛台账'!$B$5:$B$2600,4),"yyyy-mm-dd hh:mm")&amp;"｜"&amp;IF(INDEX('比赛台账'!$J$5:$J$2600,4)="","—",INDEX('比赛台账'!$J$5:$J$2600,4))&amp;CHAR(10)&amp;IF(INDEX('比赛台账'!$C$5:$C$2600,4)="","—",INDEX('比赛台账'!$C$5:$C$2600,4))&amp;"｜"&amp;IF(INDEX('比赛台账'!$D$5:$D$2600,4)="","—",INDEX('比赛台账'!$D$5:$D$2600,4))&amp;" vs "&amp;IF(INDEX('比赛台账'!$E$5:$E$2600,4)="","—",INDEX('比赛台账'!$E$5:$E$2600,4))&amp;CHAR(10)&amp;"让球："&amp;IF(INDEX('比赛台账'!$F$5:$F$2600,4)="","—",INDEX('比赛台账'!$F$5:$F$2600,4))&amp;CHAR(10)&amp;"大小球："&amp;IF(INDEX('比赛台账'!$G$5:$G$2600,4)="","—",INDEX('比赛台账'!$G$5:$G$2600,4))&amp;CHAR(10)&amp;"可选/加仓："&amp;IF(INDEX('比赛台账'!$H$5:$H$2600,4)="","—",INDEX('比赛台账'!$H$5:$H$2600,4))&amp;CHAR(10)&amp;"冻结："&amp;IF(INDEX('比赛台账'!$I$5:$I$2600,4)="","—",TEXT(INDEX('比赛台账'!$I$5:$I$2600,4),"yyyy-mm-dd hh:mm"))&amp;CHAR(10)&amp;"比分："&amp;IF(INDEX('比赛台账'!$K$5:$K$2600,4)="","—",INDEX('比赛台账'!$K$5:$K$2600,4))&amp;"｜让球结论："&amp;IF(INDEX('比赛台账'!$L$5:$L$2600,4)="","—",INDEX('比赛台账'!$L$5:$L$2600,4))&amp;"｜大小球结论："&amp;IF(INDEX('比赛台账'!$M$5:$M$2600,4)="","—",INDEX('比赛台账'!$M$5:$M$2600,4))&amp;CHAR(10)&amp;"盈亏：让球 "&amp;IF(INDEX('比赛台账'!$N$5:$N$2600,4)="","—",TEXT(INDEX('比赛台账'!$N$5:$N$2600,4),"+0.00;-0.00;0.00"))&amp;"｜大小球 "&amp;IF(INDEX('比赛台账'!$O$5:$O$2600,4)="","—",TEXT(INDEX('比赛台账'!$O$5:$O$2600,4),"+0.00;-0.00;0.00"))&amp;"｜合计 "&amp;IF(INDEX('比赛台账'!$P$5:$P$2600,4)="","—",TEXT(INDEX('比赛台账'!$P$5:$P$2600,4),"+0.00;-0.00;0.00"))&amp;"（辅助）"&amp;CHAR(10)&amp;"来源："&amp;IF(INDEX('比赛台账'!$Q$5:$Q$2600,4)="","—",INDEX('比赛台账'!$Q$5:$Q$2600,4))&amp;CHAR(10)&amp;"备注："&amp;IF(INDEX('比赛台账'!$R$5:$R$2600,4)="","—",INDEX('比赛台账'!$R$5:$R$2600,4)))</x:f>
        <x:v>#4  2026-07-19 18:30｜需复核
韩国K2联赛｜中文名待确认（Gyeongnam FC） vs 中文名待确认（Ansan Greeners）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来源：https://www.livescore.mobi/football/korea-republic/k-league-2/gyeongnam-fc-vs-ansan-greeners/1729294/；https://www.fotmob.com/matches/x/x#5155845；查询时间：2026-07-18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32" s="513"/>
      <x:c r="C132" s="513"/>
      <x:c r="D132" s="513"/>
      <x:c r="E132" s="513"/>
      <x:c r="F132" s="514"/>
      <x:c r="G132"/>
      <x:c r="H132"/>
      <x:c r="I132"/>
      <x:c r="J132"/>
      <x:c r="K132"/>
      <x:c r="L132"/>
      <x:c r="M132"/>
      <x:c r="N132"/>
      <x:c r="O132"/>
      <x:c r="P132"/>
      <x:c r="Q132"/>
      <x:c r="R132"/>
    </x:row>
    <x:row r="133" ht="118.5" customHeight="1">
      <x:c r="A133" s="499" t="str">
        <x:f>IF(5&gt;COUNTA('比赛台账'!$B$5:$B$2600),"","#5  "&amp;TEXT(INDEX('比赛台账'!$B$5:$B$2600,5),"yyyy-mm-dd hh:mm")&amp;"｜"&amp;IF(INDEX('比赛台账'!$J$5:$J$2600,5)="","—",INDEX('比赛台账'!$J$5:$J$2600,5))&amp;CHAR(10)&amp;IF(INDEX('比赛台账'!$C$5:$C$2600,5)="","—",INDEX('比赛台账'!$C$5:$C$2600,5))&amp;"｜"&amp;IF(INDEX('比赛台账'!$D$5:$D$2600,5)="","—",INDEX('比赛台账'!$D$5:$D$2600,5))&amp;" vs "&amp;IF(INDEX('比赛台账'!$E$5:$E$2600,5)="","—",INDEX('比赛台账'!$E$5:$E$2600,5))&amp;CHAR(10)&amp;"让球："&amp;IF(INDEX('比赛台账'!$F$5:$F$2600,5)="","—",INDEX('比赛台账'!$F$5:$F$2600,5))&amp;CHAR(10)&amp;"大小球："&amp;IF(INDEX('比赛台账'!$G$5:$G$2600,5)="","—",INDEX('比赛台账'!$G$5:$G$2600,5))&amp;CHAR(10)&amp;"可选/加仓："&amp;IF(INDEX('比赛台账'!$H$5:$H$2600,5)="","—",INDEX('比赛台账'!$H$5:$H$2600,5))&amp;CHAR(10)&amp;"冻结："&amp;IF(INDEX('比赛台账'!$I$5:$I$2600,5)="","—",TEXT(INDEX('比赛台账'!$I$5:$I$2600,5),"yyyy-mm-dd hh:mm"))&amp;CHAR(10)&amp;"比分："&amp;IF(INDEX('比赛台账'!$K$5:$K$2600,5)="","—",INDEX('比赛台账'!$K$5:$K$2600,5))&amp;"｜让球结论："&amp;IF(INDEX('比赛台账'!$L$5:$L$2600,5)="","—",INDEX('比赛台账'!$L$5:$L$2600,5))&amp;"｜大小球结论："&amp;IF(INDEX('比赛台账'!$M$5:$M$2600,5)="","—",INDEX('比赛台账'!$M$5:$M$2600,5))&amp;CHAR(10)&amp;"盈亏：让球 "&amp;IF(INDEX('比赛台账'!$N$5:$N$2600,5)="","—",TEXT(INDEX('比赛台账'!$N$5:$N$2600,5),"+0.00;-0.00;0.00"))&amp;"｜大小球 "&amp;IF(INDEX('比赛台账'!$O$5:$O$2600,5)="","—",TEXT(INDEX('比赛台账'!$O$5:$O$2600,5),"+0.00;-0.00;0.00"))&amp;"｜合计 "&amp;IF(INDEX('比赛台账'!$P$5:$P$2600,5)="","—",TEXT(INDEX('比赛台账'!$P$5:$P$2600,5),"+0.00;-0.00;0.00"))&amp;"（辅助）"&amp;CHAR(10)&amp;"来源："&amp;IF(INDEX('比赛台账'!$Q$5:$Q$2600,5)="","—",INDEX('比赛台账'!$Q$5:$Q$2600,5))&amp;CHAR(10)&amp;"备注："&amp;IF(INDEX('比赛台账'!$R$5:$R$2600,5)="","—",INDEX('比赛台账'!$R$5:$R$2600,5)))</x:f>
        <x:v>#5  2026-07-19 18:30｜需复核
韩国K2联赛｜中文名待确认（Suwon Bluewings） vs 中文名待确认（Paju Citizens）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来源：https://www.livescore.mobi/football/korea-republic/k-league-2/suwon-bluewings-vs-paju-citizens/1729291/；https://www.fotmob.com/matches/x/x#5155846；查询时间：2026-07-18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33" s="500"/>
      <x:c r="C133" s="500"/>
      <x:c r="D133" s="500"/>
      <x:c r="E133" s="500"/>
      <x:c r="F133" s="501"/>
      <x:c r="G133"/>
      <x:c r="H133"/>
      <x:c r="I133"/>
      <x:c r="J133"/>
      <x:c r="K133"/>
      <x:c r="L133"/>
      <x:c r="M133"/>
      <x:c r="N133"/>
      <x:c r="O133"/>
      <x:c r="P133"/>
      <x:c r="Q133"/>
      <x:c r="R133"/>
    </x:row>
    <x:row r="134" ht="118.5" customHeight="1">
      <x:c r="A134" s="512" t="str">
        <x:f>IF(6&gt;COUNTA('比赛台账'!$B$5:$B$2600),"","#6  "&amp;TEXT(INDEX('比赛台账'!$B$5:$B$2600,6),"yyyy-mm-dd hh:mm")&amp;"｜"&amp;IF(INDEX('比赛台账'!$J$5:$J$2600,6)="","—",INDEX('比赛台账'!$J$5:$J$2600,6))&amp;CHAR(10)&amp;IF(INDEX('比赛台账'!$C$5:$C$2600,6)="","—",INDEX('比赛台账'!$C$5:$C$2600,6))&amp;"｜"&amp;IF(INDEX('比赛台账'!$D$5:$D$2600,6)="","—",INDEX('比赛台账'!$D$5:$D$2600,6))&amp;" vs "&amp;IF(INDEX('比赛台账'!$E$5:$E$2600,6)="","—",INDEX('比赛台账'!$E$5:$E$2600,6))&amp;CHAR(10)&amp;"让球："&amp;IF(INDEX('比赛台账'!$F$5:$F$2600,6)="","—",INDEX('比赛台账'!$F$5:$F$2600,6))&amp;CHAR(10)&amp;"大小球："&amp;IF(INDEX('比赛台账'!$G$5:$G$2600,6)="","—",INDEX('比赛台账'!$G$5:$G$2600,6))&amp;CHAR(10)&amp;"可选/加仓："&amp;IF(INDEX('比赛台账'!$H$5:$H$2600,6)="","—",INDEX('比赛台账'!$H$5:$H$2600,6))&amp;CHAR(10)&amp;"冻结："&amp;IF(INDEX('比赛台账'!$I$5:$I$2600,6)="","—",TEXT(INDEX('比赛台账'!$I$5:$I$2600,6),"yyyy-mm-dd hh:mm"))&amp;CHAR(10)&amp;"比分："&amp;IF(INDEX('比赛台账'!$K$5:$K$2600,6)="","—",INDEX('比赛台账'!$K$5:$K$2600,6))&amp;"｜让球结论："&amp;IF(INDEX('比赛台账'!$L$5:$L$2600,6)="","—",INDEX('比赛台账'!$L$5:$L$2600,6))&amp;"｜大小球结论："&amp;IF(INDEX('比赛台账'!$M$5:$M$2600,6)="","—",INDEX('比赛台账'!$M$5:$M$2600,6))&amp;CHAR(10)&amp;"盈亏：让球 "&amp;IF(INDEX('比赛台账'!$N$5:$N$2600,6)="","—",TEXT(INDEX('比赛台账'!$N$5:$N$2600,6),"+0.00;-0.00;0.00"))&amp;"｜大小球 "&amp;IF(INDEX('比赛台账'!$O$5:$O$2600,6)="","—",TEXT(INDEX('比赛台账'!$O$5:$O$2600,6),"+0.00;-0.00;0.00"))&amp;"｜合计 "&amp;IF(INDEX('比赛台账'!$P$5:$P$2600,6)="","—",TEXT(INDEX('比赛台账'!$P$5:$P$2600,6),"+0.00;-0.00;0.00"))&amp;"（辅助）"&amp;CHAR(10)&amp;"来源："&amp;IF(INDEX('比赛台账'!$Q$5:$Q$2600,6)="","—",INDEX('比赛台账'!$Q$5:$Q$2600,6))&amp;CHAR(10)&amp;"备注："&amp;IF(INDEX('比赛台账'!$R$5:$R$2600,6)="","—",INDEX('比赛台账'!$R$5:$R$2600,6)))</x:f>
        <x:v>#6  2026-07-19 18:30｜需复核
韩国K2联赛｜中文名待确认（Yongin FC） vs 中文名待确认（Hwaseong）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来源：https://www.livescore.mobi/football/korea-republic/k-league-2/yongin-fc-vs-hwaseong/1729293/；https://www.fotmob.com/matches/x/x#5155847；查询时间：2026-07-18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34" s="513"/>
      <x:c r="C134" s="513"/>
      <x:c r="D134" s="513"/>
      <x:c r="E134" s="513"/>
      <x:c r="F134" s="514"/>
      <x:c r="G134"/>
      <x:c r="H134"/>
      <x:c r="I134"/>
      <x:c r="J134"/>
      <x:c r="K134"/>
      <x:c r="L134"/>
      <x:c r="M134"/>
      <x:c r="N134"/>
      <x:c r="O134"/>
      <x:c r="P134"/>
      <x:c r="Q134"/>
      <x:c r="R134"/>
    </x:row>
    <x:row r="135" ht="118.5" customHeight="1">
      <x:c r="A135" s="499" t="str">
        <x:f>IF(7&gt;COUNTA('比赛台账'!$B$5:$B$2600),"","#7  "&amp;TEXT(INDEX('比赛台账'!$B$5:$B$2600,7),"yyyy-mm-dd hh:mm")&amp;"｜"&amp;IF(INDEX('比赛台账'!$J$5:$J$2600,7)="","—",INDEX('比赛台账'!$J$5:$J$2600,7))&amp;CHAR(10)&amp;IF(INDEX('比赛台账'!$C$5:$C$2600,7)="","—",INDEX('比赛台账'!$C$5:$C$2600,7))&amp;"｜"&amp;IF(INDEX('比赛台账'!$D$5:$D$2600,7)="","—",INDEX('比赛台账'!$D$5:$D$2600,7))&amp;" vs "&amp;IF(INDEX('比赛台账'!$E$5:$E$2600,7)="","—",INDEX('比赛台账'!$E$5:$E$2600,7))&amp;CHAR(10)&amp;"让球："&amp;IF(INDEX('比赛台账'!$F$5:$F$2600,7)="","—",INDEX('比赛台账'!$F$5:$F$2600,7))&amp;CHAR(10)&amp;"大小球："&amp;IF(INDEX('比赛台账'!$G$5:$G$2600,7)="","—",INDEX('比赛台账'!$G$5:$G$2600,7))&amp;CHAR(10)&amp;"可选/加仓："&amp;IF(INDEX('比赛台账'!$H$5:$H$2600,7)="","—",INDEX('比赛台账'!$H$5:$H$2600,7))&amp;CHAR(10)&amp;"冻结："&amp;IF(INDEX('比赛台账'!$I$5:$I$2600,7)="","—",TEXT(INDEX('比赛台账'!$I$5:$I$2600,7),"yyyy-mm-dd hh:mm"))&amp;CHAR(10)&amp;"比分："&amp;IF(INDEX('比赛台账'!$K$5:$K$2600,7)="","—",INDEX('比赛台账'!$K$5:$K$2600,7))&amp;"｜让球结论："&amp;IF(INDEX('比赛台账'!$L$5:$L$2600,7)="","—",INDEX('比赛台账'!$L$5:$L$2600,7))&amp;"｜大小球结论："&amp;IF(INDEX('比赛台账'!$M$5:$M$2600,7)="","—",INDEX('比赛台账'!$M$5:$M$2600,7))&amp;CHAR(10)&amp;"盈亏：让球 "&amp;IF(INDEX('比赛台账'!$N$5:$N$2600,7)="","—",TEXT(INDEX('比赛台账'!$N$5:$N$2600,7),"+0.00;-0.00;0.00"))&amp;"｜大小球 "&amp;IF(INDEX('比赛台账'!$O$5:$O$2600,7)="","—",TEXT(INDEX('比赛台账'!$O$5:$O$2600,7),"+0.00;-0.00;0.00"))&amp;"｜合计 "&amp;IF(INDEX('比赛台账'!$P$5:$P$2600,7)="","—",TEXT(INDEX('比赛台账'!$P$5:$P$2600,7),"+0.00;-0.00;0.00"))&amp;"（辅助）"&amp;CHAR(10)&amp;"来源："&amp;IF(INDEX('比赛台账'!$Q$5:$Q$2600,7)="","—",INDEX('比赛台账'!$Q$5:$Q$2600,7))&amp;CHAR(10)&amp;"备注："&amp;IF(INDEX('比赛台账'!$R$5:$R$2600,7)="","—",INDEX('比赛台账'!$R$5:$R$2600,7)))</x:f>
        <x:v>#7  2026-07-19 18:00｜需复核
国际俱乐部友谊赛｜唐迪拉（Tondela） vs 乌拉圭民族（Nacional）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来源：https://www.livescore.mobi/football/club-friendlies/club-friendlies-2026/tondela-vs-nacional/1834608/；https://www.fotmob.com/matches/x/x#5933262；查询时间：2026-07-18 19:02（北京时间）
备注：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35" s="500"/>
      <x:c r="C135" s="500"/>
      <x:c r="D135" s="500"/>
      <x:c r="E135" s="500"/>
      <x:c r="F135" s="501"/>
      <x:c r="G135"/>
      <x:c r="H135"/>
      <x:c r="I135"/>
      <x:c r="J135"/>
      <x:c r="K135"/>
      <x:c r="L135"/>
      <x:c r="M135"/>
      <x:c r="N135"/>
      <x:c r="O135"/>
      <x:c r="P135"/>
      <x:c r="Q135"/>
      <x:c r="R135"/>
    </x:row>
    <x:row r="136" ht="118.5" customHeight="1">
      <x:c r="A136" s="512" t="str">
        <x:f>IF(8&gt;COUNTA('比赛台账'!$B$5:$B$2600),"","#8  "&amp;TEXT(INDEX('比赛台账'!$B$5:$B$2600,8),"yyyy-mm-dd hh:mm")&amp;"｜"&amp;IF(INDEX('比赛台账'!$J$5:$J$2600,8)="","—",INDEX('比赛台账'!$J$5:$J$2600,8))&amp;CHAR(10)&amp;IF(INDEX('比赛台账'!$C$5:$C$2600,8)="","—",INDEX('比赛台账'!$C$5:$C$2600,8))&amp;"｜"&amp;IF(INDEX('比赛台账'!$D$5:$D$2600,8)="","—",INDEX('比赛台账'!$D$5:$D$2600,8))&amp;" vs "&amp;IF(INDEX('比赛台账'!$E$5:$E$2600,8)="","—",INDEX('比赛台账'!$E$5:$E$2600,8))&amp;CHAR(10)&amp;"让球："&amp;IF(INDEX('比赛台账'!$F$5:$F$2600,8)="","—",INDEX('比赛台账'!$F$5:$F$2600,8))&amp;CHAR(10)&amp;"大小球："&amp;IF(INDEX('比赛台账'!$G$5:$G$2600,8)="","—",INDEX('比赛台账'!$G$5:$G$2600,8))&amp;CHAR(10)&amp;"可选/加仓："&amp;IF(INDEX('比赛台账'!$H$5:$H$2600,8)="","—",INDEX('比赛台账'!$H$5:$H$2600,8))&amp;CHAR(10)&amp;"冻结："&amp;IF(INDEX('比赛台账'!$I$5:$I$2600,8)="","—",TEXT(INDEX('比赛台账'!$I$5:$I$2600,8),"yyyy-mm-dd hh:mm"))&amp;CHAR(10)&amp;"比分："&amp;IF(INDEX('比赛台账'!$K$5:$K$2600,8)="","—",INDEX('比赛台账'!$K$5:$K$2600,8))&amp;"｜让球结论："&amp;IF(INDEX('比赛台账'!$L$5:$L$2600,8)="","—",INDEX('比赛台账'!$L$5:$L$2600,8))&amp;"｜大小球结论："&amp;IF(INDEX('比赛台账'!$M$5:$M$2600,8)="","—",INDEX('比赛台账'!$M$5:$M$2600,8))&amp;CHAR(10)&amp;"盈亏：让球 "&amp;IF(INDEX('比赛台账'!$N$5:$N$2600,8)="","—",TEXT(INDEX('比赛台账'!$N$5:$N$2600,8),"+0.00;-0.00;0.00"))&amp;"｜大小球 "&amp;IF(INDEX('比赛台账'!$O$5:$O$2600,8)="","—",TEXT(INDEX('比赛台账'!$O$5:$O$2600,8),"+0.00;-0.00;0.00"))&amp;"｜合计 "&amp;IF(INDEX('比赛台账'!$P$5:$P$2600,8)="","—",TEXT(INDEX('比赛台账'!$P$5:$P$2600,8),"+0.00;-0.00;0.00"))&amp;"（辅助）"&amp;CHAR(10)&amp;"来源："&amp;IF(INDEX('比赛台账'!$Q$5:$Q$2600,8)="","—",INDEX('比赛台账'!$Q$5:$Q$2600,8))&amp;CHAR(10)&amp;"备注："&amp;IF(INDEX('比赛台账'!$R$5:$R$2600,8)="","—",INDEX('比赛台账'!$R$5:$R$2600,8)))</x:f>
        <x:v>#8  2026-07-19 17:00｜需复核
国际俱乐部友谊赛｜中文名待确认（Dornbirn） vs 中文名待确认（SCR Altach）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来源：https://www.livescore.mobi/football/club-friendlies/club-friendlies-2026/dornbirn-vs-scr-altach/1821746/；查询时间：2026-07-18 19:02（北京时间）
备注：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36" s="513"/>
      <x:c r="C136" s="513"/>
      <x:c r="D136" s="513"/>
      <x:c r="E136" s="513"/>
      <x:c r="F136" s="514"/>
      <x:c r="G136"/>
      <x:c r="H136"/>
      <x:c r="I136"/>
      <x:c r="J136"/>
      <x:c r="K136"/>
      <x:c r="L136"/>
      <x:c r="M136"/>
      <x:c r="N136"/>
      <x:c r="O136"/>
      <x:c r="P136"/>
      <x:c r="Q136"/>
      <x:c r="R136"/>
    </x:row>
    <x:row r="137" ht="118.5" customHeight="1">
      <x:c r="A137" s="499" t="str">
        <x:f>IF(9&gt;COUNTA('比赛台账'!$B$5:$B$2600),"","#9  "&amp;TEXT(INDEX('比赛台账'!$B$5:$B$2600,9),"yyyy-mm-dd hh:mm")&amp;"｜"&amp;IF(INDEX('比赛台账'!$J$5:$J$2600,9)="","—",INDEX('比赛台账'!$J$5:$J$2600,9))&amp;CHAR(10)&amp;IF(INDEX('比赛台账'!$C$5:$C$2600,9)="","—",INDEX('比赛台账'!$C$5:$C$2600,9))&amp;"｜"&amp;IF(INDEX('比赛台账'!$D$5:$D$2600,9)="","—",INDEX('比赛台账'!$D$5:$D$2600,9))&amp;" vs "&amp;IF(INDEX('比赛台账'!$E$5:$E$2600,9)="","—",INDEX('比赛台账'!$E$5:$E$2600,9))&amp;CHAR(10)&amp;"让球："&amp;IF(INDEX('比赛台账'!$F$5:$F$2600,9)="","—",INDEX('比赛台账'!$F$5:$F$2600,9))&amp;CHAR(10)&amp;"大小球："&amp;IF(INDEX('比赛台账'!$G$5:$G$2600,9)="","—",INDEX('比赛台账'!$G$5:$G$2600,9))&amp;CHAR(10)&amp;"可选/加仓："&amp;IF(INDEX('比赛台账'!$H$5:$H$2600,9)="","—",INDEX('比赛台账'!$H$5:$H$2600,9))&amp;CHAR(10)&amp;"冻结："&amp;IF(INDEX('比赛台账'!$I$5:$I$2600,9)="","—",TEXT(INDEX('比赛台账'!$I$5:$I$2600,9),"yyyy-mm-dd hh:mm"))&amp;CHAR(10)&amp;"比分："&amp;IF(INDEX('比赛台账'!$K$5:$K$2600,9)="","—",INDEX('比赛台账'!$K$5:$K$2600,9))&amp;"｜让球结论："&amp;IF(INDEX('比赛台账'!$L$5:$L$2600,9)="","—",INDEX('比赛台账'!$L$5:$L$2600,9))&amp;"｜大小球结论："&amp;IF(INDEX('比赛台账'!$M$5:$M$2600,9)="","—",INDEX('比赛台账'!$M$5:$M$2600,9))&amp;CHAR(10)&amp;"盈亏：让球 "&amp;IF(INDEX('比赛台账'!$N$5:$N$2600,9)="","—",TEXT(INDEX('比赛台账'!$N$5:$N$2600,9),"+0.00;-0.00;0.00"))&amp;"｜大小球 "&amp;IF(INDEX('比赛台账'!$O$5:$O$2600,9)="","—",TEXT(INDEX('比赛台账'!$O$5:$O$2600,9),"+0.00;-0.00;0.00"))&amp;"｜合计 "&amp;IF(INDEX('比赛台账'!$P$5:$P$2600,9)="","—",TEXT(INDEX('比赛台账'!$P$5:$P$2600,9),"+0.00;-0.00;0.00"))&amp;"（辅助）"&amp;CHAR(10)&amp;"来源："&amp;IF(INDEX('比赛台账'!$Q$5:$Q$2600,9)="","—",INDEX('比赛台账'!$Q$5:$Q$2600,9))&amp;CHAR(10)&amp;"备注："&amp;IF(INDEX('比赛台账'!$R$5:$R$2600,9)="","—",INDEX('比赛台账'!$R$5:$R$2600,9)))</x:f>
        <x:v>#9  2026-07-19 16:30｜需复核
澳大利亚北区超级联赛｜中文名待确认（Casuarina） vs 中文名待确认（Mindil Aces）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来源：https://www.livescore.mobi/football/australia/northern/casuarina-vs-mindil-aces/1775411/；查询时间：2026-07-18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37" s="500"/>
      <x:c r="C137" s="500"/>
      <x:c r="D137" s="500"/>
      <x:c r="E137" s="500"/>
      <x:c r="F137" s="501"/>
      <x:c r="G137"/>
      <x:c r="H137"/>
      <x:c r="I137"/>
      <x:c r="J137"/>
      <x:c r="K137"/>
      <x:c r="L137"/>
      <x:c r="M137"/>
      <x:c r="N137"/>
      <x:c r="O137"/>
      <x:c r="P137"/>
      <x:c r="Q137"/>
      <x:c r="R137"/>
    </x:row>
    <x:row r="138" ht="118.5" customHeight="1">
      <x:c r="A138" s="512" t="str">
        <x:f>IF(10&gt;COUNTA('比赛台账'!$B$5:$B$2600),"","#10  "&amp;TEXT(INDEX('比赛台账'!$B$5:$B$2600,10),"yyyy-mm-dd hh:mm")&amp;"｜"&amp;IF(INDEX('比赛台账'!$J$5:$J$2600,10)="","—",INDEX('比赛台账'!$J$5:$J$2600,10))&amp;CHAR(10)&amp;IF(INDEX('比赛台账'!$C$5:$C$2600,10)="","—",INDEX('比赛台账'!$C$5:$C$2600,10))&amp;"｜"&amp;IF(INDEX('比赛台账'!$D$5:$D$2600,10)="","—",INDEX('比赛台账'!$D$5:$D$2600,10))&amp;" vs "&amp;IF(INDEX('比赛台账'!$E$5:$E$2600,10)="","—",INDEX('比赛台账'!$E$5:$E$2600,10))&amp;CHAR(10)&amp;"让球："&amp;IF(INDEX('比赛台账'!$F$5:$F$2600,10)="","—",INDEX('比赛台账'!$F$5:$F$2600,10))&amp;CHAR(10)&amp;"大小球："&amp;IF(INDEX('比赛台账'!$G$5:$G$2600,10)="","—",INDEX('比赛台账'!$G$5:$G$2600,10))&amp;CHAR(10)&amp;"可选/加仓："&amp;IF(INDEX('比赛台账'!$H$5:$H$2600,10)="","—",INDEX('比赛台账'!$H$5:$H$2600,10))&amp;CHAR(10)&amp;"冻结："&amp;IF(INDEX('比赛台账'!$I$5:$I$2600,10)="","—",TEXT(INDEX('比赛台账'!$I$5:$I$2600,10),"yyyy-mm-dd hh:mm"))&amp;CHAR(10)&amp;"比分："&amp;IF(INDEX('比赛台账'!$K$5:$K$2600,10)="","—",INDEX('比赛台账'!$K$5:$K$2600,10))&amp;"｜让球结论："&amp;IF(INDEX('比赛台账'!$L$5:$L$2600,10)="","—",INDEX('比赛台账'!$L$5:$L$2600,10))&amp;"｜大小球结论："&amp;IF(INDEX('比赛台账'!$M$5:$M$2600,10)="","—",INDEX('比赛台账'!$M$5:$M$2600,10))&amp;CHAR(10)&amp;"盈亏：让球 "&amp;IF(INDEX('比赛台账'!$N$5:$N$2600,10)="","—",TEXT(INDEX('比赛台账'!$N$5:$N$2600,10),"+0.00;-0.00;0.00"))&amp;"｜大小球 "&amp;IF(INDEX('比赛台账'!$O$5:$O$2600,10)="","—",TEXT(INDEX('比赛台账'!$O$5:$O$2600,10),"+0.00;-0.00;0.00"))&amp;"｜合计 "&amp;IF(INDEX('比赛台账'!$P$5:$P$2600,10)="","—",TEXT(INDEX('比赛台账'!$P$5:$P$2600,10),"+0.00;-0.00;0.00"))&amp;"（辅助）"&amp;CHAR(10)&amp;"来源："&amp;IF(INDEX('比赛台账'!$Q$5:$Q$2600,10)="","—",INDEX('比赛台账'!$Q$5:$Q$2600,10))&amp;CHAR(10)&amp;"备注："&amp;IF(INDEX('比赛台账'!$R$5:$R$2600,10)="","—",INDEX('比赛台账'!$R$5:$R$2600,10)))</x:f>
        <x:v>#10  2026-07-19 16:30｜需复核
澳大利亚南澳大利亚州超级联赛｜FK贝尔格莱德（FK Beograd） vs 中文名待确认（Adelaide United Youth）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来源：https://www.livescore.mobi/football/australia/npl-south-australia/fk-beograd-vs-adelaide-united-youth/1723281/；查询时间：2026-07-18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38" s="513"/>
      <x:c r="C138" s="513"/>
      <x:c r="D138" s="513"/>
      <x:c r="E138" s="513"/>
      <x:c r="F138" s="514"/>
      <x:c r="G138"/>
      <x:c r="H138"/>
      <x:c r="I138"/>
      <x:c r="J138"/>
      <x:c r="K138"/>
      <x:c r="L138"/>
      <x:c r="M138"/>
      <x:c r="N138"/>
      <x:c r="O138"/>
      <x:c r="P138"/>
      <x:c r="Q138"/>
      <x:c r="R138"/>
    </x:row>
    <x:row r="139" ht="118.5" customHeight="1">
      <x:c r="A139" s="499" t="str">
        <x:f>IF(11&gt;COUNTA('比赛台账'!$B$5:$B$2600),"","#11  "&amp;TEXT(INDEX('比赛台账'!$B$5:$B$2600,11),"yyyy-mm-dd hh:mm")&amp;"｜"&amp;IF(INDEX('比赛台账'!$J$5:$J$2600,11)="","—",INDEX('比赛台账'!$J$5:$J$2600,11))&amp;CHAR(10)&amp;IF(INDEX('比赛台账'!$C$5:$C$2600,11)="","—",INDEX('比赛台账'!$C$5:$C$2600,11))&amp;"｜"&amp;IF(INDEX('比赛台账'!$D$5:$D$2600,11)="","—",INDEX('比赛台账'!$D$5:$D$2600,11))&amp;" vs "&amp;IF(INDEX('比赛台账'!$E$5:$E$2600,11)="","—",INDEX('比赛台账'!$E$5:$E$2600,11))&amp;CHAR(10)&amp;"让球："&amp;IF(INDEX('比赛台账'!$F$5:$F$2600,11)="","—",INDEX('比赛台账'!$F$5:$F$2600,11))&amp;CHAR(10)&amp;"大小球："&amp;IF(INDEX('比赛台账'!$G$5:$G$2600,11)="","—",INDEX('比赛台账'!$G$5:$G$2600,11))&amp;CHAR(10)&amp;"可选/加仓："&amp;IF(INDEX('比赛台账'!$H$5:$H$2600,11)="","—",INDEX('比赛台账'!$H$5:$H$2600,11))&amp;CHAR(10)&amp;"冻结："&amp;IF(INDEX('比赛台账'!$I$5:$I$2600,11)="","—",TEXT(INDEX('比赛台账'!$I$5:$I$2600,11),"yyyy-mm-dd hh:mm"))&amp;CHAR(10)&amp;"比分："&amp;IF(INDEX('比赛台账'!$K$5:$K$2600,11)="","—",INDEX('比赛台账'!$K$5:$K$2600,11))&amp;"｜让球结论："&amp;IF(INDEX('比赛台账'!$L$5:$L$2600,11)="","—",INDEX('比赛台账'!$L$5:$L$2600,11))&amp;"｜大小球结论："&amp;IF(INDEX('比赛台账'!$M$5:$M$2600,11)="","—",INDEX('比赛台账'!$M$5:$M$2600,11))&amp;CHAR(10)&amp;"盈亏：让球 "&amp;IF(INDEX('比赛台账'!$N$5:$N$2600,11)="","—",TEXT(INDEX('比赛台账'!$N$5:$N$2600,11),"+0.00;-0.00;0.00"))&amp;"｜大小球 "&amp;IF(INDEX('比赛台账'!$O$5:$O$2600,11)="","—",TEXT(INDEX('比赛台账'!$O$5:$O$2600,11),"+0.00;-0.00;0.00"))&amp;"｜合计 "&amp;IF(INDEX('比赛台账'!$P$5:$P$2600,11)="","—",TEXT(INDEX('比赛台账'!$P$5:$P$2600,11),"+0.00;-0.00;0.00"))&amp;"（辅助）"&amp;CHAR(10)&amp;"来源："&amp;IF(INDEX('比赛台账'!$Q$5:$Q$2600,11)="","—",INDEX('比赛台账'!$Q$5:$Q$2600,11))&amp;CHAR(10)&amp;"备注："&amp;IF(INDEX('比赛台账'!$R$5:$R$2600,11)="","—",INDEX('比赛台账'!$R$5:$R$2600,11)))</x:f>
        <x:v>#11  2026-07-19 16:00｜需复核
国际俱乐部友谊赛｜帕尔马（Parma） vs 帕尔马（Parma）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来源：https://www.livescore.mobi/football/club-friendlies/club-friendlies-2026/parma-vs-parma-u20/1822139/；查询时间：2026-07-18 19:02（北京时间）
备注：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39" s="500"/>
      <x:c r="C139" s="500"/>
      <x:c r="D139" s="500"/>
      <x:c r="E139" s="500"/>
      <x:c r="F139" s="501"/>
      <x:c r="G139"/>
      <x:c r="H139"/>
      <x:c r="I139"/>
      <x:c r="J139"/>
      <x:c r="K139"/>
      <x:c r="L139"/>
      <x:c r="M139"/>
      <x:c r="N139"/>
      <x:c r="O139"/>
      <x:c r="P139"/>
      <x:c r="Q139"/>
      <x:c r="R139"/>
    </x:row>
    <x:row r="140" ht="118.5" customHeight="1">
      <x:c r="A140" s="512" t="str">
        <x:f>IF(12&gt;COUNTA('比赛台账'!$B$5:$B$2600),"","#12  "&amp;TEXT(INDEX('比赛台账'!$B$5:$B$2600,12),"yyyy-mm-dd hh:mm")&amp;"｜"&amp;IF(INDEX('比赛台账'!$J$5:$J$2600,12)="","—",INDEX('比赛台账'!$J$5:$J$2600,12))&amp;CHAR(10)&amp;IF(INDEX('比赛台账'!$C$5:$C$2600,12)="","—",INDEX('比赛台账'!$C$5:$C$2600,12))&amp;"｜"&amp;IF(INDEX('比赛台账'!$D$5:$D$2600,12)="","—",INDEX('比赛台账'!$D$5:$D$2600,12))&amp;" vs "&amp;IF(INDEX('比赛台账'!$E$5:$E$2600,12)="","—",INDEX('比赛台账'!$E$5:$E$2600,12))&amp;CHAR(10)&amp;"让球："&amp;IF(INDEX('比赛台账'!$F$5:$F$2600,12)="","—",INDEX('比赛台账'!$F$5:$F$2600,12))&amp;CHAR(10)&amp;"大小球："&amp;IF(INDEX('比赛台账'!$G$5:$G$2600,12)="","—",INDEX('比赛台账'!$G$5:$G$2600,12))&amp;CHAR(10)&amp;"可选/加仓："&amp;IF(INDEX('比赛台账'!$H$5:$H$2600,12)="","—",INDEX('比赛台账'!$H$5:$H$2600,12))&amp;CHAR(10)&amp;"冻结："&amp;IF(INDEX('比赛台账'!$I$5:$I$2600,12)="","—",TEXT(INDEX('比赛台账'!$I$5:$I$2600,12),"yyyy-mm-dd hh:mm"))&amp;CHAR(10)&amp;"比分："&amp;IF(INDEX('比赛台账'!$K$5:$K$2600,12)="","—",INDEX('比赛台账'!$K$5:$K$2600,12))&amp;"｜让球结论："&amp;IF(INDEX('比赛台账'!$L$5:$L$2600,12)="","—",INDEX('比赛台账'!$L$5:$L$2600,12))&amp;"｜大小球结论："&amp;IF(INDEX('比赛台账'!$M$5:$M$2600,12)="","—",INDEX('比赛台账'!$M$5:$M$2600,12))&amp;CHAR(10)&amp;"盈亏：让球 "&amp;IF(INDEX('比赛台账'!$N$5:$N$2600,12)="","—",TEXT(INDEX('比赛台账'!$N$5:$N$2600,12),"+0.00;-0.00;0.00"))&amp;"｜大小球 "&amp;IF(INDEX('比赛台账'!$O$5:$O$2600,12)="","—",TEXT(INDEX('比赛台账'!$O$5:$O$2600,12),"+0.00;-0.00;0.00"))&amp;"｜合计 "&amp;IF(INDEX('比赛台账'!$P$5:$P$2600,12)="","—",TEXT(INDEX('比赛台账'!$P$5:$P$2600,12),"+0.00;-0.00;0.00"))&amp;"（辅助）"&amp;CHAR(10)&amp;"来源："&amp;IF(INDEX('比赛台账'!$Q$5:$Q$2600,12)="","—",INDEX('比赛台账'!$Q$5:$Q$2600,12))&amp;CHAR(10)&amp;"备注："&amp;IF(INDEX('比赛台账'!$R$5:$R$2600,12)="","—",INDEX('比赛台账'!$R$5:$R$2600,12)))</x:f>
        <x:v>#12  2026-07-19 14:00｜需复核
澳大利亚昆士兰州超级联赛｜中文名待确认（Capalaba） vs 中文名待确认（Holland Park Hawks）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来源：https://www.livescore.mobi/football/australia/queensland-premier-league-2026/capalaba-vs-holland-park-hawks/1744940/；查询时间：2026-07-18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0" s="513"/>
      <x:c r="C140" s="513"/>
      <x:c r="D140" s="513"/>
      <x:c r="E140" s="513"/>
      <x:c r="F140" s="514"/>
      <x:c r="G140"/>
      <x:c r="H140"/>
      <x:c r="I140"/>
      <x:c r="J140"/>
      <x:c r="K140"/>
      <x:c r="L140"/>
      <x:c r="M140"/>
      <x:c r="N140"/>
      <x:c r="O140"/>
      <x:c r="P140"/>
      <x:c r="Q140"/>
      <x:c r="R140"/>
    </x:row>
    <x:row r="141" ht="118.5" customHeight="1">
      <x:c r="A141" s="499" t="str">
        <x:f>IF(13&gt;COUNTA('比赛台账'!$B$5:$B$2600),"","#13  "&amp;TEXT(INDEX('比赛台账'!$B$5:$B$2600,13),"yyyy-mm-dd hh:mm")&amp;"｜"&amp;IF(INDEX('比赛台账'!$J$5:$J$2600,13)="","—",INDEX('比赛台账'!$J$5:$J$2600,13))&amp;CHAR(10)&amp;IF(INDEX('比赛台账'!$C$5:$C$2600,13)="","—",INDEX('比赛台账'!$C$5:$C$2600,13))&amp;"｜"&amp;IF(INDEX('比赛台账'!$D$5:$D$2600,13)="","—",INDEX('比赛台账'!$D$5:$D$2600,13))&amp;" vs "&amp;IF(INDEX('比赛台账'!$E$5:$E$2600,13)="","—",INDEX('比赛台账'!$E$5:$E$2600,13))&amp;CHAR(10)&amp;"让球："&amp;IF(INDEX('比赛台账'!$F$5:$F$2600,13)="","—",INDEX('比赛台账'!$F$5:$F$2600,13))&amp;CHAR(10)&amp;"大小球："&amp;IF(INDEX('比赛台账'!$G$5:$G$2600,13)="","—",INDEX('比赛台账'!$G$5:$G$2600,13))&amp;CHAR(10)&amp;"可选/加仓："&amp;IF(INDEX('比赛台账'!$H$5:$H$2600,13)="","—",INDEX('比赛台账'!$H$5:$H$2600,13))&amp;CHAR(10)&amp;"冻结："&amp;IF(INDEX('比赛台账'!$I$5:$I$2600,13)="","—",TEXT(INDEX('比赛台账'!$I$5:$I$2600,13),"yyyy-mm-dd hh:mm"))&amp;CHAR(10)&amp;"比分："&amp;IF(INDEX('比赛台账'!$K$5:$K$2600,13)="","—",INDEX('比赛台账'!$K$5:$K$2600,13))&amp;"｜让球结论："&amp;IF(INDEX('比赛台账'!$L$5:$L$2600,13)="","—",INDEX('比赛台账'!$L$5:$L$2600,13))&amp;"｜大小球结论："&amp;IF(INDEX('比赛台账'!$M$5:$M$2600,13)="","—",INDEX('比赛台账'!$M$5:$M$2600,13))&amp;CHAR(10)&amp;"盈亏：让球 "&amp;IF(INDEX('比赛台账'!$N$5:$N$2600,13)="","—",TEXT(INDEX('比赛台账'!$N$5:$N$2600,13),"+0.00;-0.00;0.00"))&amp;"｜大小球 "&amp;IF(INDEX('比赛台账'!$O$5:$O$2600,13)="","—",TEXT(INDEX('比赛台账'!$O$5:$O$2600,13),"+0.00;-0.00;0.00"))&amp;"｜合计 "&amp;IF(INDEX('比赛台账'!$P$5:$P$2600,13)="","—",TEXT(INDEX('比赛台账'!$P$5:$P$2600,13),"+0.00;-0.00;0.00"))&amp;"（辅助）"&amp;CHAR(10)&amp;"来源："&amp;IF(INDEX('比赛台账'!$Q$5:$Q$2600,13)="","—",INDEX('比赛台账'!$Q$5:$Q$2600,13))&amp;CHAR(10)&amp;"备注："&amp;IF(INDEX('比赛台账'!$R$5:$R$2600,13)="","—",INDEX('比赛台账'!$R$5:$R$2600,13)))</x:f>
        <x:v>#13  2026-07-19 14:00｜需复核
澳大利亚昆士兰州超级联赛｜中文名待确认（Olympic FC） vs 中文名待确认（Brisbane Roar FC Youth）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来源：https://www.livescore.mobi/football/australia/queensland-2026/olympic-fc-vs-brisbane-roar-fc-youth/1717514/；查询时间：2026-07-18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1" s="500"/>
      <x:c r="C141" s="500"/>
      <x:c r="D141" s="500"/>
      <x:c r="E141" s="500"/>
      <x:c r="F141" s="501"/>
      <x:c r="G141"/>
      <x:c r="H141"/>
      <x:c r="I141"/>
      <x:c r="J141"/>
      <x:c r="K141"/>
      <x:c r="L141"/>
      <x:c r="M141"/>
      <x:c r="N141"/>
      <x:c r="O141"/>
      <x:c r="P141"/>
      <x:c r="Q141"/>
      <x:c r="R141"/>
    </x:row>
    <x:row r="142" ht="118.5" customHeight="1">
      <x:c r="A142" s="512" t="str">
        <x:f>IF(14&gt;COUNTA('比赛台账'!$B$5:$B$2600),"","#14  "&amp;TEXT(INDEX('比赛台账'!$B$5:$B$2600,14),"yyyy-mm-dd hh:mm")&amp;"｜"&amp;IF(INDEX('比赛台账'!$J$5:$J$2600,14)="","—",INDEX('比赛台账'!$J$5:$J$2600,14))&amp;CHAR(10)&amp;IF(INDEX('比赛台账'!$C$5:$C$2600,14)="","—",INDEX('比赛台账'!$C$5:$C$2600,14))&amp;"｜"&amp;IF(INDEX('比赛台账'!$D$5:$D$2600,14)="","—",INDEX('比赛台账'!$D$5:$D$2600,14))&amp;" vs "&amp;IF(INDEX('比赛台账'!$E$5:$E$2600,14)="","—",INDEX('比赛台账'!$E$5:$E$2600,14))&amp;CHAR(10)&amp;"让球："&amp;IF(INDEX('比赛台账'!$F$5:$F$2600,14)="","—",INDEX('比赛台账'!$F$5:$F$2600,14))&amp;CHAR(10)&amp;"大小球："&amp;IF(INDEX('比赛台账'!$G$5:$G$2600,14)="","—",INDEX('比赛台账'!$G$5:$G$2600,14))&amp;CHAR(10)&amp;"可选/加仓："&amp;IF(INDEX('比赛台账'!$H$5:$H$2600,14)="","—",INDEX('比赛台账'!$H$5:$H$2600,14))&amp;CHAR(10)&amp;"冻结："&amp;IF(INDEX('比赛台账'!$I$5:$I$2600,14)="","—",TEXT(INDEX('比赛台账'!$I$5:$I$2600,14),"yyyy-mm-dd hh:mm"))&amp;CHAR(10)&amp;"比分："&amp;IF(INDEX('比赛台账'!$K$5:$K$2600,14)="","—",INDEX('比赛台账'!$K$5:$K$2600,14))&amp;"｜让球结论："&amp;IF(INDEX('比赛台账'!$L$5:$L$2600,14)="","—",INDEX('比赛台账'!$L$5:$L$2600,14))&amp;"｜大小球结论："&amp;IF(INDEX('比赛台账'!$M$5:$M$2600,14)="","—",INDEX('比赛台账'!$M$5:$M$2600,14))&amp;CHAR(10)&amp;"盈亏：让球 "&amp;IF(INDEX('比赛台账'!$N$5:$N$2600,14)="","—",TEXT(INDEX('比赛台账'!$N$5:$N$2600,14),"+0.00;-0.00;0.00"))&amp;"｜大小球 "&amp;IF(INDEX('比赛台账'!$O$5:$O$2600,14)="","—",TEXT(INDEX('比赛台账'!$O$5:$O$2600,14),"+0.00;-0.00;0.00"))&amp;"｜合计 "&amp;IF(INDEX('比赛台账'!$P$5:$P$2600,14)="","—",TEXT(INDEX('比赛台账'!$P$5:$P$2600,14),"+0.00;-0.00;0.00"))&amp;"（辅助）"&amp;CHAR(10)&amp;"来源："&amp;IF(INDEX('比赛台账'!$Q$5:$Q$2600,14)="","—",INDEX('比赛台账'!$Q$5:$Q$2600,14))&amp;CHAR(10)&amp;"备注："&amp;IF(INDEX('比赛台账'!$R$5:$R$2600,14)="","—",INDEX('比赛台账'!$R$5:$R$2600,14)))</x:f>
        <x:v>#14  2026-07-19 13:00｜需复核
澳大利亚新南威尔士州超级联赛｜黑镇市（Blacktown City FC） vs 中文名待确认（St George City）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来源：https://www.livescore.mobi/football/australia/npl-new-south-wales/blacktown-city-fc-vs-st-george-city/1708164/；查询时间：2026-07-18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2" s="513"/>
      <x:c r="C142" s="513"/>
      <x:c r="D142" s="513"/>
      <x:c r="E142" s="513"/>
      <x:c r="F142" s="514"/>
      <x:c r="G142"/>
      <x:c r="H142"/>
      <x:c r="I142"/>
      <x:c r="J142"/>
      <x:c r="K142"/>
      <x:c r="L142"/>
      <x:c r="M142"/>
      <x:c r="N142"/>
      <x:c r="O142"/>
      <x:c r="P142"/>
      <x:c r="Q142"/>
      <x:c r="R142"/>
    </x:row>
    <x:row r="143" ht="118.5" customHeight="1">
      <x:c r="A143" s="499" t="str">
        <x:f>IF(15&gt;COUNTA('比赛台账'!$B$5:$B$2600),"","#15  "&amp;TEXT(INDEX('比赛台账'!$B$5:$B$2600,15),"yyyy-mm-dd hh:mm")&amp;"｜"&amp;IF(INDEX('比赛台账'!$J$5:$J$2600,15)="","—",INDEX('比赛台账'!$J$5:$J$2600,15))&amp;CHAR(10)&amp;IF(INDEX('比赛台账'!$C$5:$C$2600,15)="","—",INDEX('比赛台账'!$C$5:$C$2600,15))&amp;"｜"&amp;IF(INDEX('比赛台账'!$D$5:$D$2600,15)="","—",INDEX('比赛台账'!$D$5:$D$2600,15))&amp;" vs "&amp;IF(INDEX('比赛台账'!$E$5:$E$2600,15)="","—",INDEX('比赛台账'!$E$5:$E$2600,15))&amp;CHAR(10)&amp;"让球："&amp;IF(INDEX('比赛台账'!$F$5:$F$2600,15)="","—",INDEX('比赛台账'!$F$5:$F$2600,15))&amp;CHAR(10)&amp;"大小球："&amp;IF(INDEX('比赛台账'!$G$5:$G$2600,15)="","—",INDEX('比赛台账'!$G$5:$G$2600,15))&amp;CHAR(10)&amp;"可选/加仓："&amp;IF(INDEX('比赛台账'!$H$5:$H$2600,15)="","—",INDEX('比赛台账'!$H$5:$H$2600,15))&amp;CHAR(10)&amp;"冻结："&amp;IF(INDEX('比赛台账'!$I$5:$I$2600,15)="","—",TEXT(INDEX('比赛台账'!$I$5:$I$2600,15),"yyyy-mm-dd hh:mm"))&amp;CHAR(10)&amp;"比分："&amp;IF(INDEX('比赛台账'!$K$5:$K$2600,15)="","—",INDEX('比赛台账'!$K$5:$K$2600,15))&amp;"｜让球结论："&amp;IF(INDEX('比赛台账'!$L$5:$L$2600,15)="","—",INDEX('比赛台账'!$L$5:$L$2600,15))&amp;"｜大小球结论："&amp;IF(INDEX('比赛台账'!$M$5:$M$2600,15)="","—",INDEX('比赛台账'!$M$5:$M$2600,15))&amp;CHAR(10)&amp;"盈亏：让球 "&amp;IF(INDEX('比赛台账'!$N$5:$N$2600,15)="","—",TEXT(INDEX('比赛台账'!$N$5:$N$2600,15),"+0.00;-0.00;0.00"))&amp;"｜大小球 "&amp;IF(INDEX('比赛台账'!$O$5:$O$2600,15)="","—",TEXT(INDEX('比赛台账'!$O$5:$O$2600,15),"+0.00;-0.00;0.00"))&amp;"｜合计 "&amp;IF(INDEX('比赛台账'!$P$5:$P$2600,15)="","—",TEXT(INDEX('比赛台账'!$P$5:$P$2600,15),"+0.00;-0.00;0.00"))&amp;"（辅助）"&amp;CHAR(10)&amp;"来源："&amp;IF(INDEX('比赛台账'!$Q$5:$Q$2600,15)="","—",INDEX('比赛台账'!$Q$5:$Q$2600,15))&amp;CHAR(10)&amp;"备注："&amp;IF(INDEX('比赛台账'!$R$5:$R$2600,15)="","—",INDEX('比赛台账'!$R$5:$R$2600,15)))</x:f>
        <x:v>#15  2026-07-19 13:00｜需复核
澳大利亚新南威尔士州甲级联赛｜中文名待确认（Central Coast Mariners Youth） vs 中文名待确认（Northern Tigers）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来源：https://www.livescore.mobi/football/australia/new-south-wales-league-one/central-coast-mariners-youth-vs-northern-tigers/1710866/；查询时间：2026-07-18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3" s="500"/>
      <x:c r="C143" s="500"/>
      <x:c r="D143" s="500"/>
      <x:c r="E143" s="500"/>
      <x:c r="F143" s="501"/>
      <x:c r="G143"/>
      <x:c r="H143"/>
      <x:c r="I143"/>
      <x:c r="J143"/>
      <x:c r="K143"/>
      <x:c r="L143"/>
      <x:c r="M143"/>
      <x:c r="N143"/>
      <x:c r="O143"/>
      <x:c r="P143"/>
      <x:c r="Q143"/>
      <x:c r="R143"/>
    </x:row>
    <x:row r="144" ht="118.5" customHeight="1">
      <x:c r="A144" s="512" t="str">
        <x:f>IF(16&gt;COUNTA('比赛台账'!$B$5:$B$2600),"","#16  "&amp;TEXT(INDEX('比赛台账'!$B$5:$B$2600,16),"yyyy-mm-dd hh:mm")&amp;"｜"&amp;IF(INDEX('比赛台账'!$J$5:$J$2600,16)="","—",INDEX('比赛台账'!$J$5:$J$2600,16))&amp;CHAR(10)&amp;IF(INDEX('比赛台账'!$C$5:$C$2600,16)="","—",INDEX('比赛台账'!$C$5:$C$2600,16))&amp;"｜"&amp;IF(INDEX('比赛台账'!$D$5:$D$2600,16)="","—",INDEX('比赛台账'!$D$5:$D$2600,16))&amp;" vs "&amp;IF(INDEX('比赛台账'!$E$5:$E$2600,16)="","—",INDEX('比赛台账'!$E$5:$E$2600,16))&amp;CHAR(10)&amp;"让球："&amp;IF(INDEX('比赛台账'!$F$5:$F$2600,16)="","—",INDEX('比赛台账'!$F$5:$F$2600,16))&amp;CHAR(10)&amp;"大小球："&amp;IF(INDEX('比赛台账'!$G$5:$G$2600,16)="","—",INDEX('比赛台账'!$G$5:$G$2600,16))&amp;CHAR(10)&amp;"可选/加仓："&amp;IF(INDEX('比赛台账'!$H$5:$H$2600,16)="","—",INDEX('比赛台账'!$H$5:$H$2600,16))&amp;CHAR(10)&amp;"冻结："&amp;IF(INDEX('比赛台账'!$I$5:$I$2600,16)="","—",TEXT(INDEX('比赛台账'!$I$5:$I$2600,16),"yyyy-mm-dd hh:mm"))&amp;CHAR(10)&amp;"比分："&amp;IF(INDEX('比赛台账'!$K$5:$K$2600,16)="","—",INDEX('比赛台账'!$K$5:$K$2600,16))&amp;"｜让球结论："&amp;IF(INDEX('比赛台账'!$L$5:$L$2600,16)="","—",INDEX('比赛台账'!$L$5:$L$2600,16))&amp;"｜大小球结论："&amp;IF(INDEX('比赛台账'!$M$5:$M$2600,16)="","—",INDEX('比赛台账'!$M$5:$M$2600,16))&amp;CHAR(10)&amp;"盈亏：让球 "&amp;IF(INDEX('比赛台账'!$N$5:$N$2600,16)="","—",TEXT(INDEX('比赛台账'!$N$5:$N$2600,16),"+0.00;-0.00;0.00"))&amp;"｜大小球 "&amp;IF(INDEX('比赛台账'!$O$5:$O$2600,16)="","—",TEXT(INDEX('比赛台账'!$O$5:$O$2600,16),"+0.00;-0.00;0.00"))&amp;"｜合计 "&amp;IF(INDEX('比赛台账'!$P$5:$P$2600,16)="","—",TEXT(INDEX('比赛台账'!$P$5:$P$2600,16),"+0.00;-0.00;0.00"))&amp;"（辅助）"&amp;CHAR(10)&amp;"来源："&amp;IF(INDEX('比赛台账'!$Q$5:$Q$2600,16)="","—",INDEX('比赛台账'!$Q$5:$Q$2600,16))&amp;CHAR(10)&amp;"备注："&amp;IF(INDEX('比赛台账'!$R$5:$R$2600,16)="","—",INDEX('比赛台账'!$R$5:$R$2600,16)))</x:f>
        <x:v>#16  2026-07-19 13:00｜需复核
澳大利亚新南威尔士州北部超级联赛｜中文名待确认（Charlestown Azzurri） vs 中文名待确认（Edgeworth Eagles）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来源：https://www.livescore.mobi/football/australia/Northern-new-south-wales-2026/charlestown-azzurri-vs-edgeworth-eagles/1717648/；查询时间：2026-07-18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4" s="513"/>
      <x:c r="C144" s="513"/>
      <x:c r="D144" s="513"/>
      <x:c r="E144" s="513"/>
      <x:c r="F144" s="514"/>
      <x:c r="G144"/>
      <x:c r="H144"/>
      <x:c r="I144"/>
      <x:c r="J144"/>
      <x:c r="K144"/>
      <x:c r="L144"/>
      <x:c r="M144"/>
      <x:c r="N144"/>
      <x:c r="O144"/>
      <x:c r="P144"/>
      <x:c r="Q144"/>
      <x:c r="R144"/>
    </x:row>
    <x:row r="145" ht="118.5" customHeight="1">
      <x:c r="A145" s="499" t="str">
        <x:f>IF(17&gt;COUNTA('比赛台账'!$B$5:$B$2600),"","#17  "&amp;TEXT(INDEX('比赛台账'!$B$5:$B$2600,17),"yyyy-mm-dd hh:mm")&amp;"｜"&amp;IF(INDEX('比赛台账'!$J$5:$J$2600,17)="","—",INDEX('比赛台账'!$J$5:$J$2600,17))&amp;CHAR(10)&amp;IF(INDEX('比赛台账'!$C$5:$C$2600,17)="","—",INDEX('比赛台账'!$C$5:$C$2600,17))&amp;"｜"&amp;IF(INDEX('比赛台账'!$D$5:$D$2600,17)="","—",INDEX('比赛台账'!$D$5:$D$2600,17))&amp;" vs "&amp;IF(INDEX('比赛台账'!$E$5:$E$2600,17)="","—",INDEX('比赛台账'!$E$5:$E$2600,17))&amp;CHAR(10)&amp;"让球："&amp;IF(INDEX('比赛台账'!$F$5:$F$2600,17)="","—",INDEX('比赛台账'!$F$5:$F$2600,17))&amp;CHAR(10)&amp;"大小球："&amp;IF(INDEX('比赛台账'!$G$5:$G$2600,17)="","—",INDEX('比赛台账'!$G$5:$G$2600,17))&amp;CHAR(10)&amp;"可选/加仓："&amp;IF(INDEX('比赛台账'!$H$5:$H$2600,17)="","—",INDEX('比赛台账'!$H$5:$H$2600,17))&amp;CHAR(10)&amp;"冻结："&amp;IF(INDEX('比赛台账'!$I$5:$I$2600,17)="","—",TEXT(INDEX('比赛台账'!$I$5:$I$2600,17),"yyyy-mm-dd hh:mm"))&amp;CHAR(10)&amp;"比分："&amp;IF(INDEX('比赛台账'!$K$5:$K$2600,17)="","—",INDEX('比赛台账'!$K$5:$K$2600,17))&amp;"｜让球结论："&amp;IF(INDEX('比赛台账'!$L$5:$L$2600,17)="","—",INDEX('比赛台账'!$L$5:$L$2600,17))&amp;"｜大小球结论："&amp;IF(INDEX('比赛台账'!$M$5:$M$2600,17)="","—",INDEX('比赛台账'!$M$5:$M$2600,17))&amp;CHAR(10)&amp;"盈亏：让球 "&amp;IF(INDEX('比赛台账'!$N$5:$N$2600,17)="","—",TEXT(INDEX('比赛台账'!$N$5:$N$2600,17),"+0.00;-0.00;0.00"))&amp;"｜大小球 "&amp;IF(INDEX('比赛台账'!$O$5:$O$2600,17)="","—",TEXT(INDEX('比赛台账'!$O$5:$O$2600,17),"+0.00;-0.00;0.00"))&amp;"｜合计 "&amp;IF(INDEX('比赛台账'!$P$5:$P$2600,17)="","—",TEXT(INDEX('比赛台账'!$P$5:$P$2600,17),"+0.00;-0.00;0.00"))&amp;"（辅助）"&amp;CHAR(10)&amp;"来源："&amp;IF(INDEX('比赛台账'!$Q$5:$Q$2600,17)="","—",INDEX('比赛台账'!$Q$5:$Q$2600,17))&amp;CHAR(10)&amp;"备注："&amp;IF(INDEX('比赛台账'!$R$5:$R$2600,17)="","—",INDEX('比赛台账'!$R$5:$R$2600,17)))</x:f>
        <x:v>#17  2026-07-19 13:00｜需复核
澳大利亚新南威尔士州超级联赛｜马可尼（Marconi Stallions） vs 悉尼联58（Sydney United 58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来源：https://www.livescore.mobi/football/australia/npl-new-south-wales/marconi-stallions-vs-sydney-united-58/1708171/；查询时间：2026-07-18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5" s="500"/>
      <x:c r="C145" s="500"/>
      <x:c r="D145" s="500"/>
      <x:c r="E145" s="500"/>
      <x:c r="F145" s="501"/>
      <x:c r="G145"/>
      <x:c r="H145"/>
      <x:c r="I145"/>
      <x:c r="J145"/>
      <x:c r="K145"/>
      <x:c r="L145"/>
      <x:c r="M145"/>
      <x:c r="N145"/>
      <x:c r="O145"/>
      <x:c r="P145"/>
      <x:c r="Q145"/>
      <x:c r="R145"/>
    </x:row>
    <x:row r="146" ht="118.5" customHeight="1">
      <x:c r="A146" s="512" t="str">
        <x:f>IF(18&gt;COUNTA('比赛台账'!$B$5:$B$2600),"","#18  "&amp;TEXT(INDEX('比赛台账'!$B$5:$B$2600,18),"yyyy-mm-dd hh:mm")&amp;"｜"&amp;IF(INDEX('比赛台账'!$J$5:$J$2600,18)="","—",INDEX('比赛台账'!$J$5:$J$2600,18))&amp;CHAR(10)&amp;IF(INDEX('比赛台账'!$C$5:$C$2600,18)="","—",INDEX('比赛台账'!$C$5:$C$2600,18))&amp;"｜"&amp;IF(INDEX('比赛台账'!$D$5:$D$2600,18)="","—",INDEX('比赛台账'!$D$5:$D$2600,18))&amp;" vs "&amp;IF(INDEX('比赛台账'!$E$5:$E$2600,18)="","—",INDEX('比赛台账'!$E$5:$E$2600,18))&amp;CHAR(10)&amp;"让球："&amp;IF(INDEX('比赛台账'!$F$5:$F$2600,18)="","—",INDEX('比赛台账'!$F$5:$F$2600,18))&amp;CHAR(10)&amp;"大小球："&amp;IF(INDEX('比赛台账'!$G$5:$G$2600,18)="","—",INDEX('比赛台账'!$G$5:$G$2600,18))&amp;CHAR(10)&amp;"可选/加仓："&amp;IF(INDEX('比赛台账'!$H$5:$H$2600,18)="","—",INDEX('比赛台账'!$H$5:$H$2600,18))&amp;CHAR(10)&amp;"冻结："&amp;IF(INDEX('比赛台账'!$I$5:$I$2600,18)="","—",TEXT(INDEX('比赛台账'!$I$5:$I$2600,18),"yyyy-mm-dd hh:mm"))&amp;CHAR(10)&amp;"比分："&amp;IF(INDEX('比赛台账'!$K$5:$K$2600,18)="","—",INDEX('比赛台账'!$K$5:$K$2600,18))&amp;"｜让球结论："&amp;IF(INDEX('比赛台账'!$L$5:$L$2600,18)="","—",INDEX('比赛台账'!$L$5:$L$2600,18))&amp;"｜大小球结论："&amp;IF(INDEX('比赛台账'!$M$5:$M$2600,18)="","—",INDEX('比赛台账'!$M$5:$M$2600,18))&amp;CHAR(10)&amp;"盈亏：让球 "&amp;IF(INDEX('比赛台账'!$N$5:$N$2600,18)="","—",TEXT(INDEX('比赛台账'!$N$5:$N$2600,18),"+0.00;-0.00;0.00"))&amp;"｜大小球 "&amp;IF(INDEX('比赛台账'!$O$5:$O$2600,18)="","—",TEXT(INDEX('比赛台账'!$O$5:$O$2600,18),"+0.00;-0.00;0.00"))&amp;"｜合计 "&amp;IF(INDEX('比赛台账'!$P$5:$P$2600,18)="","—",TEXT(INDEX('比赛台账'!$P$5:$P$2600,18),"+0.00;-0.00;0.00"))&amp;"（辅助）"&amp;CHAR(10)&amp;"来源："&amp;IF(INDEX('比赛台账'!$Q$5:$Q$2600,18)="","—",INDEX('比赛台账'!$Q$5:$Q$2600,18))&amp;CHAR(10)&amp;"备注："&amp;IF(INDEX('比赛台账'!$R$5:$R$2600,18)="","—",INDEX('比赛台账'!$R$5:$R$2600,18)))</x:f>
        <x:v>#18  2026-07-19 12:30｜需复核
澳大利亚昆士兰州超级联赛｜罗宾市（Robina City） vs 瑞德兰茨联（Redlands United）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来源：https://www.livescore.mobi/football/australia/queensland-premier-league-2026/robina-city-vs-redlands-united/1744934/；查询时间：2026-07-18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6" s="513"/>
      <x:c r="C146" s="513"/>
      <x:c r="D146" s="513"/>
      <x:c r="E146" s="513"/>
      <x:c r="F146" s="514"/>
      <x:c r="G146"/>
      <x:c r="H146"/>
      <x:c r="I146"/>
      <x:c r="J146"/>
      <x:c r="K146"/>
      <x:c r="L146"/>
      <x:c r="M146"/>
      <x:c r="N146"/>
      <x:c r="O146"/>
      <x:c r="P146"/>
      <x:c r="Q146"/>
      <x:c r="R146"/>
    </x:row>
    <x:row r="147" ht="118.5" customHeight="1">
      <x:c r="A147" s="499" t="str">
        <x:f>IF(19&gt;COUNTA('比赛台账'!$B$5:$B$2600),"","#19  "&amp;TEXT(INDEX('比赛台账'!$B$5:$B$2600,19),"yyyy-mm-dd hh:mm")&amp;"｜"&amp;IF(INDEX('比赛台账'!$J$5:$J$2600,19)="","—",INDEX('比赛台账'!$J$5:$J$2600,19))&amp;CHAR(10)&amp;IF(INDEX('比赛台账'!$C$5:$C$2600,19)="","—",INDEX('比赛台账'!$C$5:$C$2600,19))&amp;"｜"&amp;IF(INDEX('比赛台账'!$D$5:$D$2600,19)="","—",INDEX('比赛台账'!$D$5:$D$2600,19))&amp;" vs "&amp;IF(INDEX('比赛台账'!$E$5:$E$2600,19)="","—",INDEX('比赛台账'!$E$5:$E$2600,19))&amp;CHAR(10)&amp;"让球："&amp;IF(INDEX('比赛台账'!$F$5:$F$2600,19)="","—",INDEX('比赛台账'!$F$5:$F$2600,19))&amp;CHAR(10)&amp;"大小球："&amp;IF(INDEX('比赛台账'!$G$5:$G$2600,19)="","—",INDEX('比赛台账'!$G$5:$G$2600,19))&amp;CHAR(10)&amp;"可选/加仓："&amp;IF(INDEX('比赛台账'!$H$5:$H$2600,19)="","—",INDEX('比赛台账'!$H$5:$H$2600,19))&amp;CHAR(10)&amp;"冻结："&amp;IF(INDEX('比赛台账'!$I$5:$I$2600,19)="","—",TEXT(INDEX('比赛台账'!$I$5:$I$2600,19),"yyyy-mm-dd hh:mm"))&amp;CHAR(10)&amp;"比分："&amp;IF(INDEX('比赛台账'!$K$5:$K$2600,19)="","—",INDEX('比赛台账'!$K$5:$K$2600,19))&amp;"｜让球结论："&amp;IF(INDEX('比赛台账'!$L$5:$L$2600,19)="","—",INDEX('比赛台账'!$L$5:$L$2600,19))&amp;"｜大小球结论："&amp;IF(INDEX('比赛台账'!$M$5:$M$2600,19)="","—",INDEX('比赛台账'!$M$5:$M$2600,19))&amp;CHAR(10)&amp;"盈亏：让球 "&amp;IF(INDEX('比赛台账'!$N$5:$N$2600,19)="","—",TEXT(INDEX('比赛台账'!$N$5:$N$2600,19),"+0.00;-0.00;0.00"))&amp;"｜大小球 "&amp;IF(INDEX('比赛台账'!$O$5:$O$2600,19)="","—",TEXT(INDEX('比赛台账'!$O$5:$O$2600,19),"+0.00;-0.00;0.00"))&amp;"｜合计 "&amp;IF(INDEX('比赛台账'!$P$5:$P$2600,19)="","—",TEXT(INDEX('比赛台账'!$P$5:$P$2600,19),"+0.00;-0.00;0.00"))&amp;"（辅助）"&amp;CHAR(10)&amp;"来源："&amp;IF(INDEX('比赛台账'!$Q$5:$Q$2600,19)="","—",INDEX('比赛台账'!$Q$5:$Q$2600,19))&amp;CHAR(10)&amp;"备注："&amp;IF(INDEX('比赛台账'!$R$5:$R$2600,19)="","—",INDEX('比赛台账'!$R$5:$R$2600,19)))</x:f>
        <x:v>#19  2026-07-19 12:30｜需复核
澳大利亚塔斯马尼亚州超级联赛｜中文名待确认（South East United） vs 中文名待确认（Launceston United）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来源：https://www.livescore.mobi/football/australia/npl-tasmania/south-east-united-vs-launceston-united/1722604/；查询时间：2026-07-18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7" s="500"/>
      <x:c r="C147" s="500"/>
      <x:c r="D147" s="500"/>
      <x:c r="E147" s="500"/>
      <x:c r="F147" s="501"/>
      <x:c r="G147"/>
      <x:c r="H147"/>
      <x:c r="I147"/>
      <x:c r="J147"/>
      <x:c r="K147"/>
      <x:c r="L147"/>
      <x:c r="M147"/>
      <x:c r="N147"/>
      <x:c r="O147"/>
      <x:c r="P147"/>
      <x:c r="Q147"/>
      <x:c r="R147"/>
    </x:row>
    <x:row r="148" ht="118.5" customHeight="1">
      <x:c r="A148" s="512" t="str">
        <x:f>IF(20&gt;COUNTA('比赛台账'!$B$5:$B$2600),"","#20  "&amp;TEXT(INDEX('比赛台账'!$B$5:$B$2600,20),"yyyy-mm-dd hh:mm")&amp;"｜"&amp;IF(INDEX('比赛台账'!$J$5:$J$2600,20)="","—",INDEX('比赛台账'!$J$5:$J$2600,20))&amp;CHAR(10)&amp;IF(INDEX('比赛台账'!$C$5:$C$2600,20)="","—",INDEX('比赛台账'!$C$5:$C$2600,20))&amp;"｜"&amp;IF(INDEX('比赛台账'!$D$5:$D$2600,20)="","—",INDEX('比赛台账'!$D$5:$D$2600,20))&amp;" vs "&amp;IF(INDEX('比赛台账'!$E$5:$E$2600,20)="","—",INDEX('比赛台账'!$E$5:$E$2600,20))&amp;CHAR(10)&amp;"让球："&amp;IF(INDEX('比赛台账'!$F$5:$F$2600,20)="","—",INDEX('比赛台账'!$F$5:$F$2600,20))&amp;CHAR(10)&amp;"大小球："&amp;IF(INDEX('比赛台账'!$G$5:$G$2600,20)="","—",INDEX('比赛台账'!$G$5:$G$2600,20))&amp;CHAR(10)&amp;"可选/加仓："&amp;IF(INDEX('比赛台账'!$H$5:$H$2600,20)="","—",INDEX('比赛台账'!$H$5:$H$2600,20))&amp;CHAR(10)&amp;"冻结："&amp;IF(INDEX('比赛台账'!$I$5:$I$2600,20)="","—",TEXT(INDEX('比赛台账'!$I$5:$I$2600,20),"yyyy-mm-dd hh:mm"))&amp;CHAR(10)&amp;"比分："&amp;IF(INDEX('比赛台账'!$K$5:$K$2600,20)="","—",INDEX('比赛台账'!$K$5:$K$2600,20))&amp;"｜让球结论："&amp;IF(INDEX('比赛台账'!$L$5:$L$2600,20)="","—",INDEX('比赛台账'!$L$5:$L$2600,20))&amp;"｜大小球结论："&amp;IF(INDEX('比赛台账'!$M$5:$M$2600,20)="","—",INDEX('比赛台账'!$M$5:$M$2600,20))&amp;CHAR(10)&amp;"盈亏：让球 "&amp;IF(INDEX('比赛台账'!$N$5:$N$2600,20)="","—",TEXT(INDEX('比赛台账'!$N$5:$N$2600,20),"+0.00;-0.00;0.00"))&amp;"｜大小球 "&amp;IF(INDEX('比赛台账'!$O$5:$O$2600,20)="","—",TEXT(INDEX('比赛台账'!$O$5:$O$2600,20),"+0.00;-0.00;0.00"))&amp;"｜合计 "&amp;IF(INDEX('比赛台账'!$P$5:$P$2600,20)="","—",TEXT(INDEX('比赛台账'!$P$5:$P$2600,20),"+0.00;-0.00;0.00"))&amp;"（辅助）"&amp;CHAR(10)&amp;"来源："&amp;IF(INDEX('比赛台账'!$Q$5:$Q$2600,20)="","—",INDEX('比赛台账'!$Q$5:$Q$2600,20))&amp;CHAR(10)&amp;"备注："&amp;IF(INDEX('比赛台账'!$R$5:$R$2600,20)="","—",INDEX('比赛台账'!$R$5:$R$2600,20)))</x:f>
        <x:v>#20  2026-07-19 12:30｜需复核
澳大利亚塔斯马尼亚州超级联赛｜中文名待确认（Ulverstone） vs 中文名待确认（Glenorchy Knights）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来源：https://www.livescore.mobi/football/australia/npl-tasmania/ulverstone-vs-glenorchy-knights/1722605/；查询时间：2026-07-18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8" s="513"/>
      <x:c r="C148" s="513"/>
      <x:c r="D148" s="513"/>
      <x:c r="E148" s="513"/>
      <x:c r="F148" s="514"/>
      <x:c r="G148"/>
      <x:c r="H148"/>
      <x:c r="I148"/>
      <x:c r="J148"/>
      <x:c r="K148"/>
      <x:c r="L148"/>
      <x:c r="M148"/>
      <x:c r="N148"/>
      <x:c r="O148"/>
      <x:c r="P148"/>
      <x:c r="Q148"/>
      <x:c r="R148"/>
    </x:row>
    <x:row r="149" ht="118.5" customHeight="1">
      <x:c r="A149" s="499" t="str">
        <x:f>IF(21&gt;COUNTA('比赛台账'!$B$5:$B$2600),"","#21  "&amp;TEXT(INDEX('比赛台账'!$B$5:$B$2600,21),"yyyy-mm-dd hh:mm")&amp;"｜"&amp;IF(INDEX('比赛台账'!$J$5:$J$2600,21)="","—",INDEX('比赛台账'!$J$5:$J$2600,21))&amp;CHAR(10)&amp;IF(INDEX('比赛台账'!$C$5:$C$2600,21)="","—",INDEX('比赛台账'!$C$5:$C$2600,21))&amp;"｜"&amp;IF(INDEX('比赛台账'!$D$5:$D$2600,21)="","—",INDEX('比赛台账'!$D$5:$D$2600,21))&amp;" vs "&amp;IF(INDEX('比赛台账'!$E$5:$E$2600,21)="","—",INDEX('比赛台账'!$E$5:$E$2600,21))&amp;CHAR(10)&amp;"让球："&amp;IF(INDEX('比赛台账'!$F$5:$F$2600,21)="","—",INDEX('比赛台账'!$F$5:$F$2600,21))&amp;CHAR(10)&amp;"大小球："&amp;IF(INDEX('比赛台账'!$G$5:$G$2600,21)="","—",INDEX('比赛台账'!$G$5:$G$2600,21))&amp;CHAR(10)&amp;"可选/加仓："&amp;IF(INDEX('比赛台账'!$H$5:$H$2600,21)="","—",INDEX('比赛台账'!$H$5:$H$2600,21))&amp;CHAR(10)&amp;"冻结："&amp;IF(INDEX('比赛台账'!$I$5:$I$2600,21)="","—",TEXT(INDEX('比赛台账'!$I$5:$I$2600,21),"yyyy-mm-dd hh:mm"))&amp;CHAR(10)&amp;"比分："&amp;IF(INDEX('比赛台账'!$K$5:$K$2600,21)="","—",INDEX('比赛台账'!$K$5:$K$2600,21))&amp;"｜让球结论："&amp;IF(INDEX('比赛台账'!$L$5:$L$2600,21)="","—",INDEX('比赛台账'!$L$5:$L$2600,21))&amp;"｜大小球结论："&amp;IF(INDEX('比赛台账'!$M$5:$M$2600,21)="","—",INDEX('比赛台账'!$M$5:$M$2600,21))&amp;CHAR(10)&amp;"盈亏：让球 "&amp;IF(INDEX('比赛台账'!$N$5:$N$2600,21)="","—",TEXT(INDEX('比赛台账'!$N$5:$N$2600,21),"+0.00;-0.00;0.00"))&amp;"｜大小球 "&amp;IF(INDEX('比赛台账'!$O$5:$O$2600,21)="","—",TEXT(INDEX('比赛台账'!$O$5:$O$2600,21),"+0.00;-0.00;0.00"))&amp;"｜合计 "&amp;IF(INDEX('比赛台账'!$P$5:$P$2600,21)="","—",TEXT(INDEX('比赛台账'!$P$5:$P$2600,21),"+0.00;-0.00;0.00"))&amp;"（辅助）"&amp;CHAR(10)&amp;"来源："&amp;IF(INDEX('比赛台账'!$Q$5:$Q$2600,21)="","—",INDEX('比赛台账'!$Q$5:$Q$2600,21))&amp;CHAR(10)&amp;"备注："&amp;IF(INDEX('比赛台账'!$R$5:$R$2600,21)="","—",INDEX('比赛台账'!$R$5:$R$2600,21)))</x:f>
        <x:v>#21  2026-07-19 12:00｜需复核
澳大利亚维多利亚州超级联赛1（VPL1）｜中文名待确认（Western United FC Youth） vs 布琳狮子U23（Bulleen Lions U23）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来源：https://www.livescore.mobi/football/australia/victoria-premier-league-one/western-united-fc-youth-vs-bulleen-lions/1722495/；查询时间：2026-07-18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49" s="500"/>
      <x:c r="C149" s="500"/>
      <x:c r="D149" s="500"/>
      <x:c r="E149" s="500"/>
      <x:c r="F149" s="501"/>
      <x:c r="G149"/>
      <x:c r="H149"/>
      <x:c r="I149"/>
      <x:c r="J149"/>
      <x:c r="K149"/>
      <x:c r="L149"/>
      <x:c r="M149"/>
      <x:c r="N149"/>
      <x:c r="O149"/>
      <x:c r="P149"/>
      <x:c r="Q149"/>
      <x:c r="R149"/>
    </x:row>
    <x:row r="150" ht="118.5" customHeight="1">
      <x:c r="A150" s="512" t="str">
        <x:f>IF(22&gt;COUNTA('比赛台账'!$B$5:$B$2600),"","#22  "&amp;TEXT(INDEX('比赛台账'!$B$5:$B$2600,22),"yyyy-mm-dd hh:mm")&amp;"｜"&amp;IF(INDEX('比赛台账'!$J$5:$J$2600,22)="","—",INDEX('比赛台账'!$J$5:$J$2600,22))&amp;CHAR(10)&amp;IF(INDEX('比赛台账'!$C$5:$C$2600,22)="","—",INDEX('比赛台账'!$C$5:$C$2600,22))&amp;"｜"&amp;IF(INDEX('比赛台账'!$D$5:$D$2600,22)="","—",INDEX('比赛台账'!$D$5:$D$2600,22))&amp;" vs "&amp;IF(INDEX('比赛台账'!$E$5:$E$2600,22)="","—",INDEX('比赛台账'!$E$5:$E$2600,22))&amp;CHAR(10)&amp;"让球："&amp;IF(INDEX('比赛台账'!$F$5:$F$2600,22)="","—",INDEX('比赛台账'!$F$5:$F$2600,22))&amp;CHAR(10)&amp;"大小球："&amp;IF(INDEX('比赛台账'!$G$5:$G$2600,22)="","—",INDEX('比赛台账'!$G$5:$G$2600,22))&amp;CHAR(10)&amp;"可选/加仓："&amp;IF(INDEX('比赛台账'!$H$5:$H$2600,22)="","—",INDEX('比赛台账'!$H$5:$H$2600,22))&amp;CHAR(10)&amp;"冻结："&amp;IF(INDEX('比赛台账'!$I$5:$I$2600,22)="","—",TEXT(INDEX('比赛台账'!$I$5:$I$2600,22),"yyyy-mm-dd hh:mm"))&amp;CHAR(10)&amp;"比分："&amp;IF(INDEX('比赛台账'!$K$5:$K$2600,22)="","—",INDEX('比赛台账'!$K$5:$K$2600,22))&amp;"｜让球结论："&amp;IF(INDEX('比赛台账'!$L$5:$L$2600,22)="","—",INDEX('比赛台账'!$L$5:$L$2600,22))&amp;"｜大小球结论："&amp;IF(INDEX('比赛台账'!$M$5:$M$2600,22)="","—",INDEX('比赛台账'!$M$5:$M$2600,22))&amp;CHAR(10)&amp;"盈亏：让球 "&amp;IF(INDEX('比赛台账'!$N$5:$N$2600,22)="","—",TEXT(INDEX('比赛台账'!$N$5:$N$2600,22),"+0.00;-0.00;0.00"))&amp;"｜大小球 "&amp;IF(INDEX('比赛台账'!$O$5:$O$2600,22)="","—",TEXT(INDEX('比赛台账'!$O$5:$O$2600,22),"+0.00;-0.00;0.00"))&amp;"｜合计 "&amp;IF(INDEX('比赛台账'!$P$5:$P$2600,22)="","—",TEXT(INDEX('比赛台账'!$P$5:$P$2600,22),"+0.00;-0.00;0.00"))&amp;"（辅助）"&amp;CHAR(10)&amp;"来源："&amp;IF(INDEX('比赛台账'!$Q$5:$Q$2600,22)="","—",INDEX('比赛台账'!$Q$5:$Q$2600,22))&amp;CHAR(10)&amp;"备注："&amp;IF(INDEX('比赛台账'!$R$5:$R$2600,22)="","—",INDEX('比赛台账'!$R$5:$R$2600,22)))</x:f>
        <x:v>#22  2026-07-19 11:10｜需复核
墨西哥超级联赛（Liga MX）｜克雷塔罗（Querétaro） vs 墨西哥美洲（Club América）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来源：https://www.livescore.mobi/football/mexico/liga-mx-apertura/queretaro-fc-vs-cf-america/1798946/；https://www.fotmob.com/matches/x/x#1000014507；https://www.espn.com/soccer/match/_/gameId/401877037/america-queretaro；查询时间：2026-07-18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DWD、客队DD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50" s="513"/>
      <x:c r="C150" s="513"/>
      <x:c r="D150" s="513"/>
      <x:c r="E150" s="513"/>
      <x:c r="F150" s="514"/>
      <x:c r="G150"/>
      <x:c r="H150"/>
      <x:c r="I150"/>
      <x:c r="J150"/>
      <x:c r="K150"/>
      <x:c r="L150"/>
      <x:c r="M150"/>
      <x:c r="N150"/>
      <x:c r="O150"/>
      <x:c r="P150"/>
      <x:c r="Q150"/>
      <x:c r="R150"/>
    </x:row>
    <x:row r="151" ht="118.5" customHeight="1">
      <x:c r="A151" s="499" t="str">
        <x:f>IF(23&gt;COUNTA('比赛台账'!$B$5:$B$2600),"","#23  "&amp;TEXT(INDEX('比赛台账'!$B$5:$B$2600,23),"yyyy-mm-dd hh:mm")&amp;"｜"&amp;IF(INDEX('比赛台账'!$J$5:$J$2600,23)="","—",INDEX('比赛台账'!$J$5:$J$2600,23))&amp;CHAR(10)&amp;IF(INDEX('比赛台账'!$C$5:$C$2600,23)="","—",INDEX('比赛台账'!$C$5:$C$2600,23))&amp;"｜"&amp;IF(INDEX('比赛台账'!$D$5:$D$2600,23)="","—",INDEX('比赛台账'!$D$5:$D$2600,23))&amp;" vs "&amp;IF(INDEX('比赛台账'!$E$5:$E$2600,23)="","—",INDEX('比赛台账'!$E$5:$E$2600,23))&amp;CHAR(10)&amp;"让球："&amp;IF(INDEX('比赛台账'!$F$5:$F$2600,23)="","—",INDEX('比赛台账'!$F$5:$F$2600,23))&amp;CHAR(10)&amp;"大小球："&amp;IF(INDEX('比赛台账'!$G$5:$G$2600,23)="","—",INDEX('比赛台账'!$G$5:$G$2600,23))&amp;CHAR(10)&amp;"可选/加仓："&amp;IF(INDEX('比赛台账'!$H$5:$H$2600,23)="","—",INDEX('比赛台账'!$H$5:$H$2600,23))&amp;CHAR(10)&amp;"冻结："&amp;IF(INDEX('比赛台账'!$I$5:$I$2600,23)="","—",TEXT(INDEX('比赛台账'!$I$5:$I$2600,23),"yyyy-mm-dd hh:mm"))&amp;CHAR(10)&amp;"比分："&amp;IF(INDEX('比赛台账'!$K$5:$K$2600,23)="","—",INDEX('比赛台账'!$K$5:$K$2600,23))&amp;"｜让球结论："&amp;IF(INDEX('比赛台账'!$L$5:$L$2600,23)="","—",INDEX('比赛台账'!$L$5:$L$2600,23))&amp;"｜大小球结论："&amp;IF(INDEX('比赛台账'!$M$5:$M$2600,23)="","—",INDEX('比赛台账'!$M$5:$M$2600,23))&amp;CHAR(10)&amp;"盈亏：让球 "&amp;IF(INDEX('比赛台账'!$N$5:$N$2600,23)="","—",TEXT(INDEX('比赛台账'!$N$5:$N$2600,23),"+0.00;-0.00;0.00"))&amp;"｜大小球 "&amp;IF(INDEX('比赛台账'!$O$5:$O$2600,23)="","—",TEXT(INDEX('比赛台账'!$O$5:$O$2600,23),"+0.00;-0.00;0.00"))&amp;"｜合计 "&amp;IF(INDEX('比赛台账'!$P$5:$P$2600,23)="","—",TEXT(INDEX('比赛台账'!$P$5:$P$2600,23),"+0.00;-0.00;0.00"))&amp;"（辅助）"&amp;CHAR(10)&amp;"来源："&amp;IF(INDEX('比赛台账'!$Q$5:$Q$2600,23)="","—",INDEX('比赛台账'!$Q$5:$Q$2600,23))&amp;CHAR(10)&amp;"备注："&amp;IF(INDEX('比赛台账'!$R$5:$R$2600,23)="","—",INDEX('比赛台账'!$R$5:$R$2600,23)))</x:f>
        <x:v>#23  2026-07-19 11:00｜需复核
澳大利亚新南威尔士州北部超级联赛｜中文名待确认（Newcastle Olympic） vs 中文名待确认（Belmont Swansea）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来源：https://www.livescore.mobi/football/australia/Northern-new-south-wales-2026/newcastle-olympic-vs-belmont-swansea/1717647/；查询时间：2026-07-18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51" s="500"/>
      <x:c r="C151" s="500"/>
      <x:c r="D151" s="500"/>
      <x:c r="E151" s="500"/>
      <x:c r="F151" s="501"/>
      <x:c r="G151"/>
      <x:c r="H151"/>
      <x:c r="I151"/>
      <x:c r="J151"/>
      <x:c r="K151"/>
      <x:c r="L151"/>
      <x:c r="M151"/>
      <x:c r="N151"/>
      <x:c r="O151"/>
      <x:c r="P151"/>
      <x:c r="Q151"/>
      <x:c r="R151"/>
    </x:row>
    <x:row r="152" ht="118.5" customHeight="1">
      <x:c r="A152" s="512" t="str">
        <x:f>IF(24&gt;COUNTA('比赛台账'!$B$5:$B$2600),"","#24  "&amp;TEXT(INDEX('比赛台账'!$B$5:$B$2600,24),"yyyy-mm-dd hh:mm")&amp;"｜"&amp;IF(INDEX('比赛台账'!$J$5:$J$2600,24)="","—",INDEX('比赛台账'!$J$5:$J$2600,24))&amp;CHAR(10)&amp;IF(INDEX('比赛台账'!$C$5:$C$2600,24)="","—",INDEX('比赛台账'!$C$5:$C$2600,24))&amp;"｜"&amp;IF(INDEX('比赛台账'!$D$5:$D$2600,24)="","—",INDEX('比赛台账'!$D$5:$D$2600,24))&amp;" vs "&amp;IF(INDEX('比赛台账'!$E$5:$E$2600,24)="","—",INDEX('比赛台账'!$E$5:$E$2600,24))&amp;CHAR(10)&amp;"让球："&amp;IF(INDEX('比赛台账'!$F$5:$F$2600,24)="","—",INDEX('比赛台账'!$F$5:$F$2600,24))&amp;CHAR(10)&amp;"大小球："&amp;IF(INDEX('比赛台账'!$G$5:$G$2600,24)="","—",INDEX('比赛台账'!$G$5:$G$2600,24))&amp;CHAR(10)&amp;"可选/加仓："&amp;IF(INDEX('比赛台账'!$H$5:$H$2600,24)="","—",INDEX('比赛台账'!$H$5:$H$2600,24))&amp;CHAR(10)&amp;"冻结："&amp;IF(INDEX('比赛台账'!$I$5:$I$2600,24)="","—",TEXT(INDEX('比赛台账'!$I$5:$I$2600,24),"yyyy-mm-dd hh:mm"))&amp;CHAR(10)&amp;"比分："&amp;IF(INDEX('比赛台账'!$K$5:$K$2600,24)="","—",INDEX('比赛台账'!$K$5:$K$2600,24))&amp;"｜让球结论："&amp;IF(INDEX('比赛台账'!$L$5:$L$2600,24)="","—",INDEX('比赛台账'!$L$5:$L$2600,24))&amp;"｜大小球结论："&amp;IF(INDEX('比赛台账'!$M$5:$M$2600,24)="","—",INDEX('比赛台账'!$M$5:$M$2600,24))&amp;CHAR(10)&amp;"盈亏：让球 "&amp;IF(INDEX('比赛台账'!$N$5:$N$2600,24)="","—",TEXT(INDEX('比赛台账'!$N$5:$N$2600,24),"+0.00;-0.00;0.00"))&amp;"｜大小球 "&amp;IF(INDEX('比赛台账'!$O$5:$O$2600,24)="","—",TEXT(INDEX('比赛台账'!$O$5:$O$2600,24),"+0.00;-0.00;0.00"))&amp;"｜合计 "&amp;IF(INDEX('比赛台账'!$P$5:$P$2600,24)="","—",TEXT(INDEX('比赛台账'!$P$5:$P$2600,24),"+0.00;-0.00;0.00"))&amp;"（辅助）"&amp;CHAR(10)&amp;"来源："&amp;IF(INDEX('比赛台账'!$Q$5:$Q$2600,24)="","—",INDEX('比赛台账'!$Q$5:$Q$2600,24))&amp;CHAR(10)&amp;"备注："&amp;IF(INDEX('比赛台账'!$R$5:$R$2600,24)="","—",INDEX('比赛台账'!$R$5:$R$2600,24)))</x:f>
        <x:v>#24  2026-07-19 10:30｜需复核
规范中文名待确认（Regular Season）｜凤凰重生（Phoenix Rising FC） vs 中文名待确认（Monterey Bay）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来源：https://www.espn.com/soccer/match/_/gameId/401841997/monterey-bay-phoenix-rising-fc；https://www.livescore.mobi/football/usa/usl-championship/phoenix-rising-fc-vs-monterey-bay-fc/1711565/；https://www.fotmob.com/matches/x/x#5109837；查询时间：2026-07-18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LDL、客队LDW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52" s="513"/>
      <x:c r="C152" s="513"/>
      <x:c r="D152" s="513"/>
      <x:c r="E152" s="513"/>
      <x:c r="F152" s="514"/>
      <x:c r="G152"/>
      <x:c r="H152"/>
      <x:c r="I152"/>
      <x:c r="J152"/>
      <x:c r="K152"/>
      <x:c r="L152"/>
      <x:c r="M152"/>
      <x:c r="N152"/>
      <x:c r="O152"/>
      <x:c r="P152"/>
      <x:c r="Q152"/>
      <x:c r="R152"/>
    </x:row>
    <x:row r="153" ht="118.5" customHeight="1">
      <x:c r="A153" s="499" t="str">
        <x:f>IF(25&gt;COUNTA('比赛台账'!$B$5:$B$2600),"","#25  "&amp;TEXT(INDEX('比赛台账'!$B$5:$B$2600,25),"yyyy-mm-dd hh:mm")&amp;"｜"&amp;IF(INDEX('比赛台账'!$J$5:$J$2600,25)="","—",INDEX('比赛台账'!$J$5:$J$2600,25))&amp;CHAR(10)&amp;IF(INDEX('比赛台账'!$C$5:$C$2600,25)="","—",INDEX('比赛台账'!$C$5:$C$2600,25))&amp;"｜"&amp;IF(INDEX('比赛台账'!$D$5:$D$2600,25)="","—",INDEX('比赛台账'!$D$5:$D$2600,25))&amp;" vs "&amp;IF(INDEX('比赛台账'!$E$5:$E$2600,25)="","—",INDEX('比赛台账'!$E$5:$E$2600,25))&amp;CHAR(10)&amp;"让球："&amp;IF(INDEX('比赛台账'!$F$5:$F$2600,25)="","—",INDEX('比赛台账'!$F$5:$F$2600,25))&amp;CHAR(10)&amp;"大小球："&amp;IF(INDEX('比赛台账'!$G$5:$G$2600,25)="","—",INDEX('比赛台账'!$G$5:$G$2600,25))&amp;CHAR(10)&amp;"可选/加仓："&amp;IF(INDEX('比赛台账'!$H$5:$H$2600,25)="","—",INDEX('比赛台账'!$H$5:$H$2600,25))&amp;CHAR(10)&amp;"冻结："&amp;IF(INDEX('比赛台账'!$I$5:$I$2600,25)="","—",TEXT(INDEX('比赛台账'!$I$5:$I$2600,25),"yyyy-mm-dd hh:mm"))&amp;CHAR(10)&amp;"比分："&amp;IF(INDEX('比赛台账'!$K$5:$K$2600,25)="","—",INDEX('比赛台账'!$K$5:$K$2600,25))&amp;"｜让球结论："&amp;IF(INDEX('比赛台账'!$L$5:$L$2600,25)="","—",INDEX('比赛台账'!$L$5:$L$2600,25))&amp;"｜大小球结论："&amp;IF(INDEX('比赛台账'!$M$5:$M$2600,25)="","—",INDEX('比赛台账'!$M$5:$M$2600,25))&amp;CHAR(10)&amp;"盈亏：让球 "&amp;IF(INDEX('比赛台账'!$N$5:$N$2600,25)="","—",TEXT(INDEX('比赛台账'!$N$5:$N$2600,25),"+0.00;-0.00;0.00"))&amp;"｜大小球 "&amp;IF(INDEX('比赛台账'!$O$5:$O$2600,25)="","—",TEXT(INDEX('比赛台账'!$O$5:$O$2600,25),"+0.00;-0.00;0.00"))&amp;"｜合计 "&amp;IF(INDEX('比赛台账'!$P$5:$P$2600,25)="","—",TEXT(INDEX('比赛台账'!$P$5:$P$2600,25),"+0.00;-0.00;0.00"))&amp;"（辅助）"&amp;CHAR(10)&amp;"来源："&amp;IF(INDEX('比赛台账'!$Q$5:$Q$2600,25)="","—",INDEX('比赛台账'!$Q$5:$Q$2600,25))&amp;CHAR(10)&amp;"备注："&amp;IF(INDEX('比赛台账'!$R$5:$R$2600,25)="","—",INDEX('比赛台账'!$R$5:$R$2600,25)))</x:f>
        <x:v>#25  2026-07-19 10:00｜需复核
美国MLS Next Pro联赛｜中文名待确认（San Jose Earthquakes II） vs 中文名待确认（North Texas SC）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来源：https://www.fotmob.com/matches/x/x#1000007653；查询时间：2026-07-18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53" s="500"/>
      <x:c r="C153" s="500"/>
      <x:c r="D153" s="500"/>
      <x:c r="E153" s="500"/>
      <x:c r="F153" s="501"/>
      <x:c r="G153"/>
      <x:c r="H153"/>
      <x:c r="I153"/>
      <x:c r="J153"/>
      <x:c r="K153"/>
      <x:c r="L153"/>
      <x:c r="M153"/>
      <x:c r="N153"/>
      <x:c r="O153"/>
      <x:c r="P153"/>
      <x:c r="Q153"/>
      <x:c r="R153"/>
    </x:row>
    <x:row r="154" ht="118.5" customHeight="1">
      <x:c r="A154" s="512" t="str">
        <x:f>IF(26&gt;COUNTA('比赛台账'!$B$5:$B$2600),"","#26  "&amp;TEXT(INDEX('比赛台账'!$B$5:$B$2600,26),"yyyy-mm-dd hh:mm")&amp;"｜"&amp;IF(INDEX('比赛台账'!$J$5:$J$2600,26)="","—",INDEX('比赛台账'!$J$5:$J$2600,26))&amp;CHAR(10)&amp;IF(INDEX('比赛台账'!$C$5:$C$2600,26)="","—",INDEX('比赛台账'!$C$5:$C$2600,26))&amp;"｜"&amp;IF(INDEX('比赛台账'!$D$5:$D$2600,26)="","—",INDEX('比赛台账'!$D$5:$D$2600,26))&amp;" vs "&amp;IF(INDEX('比赛台账'!$E$5:$E$2600,26)="","—",INDEX('比赛台账'!$E$5:$E$2600,26))&amp;CHAR(10)&amp;"让球："&amp;IF(INDEX('比赛台账'!$F$5:$F$2600,26)="","—",INDEX('比赛台账'!$F$5:$F$2600,26))&amp;CHAR(10)&amp;"大小球："&amp;IF(INDEX('比赛台账'!$G$5:$G$2600,26)="","—",INDEX('比赛台账'!$G$5:$G$2600,26))&amp;CHAR(10)&amp;"可选/加仓："&amp;IF(INDEX('比赛台账'!$H$5:$H$2600,26)="","—",INDEX('比赛台账'!$H$5:$H$2600,26))&amp;CHAR(10)&amp;"冻结："&amp;IF(INDEX('比赛台账'!$I$5:$I$2600,26)="","—",TEXT(INDEX('比赛台账'!$I$5:$I$2600,26),"yyyy-mm-dd hh:mm"))&amp;CHAR(10)&amp;"比分："&amp;IF(INDEX('比赛台账'!$K$5:$K$2600,26)="","—",INDEX('比赛台账'!$K$5:$K$2600,26))&amp;"｜让球结论："&amp;IF(INDEX('比赛台账'!$L$5:$L$2600,26)="","—",INDEX('比赛台账'!$L$5:$L$2600,26))&amp;"｜大小球结论："&amp;IF(INDEX('比赛台账'!$M$5:$M$2600,26)="","—",INDEX('比赛台账'!$M$5:$M$2600,26))&amp;CHAR(10)&amp;"盈亏：让球 "&amp;IF(INDEX('比赛台账'!$N$5:$N$2600,26)="","—",TEXT(INDEX('比赛台账'!$N$5:$N$2600,26),"+0.00;-0.00;0.00"))&amp;"｜大小球 "&amp;IF(INDEX('比赛台账'!$O$5:$O$2600,26)="","—",TEXT(INDEX('比赛台账'!$O$5:$O$2600,26),"+0.00;-0.00;0.00"))&amp;"｜合计 "&amp;IF(INDEX('比赛台账'!$P$5:$P$2600,26)="","—",TEXT(INDEX('比赛台账'!$P$5:$P$2600,26),"+0.00;-0.00;0.00"))&amp;"（辅助）"&amp;CHAR(10)&amp;"来源："&amp;IF(INDEX('比赛台账'!$Q$5:$Q$2600,26)="","—",INDEX('比赛台账'!$Q$5:$Q$2600,26))&amp;CHAR(10)&amp;"备注："&amp;IF(INDEX('比赛台账'!$R$5:$R$2600,26)="","—",INDEX('比赛台账'!$R$5:$R$2600,26)))</x:f>
        <x:v>#26  2026-07-19 10:00｜需复核
美国MLS Next Pro联赛｜中文名待确认（The Town FC） vs 中文名待确认（North Texas SC）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来源：https://www.livescore.mobi/football/usa/mls-next-pro/the-town-fc-vs-north-texas-sc/1740435/；查询时间：2026-07-18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54" s="513"/>
      <x:c r="C154" s="513"/>
      <x:c r="D154" s="513"/>
      <x:c r="E154" s="513"/>
      <x:c r="F154" s="514"/>
      <x:c r="G154"/>
      <x:c r="H154"/>
      <x:c r="I154"/>
      <x:c r="J154"/>
      <x:c r="K154"/>
      <x:c r="L154"/>
      <x:c r="M154"/>
      <x:c r="N154"/>
      <x:c r="O154"/>
      <x:c r="P154"/>
      <x:c r="Q154"/>
      <x:c r="R154"/>
    </x:row>
    <x:row r="155" ht="118.5" customHeight="1">
      <x:c r="A155" s="499" t="str">
        <x:f>IF(27&gt;COUNTA('比赛台账'!$B$5:$B$2600),"","#27  "&amp;TEXT(INDEX('比赛台账'!$B$5:$B$2600,27),"yyyy-mm-dd hh:mm")&amp;"｜"&amp;IF(INDEX('比赛台账'!$J$5:$J$2600,27)="","—",INDEX('比赛台账'!$J$5:$J$2600,27))&amp;CHAR(10)&amp;IF(INDEX('比赛台账'!$C$5:$C$2600,27)="","—",INDEX('比赛台账'!$C$5:$C$2600,27))&amp;"｜"&amp;IF(INDEX('比赛台账'!$D$5:$D$2600,27)="","—",INDEX('比赛台账'!$D$5:$D$2600,27))&amp;" vs "&amp;IF(INDEX('比赛台账'!$E$5:$E$2600,27)="","—",INDEX('比赛台账'!$E$5:$E$2600,27))&amp;CHAR(10)&amp;"让球："&amp;IF(INDEX('比赛台账'!$F$5:$F$2600,27)="","—",INDEX('比赛台账'!$F$5:$F$2600,27))&amp;CHAR(10)&amp;"大小球："&amp;IF(INDEX('比赛台账'!$G$5:$G$2600,27)="","—",INDEX('比赛台账'!$G$5:$G$2600,27))&amp;CHAR(10)&amp;"可选/加仓："&amp;IF(INDEX('比赛台账'!$H$5:$H$2600,27)="","—",INDEX('比赛台账'!$H$5:$H$2600,27))&amp;CHAR(10)&amp;"冻结："&amp;IF(INDEX('比赛台账'!$I$5:$I$2600,27)="","—",TEXT(INDEX('比赛台账'!$I$5:$I$2600,27),"yyyy-mm-dd hh:mm"))&amp;CHAR(10)&amp;"比分："&amp;IF(INDEX('比赛台账'!$K$5:$K$2600,27)="","—",INDEX('比赛台账'!$K$5:$K$2600,27))&amp;"｜让球结论："&amp;IF(INDEX('比赛台账'!$L$5:$L$2600,27)="","—",INDEX('比赛台账'!$L$5:$L$2600,27))&amp;"｜大小球结论："&amp;IF(INDEX('比赛台账'!$M$5:$M$2600,27)="","—",INDEX('比赛台账'!$M$5:$M$2600,27))&amp;CHAR(10)&amp;"盈亏：让球 "&amp;IF(INDEX('比赛台账'!$N$5:$N$2600,27)="","—",TEXT(INDEX('比赛台账'!$N$5:$N$2600,27),"+0.00;-0.00;0.00"))&amp;"｜大小球 "&amp;IF(INDEX('比赛台账'!$O$5:$O$2600,27)="","—",TEXT(INDEX('比赛台账'!$O$5:$O$2600,27),"+0.00;-0.00;0.00"))&amp;"｜合计 "&amp;IF(INDEX('比赛台账'!$P$5:$P$2600,27)="","—",TEXT(INDEX('比赛台账'!$P$5:$P$2600,27),"+0.00;-0.00;0.00"))&amp;"（辅助）"&amp;CHAR(10)&amp;"来源："&amp;IF(INDEX('比赛台账'!$Q$5:$Q$2600,27)="","—",INDEX('比赛台账'!$Q$5:$Q$2600,27))&amp;CHAR(10)&amp;"备注："&amp;IF(INDEX('比赛台账'!$R$5:$R$2600,27)="","—",INDEX('比赛台账'!$R$5:$R$2600,27)))</x:f>
        <x:v>#27  2026-07-19 10:00｜需复核
美国MLS Next Pro联赛｜中文名待确认（Ventura County FC） vs 洛杉矶FC（Los Angeles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来源：https://www.livescore.mobi/football/usa/mls-next-pro/ventura-county-fc-vs-los-angeles-fc-ii/1740431/；https://www.fotmob.com/matches/x/x#1000007656；查询时间：2026-07-18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55" s="500"/>
      <x:c r="C155" s="500"/>
      <x:c r="D155" s="500"/>
      <x:c r="E155" s="500"/>
      <x:c r="F155" s="501"/>
      <x:c r="G155"/>
      <x:c r="H155"/>
      <x:c r="I155"/>
      <x:c r="J155"/>
      <x:c r="K155"/>
      <x:c r="L155"/>
      <x:c r="M155"/>
      <x:c r="N155"/>
      <x:c r="O155"/>
      <x:c r="P155"/>
      <x:c r="Q155"/>
      <x:c r="R155"/>
    </x:row>
    <x:row r="156" ht="118.5" customHeight="1">
      <x:c r="A156" s="512" t="str">
        <x:f>IF(28&gt;COUNTA('比赛台账'!$B$5:$B$2600),"","#28  "&amp;TEXT(INDEX('比赛台账'!$B$5:$B$2600,28),"yyyy-mm-dd hh:mm")&amp;"｜"&amp;IF(INDEX('比赛台账'!$J$5:$J$2600,28)="","—",INDEX('比赛台账'!$J$5:$J$2600,28))&amp;CHAR(10)&amp;IF(INDEX('比赛台账'!$C$5:$C$2600,28)="","—",INDEX('比赛台账'!$C$5:$C$2600,28))&amp;"｜"&amp;IF(INDEX('比赛台账'!$D$5:$D$2600,28)="","—",INDEX('比赛台账'!$D$5:$D$2600,28))&amp;" vs "&amp;IF(INDEX('比赛台账'!$E$5:$E$2600,28)="","—",INDEX('比赛台账'!$E$5:$E$2600,28))&amp;CHAR(10)&amp;"让球："&amp;IF(INDEX('比赛台账'!$F$5:$F$2600,28)="","—",INDEX('比赛台账'!$F$5:$F$2600,28))&amp;CHAR(10)&amp;"大小球："&amp;IF(INDEX('比赛台账'!$G$5:$G$2600,28)="","—",INDEX('比赛台账'!$G$5:$G$2600,28))&amp;CHAR(10)&amp;"可选/加仓："&amp;IF(INDEX('比赛台账'!$H$5:$H$2600,28)="","—",INDEX('比赛台账'!$H$5:$H$2600,28))&amp;CHAR(10)&amp;"冻结："&amp;IF(INDEX('比赛台账'!$I$5:$I$2600,28)="","—",TEXT(INDEX('比赛台账'!$I$5:$I$2600,28),"yyyy-mm-dd hh:mm"))&amp;CHAR(10)&amp;"比分："&amp;IF(INDEX('比赛台账'!$K$5:$K$2600,28)="","—",INDEX('比赛台账'!$K$5:$K$2600,28))&amp;"｜让球结论："&amp;IF(INDEX('比赛台账'!$L$5:$L$2600,28)="","—",INDEX('比赛台账'!$L$5:$L$2600,28))&amp;"｜大小球结论："&amp;IF(INDEX('比赛台账'!$M$5:$M$2600,28)="","—",INDEX('比赛台账'!$M$5:$M$2600,28))&amp;CHAR(10)&amp;"盈亏：让球 "&amp;IF(INDEX('比赛台账'!$N$5:$N$2600,28)="","—",TEXT(INDEX('比赛台账'!$N$5:$N$2600,28),"+0.00;-0.00;0.00"))&amp;"｜大小球 "&amp;IF(INDEX('比赛台账'!$O$5:$O$2600,28)="","—",TEXT(INDEX('比赛台账'!$O$5:$O$2600,28),"+0.00;-0.00;0.00"))&amp;"｜合计 "&amp;IF(INDEX('比赛台账'!$P$5:$P$2600,28)="","—",TEXT(INDEX('比赛台账'!$P$5:$P$2600,28),"+0.00;-0.00;0.00"))&amp;"（辅助）"&amp;CHAR(10)&amp;"来源："&amp;IF(INDEX('比赛台账'!$Q$5:$Q$2600,28)="","—",INDEX('比赛台账'!$Q$5:$Q$2600,28))&amp;CHAR(10)&amp;"备注："&amp;IF(INDEX('比赛台账'!$R$5:$R$2600,28)="","—",INDEX('比赛台账'!$R$5:$R$2600,28)))</x:f>
        <x:v>#28  2026-07-19 09:07｜需复核
墨西哥超级联赛（Liga MX）｜瓜达拉哈拉芝华士（CD Guadalajara） vs 托卢卡（Toluca）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来源：https://www.livescore.mobi/football/mexico/liga-mx-apertura/cd-guadalajara-vs-toluca/1798947/；https://www.fotmob.com/matches/x/x#1000014505；https://www.espn.com/soccer/match/_/gameId/401877039/toluca-guadalajara；查询时间：2026-07-18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WLD、客队WLW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56" s="513"/>
      <x:c r="C156" s="513"/>
      <x:c r="D156" s="513"/>
      <x:c r="E156" s="513"/>
      <x:c r="F156" s="514"/>
      <x:c r="G156"/>
      <x:c r="H156"/>
      <x:c r="I156"/>
      <x:c r="J156"/>
      <x:c r="K156"/>
      <x:c r="L156"/>
      <x:c r="M156"/>
      <x:c r="N156"/>
      <x:c r="O156"/>
      <x:c r="P156"/>
      <x:c r="Q156"/>
      <x:c r="R156"/>
    </x:row>
    <x:row r="157" ht="118.5" customHeight="1">
      <x:c r="A157" s="499" t="str">
        <x:f>IF(29&gt;COUNTA('比赛台账'!$B$5:$B$2600),"","#29  "&amp;TEXT(INDEX('比赛台账'!$B$5:$B$2600,29),"yyyy-mm-dd hh:mm")&amp;"｜"&amp;IF(INDEX('比赛台账'!$J$5:$J$2600,29)="","—",INDEX('比赛台账'!$J$5:$J$2600,29))&amp;CHAR(10)&amp;IF(INDEX('比赛台账'!$C$5:$C$2600,29)="","—",INDEX('比赛台账'!$C$5:$C$2600,29))&amp;"｜"&amp;IF(INDEX('比赛台账'!$D$5:$D$2600,29)="","—",INDEX('比赛台账'!$D$5:$D$2600,29))&amp;" vs "&amp;IF(INDEX('比赛台账'!$E$5:$E$2600,29)="","—",INDEX('比赛台账'!$E$5:$E$2600,29))&amp;CHAR(10)&amp;"让球："&amp;IF(INDEX('比赛台账'!$F$5:$F$2600,29)="","—",INDEX('比赛台账'!$F$5:$F$2600,29))&amp;CHAR(10)&amp;"大小球："&amp;IF(INDEX('比赛台账'!$G$5:$G$2600,29)="","—",INDEX('比赛台账'!$G$5:$G$2600,29))&amp;CHAR(10)&amp;"可选/加仓："&amp;IF(INDEX('比赛台账'!$H$5:$H$2600,29)="","—",INDEX('比赛台账'!$H$5:$H$2600,29))&amp;CHAR(10)&amp;"冻结："&amp;IF(INDEX('比赛台账'!$I$5:$I$2600,29)="","—",TEXT(INDEX('比赛台账'!$I$5:$I$2600,29),"yyyy-mm-dd hh:mm"))&amp;CHAR(10)&amp;"比分："&amp;IF(INDEX('比赛台账'!$K$5:$K$2600,29)="","—",INDEX('比赛台账'!$K$5:$K$2600,29))&amp;"｜让球结论："&amp;IF(INDEX('比赛台账'!$L$5:$L$2600,29)="","—",INDEX('比赛台账'!$L$5:$L$2600,29))&amp;"｜大小球结论："&amp;IF(INDEX('比赛台账'!$M$5:$M$2600,29)="","—",INDEX('比赛台账'!$M$5:$M$2600,29))&amp;CHAR(10)&amp;"盈亏：让球 "&amp;IF(INDEX('比赛台账'!$N$5:$N$2600,29)="","—",TEXT(INDEX('比赛台账'!$N$5:$N$2600,29),"+0.00;-0.00;0.00"))&amp;"｜大小球 "&amp;IF(INDEX('比赛台账'!$O$5:$O$2600,29)="","—",TEXT(INDEX('比赛台账'!$O$5:$O$2600,29),"+0.00;-0.00;0.00"))&amp;"｜合计 "&amp;IF(INDEX('比赛台账'!$P$5:$P$2600,29)="","—",TEXT(INDEX('比赛台账'!$P$5:$P$2600,29),"+0.00;-0.00;0.00"))&amp;"（辅助）"&amp;CHAR(10)&amp;"来源："&amp;IF(INDEX('比赛台账'!$Q$5:$Q$2600,29)="","—",INDEX('比赛台账'!$Q$5:$Q$2600,29))&amp;CHAR(10)&amp;"备注："&amp;IF(INDEX('比赛台账'!$R$5:$R$2600,29)="","—",INDEX('比赛台账'!$R$5:$R$2600,29)))</x:f>
        <x:v>#29  2026-07-19 09:05｜需复核
墨西哥超级联赛（Liga MX）｜蒙特雷（CF Monterrey） vs 桑托斯拉古纳（Santos Laguna）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来源：https://www.livescore.mobi/football/mexico/liga-mx-apertura/monterrey-vs-club-santos-laguna/1798945/；https://www.fotmob.com/matches/x/x#1000014506；https://www.espn.com/soccer/match/_/gameId/401877038/santos-monterrey；查询时间：2026-07-18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LDL、客队WLL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57" s="500"/>
      <x:c r="C157" s="500"/>
      <x:c r="D157" s="500"/>
      <x:c r="E157" s="500"/>
      <x:c r="F157" s="501"/>
      <x:c r="G157"/>
      <x:c r="H157"/>
      <x:c r="I157"/>
      <x:c r="J157"/>
      <x:c r="K157"/>
      <x:c r="L157"/>
      <x:c r="M157"/>
      <x:c r="N157"/>
      <x:c r="O157"/>
      <x:c r="P157"/>
      <x:c r="Q157"/>
      <x:c r="R157"/>
    </x:row>
    <x:row r="158" ht="118.5" customHeight="1">
      <x:c r="A158" s="512" t="str">
        <x:f>IF(30&gt;COUNTA('比赛台账'!$B$5:$B$2600),"","#30  "&amp;TEXT(INDEX('比赛台账'!$B$5:$B$2600,30),"yyyy-mm-dd hh:mm")&amp;"｜"&amp;IF(INDEX('比赛台账'!$J$5:$J$2600,30)="","—",INDEX('比赛台账'!$J$5:$J$2600,30))&amp;CHAR(10)&amp;IF(INDEX('比赛台账'!$C$5:$C$2600,30)="","—",INDEX('比赛台账'!$C$5:$C$2600,30))&amp;"｜"&amp;IF(INDEX('比赛台账'!$D$5:$D$2600,30)="","—",INDEX('比赛台账'!$D$5:$D$2600,30))&amp;" vs "&amp;IF(INDEX('比赛台账'!$E$5:$E$2600,30)="","—",INDEX('比赛台账'!$E$5:$E$2600,30))&amp;CHAR(10)&amp;"让球："&amp;IF(INDEX('比赛台账'!$F$5:$F$2600,30)="","—",INDEX('比赛台账'!$F$5:$F$2600,30))&amp;CHAR(10)&amp;"大小球："&amp;IF(INDEX('比赛台账'!$G$5:$G$2600,30)="","—",INDEX('比赛台账'!$G$5:$G$2600,30))&amp;CHAR(10)&amp;"可选/加仓："&amp;IF(INDEX('比赛台账'!$H$5:$H$2600,30)="","—",INDEX('比赛台账'!$H$5:$H$2600,30))&amp;CHAR(10)&amp;"冻结："&amp;IF(INDEX('比赛台账'!$I$5:$I$2600,30)="","—",TEXT(INDEX('比赛台账'!$I$5:$I$2600,30),"yyyy-mm-dd hh:mm"))&amp;CHAR(10)&amp;"比分："&amp;IF(INDEX('比赛台账'!$K$5:$K$2600,30)="","—",INDEX('比赛台账'!$K$5:$K$2600,30))&amp;"｜让球结论："&amp;IF(INDEX('比赛台账'!$L$5:$L$2600,30)="","—",INDEX('比赛台账'!$L$5:$L$2600,30))&amp;"｜大小球结论："&amp;IF(INDEX('比赛台账'!$M$5:$M$2600,30)="","—",INDEX('比赛台账'!$M$5:$M$2600,30))&amp;CHAR(10)&amp;"盈亏：让球 "&amp;IF(INDEX('比赛台账'!$N$5:$N$2600,30)="","—",TEXT(INDEX('比赛台账'!$N$5:$N$2600,30),"+0.00;-0.00;0.00"))&amp;"｜大小球 "&amp;IF(INDEX('比赛台账'!$O$5:$O$2600,30)="","—",TEXT(INDEX('比赛台账'!$O$5:$O$2600,30),"+0.00;-0.00;0.00"))&amp;"｜合计 "&amp;IF(INDEX('比赛台账'!$P$5:$P$2600,30)="","—",TEXT(INDEX('比赛台账'!$P$5:$P$2600,30),"+0.00;-0.00;0.00"))&amp;"（辅助）"&amp;CHAR(10)&amp;"来源："&amp;IF(INDEX('比赛台账'!$Q$5:$Q$2600,30)="","—",INDEX('比赛台账'!$Q$5:$Q$2600,30))&amp;CHAR(10)&amp;"备注："&amp;IF(INDEX('比赛台账'!$R$5:$R$2600,30)="","—",INDEX('比赛台账'!$R$5:$R$2600,30)))</x:f>
        <x:v>#30  2026-07-19 09:00｜需复核
规范中文名待确认（Peru - Liga 2: Group A）｜中文名待确认（Carlos A. Mannucci） vs 中文名待确认（Deportivo Llacuabamba）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来源：https://www.livescore.mobi/football/peru/liga-2-group-a/carlos-a-mannucci-vs-deportivo-llacuabamba/1805770/；查询时间：2026-07-18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58" s="513"/>
      <x:c r="C158" s="513"/>
      <x:c r="D158" s="513"/>
      <x:c r="E158" s="513"/>
      <x:c r="F158" s="514"/>
      <x:c r="G158"/>
      <x:c r="H158"/>
      <x:c r="I158"/>
      <x:c r="J158"/>
      <x:c r="K158"/>
      <x:c r="L158"/>
      <x:c r="M158"/>
      <x:c r="N158"/>
      <x:c r="O158"/>
      <x:c r="P158"/>
      <x:c r="Q158"/>
      <x:c r="R158"/>
    </x:row>
    <x:row r="159" ht="118.5" customHeight="1">
      <x:c r="A159" s="499" t="str">
        <x:f>IF(31&gt;COUNTA('比赛台账'!$B$5:$B$2600),"","#31  "&amp;TEXT(INDEX('比赛台账'!$B$5:$B$2600,31),"yyyy-mm-dd hh:mm")&amp;"｜"&amp;IF(INDEX('比赛台账'!$J$5:$J$2600,31)="","—",INDEX('比赛台账'!$J$5:$J$2600,31))&amp;CHAR(10)&amp;IF(INDEX('比赛台账'!$C$5:$C$2600,31)="","—",INDEX('比赛台账'!$C$5:$C$2600,31))&amp;"｜"&amp;IF(INDEX('比赛台账'!$D$5:$D$2600,31)="","—",INDEX('比赛台账'!$D$5:$D$2600,31))&amp;" vs "&amp;IF(INDEX('比赛台账'!$E$5:$E$2600,31)="","—",INDEX('比赛台账'!$E$5:$E$2600,31))&amp;CHAR(10)&amp;"让球："&amp;IF(INDEX('比赛台账'!$F$5:$F$2600,31)="","—",INDEX('比赛台账'!$F$5:$F$2600,31))&amp;CHAR(10)&amp;"大小球："&amp;IF(INDEX('比赛台账'!$G$5:$G$2600,31)="","—",INDEX('比赛台账'!$G$5:$G$2600,31))&amp;CHAR(10)&amp;"可选/加仓："&amp;IF(INDEX('比赛台账'!$H$5:$H$2600,31)="","—",INDEX('比赛台账'!$H$5:$H$2600,31))&amp;CHAR(10)&amp;"冻结："&amp;IF(INDEX('比赛台账'!$I$5:$I$2600,31)="","—",TEXT(INDEX('比赛台账'!$I$5:$I$2600,31),"yyyy-mm-dd hh:mm"))&amp;CHAR(10)&amp;"比分："&amp;IF(INDEX('比赛台账'!$K$5:$K$2600,31)="","—",INDEX('比赛台账'!$K$5:$K$2600,31))&amp;"｜让球结论："&amp;IF(INDEX('比赛台账'!$L$5:$L$2600,31)="","—",INDEX('比赛台账'!$L$5:$L$2600,31))&amp;"｜大小球结论："&amp;IF(INDEX('比赛台账'!$M$5:$M$2600,31)="","—",INDEX('比赛台账'!$M$5:$M$2600,31))&amp;CHAR(10)&amp;"盈亏：让球 "&amp;IF(INDEX('比赛台账'!$N$5:$N$2600,31)="","—",TEXT(INDEX('比赛台账'!$N$5:$N$2600,31),"+0.00;-0.00;0.00"))&amp;"｜大小球 "&amp;IF(INDEX('比赛台账'!$O$5:$O$2600,31)="","—",TEXT(INDEX('比赛台账'!$O$5:$O$2600,31),"+0.00;-0.00;0.00"))&amp;"｜合计 "&amp;IF(INDEX('比赛台账'!$P$5:$P$2600,31)="","—",TEXT(INDEX('比赛台账'!$P$5:$P$2600,31),"+0.00;-0.00;0.00"))&amp;"（辅助）"&amp;CHAR(10)&amp;"来源："&amp;IF(INDEX('比赛台账'!$Q$5:$Q$2600,31)="","—",INDEX('比赛台账'!$Q$5:$Q$2600,31))&amp;CHAR(10)&amp;"备注："&amp;IF(INDEX('比赛台账'!$R$5:$R$2600,31)="","—",INDEX('比赛台账'!$R$5:$R$2600,31)))</x:f>
        <x:v>#31  2026-07-19 09:00｜需复核
规范中文名待确认（CRC - Primera Division Qualification）｜中文名待确认（Escorpiones） vs 中文名待确认（Guadalupe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来源：https://www.fotmob.com/matches/x/x#5943668；查询时间：2026-07-18 19:02（北京时间）
备注：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  <x:c r="B159" s="500"/>
      <x:c r="C159" s="500"/>
      <x:c r="D159" s="500"/>
      <x:c r="E159" s="500"/>
      <x:c r="F159" s="501"/>
      <x:c r="G159"/>
      <x:c r="H159"/>
      <x:c r="I159"/>
      <x:c r="J159"/>
      <x:c r="K159"/>
      <x:c r="L159"/>
      <x:c r="M159"/>
      <x:c r="N159"/>
      <x:c r="O159"/>
      <x:c r="P159"/>
      <x:c r="Q159"/>
      <x:c r="R159"/>
    </x:row>
    <x:row r="160" ht="118.5" customHeight="1">
      <x:c r="A160" s="512" t="str">
        <x:f>IF(32&gt;COUNTA('比赛台账'!$B$5:$B$2600),"","#32  "&amp;TEXT(INDEX('比赛台账'!$B$5:$B$2600,32),"yyyy-mm-dd hh:mm")&amp;"｜"&amp;IF(INDEX('比赛台账'!$J$5:$J$2600,32)="","—",INDEX('比赛台账'!$J$5:$J$2600,32))&amp;CHAR(10)&amp;IF(INDEX('比赛台账'!$C$5:$C$2600,32)="","—",INDEX('比赛台账'!$C$5:$C$2600,32))&amp;"｜"&amp;IF(INDEX('比赛台账'!$D$5:$D$2600,32)="","—",INDEX('比赛台账'!$D$5:$D$2600,32))&amp;" vs "&amp;IF(INDEX('比赛台账'!$E$5:$E$2600,32)="","—",INDEX('比赛台账'!$E$5:$E$2600,32))&amp;CHAR(10)&amp;"让球："&amp;IF(INDEX('比赛台账'!$F$5:$F$2600,32)="","—",INDEX('比赛台账'!$F$5:$F$2600,32))&amp;CHAR(10)&amp;"大小球："&amp;IF(INDEX('比赛台账'!$G$5:$G$2600,32)="","—",INDEX('比赛台账'!$G$5:$G$2600,32))&amp;CHAR(10)&amp;"可选/加仓："&amp;IF(INDEX('比赛台账'!$H$5:$H$2600,32)="","—",INDEX('比赛台账'!$H$5:$H$2600,32))&amp;CHAR(10)&amp;"冻结："&amp;IF(INDEX('比赛台账'!$I$5:$I$2600,32)="","—",TEXT(INDEX('比赛台账'!$I$5:$I$2600,32),"yyyy-mm-dd hh:mm"))&amp;CHAR(10)&amp;"比分："&amp;IF(INDEX('比赛台账'!$K$5:$K$2600,32)="","—",INDEX('比赛台账'!$K$5:$K$2600,32))&amp;"｜让球结论："&amp;IF(INDEX('比赛台账'!$L$5:$L$2600,32)="","—",INDEX('比赛台账'!$L$5:$L$2600,32))&amp;"｜大小球结论："&amp;IF(INDEX('比赛台账'!$M$5:$M$2600,32)="","—",INDEX('比赛台账'!$M$5:$M$2600,32))&amp;CHAR(10)&amp;"盈亏：让球 "&amp;IF(INDEX('比赛台账'!$N$5:$N$2600,32)="","—",TEXT(INDEX('比赛台账'!$N$5:$N$2600,32),"+0.00;-0.00;0.00"))&amp;"｜大小球 "&amp;IF(INDEX('比赛台账'!$O$5:$O$2600,32)="","—",TEXT(INDEX('比赛台账'!$O$5:$O$2600,32),"+0.00;-0.00;0.00"))&amp;"｜合计 "&amp;IF(INDEX('比赛台账'!$P$5:$P$2600,32)="","—",TEXT(INDEX('比赛台账'!$P$5:$P$2600,32),"+0.00;-0.00;0.00"))&amp;"（辅助）"&amp;CHAR(10)&amp;"来源："&amp;IF(INDEX('比赛台账'!$Q$5:$Q$2600,32)="","—",INDEX('比赛台账'!$Q$5:$Q$2600,32))&amp;CHAR(10)&amp;"备注："&amp;IF(INDEX('比赛台账'!$R$5:$R$2600,32)="","—",INDEX('比赛台账'!$R$5:$R$2600,32)))</x:f>
        <x:v>#32  2026-07-19 09:00｜需复核
美国USL冠军联赛｜中文名待确认（San Antonio FC） vs 拉斯维加斯光（Las Vegas Lights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来源：https://www.livescore.mobi/football/usa/usl-championship/san-antonio-fc-vs-las-vegas-lights-fc/1711562/；https://www.fotmob.com/matches/x/x#5109840；https://www.espn.com/soccer/match/_/gameId/401842003/las-vegas-lights-fc-san-antonio-fc；查询时间：2026-07-18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WLW、客队WLL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0" s="513"/>
      <x:c r="C160" s="513"/>
      <x:c r="D160" s="513"/>
      <x:c r="E160" s="513"/>
      <x:c r="F160" s="514"/>
      <x:c r="G160"/>
      <x:c r="H160"/>
      <x:c r="I160"/>
      <x:c r="J160"/>
      <x:c r="K160"/>
      <x:c r="L160"/>
      <x:c r="M160"/>
      <x:c r="N160"/>
      <x:c r="O160"/>
      <x:c r="P160"/>
      <x:c r="Q160"/>
      <x:c r="R160"/>
    </x:row>
    <x:row r="161" ht="118.5" customHeight="1">
      <x:c r="A161" s="499" t="str">
        <x:f>IF(33&gt;COUNTA('比赛台账'!$B$5:$B$2600),"","#33  "&amp;TEXT(INDEX('比赛台账'!$B$5:$B$2600,33),"yyyy-mm-dd hh:mm")&amp;"｜"&amp;IF(INDEX('比赛台账'!$J$5:$J$2600,33)="","—",INDEX('比赛台账'!$J$5:$J$2600,33))&amp;CHAR(10)&amp;IF(INDEX('比赛台账'!$C$5:$C$2600,33)="","—",INDEX('比赛台账'!$C$5:$C$2600,33))&amp;"｜"&amp;IF(INDEX('比赛台账'!$D$5:$D$2600,33)="","—",INDEX('比赛台账'!$D$5:$D$2600,33))&amp;" vs "&amp;IF(INDEX('比赛台账'!$E$5:$E$2600,33)="","—",INDEX('比赛台账'!$E$5:$E$2600,33))&amp;CHAR(10)&amp;"让球："&amp;IF(INDEX('比赛台账'!$F$5:$F$2600,33)="","—",INDEX('比赛台账'!$F$5:$F$2600,33))&amp;CHAR(10)&amp;"大小球："&amp;IF(INDEX('比赛台账'!$G$5:$G$2600,33)="","—",INDEX('比赛台账'!$G$5:$G$2600,33))&amp;CHAR(10)&amp;"可选/加仓："&amp;IF(INDEX('比赛台账'!$H$5:$H$2600,33)="","—",INDEX('比赛台账'!$H$5:$H$2600,33))&amp;CHAR(10)&amp;"冻结："&amp;IF(INDEX('比赛台账'!$I$5:$I$2600,33)="","—",TEXT(INDEX('比赛台账'!$I$5:$I$2600,33),"yyyy-mm-dd hh:mm"))&amp;CHAR(10)&amp;"比分："&amp;IF(INDEX('比赛台账'!$K$5:$K$2600,33)="","—",INDEX('比赛台账'!$K$5:$K$2600,33))&amp;"｜让球结论："&amp;IF(INDEX('比赛台账'!$L$5:$L$2600,33)="","—",INDEX('比赛台账'!$L$5:$L$2600,33))&amp;"｜大小球结论："&amp;IF(INDEX('比赛台账'!$M$5:$M$2600,33)="","—",INDEX('比赛台账'!$M$5:$M$2600,33))&amp;CHAR(10)&amp;"盈亏：让球 "&amp;IF(INDEX('比赛台账'!$N$5:$N$2600,33)="","—",TEXT(INDEX('比赛台账'!$N$5:$N$2600,33),"+0.00;-0.00;0.00"))&amp;"｜大小球 "&amp;IF(INDEX('比赛台账'!$O$5:$O$2600,33)="","—",TEXT(INDEX('比赛台账'!$O$5:$O$2600,33),"+0.00;-0.00;0.00"))&amp;"｜合计 "&amp;IF(INDEX('比赛台账'!$P$5:$P$2600,33)="","—",TEXT(INDEX('比赛台账'!$P$5:$P$2600,33),"+0.00;-0.00;0.00"))&amp;"（辅助）"&amp;CHAR(10)&amp;"来源："&amp;IF(INDEX('比赛台账'!$Q$5:$Q$2600,33)="","—",INDEX('比赛台账'!$Q$5:$Q$2600,33))&amp;CHAR(10)&amp;"备注："&amp;IF(INDEX('比赛台账'!$R$5:$R$2600,33)="","—",INDEX('比赛台账'!$R$5:$R$2600,33)))</x:f>
        <x:v>#33  2026-07-19 08:45｜需复核
美国国家女子足球联赛（NWSL）｜中文名待确认（Utah Royals） vs 奥兰多荣耀（Orlando Pride）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来源：https://www.livescore.mobi/football/usa/national-womens-soccer-league/utah-royals-vs-orlando-pride/1731735/；https://www.espn.com/soccer/match/_/gameId/401853946/orlando-pride-utah-royals；https://www.fotmob.com/matches/x/x#5161568；查询时间：2026-07-18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DWW、客队LW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1" s="500"/>
      <x:c r="C161" s="500"/>
      <x:c r="D161" s="500"/>
      <x:c r="E161" s="500"/>
      <x:c r="F161" s="501"/>
      <x:c r="G161"/>
      <x:c r="H161"/>
      <x:c r="I161"/>
      <x:c r="J161"/>
      <x:c r="K161"/>
      <x:c r="L161"/>
      <x:c r="M161"/>
      <x:c r="N161"/>
      <x:c r="O161"/>
      <x:c r="P161"/>
      <x:c r="Q161"/>
      <x:c r="R161"/>
    </x:row>
    <x:row r="162" ht="118.5" customHeight="1">
      <x:c r="A162" s="512" t="str">
        <x:f>IF(34&gt;COUNTA('比赛台账'!$B$5:$B$2600),"","#34  "&amp;TEXT(INDEX('比赛台账'!$B$5:$B$2600,34),"yyyy-mm-dd hh:mm")&amp;"｜"&amp;IF(INDEX('比赛台账'!$J$5:$J$2600,34)="","—",INDEX('比赛台账'!$J$5:$J$2600,34))&amp;CHAR(10)&amp;IF(INDEX('比赛台账'!$C$5:$C$2600,34)="","—",INDEX('比赛台账'!$C$5:$C$2600,34))&amp;"｜"&amp;IF(INDEX('比赛台账'!$D$5:$D$2600,34)="","—",INDEX('比赛台账'!$D$5:$D$2600,34))&amp;" vs "&amp;IF(INDEX('比赛台账'!$E$5:$E$2600,34)="","—",INDEX('比赛台账'!$E$5:$E$2600,34))&amp;CHAR(10)&amp;"让球："&amp;IF(INDEX('比赛台账'!$F$5:$F$2600,34)="","—",INDEX('比赛台账'!$F$5:$F$2600,34))&amp;CHAR(10)&amp;"大小球："&amp;IF(INDEX('比赛台账'!$G$5:$G$2600,34)="","—",INDEX('比赛台账'!$G$5:$G$2600,34))&amp;CHAR(10)&amp;"可选/加仓："&amp;IF(INDEX('比赛台账'!$H$5:$H$2600,34)="","—",INDEX('比赛台账'!$H$5:$H$2600,34))&amp;CHAR(10)&amp;"冻结："&amp;IF(INDEX('比赛台账'!$I$5:$I$2600,34)="","—",TEXT(INDEX('比赛台账'!$I$5:$I$2600,34),"yyyy-mm-dd hh:mm"))&amp;CHAR(10)&amp;"比分："&amp;IF(INDEX('比赛台账'!$K$5:$K$2600,34)="","—",INDEX('比赛台账'!$K$5:$K$2600,34))&amp;"｜让球结论："&amp;IF(INDEX('比赛台账'!$L$5:$L$2600,34)="","—",INDEX('比赛台账'!$L$5:$L$2600,34))&amp;"｜大小球结论："&amp;IF(INDEX('比赛台账'!$M$5:$M$2600,34)="","—",INDEX('比赛台账'!$M$5:$M$2600,34))&amp;CHAR(10)&amp;"盈亏：让球 "&amp;IF(INDEX('比赛台账'!$N$5:$N$2600,34)="","—",TEXT(INDEX('比赛台账'!$N$5:$N$2600,34),"+0.00;-0.00;0.00"))&amp;"｜大小球 "&amp;IF(INDEX('比赛台账'!$O$5:$O$2600,34)="","—",TEXT(INDEX('比赛台账'!$O$5:$O$2600,34),"+0.00;-0.00;0.00"))&amp;"｜合计 "&amp;IF(INDEX('比赛台账'!$P$5:$P$2600,34)="","—",TEXT(INDEX('比赛台账'!$P$5:$P$2600,34),"+0.00;-0.00;0.00"))&amp;"（辅助）"&amp;CHAR(10)&amp;"来源："&amp;IF(INDEX('比赛台账'!$Q$5:$Q$2600,34)="","—",INDEX('比赛台账'!$Q$5:$Q$2600,34))&amp;CHAR(10)&amp;"备注："&amp;IF(INDEX('比赛台账'!$R$5:$R$2600,34)="","—",INDEX('比赛台账'!$R$5:$R$2600,34)))</x:f>
        <x:v>#34  2026-07-19 08:30｜需复核
玻利维亚甲级联赛｜奥罗拉（Club Aurora） vs 东方石油（Oriente Petrolero）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来源：https://www.livescore.mobi/football/bolivia/primera-division/aurora-vs-oriente-petrolero/1761306/；https://www.fotmob.com/matches/x/x#1000010879；https://www.espn.com/soccer/match/_/gameId/401867186/oriente-petrolero-aurora；查询时间：2026-07-18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WDW、客队LL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2" s="513"/>
      <x:c r="C162" s="513"/>
      <x:c r="D162" s="513"/>
      <x:c r="E162" s="513"/>
      <x:c r="F162" s="514"/>
      <x:c r="G162"/>
      <x:c r="H162"/>
      <x:c r="I162"/>
      <x:c r="J162"/>
      <x:c r="K162"/>
      <x:c r="L162"/>
      <x:c r="M162"/>
      <x:c r="N162"/>
      <x:c r="O162"/>
      <x:c r="P162"/>
      <x:c r="Q162"/>
      <x:c r="R162"/>
    </x:row>
    <x:row r="163" ht="118.5" customHeight="1">
      <x:c r="A163" s="499" t="str">
        <x:f>IF(35&gt;COUNTA('比赛台账'!$B$5:$B$2600),"","#35  "&amp;TEXT(INDEX('比赛台账'!$B$5:$B$2600,35),"yyyy-mm-dd hh:mm")&amp;"｜"&amp;IF(INDEX('比赛台账'!$J$5:$J$2600,35)="","—",INDEX('比赛台账'!$J$5:$J$2600,35))&amp;CHAR(10)&amp;IF(INDEX('比赛台账'!$C$5:$C$2600,35)="","—",INDEX('比赛台账'!$C$5:$C$2600,35))&amp;"｜"&amp;IF(INDEX('比赛台账'!$D$5:$D$2600,35)="","—",INDEX('比赛台账'!$D$5:$D$2600,35))&amp;" vs "&amp;IF(INDEX('比赛台账'!$E$5:$E$2600,35)="","—",INDEX('比赛台账'!$E$5:$E$2600,35))&amp;CHAR(10)&amp;"让球："&amp;IF(INDEX('比赛台账'!$F$5:$F$2600,35)="","—",INDEX('比赛台账'!$F$5:$F$2600,35))&amp;CHAR(10)&amp;"大小球："&amp;IF(INDEX('比赛台账'!$G$5:$G$2600,35)="","—",INDEX('比赛台账'!$G$5:$G$2600,35))&amp;CHAR(10)&amp;"可选/加仓："&amp;IF(INDEX('比赛台账'!$H$5:$H$2600,35)="","—",INDEX('比赛台账'!$H$5:$H$2600,35))&amp;CHAR(10)&amp;"冻结："&amp;IF(INDEX('比赛台账'!$I$5:$I$2600,35)="","—",TEXT(INDEX('比赛台账'!$I$5:$I$2600,35),"yyyy-mm-dd hh:mm"))&amp;CHAR(10)&amp;"比分："&amp;IF(INDEX('比赛台账'!$K$5:$K$2600,35)="","—",INDEX('比赛台账'!$K$5:$K$2600,35))&amp;"｜让球结论："&amp;IF(INDEX('比赛台账'!$L$5:$L$2600,35)="","—",INDEX('比赛台账'!$L$5:$L$2600,35))&amp;"｜大小球结论："&amp;IF(INDEX('比赛台账'!$M$5:$M$2600,35)="","—",INDEX('比赛台账'!$M$5:$M$2600,35))&amp;CHAR(10)&amp;"盈亏：让球 "&amp;IF(INDEX('比赛台账'!$N$5:$N$2600,35)="","—",TEXT(INDEX('比赛台账'!$N$5:$N$2600,35),"+0.00;-0.00;0.00"))&amp;"｜大小球 "&amp;IF(INDEX('比赛台账'!$O$5:$O$2600,35)="","—",TEXT(INDEX('比赛台账'!$O$5:$O$2600,35),"+0.00;-0.00;0.00"))&amp;"｜合计 "&amp;IF(INDEX('比赛台账'!$P$5:$P$2600,35)="","—",TEXT(INDEX('比赛台账'!$P$5:$P$2600,35),"+0.00;-0.00;0.00"))&amp;"（辅助）"&amp;CHAR(10)&amp;"来源："&amp;IF(INDEX('比赛台账'!$Q$5:$Q$2600,35)="","—",INDEX('比赛台账'!$Q$5:$Q$2600,35))&amp;CHAR(10)&amp;"备注："&amp;IF(INDEX('比赛台账'!$R$5:$R$2600,35)="","—",INDEX('比赛台账'!$R$5:$R$2600,35)))</x:f>
        <x:v>#35  2026-07-19 08:30｜需复核
美国USL冠军联赛｜塔尔萨钻机工（FC Tulsa） vs 埃尔帕索机车（El Paso Locomotive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来源：https://www.livescore.mobi/football/usa/usl-championship/fc-tulsa-vs-el-paso-locomotive/1711558/；https://www.fotmob.com/matches/x/x#5109835；https://www.espn.com/soccer/match/_/gameId/401841993/el-paso-locomotive-fc-fc-tulsa；查询时间：2026-07-18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LL、客队LWLD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3" s="500"/>
      <x:c r="C163" s="500"/>
      <x:c r="D163" s="500"/>
      <x:c r="E163" s="500"/>
      <x:c r="F163" s="501"/>
      <x:c r="G163"/>
      <x:c r="H163"/>
      <x:c r="I163"/>
      <x:c r="J163"/>
      <x:c r="K163"/>
      <x:c r="L163"/>
      <x:c r="M163"/>
      <x:c r="N163"/>
      <x:c r="O163"/>
      <x:c r="P163"/>
      <x:c r="Q163"/>
      <x:c r="R163"/>
    </x:row>
    <x:row r="164" ht="118.5" customHeight="1">
      <x:c r="A164" s="512" t="str">
        <x:f>IF(36&gt;COUNTA('比赛台账'!$B$5:$B$2600),"","#36  "&amp;TEXT(INDEX('比赛台账'!$B$5:$B$2600,36),"yyyy-mm-dd hh:mm")&amp;"｜"&amp;IF(INDEX('比赛台账'!$J$5:$J$2600,36)="","—",INDEX('比赛台账'!$J$5:$J$2600,36))&amp;CHAR(10)&amp;IF(INDEX('比赛台账'!$C$5:$C$2600,36)="","—",INDEX('比赛台账'!$C$5:$C$2600,36))&amp;"｜"&amp;IF(INDEX('比赛台账'!$D$5:$D$2600,36)="","—",INDEX('比赛台账'!$D$5:$D$2600,36))&amp;" vs "&amp;IF(INDEX('比赛台账'!$E$5:$E$2600,36)="","—",INDEX('比赛台账'!$E$5:$E$2600,36))&amp;CHAR(10)&amp;"让球："&amp;IF(INDEX('比赛台账'!$F$5:$F$2600,36)="","—",INDEX('比赛台账'!$F$5:$F$2600,36))&amp;CHAR(10)&amp;"大小球："&amp;IF(INDEX('比赛台账'!$G$5:$G$2600,36)="","—",INDEX('比赛台账'!$G$5:$G$2600,36))&amp;CHAR(10)&amp;"可选/加仓："&amp;IF(INDEX('比赛台账'!$H$5:$H$2600,36)="","—",INDEX('比赛台账'!$H$5:$H$2600,36))&amp;CHAR(10)&amp;"冻结："&amp;IF(INDEX('比赛台账'!$I$5:$I$2600,36)="","—",TEXT(INDEX('比赛台账'!$I$5:$I$2600,36),"yyyy-mm-dd hh:mm"))&amp;CHAR(10)&amp;"比分："&amp;IF(INDEX('比赛台账'!$K$5:$K$2600,36)="","—",INDEX('比赛台账'!$K$5:$K$2600,36))&amp;"｜让球结论："&amp;IF(INDEX('比赛台账'!$L$5:$L$2600,36)="","—",INDEX('比赛台账'!$L$5:$L$2600,36))&amp;"｜大小球结论："&amp;IF(INDEX('比赛台账'!$M$5:$M$2600,36)="","—",INDEX('比赛台账'!$M$5:$M$2600,36))&amp;CHAR(10)&amp;"盈亏：让球 "&amp;IF(INDEX('比赛台账'!$N$5:$N$2600,36)="","—",TEXT(INDEX('比赛台账'!$N$5:$N$2600,36),"+0.00;-0.00;0.00"))&amp;"｜大小球 "&amp;IF(INDEX('比赛台账'!$O$5:$O$2600,36)="","—",TEXT(INDEX('比赛台账'!$O$5:$O$2600,36),"+0.00;-0.00;0.00"))&amp;"｜合计 "&amp;IF(INDEX('比赛台账'!$P$5:$P$2600,36)="","—",TEXT(INDEX('比赛台账'!$P$5:$P$2600,36),"+0.00;-0.00;0.00"))&amp;"（辅助）"&amp;CHAR(10)&amp;"来源："&amp;IF(INDEX('比赛台账'!$Q$5:$Q$2600,36)="","—",INDEX('比赛台账'!$Q$5:$Q$2600,36))&amp;CHAR(10)&amp;"备注："&amp;IF(INDEX('比赛台账'!$R$5:$R$2600,36)="","—",INDEX('比赛台账'!$R$5:$R$2600,36)))</x:f>
        <x:v>#36  2026-07-19 08:00｜需复核
规范中文名待确认（Ecuador - Serie A）｜巴塞罗那SC（Barcelona SC） vs 中文名待确认（Libertad）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来源：https://www.livescore.mobi/football/ecuador/serie-a/barcelona-sc-vs-libertad/1736355/；https://www.fotmob.com/matches/x/x#1000009031；https://www.espn.com/soccer/match/_/gameId/401859621/libertad-ecuador-barcelona-sc；查询时间：2026-07-18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DDWLL、客队WDL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4" s="513"/>
      <x:c r="C164" s="513"/>
      <x:c r="D164" s="513"/>
      <x:c r="E164" s="513"/>
      <x:c r="F164" s="514"/>
      <x:c r="G164"/>
      <x:c r="H164"/>
      <x:c r="I164"/>
      <x:c r="J164"/>
      <x:c r="K164"/>
      <x:c r="L164"/>
      <x:c r="M164"/>
      <x:c r="N164"/>
      <x:c r="O164"/>
      <x:c r="P164"/>
      <x:c r="Q164"/>
      <x:c r="R164"/>
    </x:row>
    <x:row r="165" ht="118.5" customHeight="1">
      <x:c r="A165" s="499" t="str">
        <x:f>IF(37&gt;COUNTA('比赛台账'!$B$5:$B$2600),"","#37  "&amp;TEXT(INDEX('比赛台账'!$B$5:$B$2600,37),"yyyy-mm-dd hh:mm")&amp;"｜"&amp;IF(INDEX('比赛台账'!$J$5:$J$2600,37)="","—",INDEX('比赛台账'!$J$5:$J$2600,37))&amp;CHAR(10)&amp;IF(INDEX('比赛台账'!$C$5:$C$2600,37)="","—",INDEX('比赛台账'!$C$5:$C$2600,37))&amp;"｜"&amp;IF(INDEX('比赛台账'!$D$5:$D$2600,37)="","—",INDEX('比赛台账'!$D$5:$D$2600,37))&amp;" vs "&amp;IF(INDEX('比赛台账'!$E$5:$E$2600,37)="","—",INDEX('比赛台账'!$E$5:$E$2600,37))&amp;CHAR(10)&amp;"让球："&amp;IF(INDEX('比赛台账'!$F$5:$F$2600,37)="","—",INDEX('比赛台账'!$F$5:$F$2600,37))&amp;CHAR(10)&amp;"大小球："&amp;IF(INDEX('比赛台账'!$G$5:$G$2600,37)="","—",INDEX('比赛台账'!$G$5:$G$2600,37))&amp;CHAR(10)&amp;"可选/加仓："&amp;IF(INDEX('比赛台账'!$H$5:$H$2600,37)="","—",INDEX('比赛台账'!$H$5:$H$2600,37))&amp;CHAR(10)&amp;"冻结："&amp;IF(INDEX('比赛台账'!$I$5:$I$2600,37)="","—",TEXT(INDEX('比赛台账'!$I$5:$I$2600,37),"yyyy-mm-dd hh:mm"))&amp;CHAR(10)&amp;"比分："&amp;IF(INDEX('比赛台账'!$K$5:$K$2600,37)="","—",INDEX('比赛台账'!$K$5:$K$2600,37))&amp;"｜让球结论："&amp;IF(INDEX('比赛台账'!$L$5:$L$2600,37)="","—",INDEX('比赛台账'!$L$5:$L$2600,37))&amp;"｜大小球结论："&amp;IF(INDEX('比赛台账'!$M$5:$M$2600,37)="","—",INDEX('比赛台账'!$M$5:$M$2600,37))&amp;CHAR(10)&amp;"盈亏：让球 "&amp;IF(INDEX('比赛台账'!$N$5:$N$2600,37)="","—",TEXT(INDEX('比赛台账'!$N$5:$N$2600,37),"+0.00;-0.00;0.00"))&amp;"｜大小球 "&amp;IF(INDEX('比赛台账'!$O$5:$O$2600,37)="","—",TEXT(INDEX('比赛台账'!$O$5:$O$2600,37),"+0.00;-0.00;0.00"))&amp;"｜合计 "&amp;IF(INDEX('比赛台账'!$P$5:$P$2600,37)="","—",TEXT(INDEX('比赛台账'!$P$5:$P$2600,37),"+0.00;-0.00;0.00"))&amp;"（辅助）"&amp;CHAR(10)&amp;"来源："&amp;IF(INDEX('比赛台账'!$Q$5:$Q$2600,37)="","—",INDEX('比赛台账'!$Q$5:$Q$2600,37))&amp;CHAR(10)&amp;"备注："&amp;IF(INDEX('比赛台账'!$R$5:$R$2600,37)="","—",INDEX('比赛台账'!$R$5:$R$2600,37)))</x:f>
        <x:v>#37  2026-07-19 08:00｜需复核
美国MLS Next Pro联赛｜中文名待确认（Huntsville City FC） vs 中文名待确认（Atlanta United 2）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来源：https://www.fotmob.com/matches/x/x#1000007658；https://www.livescore.mobi/football/usa/mls-next-pro/huntsville-city-fc-vs-atlanta-united-ii/1740450/；查询时间：2026-07-18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5" s="500"/>
      <x:c r="C165" s="500"/>
      <x:c r="D165" s="500"/>
      <x:c r="E165" s="500"/>
      <x:c r="F165" s="501"/>
      <x:c r="G165"/>
      <x:c r="H165"/>
      <x:c r="I165"/>
      <x:c r="J165"/>
      <x:c r="K165"/>
      <x:c r="L165"/>
      <x:c r="M165"/>
      <x:c r="N165"/>
      <x:c r="O165"/>
      <x:c r="P165"/>
      <x:c r="Q165"/>
      <x:c r="R165"/>
    </x:row>
    <x:row r="166" ht="118.5" customHeight="1">
      <x:c r="A166" s="512" t="str">
        <x:f>IF(38&gt;COUNTA('比赛台账'!$B$5:$B$2600),"","#38  "&amp;TEXT(INDEX('比赛台账'!$B$5:$B$2600,38),"yyyy-mm-dd hh:mm")&amp;"｜"&amp;IF(INDEX('比赛台账'!$J$5:$J$2600,38)="","—",INDEX('比赛台账'!$J$5:$J$2600,38))&amp;CHAR(10)&amp;IF(INDEX('比赛台账'!$C$5:$C$2600,38)="","—",INDEX('比赛台账'!$C$5:$C$2600,38))&amp;"｜"&amp;IF(INDEX('比赛台账'!$D$5:$D$2600,38)="","—",INDEX('比赛台账'!$D$5:$D$2600,38))&amp;" vs "&amp;IF(INDEX('比赛台账'!$E$5:$E$2600,38)="","—",INDEX('比赛台账'!$E$5:$E$2600,38))&amp;CHAR(10)&amp;"让球："&amp;IF(INDEX('比赛台账'!$F$5:$F$2600,38)="","—",INDEX('比赛台账'!$F$5:$F$2600,38))&amp;CHAR(10)&amp;"大小球："&amp;IF(INDEX('比赛台账'!$G$5:$G$2600,38)="","—",INDEX('比赛台账'!$G$5:$G$2600,38))&amp;CHAR(10)&amp;"可选/加仓："&amp;IF(INDEX('比赛台账'!$H$5:$H$2600,38)="","—",INDEX('比赛台账'!$H$5:$H$2600,38))&amp;CHAR(10)&amp;"冻结："&amp;IF(INDEX('比赛台账'!$I$5:$I$2600,38)="","—",TEXT(INDEX('比赛台账'!$I$5:$I$2600,38),"yyyy-mm-dd hh:mm"))&amp;CHAR(10)&amp;"比分："&amp;IF(INDEX('比赛台账'!$K$5:$K$2600,38)="","—",INDEX('比赛台账'!$K$5:$K$2600,38))&amp;"｜让球结论："&amp;IF(INDEX('比赛台账'!$L$5:$L$2600,38)="","—",INDEX('比赛台账'!$L$5:$L$2600,38))&amp;"｜大小球结论："&amp;IF(INDEX('比赛台账'!$M$5:$M$2600,38)="","—",INDEX('比赛台账'!$M$5:$M$2600,38))&amp;CHAR(10)&amp;"盈亏：让球 "&amp;IF(INDEX('比赛台账'!$N$5:$N$2600,38)="","—",TEXT(INDEX('比赛台账'!$N$5:$N$2600,38),"+0.00;-0.00;0.00"))&amp;"｜大小球 "&amp;IF(INDEX('比赛台账'!$O$5:$O$2600,38)="","—",TEXT(INDEX('比赛台账'!$O$5:$O$2600,38),"+0.00;-0.00;0.00"))&amp;"｜合计 "&amp;IF(INDEX('比赛台账'!$P$5:$P$2600,38)="","—",TEXT(INDEX('比赛台账'!$P$5:$P$2600,38),"+0.00;-0.00;0.00"))&amp;"（辅助）"&amp;CHAR(10)&amp;"来源："&amp;IF(INDEX('比赛台账'!$Q$5:$Q$2600,38)="","—",INDEX('比赛台账'!$Q$5:$Q$2600,38))&amp;CHAR(10)&amp;"备注："&amp;IF(INDEX('比赛台账'!$R$5:$R$2600,38)="","—",INDEX('比赛台账'!$R$5:$R$2600,38)))</x:f>
        <x:v>#38  2026-07-19 08:00｜需复核
美国国家女子足球联赛（NWSL）｜中文名待确认（Racing Louisville） vs 中文名待确认（Houston Dash）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national-womens-soccer-league/racing-louisville-vs-houston-dash/1731741/；https://www.fotmob.com/matches/x/x#5161567；https://www.espn.com/soccer/match/_/gameId/401853945/houston-dash-racing-louisville-fc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LLL、客队DLLW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6" s="513"/>
      <x:c r="C166" s="513"/>
      <x:c r="D166" s="513"/>
      <x:c r="E166" s="513"/>
      <x:c r="F166" s="514"/>
      <x:c r="G166"/>
      <x:c r="H166"/>
      <x:c r="I166"/>
      <x:c r="J166"/>
      <x:c r="K166"/>
      <x:c r="L166"/>
      <x:c r="M166"/>
      <x:c r="N166"/>
      <x:c r="O166"/>
      <x:c r="P166"/>
      <x:c r="Q166"/>
      <x:c r="R166"/>
    </x:row>
    <x:row r="167" ht="118.5" customHeight="1">
      <x:c r="A167" s="499" t="str">
        <x:f>IF(39&gt;COUNTA('比赛台账'!$B$5:$B$2600),"","#39  "&amp;TEXT(INDEX('比赛台账'!$B$5:$B$2600,39),"yyyy-mm-dd hh:mm")&amp;"｜"&amp;IF(INDEX('比赛台账'!$J$5:$J$2600,39)="","—",INDEX('比赛台账'!$J$5:$J$2600,39))&amp;CHAR(10)&amp;IF(INDEX('比赛台账'!$C$5:$C$2600,39)="","—",INDEX('比赛台账'!$C$5:$C$2600,39))&amp;"｜"&amp;IF(INDEX('比赛台账'!$D$5:$D$2600,39)="","—",INDEX('比赛台账'!$D$5:$D$2600,39))&amp;" vs "&amp;IF(INDEX('比赛台账'!$E$5:$E$2600,39)="","—",INDEX('比赛台账'!$E$5:$E$2600,39))&amp;CHAR(10)&amp;"让球："&amp;IF(INDEX('比赛台账'!$F$5:$F$2600,39)="","—",INDEX('比赛台账'!$F$5:$F$2600,39))&amp;CHAR(10)&amp;"大小球："&amp;IF(INDEX('比赛台账'!$G$5:$G$2600,39)="","—",INDEX('比赛台账'!$G$5:$G$2600,39))&amp;CHAR(10)&amp;"可选/加仓："&amp;IF(INDEX('比赛台账'!$H$5:$H$2600,39)="","—",INDEX('比赛台账'!$H$5:$H$2600,39))&amp;CHAR(10)&amp;"冻结："&amp;IF(INDEX('比赛台账'!$I$5:$I$2600,39)="","—",TEXT(INDEX('比赛台账'!$I$5:$I$2600,39),"yyyy-mm-dd hh:mm"))&amp;CHAR(10)&amp;"比分："&amp;IF(INDEX('比赛台账'!$K$5:$K$2600,39)="","—",INDEX('比赛台账'!$K$5:$K$2600,39))&amp;"｜让球结论："&amp;IF(INDEX('比赛台账'!$L$5:$L$2600,39)="","—",INDEX('比赛台账'!$L$5:$L$2600,39))&amp;"｜大小球结论："&amp;IF(INDEX('比赛台账'!$M$5:$M$2600,39)="","—",INDEX('比赛台账'!$M$5:$M$2600,39))&amp;CHAR(10)&amp;"盈亏：让球 "&amp;IF(INDEX('比赛台账'!$N$5:$N$2600,39)="","—",TEXT(INDEX('比赛台账'!$N$5:$N$2600,39),"+0.00;-0.00;0.00"))&amp;"｜大小球 "&amp;IF(INDEX('比赛台账'!$O$5:$O$2600,39)="","—",TEXT(INDEX('比赛台账'!$O$5:$O$2600,39),"+0.00;-0.00;0.00"))&amp;"｜合计 "&amp;IF(INDEX('比赛台账'!$P$5:$P$2600,39)="","—",TEXT(INDEX('比赛台账'!$P$5:$P$2600,39),"+0.00;-0.00;0.00"))&amp;"（辅助）"&amp;CHAR(10)&amp;"来源："&amp;IF(INDEX('比赛台账'!$Q$5:$Q$2600,39)="","—",INDEX('比赛台账'!$Q$5:$Q$2600,39))&amp;CHAR(10)&amp;"备注："&amp;IF(INDEX('比赛台账'!$R$5:$R$2600,39)="","—",INDEX('比赛台账'!$R$5:$R$2600,39)))</x:f>
        <x:v>#39  2026-07-19 07:30｜需复核
美国USL冠军联赛｜中文名待确认（Charleston Battery） vs 萨克拉门托共和国（Sacramento Republic）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usl-championship/charleston-battery-vs-sacramento-republic-fc/1711557/；https://www.fotmob.com/matches/x/x#5109833；https://www.espn.com/soccer/match/_/gameId/401841989/sacramento-republic-fc-charleston-battery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WW、客队LW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7" s="500"/>
      <x:c r="C167" s="500"/>
      <x:c r="D167" s="500"/>
      <x:c r="E167" s="500"/>
      <x:c r="F167" s="501"/>
      <x:c r="G167"/>
      <x:c r="H167"/>
      <x:c r="I167"/>
      <x:c r="J167"/>
      <x:c r="K167"/>
      <x:c r="L167"/>
      <x:c r="M167"/>
      <x:c r="N167"/>
      <x:c r="O167"/>
      <x:c r="P167"/>
      <x:c r="Q167"/>
      <x:c r="R167"/>
    </x:row>
    <x:row r="168" ht="118.5" customHeight="1">
      <x:c r="A168" s="512" t="str">
        <x:f>IF(40&gt;COUNTA('比赛台账'!$B$5:$B$2600),"","#40  "&amp;TEXT(INDEX('比赛台账'!$B$5:$B$2600,40),"yyyy-mm-dd hh:mm")&amp;"｜"&amp;IF(INDEX('比赛台账'!$J$5:$J$2600,40)="","—",INDEX('比赛台账'!$J$5:$J$2600,40))&amp;CHAR(10)&amp;IF(INDEX('比赛台账'!$C$5:$C$2600,40)="","—",INDEX('比赛台账'!$C$5:$C$2600,40))&amp;"｜"&amp;IF(INDEX('比赛台账'!$D$5:$D$2600,40)="","—",INDEX('比赛台账'!$D$5:$D$2600,40))&amp;" vs "&amp;IF(INDEX('比赛台账'!$E$5:$E$2600,40)="","—",INDEX('比赛台账'!$E$5:$E$2600,40))&amp;CHAR(10)&amp;"让球："&amp;IF(INDEX('比赛台账'!$F$5:$F$2600,40)="","—",INDEX('比赛台账'!$F$5:$F$2600,40))&amp;CHAR(10)&amp;"大小球："&amp;IF(INDEX('比赛台账'!$G$5:$G$2600,40)="","—",INDEX('比赛台账'!$G$5:$G$2600,40))&amp;CHAR(10)&amp;"可选/加仓："&amp;IF(INDEX('比赛台账'!$H$5:$H$2600,40)="","—",INDEX('比赛台账'!$H$5:$H$2600,40))&amp;CHAR(10)&amp;"冻结："&amp;IF(INDEX('比赛台账'!$I$5:$I$2600,40)="","—",TEXT(INDEX('比赛台账'!$I$5:$I$2600,40),"yyyy-mm-dd hh:mm"))&amp;CHAR(10)&amp;"比分："&amp;IF(INDEX('比赛台账'!$K$5:$K$2600,40)="","—",INDEX('比赛台账'!$K$5:$K$2600,40))&amp;"｜让球结论："&amp;IF(INDEX('比赛台账'!$L$5:$L$2600,40)="","—",INDEX('比赛台账'!$L$5:$L$2600,40))&amp;"｜大小球结论："&amp;IF(INDEX('比赛台账'!$M$5:$M$2600,40)="","—",INDEX('比赛台账'!$M$5:$M$2600,40))&amp;CHAR(10)&amp;"盈亏：让球 "&amp;IF(INDEX('比赛台账'!$N$5:$N$2600,40)="","—",TEXT(INDEX('比赛台账'!$N$5:$N$2600,40),"+0.00;-0.00;0.00"))&amp;"｜大小球 "&amp;IF(INDEX('比赛台账'!$O$5:$O$2600,40)="","—",TEXT(INDEX('比赛台账'!$O$5:$O$2600,40),"+0.00;-0.00;0.00"))&amp;"｜合计 "&amp;IF(INDEX('比赛台账'!$P$5:$P$2600,40)="","—",TEXT(INDEX('比赛台账'!$P$5:$P$2600,40),"+0.00;-0.00;0.00"))&amp;"（辅助）"&amp;CHAR(10)&amp;"来源："&amp;IF(INDEX('比赛台账'!$Q$5:$Q$2600,40)="","—",INDEX('比赛台账'!$Q$5:$Q$2600,40))&amp;CHAR(10)&amp;"备注："&amp;IF(INDEX('比赛台账'!$R$5:$R$2600,40)="","—",INDEX('比赛台账'!$R$5:$R$2600,40)))</x:f>
        <x:v>#40  2026-07-19 07:30｜需复核
秘鲁甲级联赛（Liga 1）｜库斯科（Cusco FC） vs 中文名待确认（Alianza Atletico）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来源：https://www.livescore.mobi/football/peru/primera-division-clausura/cusco-fc-vs-alianza-atletico/1806564/；https://www.fotmob.com/matches/x/x#1000013495；https://www.espn.com/soccer/match/_/gameId/401874339/alianza-atletico-cusco-fc；查询时间：2026-07-18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WLL、客队LLD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8" s="513"/>
      <x:c r="C168" s="513"/>
      <x:c r="D168" s="513"/>
      <x:c r="E168" s="513"/>
      <x:c r="F168" s="514"/>
      <x:c r="G168"/>
      <x:c r="H168"/>
      <x:c r="I168"/>
      <x:c r="J168"/>
      <x:c r="K168"/>
      <x:c r="L168"/>
      <x:c r="M168"/>
      <x:c r="N168"/>
      <x:c r="O168"/>
      <x:c r="P168"/>
      <x:c r="Q168"/>
      <x:c r="R168"/>
    </x:row>
    <x:row r="169" ht="118.5" customHeight="1">
      <x:c r="A169" s="499" t="str">
        <x:f>IF(41&gt;COUNTA('比赛台账'!$B$5:$B$2600),"","#41  "&amp;TEXT(INDEX('比赛台账'!$B$5:$B$2600,41),"yyyy-mm-dd hh:mm")&amp;"｜"&amp;IF(INDEX('比赛台账'!$J$5:$J$2600,41)="","—",INDEX('比赛台账'!$J$5:$J$2600,41))&amp;CHAR(10)&amp;IF(INDEX('比赛台账'!$C$5:$C$2600,41)="","—",INDEX('比赛台账'!$C$5:$C$2600,41))&amp;"｜"&amp;IF(INDEX('比赛台账'!$D$5:$D$2600,41)="","—",INDEX('比赛台账'!$D$5:$D$2600,41))&amp;" vs "&amp;IF(INDEX('比赛台账'!$E$5:$E$2600,41)="","—",INDEX('比赛台账'!$E$5:$E$2600,41))&amp;CHAR(10)&amp;"让球："&amp;IF(INDEX('比赛台账'!$F$5:$F$2600,41)="","—",INDEX('比赛台账'!$F$5:$F$2600,41))&amp;CHAR(10)&amp;"大小球："&amp;IF(INDEX('比赛台账'!$G$5:$G$2600,41)="","—",INDEX('比赛台账'!$G$5:$G$2600,41))&amp;CHAR(10)&amp;"可选/加仓："&amp;IF(INDEX('比赛台账'!$H$5:$H$2600,41)="","—",INDEX('比赛台账'!$H$5:$H$2600,41))&amp;CHAR(10)&amp;"冻结："&amp;IF(INDEX('比赛台账'!$I$5:$I$2600,41)="","—",TEXT(INDEX('比赛台账'!$I$5:$I$2600,41),"yyyy-mm-dd hh:mm"))&amp;CHAR(10)&amp;"比分："&amp;IF(INDEX('比赛台账'!$K$5:$K$2600,41)="","—",INDEX('比赛台账'!$K$5:$K$2600,41))&amp;"｜让球结论："&amp;IF(INDEX('比赛台账'!$L$5:$L$2600,41)="","—",INDEX('比赛台账'!$L$5:$L$2600,41))&amp;"｜大小球结论："&amp;IF(INDEX('比赛台账'!$M$5:$M$2600,41)="","—",INDEX('比赛台账'!$M$5:$M$2600,41))&amp;CHAR(10)&amp;"盈亏：让球 "&amp;IF(INDEX('比赛台账'!$N$5:$N$2600,41)="","—",TEXT(INDEX('比赛台账'!$N$5:$N$2600,41),"+0.00;-0.00;0.00"))&amp;"｜大小球 "&amp;IF(INDEX('比赛台账'!$O$5:$O$2600,41)="","—",TEXT(INDEX('比赛台账'!$O$5:$O$2600,41),"+0.00;-0.00;0.00"))&amp;"｜合计 "&amp;IF(INDEX('比赛台账'!$P$5:$P$2600,41)="","—",TEXT(INDEX('比赛台账'!$P$5:$P$2600,41),"+0.00;-0.00;0.00"))&amp;"（辅助）"&amp;CHAR(10)&amp;"来源："&amp;IF(INDEX('比赛台账'!$Q$5:$Q$2600,41)="","—",INDEX('比赛台账'!$Q$5:$Q$2600,41))&amp;CHAR(10)&amp;"备注："&amp;IF(INDEX('比赛台账'!$R$5:$R$2600,41)="","—",INDEX('比赛台账'!$R$5:$R$2600,41)))</x:f>
        <x:v>#41  2026-07-19 07:30｜需复核
规范中文名待确认（Regular Season）｜韦恩堡（Fort Wayne FC） vs 中文名待确认（Greenville Triumph）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来源：https://www.espn.com/soccer/match/_/gameId/401841939/greenville-triumph-fort-wayne；https://www.fotmob.com/matches/x/x#5109465；https://www.livescore.mobi/football/usa/usl-league-one/fort-wayne-fc-vs-greenville-triumph-sc/1711333/；查询时间：2026-07-18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WD、客队LDW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69" s="500"/>
      <x:c r="C169" s="500"/>
      <x:c r="D169" s="500"/>
      <x:c r="E169" s="500"/>
      <x:c r="F169" s="501"/>
      <x:c r="G169"/>
      <x:c r="H169"/>
      <x:c r="I169"/>
      <x:c r="J169"/>
      <x:c r="K169"/>
      <x:c r="L169"/>
      <x:c r="M169"/>
      <x:c r="N169"/>
      <x:c r="O169"/>
      <x:c r="P169"/>
      <x:c r="Q169"/>
      <x:c r="R169"/>
    </x:row>
    <x:row r="170" ht="118.5" customHeight="1">
      <x:c r="A170" s="512" t="str">
        <x:f>IF(42&gt;COUNTA('比赛台账'!$B$5:$B$2600),"","#42  "&amp;TEXT(INDEX('比赛台账'!$B$5:$B$2600,42),"yyyy-mm-dd hh:mm")&amp;"｜"&amp;IF(INDEX('比赛台账'!$J$5:$J$2600,42)="","—",INDEX('比赛台账'!$J$5:$J$2600,42))&amp;CHAR(10)&amp;IF(INDEX('比赛台账'!$C$5:$C$2600,42)="","—",INDEX('比赛台账'!$C$5:$C$2600,42))&amp;"｜"&amp;IF(INDEX('比赛台账'!$D$5:$D$2600,42)="","—",INDEX('比赛台账'!$D$5:$D$2600,42))&amp;" vs "&amp;IF(INDEX('比赛台账'!$E$5:$E$2600,42)="","—",INDEX('比赛台账'!$E$5:$E$2600,42))&amp;CHAR(10)&amp;"让球："&amp;IF(INDEX('比赛台账'!$F$5:$F$2600,42)="","—",INDEX('比赛台账'!$F$5:$F$2600,42))&amp;CHAR(10)&amp;"大小球："&amp;IF(INDEX('比赛台账'!$G$5:$G$2600,42)="","—",INDEX('比赛台账'!$G$5:$G$2600,42))&amp;CHAR(10)&amp;"可选/加仓："&amp;IF(INDEX('比赛台账'!$H$5:$H$2600,42)="","—",INDEX('比赛台账'!$H$5:$H$2600,42))&amp;CHAR(10)&amp;"冻结："&amp;IF(INDEX('比赛台账'!$I$5:$I$2600,42)="","—",TEXT(INDEX('比赛台账'!$I$5:$I$2600,42),"yyyy-mm-dd hh:mm"))&amp;CHAR(10)&amp;"比分："&amp;IF(INDEX('比赛台账'!$K$5:$K$2600,42)="","—",INDEX('比赛台账'!$K$5:$K$2600,42))&amp;"｜让球结论："&amp;IF(INDEX('比赛台账'!$L$5:$L$2600,42)="","—",INDEX('比赛台账'!$L$5:$L$2600,42))&amp;"｜大小球结论："&amp;IF(INDEX('比赛台账'!$M$5:$M$2600,42)="","—",INDEX('比赛台账'!$M$5:$M$2600,42))&amp;CHAR(10)&amp;"盈亏：让球 "&amp;IF(INDEX('比赛台账'!$N$5:$N$2600,42)="","—",TEXT(INDEX('比赛台账'!$N$5:$N$2600,42),"+0.00;-0.00;0.00"))&amp;"｜大小球 "&amp;IF(INDEX('比赛台账'!$O$5:$O$2600,42)="","—",TEXT(INDEX('比赛台账'!$O$5:$O$2600,42),"+0.00;-0.00;0.00"))&amp;"｜合计 "&amp;IF(INDEX('比赛台账'!$P$5:$P$2600,42)="","—",TEXT(INDEX('比赛台账'!$P$5:$P$2600,42),"+0.00;-0.00;0.00"))&amp;"（辅助）"&amp;CHAR(10)&amp;"来源："&amp;IF(INDEX('比赛台账'!$Q$5:$Q$2600,42)="","—",INDEX('比赛台账'!$Q$5:$Q$2600,42))&amp;CHAR(10)&amp;"备注："&amp;IF(INDEX('比赛台账'!$R$5:$R$2600,42)="","—",INDEX('比赛台账'!$R$5:$R$2600,42)))</x:f>
        <x:v>#42  2026-07-19 07:30｜需复核
规范中文名待确认（Regular Season）｜诺克斯维尔联（One Knoxville SC） vs AV阿尔塔（AV Alta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来源：https://www.espn.com/soccer/match/_/gameId/401841945/av-alta-fc-one-knoxville；https://www.livescore.mobi/football/usa/usl-league-one/one-knoxville-sc-vs-av-alta/1711329/；https://www.fotmob.com/matches/x/x#5109461；查询时间：2026-07-18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WWW、客队LWD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0" s="513"/>
      <x:c r="C170" s="513"/>
      <x:c r="D170" s="513"/>
      <x:c r="E170" s="513"/>
      <x:c r="F170" s="514"/>
      <x:c r="G170"/>
      <x:c r="H170"/>
      <x:c r="I170"/>
      <x:c r="J170"/>
      <x:c r="K170"/>
      <x:c r="L170"/>
      <x:c r="M170"/>
      <x:c r="N170"/>
      <x:c r="O170"/>
      <x:c r="P170"/>
      <x:c r="Q170"/>
      <x:c r="R170"/>
    </x:row>
    <x:row r="171" ht="118.5" customHeight="1">
      <x:c r="A171" s="499" t="str">
        <x:f>IF(43&gt;COUNTA('比赛台账'!$B$5:$B$2600),"","#43  "&amp;TEXT(INDEX('比赛台账'!$B$5:$B$2600,43),"yyyy-mm-dd hh:mm")&amp;"｜"&amp;IF(INDEX('比赛台账'!$J$5:$J$2600,43)="","—",INDEX('比赛台账'!$J$5:$J$2600,43))&amp;CHAR(10)&amp;IF(INDEX('比赛台账'!$C$5:$C$2600,43)="","—",INDEX('比赛台账'!$C$5:$C$2600,43))&amp;"｜"&amp;IF(INDEX('比赛台账'!$D$5:$D$2600,43)="","—",INDEX('比赛台账'!$D$5:$D$2600,43))&amp;" vs "&amp;IF(INDEX('比赛台账'!$E$5:$E$2600,43)="","—",INDEX('比赛台账'!$E$5:$E$2600,43))&amp;CHAR(10)&amp;"让球："&amp;IF(INDEX('比赛台账'!$F$5:$F$2600,43)="","—",INDEX('比赛台账'!$F$5:$F$2600,43))&amp;CHAR(10)&amp;"大小球："&amp;IF(INDEX('比赛台账'!$G$5:$G$2600,43)="","—",INDEX('比赛台账'!$G$5:$G$2600,43))&amp;CHAR(10)&amp;"可选/加仓："&amp;IF(INDEX('比赛台账'!$H$5:$H$2600,43)="","—",INDEX('比赛台账'!$H$5:$H$2600,43))&amp;CHAR(10)&amp;"冻结："&amp;IF(INDEX('比赛台账'!$I$5:$I$2600,43)="","—",TEXT(INDEX('比赛台账'!$I$5:$I$2600,43),"yyyy-mm-dd hh:mm"))&amp;CHAR(10)&amp;"比分："&amp;IF(INDEX('比赛台账'!$K$5:$K$2600,43)="","—",INDEX('比赛台账'!$K$5:$K$2600,43))&amp;"｜让球结论："&amp;IF(INDEX('比赛台账'!$L$5:$L$2600,43)="","—",INDEX('比赛台账'!$L$5:$L$2600,43))&amp;"｜大小球结论："&amp;IF(INDEX('比赛台账'!$M$5:$M$2600,43)="","—",INDEX('比赛台账'!$M$5:$M$2600,43))&amp;CHAR(10)&amp;"盈亏：让球 "&amp;IF(INDEX('比赛台账'!$N$5:$N$2600,43)="","—",TEXT(INDEX('比赛台账'!$N$5:$N$2600,43),"+0.00;-0.00;0.00"))&amp;"｜大小球 "&amp;IF(INDEX('比赛台账'!$O$5:$O$2600,43)="","—",TEXT(INDEX('比赛台账'!$O$5:$O$2600,43),"+0.00;-0.00;0.00"))&amp;"｜合计 "&amp;IF(INDEX('比赛台账'!$P$5:$P$2600,43)="","—",TEXT(INDEX('比赛台账'!$P$5:$P$2600,43),"+0.00;-0.00;0.00"))&amp;"（辅助）"&amp;CHAR(10)&amp;"来源："&amp;IF(INDEX('比赛台账'!$Q$5:$Q$2600,43)="","—",INDEX('比赛台账'!$Q$5:$Q$2600,43))&amp;CHAR(10)&amp;"备注："&amp;IF(INDEX('比赛台账'!$R$5:$R$2600,43)="","—",INDEX('比赛台账'!$R$5:$R$2600,43)))</x:f>
        <x:v>#43  2026-07-19 07:30｜需复核
美国USL冠军联赛｜罗德岛FC（Rhode Island FC） vs 中文名待确认（Hartford Athletic）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来源：https://www.livescore.mobi/football/usa/usl-championship/rhode-island-vs-hartford-athletic/1711563/；https://www.fotmob.com/matches/x/x#5109839；https://www.espn.com/soccer/match/_/gameId/401842001/hartford-athletic-rhode-island-fc；查询时间：2026-07-18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DWW、客队WDL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1" s="500"/>
      <x:c r="C171" s="500"/>
      <x:c r="D171" s="500"/>
      <x:c r="E171" s="500"/>
      <x:c r="F171" s="501"/>
      <x:c r="G171"/>
      <x:c r="H171"/>
      <x:c r="I171"/>
      <x:c r="J171"/>
      <x:c r="K171"/>
      <x:c r="L171"/>
      <x:c r="M171"/>
      <x:c r="N171"/>
      <x:c r="O171"/>
      <x:c r="P171"/>
      <x:c r="Q171"/>
      <x:c r="R171"/>
    </x:row>
    <x:row r="172" ht="118.5" customHeight="1">
      <x:c r="A172" s="512" t="str">
        <x:f>IF(44&gt;COUNTA('比赛台账'!$B$5:$B$2600),"","#44  "&amp;TEXT(INDEX('比赛台账'!$B$5:$B$2600,44),"yyyy-mm-dd hh:mm")&amp;"｜"&amp;IF(INDEX('比赛台账'!$J$5:$J$2600,44)="","—",INDEX('比赛台账'!$J$5:$J$2600,44))&amp;CHAR(10)&amp;IF(INDEX('比赛台账'!$C$5:$C$2600,44)="","—",INDEX('比赛台账'!$C$5:$C$2600,44))&amp;"｜"&amp;IF(INDEX('比赛台账'!$D$5:$D$2600,44)="","—",INDEX('比赛台账'!$D$5:$D$2600,44))&amp;" vs "&amp;IF(INDEX('比赛台账'!$E$5:$E$2600,44)="","—",INDEX('比赛台账'!$E$5:$E$2600,44))&amp;CHAR(10)&amp;"让球："&amp;IF(INDEX('比赛台账'!$F$5:$F$2600,44)="","—",INDEX('比赛台账'!$F$5:$F$2600,44))&amp;CHAR(10)&amp;"大小球："&amp;IF(INDEX('比赛台账'!$G$5:$G$2600,44)="","—",INDEX('比赛台账'!$G$5:$G$2600,44))&amp;CHAR(10)&amp;"可选/加仓："&amp;IF(INDEX('比赛台账'!$H$5:$H$2600,44)="","—",INDEX('比赛台账'!$H$5:$H$2600,44))&amp;CHAR(10)&amp;"冻结："&amp;IF(INDEX('比赛台账'!$I$5:$I$2600,44)="","—",TEXT(INDEX('比赛台账'!$I$5:$I$2600,44),"yyyy-mm-dd hh:mm"))&amp;CHAR(10)&amp;"比分："&amp;IF(INDEX('比赛台账'!$K$5:$K$2600,44)="","—",INDEX('比赛台账'!$K$5:$K$2600,44))&amp;"｜让球结论："&amp;IF(INDEX('比赛台账'!$L$5:$L$2600,44)="","—",INDEX('比赛台账'!$L$5:$L$2600,44))&amp;"｜大小球结论："&amp;IF(INDEX('比赛台账'!$M$5:$M$2600,44)="","—",INDEX('比赛台账'!$M$5:$M$2600,44))&amp;CHAR(10)&amp;"盈亏：让球 "&amp;IF(INDEX('比赛台账'!$N$5:$N$2600,44)="","—",TEXT(INDEX('比赛台账'!$N$5:$N$2600,44),"+0.00;-0.00;0.00"))&amp;"｜大小球 "&amp;IF(INDEX('比赛台账'!$O$5:$O$2600,44)="","—",TEXT(INDEX('比赛台账'!$O$5:$O$2600,44),"+0.00;-0.00;0.00"))&amp;"｜合计 "&amp;IF(INDEX('比赛台账'!$P$5:$P$2600,44)="","—",TEXT(INDEX('比赛台账'!$P$5:$P$2600,44),"+0.00;-0.00;0.00"))&amp;"（辅助）"&amp;CHAR(10)&amp;"来源："&amp;IF(INDEX('比赛台账'!$Q$5:$Q$2600,44)="","—",INDEX('比赛台账'!$Q$5:$Q$2600,44))&amp;CHAR(10)&amp;"备注："&amp;IF(INDEX('比赛台账'!$R$5:$R$2600,44)="","—",INDEX('比赛台账'!$R$5:$R$2600,44)))</x:f>
        <x:v>#44  2026-07-19 07:00｜需复核
规范中文名待确认（Regular Season）｜夏洛特独立（Charlotte Independence） vs 查塔努加红狼（Chattanooga Red Wolves）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espn.com/soccer/match/_/gameId/401841937/chattanooga-red-wolves-charlotte-independence；https://www.livescore.mobi/football/usa/usl-league-one/charlotte-independence-vs-chattanooga-red-wolves-sc/1711328/；https://www.fotmob.com/matches/x/x#5109459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WWW、客队WL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2" s="513"/>
      <x:c r="C172" s="513"/>
      <x:c r="D172" s="513"/>
      <x:c r="E172" s="513"/>
      <x:c r="F172" s="514"/>
      <x:c r="G172"/>
      <x:c r="H172"/>
      <x:c r="I172"/>
      <x:c r="J172"/>
      <x:c r="K172"/>
      <x:c r="L172"/>
      <x:c r="M172"/>
      <x:c r="N172"/>
      <x:c r="O172"/>
      <x:c r="P172"/>
      <x:c r="Q172"/>
      <x:c r="R172"/>
    </x:row>
    <x:row r="173" ht="118.5" customHeight="1">
      <x:c r="A173" s="499" t="str">
        <x:f>IF(45&gt;COUNTA('比赛台账'!$B$5:$B$2600),"","#45  "&amp;TEXT(INDEX('比赛台账'!$B$5:$B$2600,45),"yyyy-mm-dd hh:mm")&amp;"｜"&amp;IF(INDEX('比赛台账'!$J$5:$J$2600,45)="","—",INDEX('比赛台账'!$J$5:$J$2600,45))&amp;CHAR(10)&amp;IF(INDEX('比赛台账'!$C$5:$C$2600,45)="","—",INDEX('比赛台账'!$C$5:$C$2600,45))&amp;"｜"&amp;IF(INDEX('比赛台账'!$D$5:$D$2600,45)="","—",INDEX('比赛台账'!$D$5:$D$2600,45))&amp;" vs "&amp;IF(INDEX('比赛台账'!$E$5:$E$2600,45)="","—",INDEX('比赛台账'!$E$5:$E$2600,45))&amp;CHAR(10)&amp;"让球："&amp;IF(INDEX('比赛台账'!$F$5:$F$2600,45)="","—",INDEX('比赛台账'!$F$5:$F$2600,45))&amp;CHAR(10)&amp;"大小球："&amp;IF(INDEX('比赛台账'!$G$5:$G$2600,45)="","—",INDEX('比赛台账'!$G$5:$G$2600,45))&amp;CHAR(10)&amp;"可选/加仓："&amp;IF(INDEX('比赛台账'!$H$5:$H$2600,45)="","—",INDEX('比赛台账'!$H$5:$H$2600,45))&amp;CHAR(10)&amp;"冻结："&amp;IF(INDEX('比赛台账'!$I$5:$I$2600,45)="","—",TEXT(INDEX('比赛台账'!$I$5:$I$2600,45),"yyyy-mm-dd hh:mm"))&amp;CHAR(10)&amp;"比分："&amp;IF(INDEX('比赛台账'!$K$5:$K$2600,45)="","—",INDEX('比赛台账'!$K$5:$K$2600,45))&amp;"｜让球结论："&amp;IF(INDEX('比赛台账'!$L$5:$L$2600,45)="","—",INDEX('比赛台账'!$L$5:$L$2600,45))&amp;"｜大小球结论："&amp;IF(INDEX('比赛台账'!$M$5:$M$2600,45)="","—",INDEX('比赛台账'!$M$5:$M$2600,45))&amp;CHAR(10)&amp;"盈亏：让球 "&amp;IF(INDEX('比赛台账'!$N$5:$N$2600,45)="","—",TEXT(INDEX('比赛台账'!$N$5:$N$2600,45),"+0.00;-0.00;0.00"))&amp;"｜大小球 "&amp;IF(INDEX('比赛台账'!$O$5:$O$2600,45)="","—",TEXT(INDEX('比赛台账'!$O$5:$O$2600,45),"+0.00;-0.00;0.00"))&amp;"｜合计 "&amp;IF(INDEX('比赛台账'!$P$5:$P$2600,45)="","—",TEXT(INDEX('比赛台账'!$P$5:$P$2600,45),"+0.00;-0.00;0.00"))&amp;"（辅助）"&amp;CHAR(10)&amp;"来源："&amp;IF(INDEX('比赛台账'!$Q$5:$Q$2600,45)="","—",INDEX('比赛台账'!$Q$5:$Q$2600,45))&amp;CHAR(10)&amp;"备注："&amp;IF(INDEX('比赛台账'!$R$5:$R$2600,45)="","—",INDEX('比赛台账'!$R$5:$R$2600,45)))</x:f>
        <x:v>#45  2026-07-19 07:00｜需复核
美国MLS Next Pro联赛｜中文名待确认（Chattanooga FC） vs 奥兰多城（Orlando City SC）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来源：https://www.livescore.mobi/football/usa/mls-next-pro/chattanooga-fc-vs-orlando-city-b/1740436/；https://www.fotmob.com/matches/x/x#1000007654；查询时间：2026-07-18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3" s="500"/>
      <x:c r="C173" s="500"/>
      <x:c r="D173" s="500"/>
      <x:c r="E173" s="500"/>
      <x:c r="F173" s="501"/>
      <x:c r="G173"/>
      <x:c r="H173"/>
      <x:c r="I173"/>
      <x:c r="J173"/>
      <x:c r="K173"/>
      <x:c r="L173"/>
      <x:c r="M173"/>
      <x:c r="N173"/>
      <x:c r="O173"/>
      <x:c r="P173"/>
      <x:c r="Q173"/>
      <x:c r="R173"/>
    </x:row>
    <x:row r="174" ht="118.5" customHeight="1">
      <x:c r="A174" s="512" t="str">
        <x:f>IF(46&gt;COUNTA('比赛台账'!$B$5:$B$2600),"","#46  "&amp;TEXT(INDEX('比赛台账'!$B$5:$B$2600,46),"yyyy-mm-dd hh:mm")&amp;"｜"&amp;IF(INDEX('比赛台账'!$J$5:$J$2600,46)="","—",INDEX('比赛台账'!$J$5:$J$2600,46))&amp;CHAR(10)&amp;IF(INDEX('比赛台账'!$C$5:$C$2600,46)="","—",INDEX('比赛台账'!$C$5:$C$2600,46))&amp;"｜"&amp;IF(INDEX('比赛台账'!$D$5:$D$2600,46)="","—",INDEX('比赛台账'!$D$5:$D$2600,46))&amp;" vs "&amp;IF(INDEX('比赛台账'!$E$5:$E$2600,46)="","—",INDEX('比赛台账'!$E$5:$E$2600,46))&amp;CHAR(10)&amp;"让球："&amp;IF(INDEX('比赛台账'!$F$5:$F$2600,46)="","—",INDEX('比赛台账'!$F$5:$F$2600,46))&amp;CHAR(10)&amp;"大小球："&amp;IF(INDEX('比赛台账'!$G$5:$G$2600,46)="","—",INDEX('比赛台账'!$G$5:$G$2600,46))&amp;CHAR(10)&amp;"可选/加仓："&amp;IF(INDEX('比赛台账'!$H$5:$H$2600,46)="","—",INDEX('比赛台账'!$H$5:$H$2600,46))&amp;CHAR(10)&amp;"冻结："&amp;IF(INDEX('比赛台账'!$I$5:$I$2600,46)="","—",TEXT(INDEX('比赛台账'!$I$5:$I$2600,46),"yyyy-mm-dd hh:mm"))&amp;CHAR(10)&amp;"比分："&amp;IF(INDEX('比赛台账'!$K$5:$K$2600,46)="","—",INDEX('比赛台账'!$K$5:$K$2600,46))&amp;"｜让球结论："&amp;IF(INDEX('比赛台账'!$L$5:$L$2600,46)="","—",INDEX('比赛台账'!$L$5:$L$2600,46))&amp;"｜大小球结论："&amp;IF(INDEX('比赛台账'!$M$5:$M$2600,46)="","—",INDEX('比赛台账'!$M$5:$M$2600,46))&amp;CHAR(10)&amp;"盈亏：让球 "&amp;IF(INDEX('比赛台账'!$N$5:$N$2600,46)="","—",TEXT(INDEX('比赛台账'!$N$5:$N$2600,46),"+0.00;-0.00;0.00"))&amp;"｜大小球 "&amp;IF(INDEX('比赛台账'!$O$5:$O$2600,46)="","—",TEXT(INDEX('比赛台账'!$O$5:$O$2600,46),"+0.00;-0.00;0.00"))&amp;"｜合计 "&amp;IF(INDEX('比赛台账'!$P$5:$P$2600,46)="","—",TEXT(INDEX('比赛台账'!$P$5:$P$2600,46),"+0.00;-0.00;0.00"))&amp;"（辅助）"&amp;CHAR(10)&amp;"来源："&amp;IF(INDEX('比赛台账'!$Q$5:$Q$2600,46)="","—",INDEX('比赛台账'!$Q$5:$Q$2600,46))&amp;CHAR(10)&amp;"备注："&amp;IF(INDEX('比赛台账'!$R$5:$R$2600,46)="","—",INDEX('比赛台账'!$R$5:$R$2600,46)))</x:f>
        <x:v>#46  2026-07-19 07:00｜需复核
美国USL甲级联赛｜中文名待确认（Cosmos） vs 科珀斯克里斯蒂FC（Corpus Christi FC）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来源：https://www.fotmob.com/matches/x/x#5109460；https://www.livescore.mobi/football/usa/usl-league-one/new-york-cosmos-vs-corpus-christi/1711331/；https://www.espn.com/soccer/match/_/gameId/401841943/corpus-christi-fc-new-york-cosmos；查询时间：2026-07-18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LLL、客队LWL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4" s="513"/>
      <x:c r="C174" s="513"/>
      <x:c r="D174" s="513"/>
      <x:c r="E174" s="513"/>
      <x:c r="F174" s="514"/>
      <x:c r="G174"/>
      <x:c r="H174"/>
      <x:c r="I174"/>
      <x:c r="J174"/>
      <x:c r="K174"/>
      <x:c r="L174"/>
      <x:c r="M174"/>
      <x:c r="N174"/>
      <x:c r="O174"/>
      <x:c r="P174"/>
      <x:c r="Q174"/>
      <x:c r="R174"/>
    </x:row>
    <x:row r="175" ht="118.5" customHeight="1">
      <x:c r="A175" s="499" t="str">
        <x:f>IF(47&gt;COUNTA('比赛台账'!$B$5:$B$2600),"","#47  "&amp;TEXT(INDEX('比赛台账'!$B$5:$B$2600,47),"yyyy-mm-dd hh:mm")&amp;"｜"&amp;IF(INDEX('比赛台账'!$J$5:$J$2600,47)="","—",INDEX('比赛台账'!$J$5:$J$2600,47))&amp;CHAR(10)&amp;IF(INDEX('比赛台账'!$C$5:$C$2600,47)="","—",INDEX('比赛台账'!$C$5:$C$2600,47))&amp;"｜"&amp;IF(INDEX('比赛台账'!$D$5:$D$2600,47)="","—",INDEX('比赛台账'!$D$5:$D$2600,47))&amp;" vs "&amp;IF(INDEX('比赛台账'!$E$5:$E$2600,47)="","—",INDEX('比赛台账'!$E$5:$E$2600,47))&amp;CHAR(10)&amp;"让球："&amp;IF(INDEX('比赛台账'!$F$5:$F$2600,47)="","—",INDEX('比赛台账'!$F$5:$F$2600,47))&amp;CHAR(10)&amp;"大小球："&amp;IF(INDEX('比赛台账'!$G$5:$G$2600,47)="","—",INDEX('比赛台账'!$G$5:$G$2600,47))&amp;CHAR(10)&amp;"可选/加仓："&amp;IF(INDEX('比赛台账'!$H$5:$H$2600,47)="","—",INDEX('比赛台账'!$H$5:$H$2600,47))&amp;CHAR(10)&amp;"冻结："&amp;IF(INDEX('比赛台账'!$I$5:$I$2600,47)="","—",TEXT(INDEX('比赛台账'!$I$5:$I$2600,47),"yyyy-mm-dd hh:mm"))&amp;CHAR(10)&amp;"比分："&amp;IF(INDEX('比赛台账'!$K$5:$K$2600,47)="","—",INDEX('比赛台账'!$K$5:$K$2600,47))&amp;"｜让球结论："&amp;IF(INDEX('比赛台账'!$L$5:$L$2600,47)="","—",INDEX('比赛台账'!$L$5:$L$2600,47))&amp;"｜大小球结论："&amp;IF(INDEX('比赛台账'!$M$5:$M$2600,47)="","—",INDEX('比赛台账'!$M$5:$M$2600,47))&amp;CHAR(10)&amp;"盈亏：让球 "&amp;IF(INDEX('比赛台账'!$N$5:$N$2600,47)="","—",TEXT(INDEX('比赛台账'!$N$5:$N$2600,47),"+0.00;-0.00;0.00"))&amp;"｜大小球 "&amp;IF(INDEX('比赛台账'!$O$5:$O$2600,47)="","—",TEXT(INDEX('比赛台账'!$O$5:$O$2600,47),"+0.00;-0.00;0.00"))&amp;"｜合计 "&amp;IF(INDEX('比赛台账'!$P$5:$P$2600,47)="","—",TEXT(INDEX('比赛台账'!$P$5:$P$2600,47),"+0.00;-0.00;0.00"))&amp;"（辅助）"&amp;CHAR(10)&amp;"来源："&amp;IF(INDEX('比赛台账'!$Q$5:$Q$2600,47)="","—",INDEX('比赛台账'!$Q$5:$Q$2600,47))&amp;CHAR(10)&amp;"备注："&amp;IF(INDEX('比赛台账'!$R$5:$R$2600,47)="","—",INDEX('比赛台账'!$R$5:$R$2600,47)))</x:f>
        <x:v>#47  2026-07-19 07:00｜需复核
美国USL冠军联赛｜底特律城（Detroit City FC） vs 印第十一人（Indy Eleven）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来源：https://www.livescore.mobi/football/usa/usl-championship/detroit-city-fc-vs-indy-eleven/1711559/；https://www.fotmob.com/matches/x/x#5109834；https://www.espn.com/soccer/match/_/gameId/401841991/indy-eleven-detroit-city-fc；查询时间：2026-07-18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LWD、客队LWW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5" s="500"/>
      <x:c r="C175" s="500"/>
      <x:c r="D175" s="500"/>
      <x:c r="E175" s="500"/>
      <x:c r="F175" s="501"/>
      <x:c r="G175"/>
      <x:c r="H175"/>
      <x:c r="I175"/>
      <x:c r="J175"/>
      <x:c r="K175"/>
      <x:c r="L175"/>
      <x:c r="M175"/>
      <x:c r="N175"/>
      <x:c r="O175"/>
      <x:c r="P175"/>
      <x:c r="Q175"/>
      <x:c r="R175"/>
    </x:row>
    <x:row r="176" ht="118.5" customHeight="1">
      <x:c r="A176" s="512" t="str">
        <x:f>IF(48&gt;COUNTA('比赛台账'!$B$5:$B$2600),"","#48  "&amp;TEXT(INDEX('比赛台账'!$B$5:$B$2600,48),"yyyy-mm-dd hh:mm")&amp;"｜"&amp;IF(INDEX('比赛台账'!$J$5:$J$2600,48)="","—",INDEX('比赛台账'!$J$5:$J$2600,48))&amp;CHAR(10)&amp;IF(INDEX('比赛台账'!$C$5:$C$2600,48)="","—",INDEX('比赛台账'!$C$5:$C$2600,48))&amp;"｜"&amp;IF(INDEX('比赛台账'!$D$5:$D$2600,48)="","—",INDEX('比赛台账'!$D$5:$D$2600,48))&amp;" vs "&amp;IF(INDEX('比赛台账'!$E$5:$E$2600,48)="","—",INDEX('比赛台账'!$E$5:$E$2600,48))&amp;CHAR(10)&amp;"让球："&amp;IF(INDEX('比赛台账'!$F$5:$F$2600,48)="","—",INDEX('比赛台账'!$F$5:$F$2600,48))&amp;CHAR(10)&amp;"大小球："&amp;IF(INDEX('比赛台账'!$G$5:$G$2600,48)="","—",INDEX('比赛台账'!$G$5:$G$2600,48))&amp;CHAR(10)&amp;"可选/加仓："&amp;IF(INDEX('比赛台账'!$H$5:$H$2600,48)="","—",INDEX('比赛台账'!$H$5:$H$2600,48))&amp;CHAR(10)&amp;"冻结："&amp;IF(INDEX('比赛台账'!$I$5:$I$2600,48)="","—",TEXT(INDEX('比赛台账'!$I$5:$I$2600,48),"yyyy-mm-dd hh:mm"))&amp;CHAR(10)&amp;"比分："&amp;IF(INDEX('比赛台账'!$K$5:$K$2600,48)="","—",INDEX('比赛台账'!$K$5:$K$2600,48))&amp;"｜让球结论："&amp;IF(INDEX('比赛台账'!$L$5:$L$2600,48)="","—",INDEX('比赛台账'!$L$5:$L$2600,48))&amp;"｜大小球结论："&amp;IF(INDEX('比赛台账'!$M$5:$M$2600,48)="","—",INDEX('比赛台账'!$M$5:$M$2600,48))&amp;CHAR(10)&amp;"盈亏：让球 "&amp;IF(INDEX('比赛台账'!$N$5:$N$2600,48)="","—",TEXT(INDEX('比赛台账'!$N$5:$N$2600,48),"+0.00;-0.00;0.00"))&amp;"｜大小球 "&amp;IF(INDEX('比赛台账'!$O$5:$O$2600,48)="","—",TEXT(INDEX('比赛台账'!$O$5:$O$2600,48),"+0.00;-0.00;0.00"))&amp;"｜合计 "&amp;IF(INDEX('比赛台账'!$P$5:$P$2600,48)="","—",TEXT(INDEX('比赛台账'!$P$5:$P$2600,48),"+0.00;-0.00;0.00"))&amp;"（辅助）"&amp;CHAR(10)&amp;"来源："&amp;IF(INDEX('比赛台账'!$Q$5:$Q$2600,48)="","—",INDEX('比赛台账'!$Q$5:$Q$2600,48))&amp;CHAR(10)&amp;"备注："&amp;IF(INDEX('比赛台账'!$R$5:$R$2600,48)="","—",INDEX('比赛台账'!$R$5:$R$2600,48)))</x:f>
        <x:v>#48  2026-07-19 07:00｜需复核
美国MLS Next Pro联赛｜中文名待确认（Houston Dynamo 2） vs 中文名待确认（Colorado Rapids 2）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来源：https://www.fotmob.com/matches/x/x#1000007655；https://www.livescore.mobi/football/usa/mls-next-pro/houston-dynamo-ii-vs-colorado-rapids-ii/1740433/；查询时间：2026-07-18 19:02（北京时间）
备注：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6" s="513"/>
      <x:c r="C176" s="513"/>
      <x:c r="D176" s="513"/>
      <x:c r="E176" s="513"/>
      <x:c r="F176" s="514"/>
      <x:c r="G176"/>
      <x:c r="H176"/>
      <x:c r="I176"/>
      <x:c r="J176"/>
      <x:c r="K176"/>
      <x:c r="L176"/>
      <x:c r="M176"/>
      <x:c r="N176"/>
      <x:c r="O176"/>
      <x:c r="P176"/>
      <x:c r="Q176"/>
      <x:c r="R176"/>
    </x:row>
    <x:row r="177" ht="118.5" customHeight="1">
      <x:c r="A177" s="499" t="str">
        <x:f>IF(49&gt;COUNTA('比赛台账'!$B$5:$B$2600),"","#49  "&amp;TEXT(INDEX('比赛台账'!$B$5:$B$2600,49),"yyyy-mm-dd hh:mm")&amp;"｜"&amp;IF(INDEX('比赛台账'!$J$5:$J$2600,49)="","—",INDEX('比赛台账'!$J$5:$J$2600,49))&amp;CHAR(10)&amp;IF(INDEX('比赛台账'!$C$5:$C$2600,49)="","—",INDEX('比赛台账'!$C$5:$C$2600,49))&amp;"｜"&amp;IF(INDEX('比赛台账'!$D$5:$D$2600,49)="","—",INDEX('比赛台账'!$D$5:$D$2600,49))&amp;" vs "&amp;IF(INDEX('比赛台账'!$E$5:$E$2600,49)="","—",INDEX('比赛台账'!$E$5:$E$2600,49))&amp;CHAR(10)&amp;"让球："&amp;IF(INDEX('比赛台账'!$F$5:$F$2600,49)="","—",INDEX('比赛台账'!$F$5:$F$2600,49))&amp;CHAR(10)&amp;"大小球："&amp;IF(INDEX('比赛台账'!$G$5:$G$2600,49)="","—",INDEX('比赛台账'!$G$5:$G$2600,49))&amp;CHAR(10)&amp;"可选/加仓："&amp;IF(INDEX('比赛台账'!$H$5:$H$2600,49)="","—",INDEX('比赛台账'!$H$5:$H$2600,49))&amp;CHAR(10)&amp;"冻结："&amp;IF(INDEX('比赛台账'!$I$5:$I$2600,49)="","—",TEXT(INDEX('比赛台账'!$I$5:$I$2600,49),"yyyy-mm-dd hh:mm"))&amp;CHAR(10)&amp;"比分："&amp;IF(INDEX('比赛台账'!$K$5:$K$2600,49)="","—",INDEX('比赛台账'!$K$5:$K$2600,49))&amp;"｜让球结论："&amp;IF(INDEX('比赛台账'!$L$5:$L$2600,49)="","—",INDEX('比赛台账'!$L$5:$L$2600,49))&amp;"｜大小球结论："&amp;IF(INDEX('比赛台账'!$M$5:$M$2600,49)="","—",INDEX('比赛台账'!$M$5:$M$2600,49))&amp;CHAR(10)&amp;"盈亏：让球 "&amp;IF(INDEX('比赛台账'!$N$5:$N$2600,49)="","—",TEXT(INDEX('比赛台账'!$N$5:$N$2600,49),"+0.00;-0.00;0.00"))&amp;"｜大小球 "&amp;IF(INDEX('比赛台账'!$O$5:$O$2600,49)="","—",TEXT(INDEX('比赛台账'!$O$5:$O$2600,49),"+0.00;-0.00;0.00"))&amp;"｜合计 "&amp;IF(INDEX('比赛台账'!$P$5:$P$2600,49)="","—",TEXT(INDEX('比赛台账'!$P$5:$P$2600,49),"+0.00;-0.00;0.00"))&amp;"（辅助）"&amp;CHAR(10)&amp;"来源："&amp;IF(INDEX('比赛台账'!$Q$5:$Q$2600,49)="","—",INDEX('比赛台账'!$Q$5:$Q$2600,49))&amp;CHAR(10)&amp;"备注："&amp;IF(INDEX('比赛台账'!$R$5:$R$2600,49)="","—",INDEX('比赛台账'!$R$5:$R$2600,49)))</x:f>
        <x:v>#49  2026-07-19 07:00｜需复核
美国USL冠军联赛｜中文名待确认（Loudoun United） vs 中文名待确认（Tampa Bay Rowdies）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来源：https://www.livescore.mobi/football/usa/usl-championship/loudoun-united-vs-tampa-bay-rowdies/1711561/；https://www.fotmob.com/matches/x/x#5109836；https://www.espn.com/soccer/match/_/gameId/401841995/tampa-bay-rowdies-loudoun-united-fc；查询时间：2026-07-18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LDL、客队WLW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7" s="500"/>
      <x:c r="C177" s="500"/>
      <x:c r="D177" s="500"/>
      <x:c r="E177" s="500"/>
      <x:c r="F177" s="501"/>
      <x:c r="G177"/>
      <x:c r="H177"/>
      <x:c r="I177"/>
      <x:c r="J177"/>
      <x:c r="K177"/>
      <x:c r="L177"/>
      <x:c r="M177"/>
      <x:c r="N177"/>
      <x:c r="O177"/>
      <x:c r="P177"/>
      <x:c r="Q177"/>
      <x:c r="R177"/>
    </x:row>
    <x:row r="178" ht="118.5" customHeight="1">
      <x:c r="A178" s="512" t="str">
        <x:f>IF(50&gt;COUNTA('比赛台账'!$B$5:$B$2600),"","#50  "&amp;TEXT(INDEX('比赛台账'!$B$5:$B$2600,50),"yyyy-mm-dd hh:mm")&amp;"｜"&amp;IF(INDEX('比赛台账'!$J$5:$J$2600,50)="","—",INDEX('比赛台账'!$J$5:$J$2600,50))&amp;CHAR(10)&amp;IF(INDEX('比赛台账'!$C$5:$C$2600,50)="","—",INDEX('比赛台账'!$C$5:$C$2600,50))&amp;"｜"&amp;IF(INDEX('比赛台账'!$D$5:$D$2600,50)="","—",INDEX('比赛台账'!$D$5:$D$2600,50))&amp;" vs "&amp;IF(INDEX('比赛台账'!$E$5:$E$2600,50)="","—",INDEX('比赛台账'!$E$5:$E$2600,50))&amp;CHAR(10)&amp;"让球："&amp;IF(INDEX('比赛台账'!$F$5:$F$2600,50)="","—",INDEX('比赛台账'!$F$5:$F$2600,50))&amp;CHAR(10)&amp;"大小球："&amp;IF(INDEX('比赛台账'!$G$5:$G$2600,50)="","—",INDEX('比赛台账'!$G$5:$G$2600,50))&amp;CHAR(10)&amp;"可选/加仓："&amp;IF(INDEX('比赛台账'!$H$5:$H$2600,50)="","—",INDEX('比赛台账'!$H$5:$H$2600,50))&amp;CHAR(10)&amp;"冻结："&amp;IF(INDEX('比赛台账'!$I$5:$I$2600,50)="","—",TEXT(INDEX('比赛台账'!$I$5:$I$2600,50),"yyyy-mm-dd hh:mm"))&amp;CHAR(10)&amp;"比分："&amp;IF(INDEX('比赛台账'!$K$5:$K$2600,50)="","—",INDEX('比赛台账'!$K$5:$K$2600,50))&amp;"｜让球结论："&amp;IF(INDEX('比赛台账'!$L$5:$L$2600,50)="","—",INDEX('比赛台账'!$L$5:$L$2600,50))&amp;"｜大小球结论："&amp;IF(INDEX('比赛台账'!$M$5:$M$2600,50)="","—",INDEX('比赛台账'!$M$5:$M$2600,50))&amp;CHAR(10)&amp;"盈亏：让球 "&amp;IF(INDEX('比赛台账'!$N$5:$N$2600,50)="","—",TEXT(INDEX('比赛台账'!$N$5:$N$2600,50),"+0.00;-0.00;0.00"))&amp;"｜大小球 "&amp;IF(INDEX('比赛台账'!$O$5:$O$2600,50)="","—",TEXT(INDEX('比赛台账'!$O$5:$O$2600,50),"+0.00;-0.00;0.00"))&amp;"｜合计 "&amp;IF(INDEX('比赛台账'!$P$5:$P$2600,50)="","—",TEXT(INDEX('比赛台账'!$P$5:$P$2600,50),"+0.00;-0.00;0.00"))&amp;"（辅助）"&amp;CHAR(10)&amp;"来源："&amp;IF(INDEX('比赛台账'!$Q$5:$Q$2600,50)="","—",INDEX('比赛台账'!$Q$5:$Q$2600,50))&amp;CHAR(10)&amp;"备注："&amp;IF(INDEX('比赛台账'!$R$5:$R$2600,50)="","—",INDEX('比赛台账'!$R$5:$R$2600,50)))</x:f>
        <x:v>#50  2026-07-19 07:00｜需复核
墨西哥超级联赛（Liga MX）｜中文名待确认（Pumas） vs 帕丘卡（Pachuca）
让球：无可靠让球盘/只观察｜现有证据不足以形成可执行让球倾向
大小球：无可靠大小球盘/只观察｜现有证据不足以形成可执行总进球倾向
可选/加仓：待确认首发、伤停、双方近5场与主客拆分、亚洲让球/大小球初盘及当前水位；任一市场欧赔&lt;1.80/港水&lt;0.80不进；未满足全部触发条件不进、不加仓
冻结：2026-07-18 19:02
比分：—｜让球结论：—｜大小球结论：—
盈亏：让球 —｜大小球 —｜合计 —（辅助）
来源：https://www.livescore.mobi/football/mexico/liga-mx-apertura/pumas-vs-pachuca/1798951/；https://www.fotmob.com/matches/x/x#1000014504；https://www.espn.com/soccer/match/_/gameId/401877040/pachuca-pumas-unam；查询时间：2026-07-18 19:02（北京时间）
备注：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WLD、客队LWW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  <x:c r="B178" s="513"/>
      <x:c r="C178" s="513"/>
      <x:c r="D178" s="513"/>
      <x:c r="E178" s="513"/>
      <x:c r="F178" s="514"/>
      <x:c r="G178"/>
      <x:c r="H178"/>
      <x:c r="I178"/>
      <x:c r="J178"/>
      <x:c r="K178"/>
      <x:c r="L178"/>
      <x:c r="M178"/>
      <x:c r="N178"/>
      <x:c r="O178"/>
      <x:c r="P178"/>
      <x:c r="Q178"/>
      <x:c r="R178"/>
    </x:row>
    <x:row r="179">
      <x:c r="A179" s="379"/>
      <x:c r="B179" s="379"/>
      <x:c r="C179" s="379"/>
      <x:c r="D179" s="379"/>
      <x:c r="E179" s="379"/>
      <x:c r="F179" s="379"/>
      <x:c r="G179"/>
      <x:c r="H179"/>
      <x:c r="I179"/>
      <x:c r="J179"/>
      <x:c r="K179"/>
      <x:c r="L179"/>
      <x:c r="M179"/>
      <x:c r="N179"/>
      <x:c r="O179"/>
      <x:c r="P179"/>
      <x:c r="Q179"/>
      <x:c r="R179"/>
    </x:row>
    <x:row r="180">
      <x:c r="A180" s="379"/>
      <x:c r="B180" s="379"/>
      <x:c r="C180" s="379"/>
      <x:c r="D180" s="379"/>
      <x:c r="E180" s="379"/>
      <x:c r="F180" s="379"/>
      <x:c r="G180"/>
      <x:c r="H180"/>
      <x:c r="I180"/>
      <x:c r="J180"/>
      <x:c r="K180"/>
      <x:c r="L180"/>
      <x:c r="M180"/>
      <x:c r="N180"/>
      <x:c r="O180"/>
      <x:c r="P180"/>
      <x:c r="Q180"/>
      <x:c r="R180"/>
    </x:row>
    <x:row r="181">
      <x:c r="A181" s="379"/>
      <x:c r="B181" s="379"/>
      <x:c r="C181" s="379"/>
      <x:c r="D181" s="379"/>
      <x:c r="E181" s="379"/>
      <x:c r="F181" s="379"/>
      <x:c r="G181"/>
      <x:c r="H181"/>
      <x:c r="I181"/>
      <x:c r="J181"/>
      <x:c r="K181"/>
      <x:c r="L181"/>
      <x:c r="M181"/>
      <x:c r="N181"/>
      <x:c r="O181"/>
      <x:c r="P181"/>
      <x:c r="Q181"/>
      <x:c r="R181"/>
    </x:row>
    <x:row r="182">
      <x:c r="A182" s="379"/>
      <x:c r="B182" s="379"/>
      <x:c r="C182" s="379"/>
      <x:c r="D182" s="379"/>
      <x:c r="E182" s="379"/>
      <x:c r="F182" s="379"/>
      <x:c r="G182"/>
      <x:c r="H182"/>
      <x:c r="I182"/>
      <x:c r="J182"/>
      <x:c r="K182"/>
      <x:c r="L182"/>
      <x:c r="M182"/>
      <x:c r="N182"/>
      <x:c r="O182"/>
      <x:c r="P182"/>
      <x:c r="Q182"/>
      <x:c r="R182"/>
    </x:row>
    <x:row r="183">
      <x:c r="A183" s="379"/>
      <x:c r="B183" s="379"/>
      <x:c r="C183" s="379"/>
      <x:c r="D183" s="379"/>
      <x:c r="E183" s="379"/>
      <x:c r="F183" s="379"/>
      <x:c r="G183"/>
      <x:c r="H183"/>
      <x:c r="I183"/>
      <x:c r="J183"/>
      <x:c r="K183"/>
      <x:c r="L183"/>
      <x:c r="M183"/>
      <x:c r="N183"/>
      <x:c r="O183"/>
      <x:c r="P183"/>
      <x:c r="Q183"/>
      <x:c r="R183"/>
    </x:row>
    <x:row r="184">
      <x:c r="A184" s="379"/>
      <x:c r="B184" s="379"/>
      <x:c r="C184" s="379"/>
      <x:c r="D184" s="379"/>
      <x:c r="E184" s="379"/>
      <x:c r="F184" s="379"/>
      <x:c r="G184"/>
      <x:c r="H184"/>
      <x:c r="I184"/>
      <x:c r="J184"/>
      <x:c r="K184"/>
      <x:c r="L184"/>
      <x:c r="M184"/>
      <x:c r="N184"/>
      <x:c r="O184"/>
      <x:c r="P184"/>
      <x:c r="Q184"/>
      <x:c r="R184"/>
    </x:row>
    <x:row r="185">
      <x:c r="A185" s="379"/>
      <x:c r="B185" s="379"/>
      <x:c r="C185" s="379"/>
      <x:c r="D185" s="379"/>
      <x:c r="E185" s="379"/>
      <x:c r="F185" s="379"/>
      <x:c r="G185"/>
      <x:c r="H185"/>
      <x:c r="I185"/>
      <x:c r="J185"/>
      <x:c r="K185"/>
      <x:c r="L185"/>
      <x:c r="M185"/>
      <x:c r="N185"/>
      <x:c r="O185"/>
      <x:c r="P185"/>
      <x:c r="Q185"/>
      <x:c r="R185"/>
    </x:row>
    <x:row r="186">
      <x:c r="A186" s="379"/>
      <x:c r="B186" s="379"/>
      <x:c r="C186" s="379"/>
      <x:c r="D186" s="379"/>
      <x:c r="E186" s="379"/>
      <x:c r="F186" s="379"/>
      <x:c r="G186"/>
      <x:c r="H186"/>
      <x:c r="I186"/>
      <x:c r="J186"/>
      <x:c r="K186"/>
      <x:c r="L186"/>
      <x:c r="M186"/>
      <x:c r="N186"/>
      <x:c r="O186"/>
      <x:c r="P186"/>
      <x:c r="Q186"/>
      <x:c r="R186"/>
    </x:row>
    <x:row r="187">
      <x:c r="A187" s="379"/>
      <x:c r="B187" s="379"/>
      <x:c r="C187" s="379"/>
      <x:c r="D187" s="379"/>
      <x:c r="E187" s="379"/>
      <x:c r="F187" s="379"/>
      <x:c r="G187"/>
      <x:c r="H187"/>
      <x:c r="I187"/>
      <x:c r="J187"/>
      <x:c r="K187"/>
      <x:c r="L187"/>
      <x:c r="M187"/>
      <x:c r="N187"/>
      <x:c r="O187"/>
      <x:c r="P187"/>
      <x:c r="Q187"/>
      <x:c r="R187"/>
    </x:row>
    <x:row r="188">
      <x:c r="A188" s="379"/>
      <x:c r="B188" s="379"/>
      <x:c r="C188" s="379"/>
      <x:c r="D188" s="379"/>
      <x:c r="E188" s="379"/>
      <x:c r="F188" s="379"/>
      <x:c r="G188"/>
      <x:c r="H188"/>
      <x:c r="I188"/>
      <x:c r="J188"/>
      <x:c r="K188"/>
      <x:c r="L188"/>
      <x:c r="M188"/>
      <x:c r="N188"/>
      <x:c r="O188"/>
      <x:c r="P188"/>
      <x:c r="Q188"/>
      <x:c r="R188"/>
    </x:row>
    <x:row r="189">
      <x:c r="A189" s="379"/>
      <x:c r="B189" s="379"/>
      <x:c r="C189" s="379"/>
      <x:c r="D189" s="379"/>
      <x:c r="E189" s="379"/>
      <x:c r="F189" s="379"/>
      <x:c r="G189"/>
      <x:c r="H189"/>
      <x:c r="I189"/>
      <x:c r="J189"/>
      <x:c r="K189"/>
      <x:c r="L189"/>
      <x:c r="M189"/>
      <x:c r="N189"/>
      <x:c r="O189"/>
      <x:c r="P189"/>
      <x:c r="Q189"/>
      <x:c r="R189"/>
    </x:row>
    <x:row r="190">
      <x:c r="A190" s="379"/>
      <x:c r="B190" s="379"/>
      <x:c r="C190" s="379"/>
      <x:c r="D190" s="379"/>
      <x:c r="E190" s="379"/>
      <x:c r="F190" s="379"/>
      <x:c r="G190"/>
      <x:c r="H190"/>
      <x:c r="I190"/>
      <x:c r="J190"/>
      <x:c r="K190"/>
      <x:c r="L190"/>
      <x:c r="M190"/>
      <x:c r="N190"/>
      <x:c r="O190"/>
      <x:c r="P190"/>
      <x:c r="Q190"/>
      <x:c r="R190"/>
    </x:row>
  </x:sheetData>
  <x:mergeCells>
    <x:mergeCell ref="A1:F2"/>
    <x:mergeCell ref="A3:F3"/>
    <x:mergeCell ref="A4:F4"/>
    <x:mergeCell ref="A6:C6"/>
    <x:mergeCell ref="A7:C8"/>
    <x:mergeCell ref="D6:F6"/>
    <x:mergeCell ref="D7:F8"/>
    <x:mergeCell ref="A10:C10"/>
    <x:mergeCell ref="A11:C12"/>
    <x:mergeCell ref="D10:F10"/>
    <x:mergeCell ref="D11:F12"/>
    <x:mergeCell ref="A14:C14"/>
    <x:mergeCell ref="A15:C16"/>
    <x:mergeCell ref="D14:F14"/>
    <x:mergeCell ref="D15:F16"/>
    <x:mergeCell ref="A18:F18"/>
    <x:mergeCell ref="A20:F20"/>
    <x:mergeCell ref="A21:B21"/>
    <x:mergeCell ref="C21:F21"/>
    <x:mergeCell ref="A22:B22"/>
    <x:mergeCell ref="C22:F22"/>
    <x:mergeCell ref="A23:B23"/>
    <x:mergeCell ref="C23:F23"/>
    <x:mergeCell ref="A24:B24"/>
    <x:mergeCell ref="C24:F24"/>
    <x:mergeCell ref="A26:F26"/>
    <x:mergeCell ref="A55:F55"/>
    <x:mergeCell ref="A88:F88"/>
    <x:mergeCell ref="A121:F121"/>
    <x:mergeCell ref="A122:F122"/>
    <x:mergeCell ref="A123:F123"/>
    <x:mergeCell ref="A124:F124"/>
    <x:mergeCell ref="A125:F125"/>
    <x:mergeCell ref="A127:F127"/>
    <x:mergeCell ref="A128:F128"/>
    <x:mergeCell ref="A129:F129"/>
    <x:mergeCell ref="A130:F130"/>
    <x:mergeCell ref="A131:F131"/>
    <x:mergeCell ref="A132:F132"/>
    <x:mergeCell ref="A133:F133"/>
    <x:mergeCell ref="A134:F134"/>
    <x:mergeCell ref="A135:F135"/>
    <x:mergeCell ref="A136:F136"/>
    <x:mergeCell ref="A137:F137"/>
    <x:mergeCell ref="A138:F138"/>
    <x:mergeCell ref="A139:F139"/>
    <x:mergeCell ref="A140:F140"/>
    <x:mergeCell ref="A141:F141"/>
    <x:mergeCell ref="A142:F142"/>
    <x:mergeCell ref="A143:F143"/>
    <x:mergeCell ref="A144:F144"/>
    <x:mergeCell ref="A145:F145"/>
    <x:mergeCell ref="A146:F146"/>
    <x:mergeCell ref="A147:F147"/>
    <x:mergeCell ref="A148:F148"/>
    <x:mergeCell ref="A149:F149"/>
    <x:mergeCell ref="A150:F150"/>
    <x:mergeCell ref="A151:F151"/>
    <x:mergeCell ref="A152:F152"/>
    <x:mergeCell ref="A153:F153"/>
    <x:mergeCell ref="A154:F154"/>
    <x:mergeCell ref="A155:F155"/>
    <x:mergeCell ref="A156:F156"/>
    <x:mergeCell ref="A157:F157"/>
    <x:mergeCell ref="A158:F158"/>
    <x:mergeCell ref="A159:F159"/>
    <x:mergeCell ref="A160:F160"/>
    <x:mergeCell ref="A161:F161"/>
    <x:mergeCell ref="A162:F162"/>
    <x:mergeCell ref="A163:F163"/>
    <x:mergeCell ref="A164:F164"/>
    <x:mergeCell ref="A165:F165"/>
    <x:mergeCell ref="A166:F166"/>
    <x:mergeCell ref="A167:F167"/>
    <x:mergeCell ref="A168:F168"/>
    <x:mergeCell ref="A169:F169"/>
    <x:mergeCell ref="A170:F170"/>
    <x:mergeCell ref="A171:F171"/>
    <x:mergeCell ref="A172:F172"/>
    <x:mergeCell ref="A173:F173"/>
    <x:mergeCell ref="A174:F174"/>
    <x:mergeCell ref="A175:F175"/>
    <x:mergeCell ref="A176:F176"/>
    <x:mergeCell ref="A177:F177"/>
    <x:mergeCell ref="A178:F178"/>
  </x:mergeCells>
  <x:conditionalFormatting sqref="A129:F178">
    <x:cfRule type="containsText" dxfId="5" priority="1" operator="containsText" text="需复核"/>
    <x:cfRule type="containsText" dxfId="6" priority="2" operator="containsText" text="待赛果"/>
    <x:cfRule type="containsText" dxfId="7" priority="3" operator="containsText" text="需复核"/>
    <x:cfRule type="containsText" dxfId="8" priority="4" operator="containsText" text="待赛果"/>
  </x:conditionalFormatting>
  <x:pageMargins left="0.7" right="0.7" top="0.75" bottom="0.75" header="0.3" footer="0.3"/>
  <x:drawing xmlns:r="http://schemas.openxmlformats.org/officeDocument/2006/relationships" r:id="Rb693fdaed7b0463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8" hidden="0" customWidth="1"/>
    <x:col min="4" max="4" width="25" hidden="0" customWidth="1"/>
    <x:col min="5" max="5" width="25" hidden="0" customWidth="1"/>
    <x:col min="6" max="6" width="34" hidden="0" customWidth="1"/>
    <x:col min="7" max="7" width="34" hidden="0" customWidth="1"/>
    <x:col min="8" max="8" width="38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4" hidden="0" customWidth="1"/>
    <x:col min="18" max="18" width="54" hidden="0" customWidth="1"/>
  </x:cols>
  <x:sheetData>
    <x:row r="1" ht="34" customHeight="1">
      <x:c r="A1" s="4" t="str">
        <x:v>足球比赛分析与结算台账</x:v>
      </x:c>
      <x:c r="B1" s="4" t="str">
        <x:v>足球比赛分析与结算台账</x:v>
      </x:c>
      <x:c r="C1" s="4" t="str">
        <x:v>足球比赛分析与结算台账</x:v>
      </x:c>
      <x:c r="D1" s="4" t="str">
        <x:v>足球比赛分析与结算台账</x:v>
      </x:c>
      <x:c r="E1" s="4" t="str">
        <x:v>足球比赛分析与结算台账</x:v>
      </x:c>
      <x:c r="F1" s="4" t="str">
        <x:v>足球比赛分析与结算台账</x:v>
      </x:c>
      <x:c r="G1" s="4" t="str">
        <x:v>足球比赛分析与结算台账</x:v>
      </x:c>
      <x:c r="H1" s="4" t="str">
        <x:v>足球比赛分析与结算台账</x:v>
      </x:c>
      <x:c r="I1" s="4" t="str">
        <x:v>足球比赛分析与结算台账</x:v>
      </x:c>
      <x:c r="J1" s="4" t="str">
        <x:v>足球比赛分析与结算台账</x:v>
      </x:c>
      <x:c r="K1" s="4" t="str">
        <x:v>足球比赛分析与结算台账</x:v>
      </x:c>
      <x:c r="L1" s="4" t="str">
        <x:v>足球比赛分析与结算台账</x:v>
      </x:c>
      <x:c r="M1" s="4" t="str">
        <x:v>足球比赛分析与结算台账</x:v>
      </x:c>
      <x:c r="N1" s="4" t="str">
        <x:v>足球比赛分析与结算台账</x:v>
      </x:c>
      <x:c r="O1" s="4" t="str">
        <x:v>足球比赛分析与结算台账</x:v>
      </x:c>
      <x:c r="P1" s="4" t="str">
        <x:v>足球比赛分析与结算台账</x:v>
      </x:c>
      <x:c r="Q1" s="4" t="str">
        <x:v>足球比赛分析与结算台账</x:v>
      </x:c>
      <x:c r="R1" s="4" t="str">
        <x:v>足球比赛分析与结算台账</x:v>
      </x:c>
    </x:row>
    <x:row r="2">
      <x:c r="A2" s="7" t="str">
        <x:v>按北京时间记录｜最新比赛在上｜赛前冻结结论｜次日核对赛果并回填｜匹配键由公式自动生成</x:v>
      </x:c>
      <x:c r="B2" s="7" t="str">
        <x:v>按北京时间记录｜赛前冻结结论｜次日核对赛果并回填｜匹配键由公式自动生成</x:v>
      </x:c>
      <x:c r="C2" s="7" t="str">
        <x:v>按北京时间记录｜赛前冻结结论｜次日核对赛果并回填｜匹配键由公式自动生成</x:v>
      </x:c>
      <x:c r="D2" s="7" t="str">
        <x:v>按北京时间记录｜赛前冻结结论｜次日核对赛果并回填｜匹配键由公式自动生成</x:v>
      </x:c>
      <x:c r="E2" s="7" t="str">
        <x:v>按北京时间记录｜赛前冻结结论｜次日核对赛果并回填｜匹配键由公式自动生成</x:v>
      </x:c>
      <x:c r="F2" s="7" t="str">
        <x:v>按北京时间记录｜赛前冻结结论｜次日核对赛果并回填｜匹配键由公式自动生成</x:v>
      </x:c>
      <x:c r="G2" s="7" t="str">
        <x:v>按北京时间记录｜赛前冻结结论｜次日核对赛果并回填｜匹配键由公式自动生成</x:v>
      </x:c>
      <x:c r="H2" s="7" t="str">
        <x:v>按北京时间记录｜赛前冻结结论｜次日核对赛果并回填｜匹配键由公式自动生成</x:v>
      </x:c>
      <x:c r="I2" s="7" t="str">
        <x:v>按北京时间记录｜赛前冻结结论｜次日核对赛果并回填｜匹配键由公式自动生成</x:v>
      </x:c>
      <x:c r="J2" s="7" t="str">
        <x:v>按北京时间记录｜赛前冻结结论｜次日核对赛果并回填｜匹配键由公式自动生成</x:v>
      </x:c>
      <x:c r="K2" s="7" t="str">
        <x:v>按北京时间记录｜赛前冻结结论｜次日核对赛果并回填｜匹配键由公式自动生成</x:v>
      </x:c>
      <x:c r="L2" s="7" t="str">
        <x:v>按北京时间记录｜赛前冻结结论｜次日核对赛果并回填｜匹配键由公式自动生成</x:v>
      </x:c>
      <x:c r="M2" s="7" t="str">
        <x:v>按北京时间记录｜赛前冻结结论｜次日核对赛果并回填｜匹配键由公式自动生成</x:v>
      </x:c>
      <x:c r="N2" s="7" t="str">
        <x:v>按北京时间记录｜赛前冻结结论｜次日核对赛果并回填｜匹配键由公式自动生成</x:v>
      </x:c>
      <x:c r="O2" s="7" t="str">
        <x:v>按北京时间记录｜赛前冻结结论｜次日核对赛果并回填｜匹配键由公式自动生成</x:v>
      </x:c>
      <x:c r="P2" s="7" t="str">
        <x:v>按北京时间记录｜赛前冻结结论｜次日核对赛果并回填｜匹配键由公式自动生成</x:v>
      </x:c>
      <x:c r="Q2" s="7" t="str">
        <x:v>按北京时间记录｜赛前冻结结论｜次日核对赛果并回填｜匹配键由公式自动生成</x:v>
      </x:c>
      <x:c r="R2" s="7" t="str">
        <x:v>按北京时间记录｜赛前冻结结论｜次日核对赛果并回填｜匹配键由公式自动生成</x:v>
      </x:c>
    </x:row>
    <x:row r="3">
      <x:c r="A3" s="10" t="str">
        <x:v>当前共 2569 场；强制按 B 列开球时间降序（最新比赛在上）；排序验收已启用。</x:v>
      </x:c>
      <x:c r="B3" s="10" t="str">
        <x:v>已归入“冻结台账 (7)”全部 1741 场；蓝色字段为赛前信息，绿色字段为赛后结算。</x:v>
      </x:c>
      <x:c r="C3" s="10" t="str">
        <x:v>已归入“冻结台账 (7)”全部 1741 场；蓝色字段为赛前信息，绿色字段为赛后结算。</x:v>
      </x:c>
      <x:c r="D3" s="10" t="str">
        <x:v>已归入“冻结台账 (7)”全部 1741 场；蓝色字段为赛前信息，绿色字段为赛后结算。</x:v>
      </x:c>
      <x:c r="E3" s="10" t="str">
        <x:v>已归入“冻结台账 (7)”全部 1741 场；蓝色字段为赛前信息，绿色字段为赛后结算。</x:v>
      </x:c>
      <x:c r="F3" s="10" t="str">
        <x:v>已归入“冻结台账 (7)”全部 1741 场；蓝色字段为赛前信息，绿色字段为赛后结算。</x:v>
      </x:c>
      <x:c r="G3" s="10" t="str">
        <x:v>已归入“冻结台账 (7)”全部 1741 场；蓝色字段为赛前信息，绿色字段为赛后结算。</x:v>
      </x:c>
      <x:c r="H3" s="10" t="str">
        <x:v>已归入“冻结台账 (7)”全部 1741 场；蓝色字段为赛前信息，绿色字段为赛后结算。</x:v>
      </x:c>
      <x:c r="I3" s="10" t="str">
        <x:v>已归入“冻结台账 (7)”全部 1741 场；蓝色字段为赛前信息，绿色字段为赛后结算。</x:v>
      </x:c>
      <x:c r="J3" s="10" t="str">
        <x:v>已归入“冻结台账 (7)”全部 1741 场；蓝色字段为赛前信息，绿色字段为赛后结算。</x:v>
      </x:c>
      <x:c r="K3" s="10" t="str">
        <x:v>已归入“冻结台账 (7)”全部 1741 场；蓝色字段为赛前信息，绿色字段为赛后结算。</x:v>
      </x:c>
      <x:c r="L3" s="10" t="str">
        <x:v>已归入“冻结台账 (7)”全部 1741 场；蓝色字段为赛前信息，绿色字段为赛后结算。</x:v>
      </x:c>
      <x:c r="M3" s="10" t="str">
        <x:v>已归入“冻结台账 (7)”全部 1741 场；蓝色字段为赛前信息，绿色字段为赛后结算。</x:v>
      </x:c>
      <x:c r="N3" s="10" t="str">
        <x:v>已归入“冻结台账 (7)”全部 1741 场；蓝色字段为赛前信息，绿色字段为赛后结算。</x:v>
      </x:c>
      <x:c r="O3" s="10" t="str">
        <x:v>已归入“冻结台账 (7)”全部 1741 场；蓝色字段为赛前信息，绿色字段为赛后结算。</x:v>
      </x:c>
      <x:c r="P3" s="10" t="str">
        <x:v>已归入“冻结台账 (7)”全部 1741 场；蓝色字段为赛前信息，绿色字段为赛后结算。</x:v>
      </x:c>
      <x:c r="Q3" s="10" t="str">
        <x:v>已归入“冻结台账 (7)”全部 1741 场；蓝色字段为赛前信息，绿色字段为赛后结算。</x:v>
      </x:c>
      <x:c r="R3" s="10" t="str">
        <x:v>已归入“冻结台账 (7)”全部 1741 场；蓝色字段为赛前信息，绿色字段为赛后结算。</x:v>
      </x:c>
    </x:row>
    <x:row r="4" ht="32" customHeight="1">
      <x:c r="A4" s="22" t="str">
        <x:v>匹配键</x:v>
      </x:c>
      <x:c r="B4" s="23" t="str">
        <x:v>开球时间</x:v>
      </x:c>
      <x:c r="C4" s="23" t="str">
        <x:v>赛事</x:v>
      </x:c>
      <x:c r="D4" s="23" t="str">
        <x:v>主队</x:v>
      </x:c>
      <x:c r="E4" s="23" t="str">
        <x:v>客队</x:v>
      </x:c>
      <x:c r="F4" s="23" t="str">
        <x:v>让球推荐</x:v>
      </x:c>
      <x:c r="G4" s="23" t="str">
        <x:v>大小球推荐</x:v>
      </x:c>
      <x:c r="H4" s="23" t="str">
        <x:v>可选/加仓</x:v>
      </x:c>
      <x:c r="I4" s="23" t="str">
        <x:v>冻结时间</x:v>
      </x:c>
      <x:c r="J4" s="24" t="str">
        <x:v>状态</x:v>
      </x:c>
      <x:c r="K4" s="36" t="str">
        <x:v>终场比分</x:v>
      </x:c>
      <x:c r="L4" s="37" t="str">
        <x:v>让球结论</x:v>
      </x:c>
      <x:c r="M4" s="37" t="str">
        <x:v>大小球结论</x:v>
      </x:c>
      <x:c r="N4" s="37" t="str">
        <x:v>让球盈亏单位</x:v>
      </x:c>
      <x:c r="O4" s="37" t="str">
        <x:v>大小球盈亏单位</x:v>
      </x:c>
      <x:c r="P4" s="37" t="str">
        <x:v>总盈亏单位</x:v>
      </x:c>
      <x:c r="Q4" s="37" t="str">
        <x:v>数据来源</x:v>
      </x:c>
      <x:c r="R4" s="38" t="str">
        <x:v>总结结论备注</x:v>
      </x:c>
    </x:row>
    <x:row r="5" ht="38" customHeight="1">
      <x:c r="A5" s="62" t="str">
        <x:f>IF(B5="","",TEXT(B5,"yyyy-mm-dd")&amp;"|"&amp;D5&amp;"|"&amp;E5)</x:f>
        <x:v>2026-07-19|富川FC 1995（Bucheon FC 1995）|首尔FC（FC Seoul）</x:v>
      </x:c>
      <x:c r="B5" s="63" t="n">
        <x:v>46222.770833333336</x:v>
      </x:c>
      <x:c r="C5" s="62" t="str">
        <x:v>规范中文名待确认（Republic of Korea - K-League 1）</x:v>
      </x:c>
      <x:c r="D5" s="62" t="str">
        <x:v>富川FC 1995（Bucheon FC 1995）</x:v>
      </x:c>
      <x:c r="E5" s="62" t="str">
        <x:v>首尔FC（FC Seoul）</x:v>
      </x:c>
      <x:c r="F5" s="62" t="str">
        <x:v>无可靠让球盘/只观察｜现有证据不足以形成可执行让球倾向</x:v>
      </x:c>
      <x:c r="G5" s="62" t="str">
        <x:v>无可靠大小球盘/只观察｜现有证据不足以形成可执行总进球倾向</x:v>
      </x:c>
      <x:c r="H5" s="62" t="str">
        <x:v>待确认首发、伤停、双方近5场与主客拆分、亚洲让球/大小球初盘及当前水位；任一市场欧赔&lt;1.80/港水&lt;0.80不进；未满足全部触发条件不进、不加仓</x:v>
      </x:c>
      <x:c r="I5" s="63" t="n">
        <x:v>46221.793217592596</x:v>
      </x:c>
      <x:c r="J5" s="62" t="str">
        <x:v>需复核</x:v>
      </x:c>
      <x:c r="K5" s="62"/>
      <x:c r="L5" s="62"/>
      <x:c r="M5" s="62"/>
      <x:c r="N5" s="548"/>
      <x:c r="O5" s="548"/>
      <x:c r="P5" s="548" t="str">
        <x:f>IF(COUNT(N5:O5)=0,"",SUM(N5:O5))</x:f>
      </x:c>
      <x:c r="Q5" s="62" t="str">
        <x:v>https://www.livescore.mobi/football/korea-republic/k-league-1/bucheon-fc-1995-vs-fc-seoul/1723650/；https://www.fotmob.com/matches/x/x#5139969；查询时间：2026-07-18 19:02（北京时间）</x:v>
      </x:c>
      <x:c r="R5" s="62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" ht="38" customHeight="1">
      <x:c r="A6" s="65" t="str">
        <x:f>IF(B6="","",TEXT(B6,"yyyy-mm-dd")&amp;"|"&amp;D6&amp;"|"&amp;E6)</x:f>
        <x:v>2026-07-19|中文名待确认（Cheongju FC）|天安城（Cheonan City FC）</x:v>
      </x:c>
      <x:c r="B6" s="66" t="n">
        <x:v>46222.770833333336</x:v>
      </x:c>
      <x:c r="C6" s="65" t="str">
        <x:v>韩国K2联赛</x:v>
      </x:c>
      <x:c r="D6" s="65" t="str">
        <x:v>中文名待确认（Cheongju FC）</x:v>
      </x:c>
      <x:c r="E6" s="65" t="str">
        <x:v>天安城（Cheonan City FC）</x:v>
      </x:c>
      <x:c r="F6" s="65" t="str">
        <x:v>无可靠让球盘/只观察｜现有证据不足以形成可执行让球倾向</x:v>
      </x:c>
      <x:c r="G6" s="65" t="str">
        <x:v>无可靠大小球盘/只观察｜现有证据不足以形成可执行总进球倾向</x:v>
      </x:c>
      <x:c r="H6" s="65" t="str">
        <x:v>待确认首发、伤停、双方近5场与主客拆分、亚洲让球/大小球初盘及当前水位；任一市场欧赔&lt;1.80/港水&lt;0.80不进；未满足全部触发条件不进、不加仓</x:v>
      </x:c>
      <x:c r="I6" s="66" t="n">
        <x:v>46221.793217592596</x:v>
      </x:c>
      <x:c r="J6" s="65" t="str">
        <x:v>需复核</x:v>
      </x:c>
      <x:c r="K6" s="65"/>
      <x:c r="L6" s="65"/>
      <x:c r="M6" s="65"/>
      <x:c r="N6" s="549"/>
      <x:c r="O6" s="549"/>
      <x:c r="P6" s="549" t="str">
        <x:f>IF(COUNT(N6:O6)=0,"",SUM(N6:O6))</x:f>
      </x:c>
      <x:c r="Q6" s="65" t="str">
        <x:v>https://www.livescore.mobi/football/korea-republic/k-league-2/cheongju-fc-vs-cheonan-city/1729292/；https://www.fotmob.com/matches/x/x#5155844；查询时间：2026-07-18 19:02（北京时间）</x:v>
      </x:c>
      <x:c r="R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" ht="38" customHeight="1">
      <x:c r="A7" s="65" t="str">
        <x:f>IF(B7="","",TEXT(B7,"yyyy-mm-dd")&amp;"|"&amp;D7&amp;"|"&amp;E7)</x:f>
        <x:v>2026-07-19|安养FC（FC Anyang）|光州FC（Gwangju FC）</x:v>
      </x:c>
      <x:c r="B7" s="66" t="n">
        <x:v>46222.770833333336</x:v>
      </x:c>
      <x:c r="C7" s="65" t="str">
        <x:v>规范中文名待确认（Republic of Korea - K-League 1）</x:v>
      </x:c>
      <x:c r="D7" s="65" t="str">
        <x:v>安养FC（FC Anyang）</x:v>
      </x:c>
      <x:c r="E7" s="65" t="str">
        <x:v>光州FC（Gwangju FC）</x:v>
      </x:c>
      <x:c r="F7" s="65" t="str">
        <x:v>无可靠让球盘/只观察｜现有证据不足以形成可执行让球倾向</x:v>
      </x:c>
      <x:c r="G7" s="65" t="str">
        <x:v>无可靠大小球盘/只观察｜现有证据不足以形成可执行总进球倾向</x:v>
      </x:c>
      <x:c r="H7" s="65" t="str">
        <x:v>待确认首发、伤停、双方近5场与主客拆分、亚洲让球/大小球初盘及当前水位；任一市场欧赔&lt;1.80/港水&lt;0.80不进；未满足全部触发条件不进、不加仓</x:v>
      </x:c>
      <x:c r="I7" s="66" t="n">
        <x:v>46221.793217592596</x:v>
      </x:c>
      <x:c r="J7" s="65" t="str">
        <x:v>需复核</x:v>
      </x:c>
      <x:c r="K7" s="65"/>
      <x:c r="L7" s="65"/>
      <x:c r="M7" s="65"/>
      <x:c r="N7" s="549"/>
      <x:c r="O7" s="549"/>
      <x:c r="P7" s="549" t="str">
        <x:f>IF(COUNT(N7:O7)=0,"",SUM(N7:O7))</x:f>
      </x:c>
      <x:c r="Q7" s="65" t="str">
        <x:v>https://www.livescore.mobi/football/korea-republic/k-league-1/fc-anyang-vs-gwangju-fc/1723649/；https://www.fotmob.com/matches/x/x#5139968；查询时间：2026-07-18 19:02（北京时间）</x:v>
      </x:c>
      <x:c r="R7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8" ht="38" customHeight="1">
      <x:c r="A8" s="65" t="str">
        <x:f>IF(B8="","",TEXT(B8,"yyyy-mm-dd")&amp;"|"&amp;D8&amp;"|"&amp;E8)</x:f>
        <x:v>2026-07-19|中文名待确认（Gyeongnam FC）|中文名待确认（Ansan Greeners）</x:v>
      </x:c>
      <x:c r="B8" s="66" t="n">
        <x:v>46222.770833333336</x:v>
      </x:c>
      <x:c r="C8" s="65" t="str">
        <x:v>韩国K2联赛</x:v>
      </x:c>
      <x:c r="D8" s="65" t="str">
        <x:v>中文名待确认（Gyeongnam FC）</x:v>
      </x:c>
      <x:c r="E8" s="65" t="str">
        <x:v>中文名待确认（Ansan Greeners）</x:v>
      </x:c>
      <x:c r="F8" s="65" t="str">
        <x:v>无可靠让球盘/只观察｜现有证据不足以形成可执行让球倾向</x:v>
      </x:c>
      <x:c r="G8" s="65" t="str">
        <x:v>无可靠大小球盘/只观察｜现有证据不足以形成可执行总进球倾向</x:v>
      </x:c>
      <x:c r="H8" s="65" t="str">
        <x:v>待确认首发、伤停、双方近5场与主客拆分、亚洲让球/大小球初盘及当前水位；任一市场欧赔&lt;1.80/港水&lt;0.80不进；未满足全部触发条件不进、不加仓</x:v>
      </x:c>
      <x:c r="I8" s="66" t="n">
        <x:v>46221.793217592596</x:v>
      </x:c>
      <x:c r="J8" s="65" t="str">
        <x:v>需复核</x:v>
      </x:c>
      <x:c r="K8" s="65"/>
      <x:c r="L8" s="65"/>
      <x:c r="M8" s="65"/>
      <x:c r="N8" s="549"/>
      <x:c r="O8" s="549"/>
      <x:c r="P8" s="549" t="str">
        <x:f>IF(COUNT(N8:O8)=0,"",SUM(N8:O8))</x:f>
      </x:c>
      <x:c r="Q8" s="65" t="str">
        <x:v>https://www.livescore.mobi/football/korea-republic/k-league-2/gyeongnam-fc-vs-ansan-greeners/1729294/；https://www.fotmob.com/matches/x/x#5155845；查询时间：2026-07-18 19:02（北京时间）</x:v>
      </x:c>
      <x:c r="R8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" ht="38" customHeight="1">
      <x:c r="A9" s="65" t="str">
        <x:f>IF(B9="","",TEXT(B9,"yyyy-mm-dd")&amp;"|"&amp;D9&amp;"|"&amp;E9)</x:f>
        <x:v>2026-07-19|中文名待确认（Suwon Bluewings）|中文名待确认（Paju Citizens）</x:v>
      </x:c>
      <x:c r="B9" s="66" t="n">
        <x:v>46222.770833333336</x:v>
      </x:c>
      <x:c r="C9" s="65" t="str">
        <x:v>韩国K2联赛</x:v>
      </x:c>
      <x:c r="D9" s="65" t="str">
        <x:v>中文名待确认（Suwon Bluewings）</x:v>
      </x:c>
      <x:c r="E9" s="65" t="str">
        <x:v>中文名待确认（Paju Citizens）</x:v>
      </x:c>
      <x:c r="F9" s="65" t="str">
        <x:v>无可靠让球盘/只观察｜现有证据不足以形成可执行让球倾向</x:v>
      </x:c>
      <x:c r="G9" s="65" t="str">
        <x:v>无可靠大小球盘/只观察｜现有证据不足以形成可执行总进球倾向</x:v>
      </x:c>
      <x:c r="H9" s="65" t="str">
        <x:v>待确认首发、伤停、双方近5场与主客拆分、亚洲让球/大小球初盘及当前水位；任一市场欧赔&lt;1.80/港水&lt;0.80不进；未满足全部触发条件不进、不加仓</x:v>
      </x:c>
      <x:c r="I9" s="66" t="n">
        <x:v>46221.793217592596</x:v>
      </x:c>
      <x:c r="J9" s="65" t="str">
        <x:v>需复核</x:v>
      </x:c>
      <x:c r="K9" s="65"/>
      <x:c r="L9" s="65"/>
      <x:c r="M9" s="65"/>
      <x:c r="N9" s="549"/>
      <x:c r="O9" s="549"/>
      <x:c r="P9" s="549" t="str">
        <x:f>IF(COUNT(N9:O9)=0,"",SUM(N9:O9))</x:f>
      </x:c>
      <x:c r="Q9" s="65" t="str">
        <x:v>https://www.livescore.mobi/football/korea-republic/k-league-2/suwon-bluewings-vs-paju-citizens/1729291/；https://www.fotmob.com/matches/x/x#5155846；查询时间：2026-07-18 19:02（北京时间）</x:v>
      </x:c>
      <x:c r="R9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0" ht="38" customHeight="1">
      <x:c r="A10" s="65" t="str">
        <x:f>IF(B10="","",TEXT(B10,"yyyy-mm-dd")&amp;"|"&amp;D10&amp;"|"&amp;E10)</x:f>
        <x:v>2026-07-19|中文名待确认（Yongin FC）|中文名待确认（Hwaseong）</x:v>
      </x:c>
      <x:c r="B10" s="66" t="n">
        <x:v>46222.770833333336</x:v>
      </x:c>
      <x:c r="C10" s="65" t="str">
        <x:v>韩国K2联赛</x:v>
      </x:c>
      <x:c r="D10" s="65" t="str">
        <x:v>中文名待确认（Yongin FC）</x:v>
      </x:c>
      <x:c r="E10" s="65" t="str">
        <x:v>中文名待确认（Hwaseong）</x:v>
      </x:c>
      <x:c r="F10" s="65" t="str">
        <x:v>无可靠让球盘/只观察｜现有证据不足以形成可执行让球倾向</x:v>
      </x:c>
      <x:c r="G10" s="65" t="str">
        <x:v>无可靠大小球盘/只观察｜现有证据不足以形成可执行总进球倾向</x:v>
      </x:c>
      <x:c r="H10" s="65" t="str">
        <x:v>待确认首发、伤停、双方近5场与主客拆分、亚洲让球/大小球初盘及当前水位；任一市场欧赔&lt;1.80/港水&lt;0.80不进；未满足全部触发条件不进、不加仓</x:v>
      </x:c>
      <x:c r="I10" s="66" t="n">
        <x:v>46221.793217592596</x:v>
      </x:c>
      <x:c r="J10" s="65" t="str">
        <x:v>需复核</x:v>
      </x:c>
      <x:c r="K10" s="65"/>
      <x:c r="L10" s="65"/>
      <x:c r="M10" s="65"/>
      <x:c r="N10" s="549"/>
      <x:c r="O10" s="549"/>
      <x:c r="P10" s="549" t="str">
        <x:f>IF(COUNT(N10:O10)=0,"",SUM(N10:O10))</x:f>
      </x:c>
      <x:c r="Q10" s="65" t="str">
        <x:v>https://www.livescore.mobi/football/korea-republic/k-league-2/yongin-fc-vs-hwaseong/1729293/；https://www.fotmob.com/matches/x/x#5155847；查询时间：2026-07-18 19:02（北京时间）</x:v>
      </x:c>
      <x:c r="R10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1" ht="38" customHeight="1">
      <x:c r="A11" s="65" t="str">
        <x:f>IF(B11="","",TEXT(B11,"yyyy-mm-dd")&amp;"|"&amp;D11&amp;"|"&amp;E11)</x:f>
        <x:v>2026-07-19|唐迪拉（Tondela）|乌拉圭民族（Nacional）</x:v>
      </x:c>
      <x:c r="B11" s="66" t="n">
        <x:v>46222.75</x:v>
      </x:c>
      <x:c r="C11" s="65" t="str">
        <x:v>国际俱乐部友谊赛</x:v>
      </x:c>
      <x:c r="D11" s="65" t="str">
        <x:v>唐迪拉（Tondela）</x:v>
      </x:c>
      <x:c r="E11" s="65" t="str">
        <x:v>乌拉圭民族（Nacional）</x:v>
      </x:c>
      <x:c r="F11" s="65" t="str">
        <x:v>无可靠让球盘/只观察｜现有证据不足以形成可执行让球倾向</x:v>
      </x:c>
      <x:c r="G11" s="65" t="str">
        <x:v>无可靠大小球盘/只观察｜现有证据不足以形成可执行总进球倾向</x:v>
      </x:c>
      <x:c r="H11" s="65" t="str">
        <x:v>待确认首发、伤停、双方近5场与主客拆分、亚洲让球/大小球初盘及当前水位；任一市场欧赔&lt;1.80/港水&lt;0.80不进；未满足全部触发条件不进、不加仓</x:v>
      </x:c>
      <x:c r="I11" s="66" t="n">
        <x:v>46221.793217592596</x:v>
      </x:c>
      <x:c r="J11" s="65" t="str">
        <x:v>需复核</x:v>
      </x:c>
      <x:c r="K11" s="65"/>
      <x:c r="L11" s="65"/>
      <x:c r="M11" s="65"/>
      <x:c r="N11" s="549"/>
      <x:c r="O11" s="549"/>
      <x:c r="P11" s="549" t="str">
        <x:f>IF(COUNT(N11:O11)=0,"",SUM(N11:O11))</x:f>
      </x:c>
      <x:c r="Q11" s="65" t="str">
        <x:v>https://www.livescore.mobi/football/club-friendlies/club-friendlies-2026/tondela-vs-nacional/1834608/；https://www.fotmob.com/matches/x/x#5933262；查询时间：2026-07-18 19:02（北京时间）</x:v>
      </x:c>
      <x:c r="R11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" ht="38" customHeight="1">
      <x:c r="A12" s="65" t="str">
        <x:f>IF(B12="","",TEXT(B12,"yyyy-mm-dd")&amp;"|"&amp;D12&amp;"|"&amp;E12)</x:f>
        <x:v>2026-07-19|中文名待确认（Dornbirn）|中文名待确认（SCR Altach）</x:v>
      </x:c>
      <x:c r="B12" s="66" t="n">
        <x:v>46222.708333333336</x:v>
      </x:c>
      <x:c r="C12" s="65" t="str">
        <x:v>国际俱乐部友谊赛</x:v>
      </x:c>
      <x:c r="D12" s="65" t="str">
        <x:v>中文名待确认（Dornbirn）</x:v>
      </x:c>
      <x:c r="E12" s="65" t="str">
        <x:v>中文名待确认（SCR Altach）</x:v>
      </x:c>
      <x:c r="F12" s="65" t="str">
        <x:v>无可靠让球盘/只观察｜现有证据不足以形成可执行让球倾向</x:v>
      </x:c>
      <x:c r="G12" s="65" t="str">
        <x:v>无可靠大小球盘/只观察｜现有证据不足以形成可执行总进球倾向</x:v>
      </x:c>
      <x:c r="H12" s="65" t="str">
        <x:v>待确认首发、伤停、双方近5场与主客拆分、亚洲让球/大小球初盘及当前水位；任一市场欧赔&lt;1.80/港水&lt;0.80不进；未满足全部触发条件不进、不加仓</x:v>
      </x:c>
      <x:c r="I12" s="66" t="n">
        <x:v>46221.793217592596</x:v>
      </x:c>
      <x:c r="J12" s="65" t="str">
        <x:v>需复核</x:v>
      </x:c>
      <x:c r="K12" s="65"/>
      <x:c r="L12" s="65"/>
      <x:c r="M12" s="65"/>
      <x:c r="N12" s="549"/>
      <x:c r="O12" s="549"/>
      <x:c r="P12" s="549" t="str">
        <x:f>IF(COUNT(N12:O12)=0,"",SUM(N12:O12))</x:f>
      </x:c>
      <x:c r="Q12" s="65" t="str">
        <x:v>https://www.livescore.mobi/football/club-friendlies/club-friendlies-2026/dornbirn-vs-scr-altach/1821746/；查询时间：2026-07-18 19:02（北京时间）</x:v>
      </x:c>
      <x:c r="R12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3" ht="38" customHeight="1">
      <x:c r="A13" s="65" t="str">
        <x:f>IF(B13="","",TEXT(B13,"yyyy-mm-dd")&amp;"|"&amp;D13&amp;"|"&amp;E13)</x:f>
        <x:v>2026-07-19|中文名待确认（Casuarina）|中文名待确认（Mindil Aces）</x:v>
      </x:c>
      <x:c r="B13" s="66" t="n">
        <x:v>46222.6875</x:v>
      </x:c>
      <x:c r="C13" s="65" t="str">
        <x:v>澳大利亚北区超级联赛</x:v>
      </x:c>
      <x:c r="D13" s="65" t="str">
        <x:v>中文名待确认（Casuarina）</x:v>
      </x:c>
      <x:c r="E13" s="65" t="str">
        <x:v>中文名待确认（Mindil Aces）</x:v>
      </x:c>
      <x:c r="F13" s="65" t="str">
        <x:v>无可靠让球盘/只观察｜现有证据不足以形成可执行让球倾向</x:v>
      </x:c>
      <x:c r="G13" s="65" t="str">
        <x:v>无可靠大小球盘/只观察｜现有证据不足以形成可执行总进球倾向</x:v>
      </x:c>
      <x:c r="H13" s="65" t="str">
        <x:v>待确认首发、伤停、双方近5场与主客拆分、亚洲让球/大小球初盘及当前水位；任一市场欧赔&lt;1.80/港水&lt;0.80不进；未满足全部触发条件不进、不加仓</x:v>
      </x:c>
      <x:c r="I13" s="66" t="n">
        <x:v>46221.793217592596</x:v>
      </x:c>
      <x:c r="J13" s="65" t="str">
        <x:v>需复核</x:v>
      </x:c>
      <x:c r="K13" s="65"/>
      <x:c r="L13" s="65"/>
      <x:c r="M13" s="65"/>
      <x:c r="N13" s="549"/>
      <x:c r="O13" s="549"/>
      <x:c r="P13" s="549" t="str">
        <x:f>IF(COUNT(N13:O13)=0,"",SUM(N13:O13))</x:f>
      </x:c>
      <x:c r="Q13" s="65" t="str">
        <x:v>https://www.livescore.mobi/football/australia/northern/casuarina-vs-mindil-aces/1775411/；查询时间：2026-07-18 19:02（北京时间）</x:v>
      </x:c>
      <x:c r="R13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4" ht="38" customHeight="1">
      <x:c r="A14" s="65" t="str">
        <x:f>IF(B14="","",TEXT(B14,"yyyy-mm-dd")&amp;"|"&amp;D14&amp;"|"&amp;E14)</x:f>
        <x:v>2026-07-19|FK贝尔格莱德（FK Beograd）|中文名待确认（Adelaide United Youth）</x:v>
      </x:c>
      <x:c r="B14" s="66" t="n">
        <x:v>46222.6875</x:v>
      </x:c>
      <x:c r="C14" s="65" t="str">
        <x:v>澳大利亚南澳大利亚州超级联赛</x:v>
      </x:c>
      <x:c r="D14" s="65" t="str">
        <x:v>FK贝尔格莱德（FK Beograd）</x:v>
      </x:c>
      <x:c r="E14" s="65" t="str">
        <x:v>中文名待确认（Adelaide United Youth）</x:v>
      </x:c>
      <x:c r="F14" s="65" t="str">
        <x:v>无可靠让球盘/只观察｜现有证据不足以形成可执行让球倾向</x:v>
      </x:c>
      <x:c r="G14" s="65" t="str">
        <x:v>无可靠大小球盘/只观察｜现有证据不足以形成可执行总进球倾向</x:v>
      </x:c>
      <x:c r="H14" s="65" t="str">
        <x:v>待确认首发、伤停、双方近5场与主客拆分、亚洲让球/大小球初盘及当前水位；任一市场欧赔&lt;1.80/港水&lt;0.80不进；未满足全部触发条件不进、不加仓</x:v>
      </x:c>
      <x:c r="I14" s="66" t="n">
        <x:v>46221.793217592596</x:v>
      </x:c>
      <x:c r="J14" s="65" t="str">
        <x:v>需复核</x:v>
      </x:c>
      <x:c r="K14" s="65"/>
      <x:c r="L14" s="65"/>
      <x:c r="M14" s="65"/>
      <x:c r="N14" s="549"/>
      <x:c r="O14" s="549"/>
      <x:c r="P14" s="549" t="str">
        <x:f>IF(COUNT(N14:O14)=0,"",SUM(N14:O14))</x:f>
      </x:c>
      <x:c r="Q14" s="65" t="str">
        <x:v>https://www.livescore.mobi/football/australia/npl-south-australia/fk-beograd-vs-adelaide-united-youth/1723281/；查询时间：2026-07-18 19:02（北京时间）</x:v>
      </x:c>
      <x:c r="R14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5" ht="38" customHeight="1">
      <x:c r="A15" s="65" t="str">
        <x:f>IF(B15="","",TEXT(B15,"yyyy-mm-dd")&amp;"|"&amp;D15&amp;"|"&amp;E15)</x:f>
        <x:v>2026-07-19|帕尔马（Parma）|帕尔马（Parma）</x:v>
      </x:c>
      <x:c r="B15" s="66" t="n">
        <x:v>46222.666666666664</x:v>
      </x:c>
      <x:c r="C15" s="65" t="str">
        <x:v>国际俱乐部友谊赛</x:v>
      </x:c>
      <x:c r="D15" s="65" t="str">
        <x:v>帕尔马（Parma）</x:v>
      </x:c>
      <x:c r="E15" s="65" t="str">
        <x:v>帕尔马（Parma）</x:v>
      </x:c>
      <x:c r="F15" s="65" t="str">
        <x:v>无可靠让球盘/只观察｜现有证据不足以形成可执行让球倾向</x:v>
      </x:c>
      <x:c r="G15" s="65" t="str">
        <x:v>无可靠大小球盘/只观察｜现有证据不足以形成可执行总进球倾向</x:v>
      </x:c>
      <x:c r="H15" s="65" t="str">
        <x:v>待确认首发、伤停、双方近5场与主客拆分、亚洲让球/大小球初盘及当前水位；任一市场欧赔&lt;1.80/港水&lt;0.80不进；未满足全部触发条件不进、不加仓</x:v>
      </x:c>
      <x:c r="I15" s="66" t="n">
        <x:v>46221.793217592596</x:v>
      </x:c>
      <x:c r="J15" s="65" t="str">
        <x:v>需复核</x:v>
      </x:c>
      <x:c r="K15" s="65"/>
      <x:c r="L15" s="65"/>
      <x:c r="M15" s="65"/>
      <x:c r="N15" s="549"/>
      <x:c r="O15" s="549"/>
      <x:c r="P15" s="549" t="str">
        <x:f>IF(COUNT(N15:O15)=0,"",SUM(N15:O15))</x:f>
      </x:c>
      <x:c r="Q15" s="65" t="str">
        <x:v>https://www.livescore.mobi/football/club-friendlies/club-friendlies-2026/parma-vs-parma-u20/1822139/；查询时间：2026-07-18 19:02（北京时间）</x:v>
      </x:c>
      <x:c r="R1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6" ht="38" customHeight="1">
      <x:c r="A16" s="65" t="str">
        <x:f>IF(B16="","",TEXT(B16,"yyyy-mm-dd")&amp;"|"&amp;D16&amp;"|"&amp;E16)</x:f>
        <x:v>2026-07-19|中文名待确认（Capalaba）|中文名待确认（Holland Park Hawks）</x:v>
      </x:c>
      <x:c r="B16" s="66" t="n">
        <x:v>46222.583333333336</x:v>
      </x:c>
      <x:c r="C16" s="65" t="str">
        <x:v>澳大利亚昆士兰州超级联赛</x:v>
      </x:c>
      <x:c r="D16" s="65" t="str">
        <x:v>中文名待确认（Capalaba）</x:v>
      </x:c>
      <x:c r="E16" s="65" t="str">
        <x:v>中文名待确认（Holland Park Hawks）</x:v>
      </x:c>
      <x:c r="F16" s="65" t="str">
        <x:v>无可靠让球盘/只观察｜现有证据不足以形成可执行让球倾向</x:v>
      </x:c>
      <x:c r="G16" s="65" t="str">
        <x:v>无可靠大小球盘/只观察｜现有证据不足以形成可执行总进球倾向</x:v>
      </x:c>
      <x:c r="H16" s="65" t="str">
        <x:v>待确认首发、伤停、双方近5场与主客拆分、亚洲让球/大小球初盘及当前水位；任一市场欧赔&lt;1.80/港水&lt;0.80不进；未满足全部触发条件不进、不加仓</x:v>
      </x:c>
      <x:c r="I16" s="66" t="n">
        <x:v>46221.793217592596</x:v>
      </x:c>
      <x:c r="J16" s="65" t="str">
        <x:v>需复核</x:v>
      </x:c>
      <x:c r="K16" s="65"/>
      <x:c r="L16" s="65"/>
      <x:c r="M16" s="65"/>
      <x:c r="N16" s="549"/>
      <x:c r="O16" s="549"/>
      <x:c r="P16" s="549" t="str">
        <x:f>IF(COUNT(N16:O16)=0,"",SUM(N16:O16))</x:f>
      </x:c>
      <x:c r="Q16" s="65" t="str">
        <x:v>https://www.livescore.mobi/football/australia/queensland-premier-league-2026/capalaba-vs-holland-park-hawks/1744940/；查询时间：2026-07-18 19:02（北京时间）</x:v>
      </x:c>
      <x:c r="R16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7" ht="38" customHeight="1">
      <x:c r="A17" s="65" t="str">
        <x:f>IF(B17="","",TEXT(B17,"yyyy-mm-dd")&amp;"|"&amp;D17&amp;"|"&amp;E17)</x:f>
        <x:v>2026-07-19|中文名待确认（Olympic FC）|中文名待确认（Brisbane Roar FC Youth）</x:v>
      </x:c>
      <x:c r="B17" s="66" t="n">
        <x:v>46222.583333333336</x:v>
      </x:c>
      <x:c r="C17" s="65" t="str">
        <x:v>澳大利亚昆士兰州超级联赛</x:v>
      </x:c>
      <x:c r="D17" s="65" t="str">
        <x:v>中文名待确认（Olympic FC）</x:v>
      </x:c>
      <x:c r="E17" s="65" t="str">
        <x:v>中文名待确认（Brisbane Roar FC Youth）</x:v>
      </x:c>
      <x:c r="F17" s="65" t="str">
        <x:v>无可靠让球盘/只观察｜现有证据不足以形成可执行让球倾向</x:v>
      </x:c>
      <x:c r="G17" s="65" t="str">
        <x:v>无可靠大小球盘/只观察｜现有证据不足以形成可执行总进球倾向</x:v>
      </x:c>
      <x:c r="H17" s="65" t="str">
        <x:v>待确认首发、伤停、双方近5场与主客拆分、亚洲让球/大小球初盘及当前水位；任一市场欧赔&lt;1.80/港水&lt;0.80不进；未满足全部触发条件不进、不加仓</x:v>
      </x:c>
      <x:c r="I17" s="66" t="n">
        <x:v>46221.793217592596</x:v>
      </x:c>
      <x:c r="J17" s="65" t="str">
        <x:v>需复核</x:v>
      </x:c>
      <x:c r="K17" s="65"/>
      <x:c r="L17" s="65"/>
      <x:c r="M17" s="65"/>
      <x:c r="N17" s="549"/>
      <x:c r="O17" s="549"/>
      <x:c r="P17" s="549" t="str">
        <x:f>IF(COUNT(N17:O17)=0,"",SUM(N17:O17))</x:f>
      </x:c>
      <x:c r="Q17" s="65" t="str">
        <x:v>https://www.livescore.mobi/football/australia/queensland-2026/olympic-fc-vs-brisbane-roar-fc-youth/1717514/；查询时间：2026-07-18 19:02（北京时间）</x:v>
      </x:c>
      <x:c r="R17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8" ht="38" customHeight="1">
      <x:c r="A18" s="65" t="str">
        <x:f>IF(B18="","",TEXT(B18,"yyyy-mm-dd")&amp;"|"&amp;D18&amp;"|"&amp;E18)</x:f>
        <x:v>2026-07-19|黑镇市（Blacktown City FC）|中文名待确认（St George City）</x:v>
      </x:c>
      <x:c r="B18" s="66" t="n">
        <x:v>46222.541666666664</x:v>
      </x:c>
      <x:c r="C18" s="65" t="str">
        <x:v>澳大利亚新南威尔士州超级联赛</x:v>
      </x:c>
      <x:c r="D18" s="65" t="str">
        <x:v>黑镇市（Blacktown City FC）</x:v>
      </x:c>
      <x:c r="E18" s="65" t="str">
        <x:v>中文名待确认（St George City）</x:v>
      </x:c>
      <x:c r="F18" s="65" t="str">
        <x:v>无可靠让球盘/只观察｜现有证据不足以形成可执行让球倾向</x:v>
      </x:c>
      <x:c r="G18" s="65" t="str">
        <x:v>无可靠大小球盘/只观察｜现有证据不足以形成可执行总进球倾向</x:v>
      </x:c>
      <x:c r="H18" s="65" t="str">
        <x:v>待确认首发、伤停、双方近5场与主客拆分、亚洲让球/大小球初盘及当前水位；任一市场欧赔&lt;1.80/港水&lt;0.80不进；未满足全部触发条件不进、不加仓</x:v>
      </x:c>
      <x:c r="I18" s="66" t="n">
        <x:v>46221.793217592596</x:v>
      </x:c>
      <x:c r="J18" s="65" t="str">
        <x:v>需复核</x:v>
      </x:c>
      <x:c r="K18" s="65"/>
      <x:c r="L18" s="65"/>
      <x:c r="M18" s="65"/>
      <x:c r="N18" s="549"/>
      <x:c r="O18" s="549"/>
      <x:c r="P18" s="549" t="str">
        <x:f>IF(COUNT(N18:O18)=0,"",SUM(N18:O18))</x:f>
      </x:c>
      <x:c r="Q18" s="65" t="str">
        <x:v>https://www.livescore.mobi/football/australia/npl-new-south-wales/blacktown-city-fc-vs-st-george-city/1708164/；查询时间：2026-07-18 19:02（北京时间）</x:v>
      </x:c>
      <x:c r="R18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9" ht="38" customHeight="1">
      <x:c r="A19" s="65" t="str">
        <x:f>IF(B19="","",TEXT(B19,"yyyy-mm-dd")&amp;"|"&amp;D19&amp;"|"&amp;E19)</x:f>
        <x:v>2026-07-19|中文名待确认（Central Coast Mariners Youth）|中文名待确认（Northern Tigers）</x:v>
      </x:c>
      <x:c r="B19" s="66" t="n">
        <x:v>46222.541666666664</x:v>
      </x:c>
      <x:c r="C19" s="65" t="str">
        <x:v>澳大利亚新南威尔士州甲级联赛</x:v>
      </x:c>
      <x:c r="D19" s="65" t="str">
        <x:v>中文名待确认（Central Coast Mariners Youth）</x:v>
      </x:c>
      <x:c r="E19" s="65" t="str">
        <x:v>中文名待确认（Northern Tigers）</x:v>
      </x:c>
      <x:c r="F19" s="65" t="str">
        <x:v>无可靠让球盘/只观察｜现有证据不足以形成可执行让球倾向</x:v>
      </x:c>
      <x:c r="G19" s="65" t="str">
        <x:v>无可靠大小球盘/只观察｜现有证据不足以形成可执行总进球倾向</x:v>
      </x:c>
      <x:c r="H19" s="65" t="str">
        <x:v>待确认首发、伤停、双方近5场与主客拆分、亚洲让球/大小球初盘及当前水位；任一市场欧赔&lt;1.80/港水&lt;0.80不进；未满足全部触发条件不进、不加仓</x:v>
      </x:c>
      <x:c r="I19" s="66" t="n">
        <x:v>46221.793217592596</x:v>
      </x:c>
      <x:c r="J19" s="65" t="str">
        <x:v>需复核</x:v>
      </x:c>
      <x:c r="K19" s="65"/>
      <x:c r="L19" s="65"/>
      <x:c r="M19" s="65"/>
      <x:c r="N19" s="549"/>
      <x:c r="O19" s="549"/>
      <x:c r="P19" s="549" t="str">
        <x:f>IF(COUNT(N19:O19)=0,"",SUM(N19:O19))</x:f>
      </x:c>
      <x:c r="Q19" s="65" t="str">
        <x:v>https://www.livescore.mobi/football/australia/new-south-wales-league-one/central-coast-mariners-youth-vs-northern-tigers/1710866/；查询时间：2026-07-18 19:02（北京时间）</x:v>
      </x:c>
      <x:c r="R19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0" ht="38" customHeight="1">
      <x:c r="A20" s="65" t="str">
        <x:f>IF(B20="","",TEXT(B20,"yyyy-mm-dd")&amp;"|"&amp;D20&amp;"|"&amp;E20)</x:f>
        <x:v>2026-07-19|中文名待确认（Charlestown Azzurri）|中文名待确认（Edgeworth Eagles）</x:v>
      </x:c>
      <x:c r="B20" s="66" t="n">
        <x:v>46222.541666666664</x:v>
      </x:c>
      <x:c r="C20" s="65" t="str">
        <x:v>澳大利亚新南威尔士州北部超级联赛</x:v>
      </x:c>
      <x:c r="D20" s="65" t="str">
        <x:v>中文名待确认（Charlestown Azzurri）</x:v>
      </x:c>
      <x:c r="E20" s="65" t="str">
        <x:v>中文名待确认（Edgeworth Eagles）</x:v>
      </x:c>
      <x:c r="F20" s="65" t="str">
        <x:v>无可靠让球盘/只观察｜现有证据不足以形成可执行让球倾向</x:v>
      </x:c>
      <x:c r="G20" s="65" t="str">
        <x:v>无可靠大小球盘/只观察｜现有证据不足以形成可执行总进球倾向</x:v>
      </x:c>
      <x:c r="H20" s="65" t="str">
        <x:v>待确认首发、伤停、双方近5场与主客拆分、亚洲让球/大小球初盘及当前水位；任一市场欧赔&lt;1.80/港水&lt;0.80不进；未满足全部触发条件不进、不加仓</x:v>
      </x:c>
      <x:c r="I20" s="66" t="n">
        <x:v>46221.793217592596</x:v>
      </x:c>
      <x:c r="J20" s="65" t="str">
        <x:v>需复核</x:v>
      </x:c>
      <x:c r="K20" s="65"/>
      <x:c r="L20" s="65"/>
      <x:c r="M20" s="65"/>
      <x:c r="N20" s="549"/>
      <x:c r="O20" s="549"/>
      <x:c r="P20" s="549" t="str">
        <x:f>IF(COUNT(N20:O20)=0,"",SUM(N20:O20))</x:f>
      </x:c>
      <x:c r="Q20" s="65" t="str">
        <x:v>https://www.livescore.mobi/football/australia/Northern-new-south-wales-2026/charlestown-azzurri-vs-edgeworth-eagles/1717648/；查询时间：2026-07-18 19:02（北京时间）</x:v>
      </x:c>
      <x:c r="R20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1" ht="38" customHeight="1">
      <x:c r="A21" s="65" t="str">
        <x:f>IF(B21="","",TEXT(B21,"yyyy-mm-dd")&amp;"|"&amp;D21&amp;"|"&amp;E21)</x:f>
        <x:v>2026-07-19|马可尼（Marconi Stallions）|悉尼联58（Sydney United 58 FC）</x:v>
      </x:c>
      <x:c r="B21" s="66" t="n">
        <x:v>46222.541666666664</x:v>
      </x:c>
      <x:c r="C21" s="65" t="str">
        <x:v>澳大利亚新南威尔士州超级联赛</x:v>
      </x:c>
      <x:c r="D21" s="65" t="str">
        <x:v>马可尼（Marconi Stallions）</x:v>
      </x:c>
      <x:c r="E21" s="65" t="str">
        <x:v>悉尼联58（Sydney United 58 FC）</x:v>
      </x:c>
      <x:c r="F21" s="65" t="str">
        <x:v>无可靠让球盘/只观察｜现有证据不足以形成可执行让球倾向</x:v>
      </x:c>
      <x:c r="G21" s="65" t="str">
        <x:v>无可靠大小球盘/只观察｜现有证据不足以形成可执行总进球倾向</x:v>
      </x:c>
      <x:c r="H21" s="65" t="str">
        <x:v>待确认首发、伤停、双方近5场与主客拆分、亚洲让球/大小球初盘及当前水位；任一市场欧赔&lt;1.80/港水&lt;0.80不进；未满足全部触发条件不进、不加仓</x:v>
      </x:c>
      <x:c r="I21" s="66" t="n">
        <x:v>46221.793217592596</x:v>
      </x:c>
      <x:c r="J21" s="65" t="str">
        <x:v>需复核</x:v>
      </x:c>
      <x:c r="K21" s="65"/>
      <x:c r="L21" s="65"/>
      <x:c r="M21" s="65"/>
      <x:c r="N21" s="549"/>
      <x:c r="O21" s="549"/>
      <x:c r="P21" s="549" t="str">
        <x:f>IF(COUNT(N21:O21)=0,"",SUM(N21:O21))</x:f>
      </x:c>
      <x:c r="Q21" s="65" t="str">
        <x:v>https://www.livescore.mobi/football/australia/npl-new-south-wales/marconi-stallions-vs-sydney-united-58/1708171/；查询时间：2026-07-18 19:02（北京时间）</x:v>
      </x:c>
      <x:c r="R21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2" ht="38" customHeight="1">
      <x:c r="A22" s="65" t="str">
        <x:f>IF(B22="","",TEXT(B22,"yyyy-mm-dd")&amp;"|"&amp;D22&amp;"|"&amp;E22)</x:f>
        <x:v>2026-07-19|罗宾市（Robina City）|瑞德兰茨联（Redlands United）</x:v>
      </x:c>
      <x:c r="B22" s="66" t="n">
        <x:v>46222.520833333336</x:v>
      </x:c>
      <x:c r="C22" s="65" t="str">
        <x:v>澳大利亚昆士兰州超级联赛</x:v>
      </x:c>
      <x:c r="D22" s="65" t="str">
        <x:v>罗宾市（Robina City）</x:v>
      </x:c>
      <x:c r="E22" s="65" t="str">
        <x:v>瑞德兰茨联（Redlands United）</x:v>
      </x:c>
      <x:c r="F22" s="65" t="str">
        <x:v>无可靠让球盘/只观察｜现有证据不足以形成可执行让球倾向</x:v>
      </x:c>
      <x:c r="G22" s="65" t="str">
        <x:v>无可靠大小球盘/只观察｜现有证据不足以形成可执行总进球倾向</x:v>
      </x:c>
      <x:c r="H22" s="65" t="str">
        <x:v>待确认首发、伤停、双方近5场与主客拆分、亚洲让球/大小球初盘及当前水位；任一市场欧赔&lt;1.80/港水&lt;0.80不进；未满足全部触发条件不进、不加仓</x:v>
      </x:c>
      <x:c r="I22" s="66" t="n">
        <x:v>46221.793217592596</x:v>
      </x:c>
      <x:c r="J22" s="65" t="str">
        <x:v>需复核</x:v>
      </x:c>
      <x:c r="K22" s="65"/>
      <x:c r="L22" s="65"/>
      <x:c r="M22" s="65"/>
      <x:c r="N22" s="549"/>
      <x:c r="O22" s="549"/>
      <x:c r="P22" s="549" t="str">
        <x:f>IF(COUNT(N22:O22)=0,"",SUM(N22:O22))</x:f>
      </x:c>
      <x:c r="Q22" s="65" t="str">
        <x:v>https://www.livescore.mobi/football/australia/queensland-premier-league-2026/robina-city-vs-redlands-united/1744934/；查询时间：2026-07-18 19:02（北京时间）</x:v>
      </x:c>
      <x:c r="R22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3" ht="38" customHeight="1">
      <x:c r="A23" s="65" t="str">
        <x:f>IF(B23="","",TEXT(B23,"yyyy-mm-dd")&amp;"|"&amp;D23&amp;"|"&amp;E23)</x:f>
        <x:v>2026-07-19|中文名待确认（South East United）|中文名待确认（Launceston United）</x:v>
      </x:c>
      <x:c r="B23" s="66" t="n">
        <x:v>46222.520833333336</x:v>
      </x:c>
      <x:c r="C23" s="65" t="str">
        <x:v>澳大利亚塔斯马尼亚州超级联赛</x:v>
      </x:c>
      <x:c r="D23" s="65" t="str">
        <x:v>中文名待确认（South East United）</x:v>
      </x:c>
      <x:c r="E23" s="65" t="str">
        <x:v>中文名待确认（Launceston United）</x:v>
      </x:c>
      <x:c r="F23" s="65" t="str">
        <x:v>无可靠让球盘/只观察｜现有证据不足以形成可执行让球倾向</x:v>
      </x:c>
      <x:c r="G23" s="65" t="str">
        <x:v>无可靠大小球盘/只观察｜现有证据不足以形成可执行总进球倾向</x:v>
      </x:c>
      <x:c r="H23" s="65" t="str">
        <x:v>待确认首发、伤停、双方近5场与主客拆分、亚洲让球/大小球初盘及当前水位；任一市场欧赔&lt;1.80/港水&lt;0.80不进；未满足全部触发条件不进、不加仓</x:v>
      </x:c>
      <x:c r="I23" s="66" t="n">
        <x:v>46221.793217592596</x:v>
      </x:c>
      <x:c r="J23" s="65" t="str">
        <x:v>需复核</x:v>
      </x:c>
      <x:c r="K23" s="65"/>
      <x:c r="L23" s="65"/>
      <x:c r="M23" s="65"/>
      <x:c r="N23" s="549"/>
      <x:c r="O23" s="549"/>
      <x:c r="P23" s="549" t="str">
        <x:f>IF(COUNT(N23:O23)=0,"",SUM(N23:O23))</x:f>
      </x:c>
      <x:c r="Q23" s="65" t="str">
        <x:v>https://www.livescore.mobi/football/australia/npl-tasmania/south-east-united-vs-launceston-united/1722604/；查询时间：2026-07-18 19:02（北京时间）</x:v>
      </x:c>
      <x:c r="R23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4" ht="38" customHeight="1">
      <x:c r="A24" s="65" t="str">
        <x:f>IF(B24="","",TEXT(B24,"yyyy-mm-dd")&amp;"|"&amp;D24&amp;"|"&amp;E24)</x:f>
        <x:v>2026-07-19|中文名待确认（Ulverstone）|中文名待确认（Glenorchy Knights）</x:v>
      </x:c>
      <x:c r="B24" s="66" t="n">
        <x:v>46222.520833333336</x:v>
      </x:c>
      <x:c r="C24" s="65" t="str">
        <x:v>澳大利亚塔斯马尼亚州超级联赛</x:v>
      </x:c>
      <x:c r="D24" s="65" t="str">
        <x:v>中文名待确认（Ulverstone）</x:v>
      </x:c>
      <x:c r="E24" s="65" t="str">
        <x:v>中文名待确认（Glenorchy Knights）</x:v>
      </x:c>
      <x:c r="F24" s="65" t="str">
        <x:v>无可靠让球盘/只观察｜现有证据不足以形成可执行让球倾向</x:v>
      </x:c>
      <x:c r="G24" s="65" t="str">
        <x:v>无可靠大小球盘/只观察｜现有证据不足以形成可执行总进球倾向</x:v>
      </x:c>
      <x:c r="H24" s="65" t="str">
        <x:v>待确认首发、伤停、双方近5场与主客拆分、亚洲让球/大小球初盘及当前水位；任一市场欧赔&lt;1.80/港水&lt;0.80不进；未满足全部触发条件不进、不加仓</x:v>
      </x:c>
      <x:c r="I24" s="66" t="n">
        <x:v>46221.793217592596</x:v>
      </x:c>
      <x:c r="J24" s="65" t="str">
        <x:v>需复核</x:v>
      </x:c>
      <x:c r="K24" s="65"/>
      <x:c r="L24" s="65"/>
      <x:c r="M24" s="65"/>
      <x:c r="N24" s="549"/>
      <x:c r="O24" s="549"/>
      <x:c r="P24" s="549" t="str">
        <x:f>IF(COUNT(N24:O24)=0,"",SUM(N24:O24))</x:f>
      </x:c>
      <x:c r="Q24" s="65" t="str">
        <x:v>https://www.livescore.mobi/football/australia/npl-tasmania/ulverstone-vs-glenorchy-knights/1722605/；查询时间：2026-07-18 19:02（北京时间）</x:v>
      </x:c>
      <x:c r="R24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5" ht="38" customHeight="1">
      <x:c r="A25" s="65" t="str">
        <x:f>IF(B25="","",TEXT(B25,"yyyy-mm-dd")&amp;"|"&amp;D25&amp;"|"&amp;E25)</x:f>
        <x:v>2026-07-19|中文名待确认（Western United FC Youth）|布琳狮子U23（Bulleen Lions U23）</x:v>
      </x:c>
      <x:c r="B25" s="66" t="n">
        <x:v>46222.5</x:v>
      </x:c>
      <x:c r="C25" s="65" t="str">
        <x:v>澳大利亚维多利亚州超级联赛1（VPL1）</x:v>
      </x:c>
      <x:c r="D25" s="65" t="str">
        <x:v>中文名待确认（Western United FC Youth）</x:v>
      </x:c>
      <x:c r="E25" s="65" t="str">
        <x:v>布琳狮子U23（Bulleen Lions U23）</x:v>
      </x:c>
      <x:c r="F25" s="65" t="str">
        <x:v>无可靠让球盘/只观察｜现有证据不足以形成可执行让球倾向</x:v>
      </x:c>
      <x:c r="G25" s="65" t="str">
        <x:v>无可靠大小球盘/只观察｜现有证据不足以形成可执行总进球倾向</x:v>
      </x:c>
      <x:c r="H25" s="65" t="str">
        <x:v>待确认首发、伤停、双方近5场与主客拆分、亚洲让球/大小球初盘及当前水位；任一市场欧赔&lt;1.80/港水&lt;0.80不进；未满足全部触发条件不进、不加仓</x:v>
      </x:c>
      <x:c r="I25" s="66" t="n">
        <x:v>46221.793217592596</x:v>
      </x:c>
      <x:c r="J25" s="65" t="str">
        <x:v>需复核</x:v>
      </x:c>
      <x:c r="K25" s="65"/>
      <x:c r="L25" s="65"/>
      <x:c r="M25" s="65"/>
      <x:c r="N25" s="549"/>
      <x:c r="O25" s="549"/>
      <x:c r="P25" s="549" t="str">
        <x:f>IF(COUNT(N25:O25)=0,"",SUM(N25:O25))</x:f>
      </x:c>
      <x:c r="Q25" s="65" t="str">
        <x:v>https://www.livescore.mobi/football/australia/victoria-premier-league-one/western-united-fc-youth-vs-bulleen-lions/1722495/；查询时间：2026-07-18 19:02（北京时间）</x:v>
      </x:c>
      <x:c r="R25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" ht="38" customHeight="1">
      <x:c r="A26" s="65" t="str">
        <x:f>IF(B26="","",TEXT(B26,"yyyy-mm-dd")&amp;"|"&amp;D26&amp;"|"&amp;E26)</x:f>
        <x:v>2026-07-19|克雷塔罗（Querétaro）|墨西哥美洲（Club América）</x:v>
      </x:c>
      <x:c r="B26" s="66" t="n">
        <x:v>46222.46527777778</x:v>
      </x:c>
      <x:c r="C26" s="65" t="str">
        <x:v>墨西哥超级联赛（Liga MX）</x:v>
      </x:c>
      <x:c r="D26" s="65" t="str">
        <x:v>克雷塔罗（Querétaro）</x:v>
      </x:c>
      <x:c r="E26" s="65" t="str">
        <x:v>墨西哥美洲（Club América）</x:v>
      </x:c>
      <x:c r="F26" s="65" t="str">
        <x:v>无可靠让球盘/只观察｜现有证据不足以形成可执行让球倾向</x:v>
      </x:c>
      <x:c r="G26" s="65" t="str">
        <x:v>无可靠大小球盘/只观察｜现有证据不足以形成可执行总进球倾向</x:v>
      </x:c>
      <x:c r="H26" s="65" t="str">
        <x:v>待确认首发、伤停、双方近5场与主客拆分、亚洲让球/大小球初盘及当前水位；任一市场欧赔&lt;1.80/港水&lt;0.80不进；未满足全部触发条件不进、不加仓</x:v>
      </x:c>
      <x:c r="I26" s="66" t="n">
        <x:v>46221.793217592596</x:v>
      </x:c>
      <x:c r="J26" s="65" t="str">
        <x:v>需复核</x:v>
      </x:c>
      <x:c r="K26" s="65"/>
      <x:c r="L26" s="65"/>
      <x:c r="M26" s="65"/>
      <x:c r="N26" s="549"/>
      <x:c r="O26" s="549"/>
      <x:c r="P26" s="549" t="str">
        <x:f>IF(COUNT(N26:O26)=0,"",SUM(N26:O26))</x:f>
      </x:c>
      <x:c r="Q26" s="65" t="str">
        <x:v>https://www.livescore.mobi/football/mexico/liga-mx-apertura/queretaro-fc-vs-cf-america/1798946/；https://www.fotmob.com/matches/x/x#1000014507；https://www.espn.com/soccer/match/_/gameId/401877037/america-queretaro；查询时间：2026-07-18 19:02（北京时间）</x:v>
      </x:c>
      <x:c r="R26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DWD、客队DD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7" ht="38" customHeight="1">
      <x:c r="A27" s="65" t="str">
        <x:f>IF(B27="","",TEXT(B27,"yyyy-mm-dd")&amp;"|"&amp;D27&amp;"|"&amp;E27)</x:f>
        <x:v>2026-07-19|中文名待确认（Newcastle Olympic）|中文名待确认（Belmont Swansea）</x:v>
      </x:c>
      <x:c r="B27" s="66" t="n">
        <x:v>46222.458333333336</x:v>
      </x:c>
      <x:c r="C27" s="65" t="str">
        <x:v>澳大利亚新南威尔士州北部超级联赛</x:v>
      </x:c>
      <x:c r="D27" s="65" t="str">
        <x:v>中文名待确认（Newcastle Olympic）</x:v>
      </x:c>
      <x:c r="E27" s="65" t="str">
        <x:v>中文名待确认（Belmont Swansea）</x:v>
      </x:c>
      <x:c r="F27" s="65" t="str">
        <x:v>无可靠让球盘/只观察｜现有证据不足以形成可执行让球倾向</x:v>
      </x:c>
      <x:c r="G27" s="65" t="str">
        <x:v>无可靠大小球盘/只观察｜现有证据不足以形成可执行总进球倾向</x:v>
      </x:c>
      <x:c r="H27" s="65" t="str">
        <x:v>待确认首发、伤停、双方近5场与主客拆分、亚洲让球/大小球初盘及当前水位；任一市场欧赔&lt;1.80/港水&lt;0.80不进；未满足全部触发条件不进、不加仓</x:v>
      </x:c>
      <x:c r="I27" s="66" t="n">
        <x:v>46221.793217592596</x:v>
      </x:c>
      <x:c r="J27" s="65" t="str">
        <x:v>需复核</x:v>
      </x:c>
      <x:c r="K27" s="65"/>
      <x:c r="L27" s="65"/>
      <x:c r="M27" s="65"/>
      <x:c r="N27" s="549"/>
      <x:c r="O27" s="549"/>
      <x:c r="P27" s="549" t="str">
        <x:f>IF(COUNT(N27:O27)=0,"",SUM(N27:O27))</x:f>
      </x:c>
      <x:c r="Q27" s="65" t="str">
        <x:v>https://www.livescore.mobi/football/australia/Northern-new-south-wales-2026/newcastle-olympic-vs-belmont-swansea/1717647/；查询时间：2026-07-18 19:02（北京时间）</x:v>
      </x:c>
      <x:c r="R27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8" ht="38" customHeight="1">
      <x:c r="A28" s="65" t="str">
        <x:f>IF(B28="","",TEXT(B28,"yyyy-mm-dd")&amp;"|"&amp;D28&amp;"|"&amp;E28)</x:f>
        <x:v>2026-07-19|凤凰重生（Phoenix Rising FC）|中文名待确认（Monterey Bay）</x:v>
      </x:c>
      <x:c r="B28" s="66" t="n">
        <x:v>46222.4375</x:v>
      </x:c>
      <x:c r="C28" s="65" t="str">
        <x:v>规范中文名待确认（Regular Season）</x:v>
      </x:c>
      <x:c r="D28" s="65" t="str">
        <x:v>凤凰重生（Phoenix Rising FC）</x:v>
      </x:c>
      <x:c r="E28" s="65" t="str">
        <x:v>中文名待确认（Monterey Bay）</x:v>
      </x:c>
      <x:c r="F28" s="65" t="str">
        <x:v>无可靠让球盘/只观察｜现有证据不足以形成可执行让球倾向</x:v>
      </x:c>
      <x:c r="G28" s="65" t="str">
        <x:v>无可靠大小球盘/只观察｜现有证据不足以形成可执行总进球倾向</x:v>
      </x:c>
      <x:c r="H28" s="65" t="str">
        <x:v>待确认首发、伤停、双方近5场与主客拆分、亚洲让球/大小球初盘及当前水位；任一市场欧赔&lt;1.80/港水&lt;0.80不进；未满足全部触发条件不进、不加仓</x:v>
      </x:c>
      <x:c r="I28" s="66" t="n">
        <x:v>46221.793217592596</x:v>
      </x:c>
      <x:c r="J28" s="65" t="str">
        <x:v>需复核</x:v>
      </x:c>
      <x:c r="K28" s="65"/>
      <x:c r="L28" s="65"/>
      <x:c r="M28" s="65"/>
      <x:c r="N28" s="549"/>
      <x:c r="O28" s="549"/>
      <x:c r="P28" s="549" t="str">
        <x:f>IF(COUNT(N28:O28)=0,"",SUM(N28:O28))</x:f>
      </x:c>
      <x:c r="Q28" s="65" t="str">
        <x:v>https://www.espn.com/soccer/match/_/gameId/401841997/monterey-bay-phoenix-rising-fc；https://www.livescore.mobi/football/usa/usl-championship/phoenix-rising-fc-vs-monterey-bay-fc/1711565/；https://www.fotmob.com/matches/x/x#5109837；查询时间：2026-07-18 19:02（北京时间）</x:v>
      </x:c>
      <x:c r="R2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LDL、客队LDW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9" ht="38" customHeight="1">
      <x:c r="A29" s="65" t="str">
        <x:f>IF(B29="","",TEXT(B29,"yyyy-mm-dd")&amp;"|"&amp;D29&amp;"|"&amp;E29)</x:f>
        <x:v>2026-07-19|中文名待确认（San Jose Earthquakes II）|中文名待确认（North Texas SC）</x:v>
      </x:c>
      <x:c r="B29" s="66" t="n">
        <x:v>46222.416666666664</x:v>
      </x:c>
      <x:c r="C29" s="65" t="str">
        <x:v>美国MLS Next Pro联赛</x:v>
      </x:c>
      <x:c r="D29" s="65" t="str">
        <x:v>中文名待确认（San Jose Earthquakes II）</x:v>
      </x:c>
      <x:c r="E29" s="65" t="str">
        <x:v>中文名待确认（North Texas SC）</x:v>
      </x:c>
      <x:c r="F29" s="65" t="str">
        <x:v>无可靠让球盘/只观察｜现有证据不足以形成可执行让球倾向</x:v>
      </x:c>
      <x:c r="G29" s="65" t="str">
        <x:v>无可靠大小球盘/只观察｜现有证据不足以形成可执行总进球倾向</x:v>
      </x:c>
      <x:c r="H29" s="65" t="str">
        <x:v>待确认首发、伤停、双方近5场与主客拆分、亚洲让球/大小球初盘及当前水位；任一市场欧赔&lt;1.80/港水&lt;0.80不进；未满足全部触发条件不进、不加仓</x:v>
      </x:c>
      <x:c r="I29" s="66" t="n">
        <x:v>46221.793217592596</x:v>
      </x:c>
      <x:c r="J29" s="65" t="str">
        <x:v>需复核</x:v>
      </x:c>
      <x:c r="K29" s="65"/>
      <x:c r="L29" s="65"/>
      <x:c r="M29" s="65"/>
      <x:c r="N29" s="549"/>
      <x:c r="O29" s="549"/>
      <x:c r="P29" s="549" t="str">
        <x:f>IF(COUNT(N29:O29)=0,"",SUM(N29:O29))</x:f>
      </x:c>
      <x:c r="Q29" s="65" t="str">
        <x:v>https://www.fotmob.com/matches/x/x#1000007653；查询时间：2026-07-18 19:02（北京时间）</x:v>
      </x:c>
      <x:c r="R29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0" ht="38" customHeight="1">
      <x:c r="A30" s="65" t="str">
        <x:f>IF(B30="","",TEXT(B30,"yyyy-mm-dd")&amp;"|"&amp;D30&amp;"|"&amp;E30)</x:f>
        <x:v>2026-07-19|中文名待确认（The Town FC）|中文名待确认（North Texas SC）</x:v>
      </x:c>
      <x:c r="B30" s="66" t="n">
        <x:v>46222.416666666664</x:v>
      </x:c>
      <x:c r="C30" s="65" t="str">
        <x:v>美国MLS Next Pro联赛</x:v>
      </x:c>
      <x:c r="D30" s="65" t="str">
        <x:v>中文名待确认（The Town FC）</x:v>
      </x:c>
      <x:c r="E30" s="65" t="str">
        <x:v>中文名待确认（North Texas SC）</x:v>
      </x:c>
      <x:c r="F30" s="65" t="str">
        <x:v>无可靠让球盘/只观察｜现有证据不足以形成可执行让球倾向</x:v>
      </x:c>
      <x:c r="G30" s="65" t="str">
        <x:v>无可靠大小球盘/只观察｜现有证据不足以形成可执行总进球倾向</x:v>
      </x:c>
      <x:c r="H30" s="65" t="str">
        <x:v>待确认首发、伤停、双方近5场与主客拆分、亚洲让球/大小球初盘及当前水位；任一市场欧赔&lt;1.80/港水&lt;0.80不进；未满足全部触发条件不进、不加仓</x:v>
      </x:c>
      <x:c r="I30" s="66" t="n">
        <x:v>46221.793217592596</x:v>
      </x:c>
      <x:c r="J30" s="65" t="str">
        <x:v>需复核</x:v>
      </x:c>
      <x:c r="K30" s="65"/>
      <x:c r="L30" s="65"/>
      <x:c r="M30" s="65"/>
      <x:c r="N30" s="549"/>
      <x:c r="O30" s="549"/>
      <x:c r="P30" s="549" t="str">
        <x:f>IF(COUNT(N30:O30)=0,"",SUM(N30:O30))</x:f>
      </x:c>
      <x:c r="Q30" s="65" t="str">
        <x:v>https://www.livescore.mobi/football/usa/mls-next-pro/the-town-fc-vs-north-texas-sc/1740435/；查询时间：2026-07-18 19:02（北京时间）</x:v>
      </x:c>
      <x:c r="R30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1" ht="38" customHeight="1">
      <x:c r="A31" s="65" t="str">
        <x:f>IF(B31="","",TEXT(B31,"yyyy-mm-dd")&amp;"|"&amp;D31&amp;"|"&amp;E31)</x:f>
        <x:v>2026-07-19|中文名待确认（Ventura County FC）|洛杉矶FC（Los Angeles FC）</x:v>
      </x:c>
      <x:c r="B31" s="66" t="n">
        <x:v>46222.416666666664</x:v>
      </x:c>
      <x:c r="C31" s="65" t="str">
        <x:v>美国MLS Next Pro联赛</x:v>
      </x:c>
      <x:c r="D31" s="65" t="str">
        <x:v>中文名待确认（Ventura County FC）</x:v>
      </x:c>
      <x:c r="E31" s="65" t="str">
        <x:v>洛杉矶FC（Los Angeles FC）</x:v>
      </x:c>
      <x:c r="F31" s="65" t="str">
        <x:v>无可靠让球盘/只观察｜现有证据不足以形成可执行让球倾向</x:v>
      </x:c>
      <x:c r="G31" s="65" t="str">
        <x:v>无可靠大小球盘/只观察｜现有证据不足以形成可执行总进球倾向</x:v>
      </x:c>
      <x:c r="H31" s="65" t="str">
        <x:v>待确认首发、伤停、双方近5场与主客拆分、亚洲让球/大小球初盘及当前水位；任一市场欧赔&lt;1.80/港水&lt;0.80不进；未满足全部触发条件不进、不加仓</x:v>
      </x:c>
      <x:c r="I31" s="66" t="n">
        <x:v>46221.793217592596</x:v>
      </x:c>
      <x:c r="J31" s="65" t="str">
        <x:v>需复核</x:v>
      </x:c>
      <x:c r="K31" s="65"/>
      <x:c r="L31" s="65"/>
      <x:c r="M31" s="65"/>
      <x:c r="N31" s="549"/>
      <x:c r="O31" s="549"/>
      <x:c r="P31" s="549" t="str">
        <x:f>IF(COUNT(N31:O31)=0,"",SUM(N31:O31))</x:f>
      </x:c>
      <x:c r="Q31" s="65" t="str">
        <x:v>https://www.livescore.mobi/football/usa/mls-next-pro/ventura-county-fc-vs-los-angeles-fc-ii/1740431/；https://www.fotmob.com/matches/x/x#1000007656；查询时间：2026-07-18 19:02（北京时间）</x:v>
      </x:c>
      <x:c r="R31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2" ht="38" customHeight="1">
      <x:c r="A32" s="65" t="str">
        <x:f>IF(B32="","",TEXT(B32,"yyyy-mm-dd")&amp;"|"&amp;D32&amp;"|"&amp;E32)</x:f>
        <x:v>2026-07-19|瓜达拉哈拉芝华士（CD Guadalajara）|托卢卡（Toluca）</x:v>
      </x:c>
      <x:c r="B32" s="66" t="n">
        <x:v>46222.37986111111</x:v>
      </x:c>
      <x:c r="C32" s="65" t="str">
        <x:v>墨西哥超级联赛（Liga MX）</x:v>
      </x:c>
      <x:c r="D32" s="65" t="str">
        <x:v>瓜达拉哈拉芝华士（CD Guadalajara）</x:v>
      </x:c>
      <x:c r="E32" s="65" t="str">
        <x:v>托卢卡（Toluca）</x:v>
      </x:c>
      <x:c r="F32" s="65" t="str">
        <x:v>无可靠让球盘/只观察｜现有证据不足以形成可执行让球倾向</x:v>
      </x:c>
      <x:c r="G32" s="65" t="str">
        <x:v>无可靠大小球盘/只观察｜现有证据不足以形成可执行总进球倾向</x:v>
      </x:c>
      <x:c r="H32" s="65" t="str">
        <x:v>待确认首发、伤停、双方近5场与主客拆分、亚洲让球/大小球初盘及当前水位；任一市场欧赔&lt;1.80/港水&lt;0.80不进；未满足全部触发条件不进、不加仓</x:v>
      </x:c>
      <x:c r="I32" s="66" t="n">
        <x:v>46221.793217592596</x:v>
      </x:c>
      <x:c r="J32" s="65" t="str">
        <x:v>需复核</x:v>
      </x:c>
      <x:c r="K32" s="65"/>
      <x:c r="L32" s="65"/>
      <x:c r="M32" s="65"/>
      <x:c r="N32" s="549"/>
      <x:c r="O32" s="549"/>
      <x:c r="P32" s="549" t="str">
        <x:f>IF(COUNT(N32:O32)=0,"",SUM(N32:O32))</x:f>
      </x:c>
      <x:c r="Q32" s="65" t="str">
        <x:v>https://www.livescore.mobi/football/mexico/liga-mx-apertura/cd-guadalajara-vs-toluca/1798947/；https://www.fotmob.com/matches/x/x#1000014505；https://www.espn.com/soccer/match/_/gameId/401877039/toluca-guadalajara；查询时间：2026-07-18 19:02（北京时间）</x:v>
      </x:c>
      <x:c r="R32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WLD、客队WLW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3" ht="38" customHeight="1">
      <x:c r="A33" s="65" t="str">
        <x:f>IF(B33="","",TEXT(B33,"yyyy-mm-dd")&amp;"|"&amp;D33&amp;"|"&amp;E33)</x:f>
        <x:v>2026-07-19|蒙特雷（CF Monterrey）|桑托斯拉古纳（Santos Laguna）</x:v>
      </x:c>
      <x:c r="B33" s="66" t="n">
        <x:v>46222.37847222222</x:v>
      </x:c>
      <x:c r="C33" s="65" t="str">
        <x:v>墨西哥超级联赛（Liga MX）</x:v>
      </x:c>
      <x:c r="D33" s="65" t="str">
        <x:v>蒙特雷（CF Monterrey）</x:v>
      </x:c>
      <x:c r="E33" s="65" t="str">
        <x:v>桑托斯拉古纳（Santos Laguna）</x:v>
      </x:c>
      <x:c r="F33" s="65" t="str">
        <x:v>无可靠让球盘/只观察｜现有证据不足以形成可执行让球倾向</x:v>
      </x:c>
      <x:c r="G33" s="65" t="str">
        <x:v>无可靠大小球盘/只观察｜现有证据不足以形成可执行总进球倾向</x:v>
      </x:c>
      <x:c r="H33" s="65" t="str">
        <x:v>待确认首发、伤停、双方近5场与主客拆分、亚洲让球/大小球初盘及当前水位；任一市场欧赔&lt;1.80/港水&lt;0.80不进；未满足全部触发条件不进、不加仓</x:v>
      </x:c>
      <x:c r="I33" s="66" t="n">
        <x:v>46221.793217592596</x:v>
      </x:c>
      <x:c r="J33" s="65" t="str">
        <x:v>需复核</x:v>
      </x:c>
      <x:c r="K33" s="65"/>
      <x:c r="L33" s="65"/>
      <x:c r="M33" s="65"/>
      <x:c r="N33" s="549"/>
      <x:c r="O33" s="549"/>
      <x:c r="P33" s="549" t="str">
        <x:f>IF(COUNT(N33:O33)=0,"",SUM(N33:O33))</x:f>
      </x:c>
      <x:c r="Q33" s="65" t="str">
        <x:v>https://www.livescore.mobi/football/mexico/liga-mx-apertura/monterrey-vs-club-santos-laguna/1798945/；https://www.fotmob.com/matches/x/x#1000014506；https://www.espn.com/soccer/match/_/gameId/401877038/santos-monterrey；查询时间：2026-07-18 19:02（北京时间）</x:v>
      </x:c>
      <x:c r="R33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LDL、客队WLL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4" ht="38" customHeight="1">
      <x:c r="A34" s="65" t="str">
        <x:f>IF(B34="","",TEXT(B34,"yyyy-mm-dd")&amp;"|"&amp;D34&amp;"|"&amp;E34)</x:f>
        <x:v>2026-07-19|中文名待确认（Carlos A. Mannucci）|中文名待确认（Deportivo Llacuabamba）</x:v>
      </x:c>
      <x:c r="B34" s="66" t="n">
        <x:v>46222.375</x:v>
      </x:c>
      <x:c r="C34" s="65" t="str">
        <x:v>规范中文名待确认（Peru - Liga 2: Group A）</x:v>
      </x:c>
      <x:c r="D34" s="65" t="str">
        <x:v>中文名待确认（Carlos A. Mannucci）</x:v>
      </x:c>
      <x:c r="E34" s="65" t="str">
        <x:v>中文名待确认（Deportivo Llacuabamba）</x:v>
      </x:c>
      <x:c r="F34" s="65" t="str">
        <x:v>无可靠让球盘/只观察｜现有证据不足以形成可执行让球倾向</x:v>
      </x:c>
      <x:c r="G34" s="65" t="str">
        <x:v>无可靠大小球盘/只观察｜现有证据不足以形成可执行总进球倾向</x:v>
      </x:c>
      <x:c r="H34" s="65" t="str">
        <x:v>待确认首发、伤停、双方近5场与主客拆分、亚洲让球/大小球初盘及当前水位；任一市场欧赔&lt;1.80/港水&lt;0.80不进；未满足全部触发条件不进、不加仓</x:v>
      </x:c>
      <x:c r="I34" s="66" t="n">
        <x:v>46221.793217592596</x:v>
      </x:c>
      <x:c r="J34" s="65" t="str">
        <x:v>需复核</x:v>
      </x:c>
      <x:c r="K34" s="65"/>
      <x:c r="L34" s="65"/>
      <x:c r="M34" s="65"/>
      <x:c r="N34" s="549"/>
      <x:c r="O34" s="549"/>
      <x:c r="P34" s="549" t="str">
        <x:f>IF(COUNT(N34:O34)=0,"",SUM(N34:O34))</x:f>
      </x:c>
      <x:c r="Q34" s="65" t="str">
        <x:v>https://www.livescore.mobi/football/peru/liga-2-group-a/carlos-a-mannucci-vs-deportivo-llacuabamba/1805770/；查询时间：2026-07-18 19:02（北京时间）</x:v>
      </x:c>
      <x:c r="R34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5" ht="38" customHeight="1">
      <x:c r="A35" s="65" t="str">
        <x:f>IF(B35="","",TEXT(B35,"yyyy-mm-dd")&amp;"|"&amp;D35&amp;"|"&amp;E35)</x:f>
        <x:v>2026-07-19|中文名待确认（Escorpiones）|中文名待确认（Guadalupe FC）</x:v>
      </x:c>
      <x:c r="B35" s="66" t="n">
        <x:v>46222.375</x:v>
      </x:c>
      <x:c r="C35" s="65" t="str">
        <x:v>规范中文名待确认（CRC - Primera Division Qualification）</x:v>
      </x:c>
      <x:c r="D35" s="65" t="str">
        <x:v>中文名待确认（Escorpiones）</x:v>
      </x:c>
      <x:c r="E35" s="65" t="str">
        <x:v>中文名待确认（Guadalupe FC）</x:v>
      </x:c>
      <x:c r="F35" s="65" t="str">
        <x:v>无可靠让球盘/只观察｜现有证据不足以形成可执行让球倾向</x:v>
      </x:c>
      <x:c r="G35" s="65" t="str">
        <x:v>无可靠大小球盘/只观察｜现有证据不足以形成可执行总进球倾向</x:v>
      </x:c>
      <x:c r="H35" s="65" t="str">
        <x:v>待确认首发、伤停、双方近5场与主客拆分、亚洲让球/大小球初盘及当前水位；任一市场欧赔&lt;1.80/港水&lt;0.80不进；未满足全部触发条件不进、不加仓</x:v>
      </x:c>
      <x:c r="I35" s="66" t="n">
        <x:v>46221.793217592596</x:v>
      </x:c>
      <x:c r="J35" s="65" t="str">
        <x:v>需复核</x:v>
      </x:c>
      <x:c r="K35" s="65"/>
      <x:c r="L35" s="65"/>
      <x:c r="M35" s="65"/>
      <x:c r="N35" s="549"/>
      <x:c r="O35" s="549"/>
      <x:c r="P35" s="549" t="str">
        <x:f>IF(COUNT(N35:O35)=0,"",SUM(N35:O35))</x:f>
      </x:c>
      <x:c r="Q35" s="65" t="str">
        <x:v>https://www.fotmob.com/matches/x/x#5943668；查询时间：2026-07-18 19:02（北京时间）</x:v>
      </x:c>
      <x:c r="R35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6" ht="38" customHeight="1">
      <x:c r="A36" s="65" t="str">
        <x:f>IF(B36="","",TEXT(B36,"yyyy-mm-dd")&amp;"|"&amp;D36&amp;"|"&amp;E36)</x:f>
        <x:v>2026-07-19|中文名待确认（San Antonio FC）|拉斯维加斯光（Las Vegas Lights FC）</x:v>
      </x:c>
      <x:c r="B36" s="66" t="n">
        <x:v>46222.375</x:v>
      </x:c>
      <x:c r="C36" s="65" t="str">
        <x:v>美国USL冠军联赛</x:v>
      </x:c>
      <x:c r="D36" s="65" t="str">
        <x:v>中文名待确认（San Antonio FC）</x:v>
      </x:c>
      <x:c r="E36" s="65" t="str">
        <x:v>拉斯维加斯光（Las Vegas Lights FC）</x:v>
      </x:c>
      <x:c r="F36" s="65" t="str">
        <x:v>无可靠让球盘/只观察｜现有证据不足以形成可执行让球倾向</x:v>
      </x:c>
      <x:c r="G36" s="65" t="str">
        <x:v>无可靠大小球盘/只观察｜现有证据不足以形成可执行总进球倾向</x:v>
      </x:c>
      <x:c r="H36" s="65" t="str">
        <x:v>待确认首发、伤停、双方近5场与主客拆分、亚洲让球/大小球初盘及当前水位；任一市场欧赔&lt;1.80/港水&lt;0.80不进；未满足全部触发条件不进、不加仓</x:v>
      </x:c>
      <x:c r="I36" s="66" t="n">
        <x:v>46221.793217592596</x:v>
      </x:c>
      <x:c r="J36" s="65" t="str">
        <x:v>需复核</x:v>
      </x:c>
      <x:c r="K36" s="65"/>
      <x:c r="L36" s="65"/>
      <x:c r="M36" s="65"/>
      <x:c r="N36" s="549"/>
      <x:c r="O36" s="549"/>
      <x:c r="P36" s="549" t="str">
        <x:f>IF(COUNT(N36:O36)=0,"",SUM(N36:O36))</x:f>
      </x:c>
      <x:c r="Q36" s="65" t="str">
        <x:v>https://www.livescore.mobi/football/usa/usl-championship/san-antonio-fc-vs-las-vegas-lights-fc/1711562/；https://www.fotmob.com/matches/x/x#5109840；https://www.espn.com/soccer/match/_/gameId/401842003/las-vegas-lights-fc-san-antonio-fc；查询时间：2026-07-18 19:02（北京时间）</x:v>
      </x:c>
      <x:c r="R36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WLW、客队WLL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7" ht="38" customHeight="1">
      <x:c r="A37" s="65" t="str">
        <x:f>IF(B37="","",TEXT(B37,"yyyy-mm-dd")&amp;"|"&amp;D37&amp;"|"&amp;E37)</x:f>
        <x:v>2026-07-19|中文名待确认（Utah Royals）|奥兰多荣耀（Orlando Pride）</x:v>
      </x:c>
      <x:c r="B37" s="66" t="n">
        <x:v>46222.364583333336</x:v>
      </x:c>
      <x:c r="C37" s="65" t="str">
        <x:v>美国国家女子足球联赛（NWSL）</x:v>
      </x:c>
      <x:c r="D37" s="65" t="str">
        <x:v>中文名待确认（Utah Royals）</x:v>
      </x:c>
      <x:c r="E37" s="65" t="str">
        <x:v>奥兰多荣耀（Orlando Pride）</x:v>
      </x:c>
      <x:c r="F37" s="65" t="str">
        <x:v>无可靠让球盘/只观察｜现有证据不足以形成可执行让球倾向</x:v>
      </x:c>
      <x:c r="G37" s="65" t="str">
        <x:v>无可靠大小球盘/只观察｜现有证据不足以形成可执行总进球倾向</x:v>
      </x:c>
      <x:c r="H37" s="65" t="str">
        <x:v>待确认首发、伤停、双方近5场与主客拆分、亚洲让球/大小球初盘及当前水位；任一市场欧赔&lt;1.80/港水&lt;0.80不进；未满足全部触发条件不进、不加仓</x:v>
      </x:c>
      <x:c r="I37" s="66" t="n">
        <x:v>46221.793217592596</x:v>
      </x:c>
      <x:c r="J37" s="65" t="str">
        <x:v>需复核</x:v>
      </x:c>
      <x:c r="K37" s="65"/>
      <x:c r="L37" s="65"/>
      <x:c r="M37" s="65"/>
      <x:c r="N37" s="549"/>
      <x:c r="O37" s="549"/>
      <x:c r="P37" s="549" t="str">
        <x:f>IF(COUNT(N37:O37)=0,"",SUM(N37:O37))</x:f>
      </x:c>
      <x:c r="Q37" s="65" t="str">
        <x:v>https://www.livescore.mobi/football/usa/national-womens-soccer-league/utah-royals-vs-orlando-pride/1731735/；https://www.espn.com/soccer/match/_/gameId/401853946/orlando-pride-utah-royals；https://www.fotmob.com/matches/x/x#5161568；查询时间：2026-07-18 19:02（北京时间）</x:v>
      </x:c>
      <x:c r="R37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DWW、客队LW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8" ht="38" customHeight="1">
      <x:c r="A38" s="65" t="str">
        <x:f>IF(B38="","",TEXT(B38,"yyyy-mm-dd")&amp;"|"&amp;D38&amp;"|"&amp;E38)</x:f>
        <x:v>2026-07-19|奥罗拉（Club Aurora）|东方石油（Oriente Petrolero）</x:v>
      </x:c>
      <x:c r="B38" s="66" t="n">
        <x:v>46222.354166666664</x:v>
      </x:c>
      <x:c r="C38" s="65" t="str">
        <x:v>玻利维亚甲级联赛</x:v>
      </x:c>
      <x:c r="D38" s="65" t="str">
        <x:v>奥罗拉（Club Aurora）</x:v>
      </x:c>
      <x:c r="E38" s="65" t="str">
        <x:v>东方石油（Oriente Petrolero）</x:v>
      </x:c>
      <x:c r="F38" s="65" t="str">
        <x:v>无可靠让球盘/只观察｜现有证据不足以形成可执行让球倾向</x:v>
      </x:c>
      <x:c r="G38" s="65" t="str">
        <x:v>无可靠大小球盘/只观察｜现有证据不足以形成可执行总进球倾向</x:v>
      </x:c>
      <x:c r="H38" s="65" t="str">
        <x:v>待确认首发、伤停、双方近5场与主客拆分、亚洲让球/大小球初盘及当前水位；任一市场欧赔&lt;1.80/港水&lt;0.80不进；未满足全部触发条件不进、不加仓</x:v>
      </x:c>
      <x:c r="I38" s="66" t="n">
        <x:v>46221.793217592596</x:v>
      </x:c>
      <x:c r="J38" s="65" t="str">
        <x:v>需复核</x:v>
      </x:c>
      <x:c r="K38" s="65"/>
      <x:c r="L38" s="65"/>
      <x:c r="M38" s="65"/>
      <x:c r="N38" s="549"/>
      <x:c r="O38" s="549"/>
      <x:c r="P38" s="549" t="str">
        <x:f>IF(COUNT(N38:O38)=0,"",SUM(N38:O38))</x:f>
      </x:c>
      <x:c r="Q38" s="65" t="str">
        <x:v>https://www.livescore.mobi/football/bolivia/primera-division/aurora-vs-oriente-petrolero/1761306/；https://www.fotmob.com/matches/x/x#1000010879；https://www.espn.com/soccer/match/_/gameId/401867186/oriente-petrolero-aurora；查询时间：2026-07-18 19:02（北京时间）</x:v>
      </x:c>
      <x:c r="R3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WDW、客队LL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9" ht="38" customHeight="1">
      <x:c r="A39" s="65" t="str">
        <x:f>IF(B39="","",TEXT(B39,"yyyy-mm-dd")&amp;"|"&amp;D39&amp;"|"&amp;E39)</x:f>
        <x:v>2026-07-19|塔尔萨钻机工（FC Tulsa）|埃尔帕索机车（El Paso Locomotive FC）</x:v>
      </x:c>
      <x:c r="B39" s="66" t="n">
        <x:v>46222.354166666664</x:v>
      </x:c>
      <x:c r="C39" s="65" t="str">
        <x:v>美国USL冠军联赛</x:v>
      </x:c>
      <x:c r="D39" s="65" t="str">
        <x:v>塔尔萨钻机工（FC Tulsa）</x:v>
      </x:c>
      <x:c r="E39" s="65" t="str">
        <x:v>埃尔帕索机车（El Paso Locomotive FC）</x:v>
      </x:c>
      <x:c r="F39" s="65" t="str">
        <x:v>无可靠让球盘/只观察｜现有证据不足以形成可执行让球倾向</x:v>
      </x:c>
      <x:c r="G39" s="65" t="str">
        <x:v>无可靠大小球盘/只观察｜现有证据不足以形成可执行总进球倾向</x:v>
      </x:c>
      <x:c r="H39" s="65" t="str">
        <x:v>待确认首发、伤停、双方近5场与主客拆分、亚洲让球/大小球初盘及当前水位；任一市场欧赔&lt;1.80/港水&lt;0.80不进；未满足全部触发条件不进、不加仓</x:v>
      </x:c>
      <x:c r="I39" s="66" t="n">
        <x:v>46221.793217592596</x:v>
      </x:c>
      <x:c r="J39" s="65" t="str">
        <x:v>需复核</x:v>
      </x:c>
      <x:c r="K39" s="65"/>
      <x:c r="L39" s="65"/>
      <x:c r="M39" s="65"/>
      <x:c r="N39" s="549"/>
      <x:c r="O39" s="549"/>
      <x:c r="P39" s="549" t="str">
        <x:f>IF(COUNT(N39:O39)=0,"",SUM(N39:O39))</x:f>
      </x:c>
      <x:c r="Q39" s="65" t="str">
        <x:v>https://www.livescore.mobi/football/usa/usl-championship/fc-tulsa-vs-el-paso-locomotive/1711558/；https://www.fotmob.com/matches/x/x#5109835；https://www.espn.com/soccer/match/_/gameId/401841993/el-paso-locomotive-fc-fc-tulsa；查询时间：2026-07-18 19:02（北京时间）</x:v>
      </x:c>
      <x:c r="R39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LL、客队LWLD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0" ht="38" customHeight="1">
      <x:c r="A40" s="65" t="str">
        <x:f>IF(B40="","",TEXT(B40,"yyyy-mm-dd")&amp;"|"&amp;D40&amp;"|"&amp;E40)</x:f>
        <x:v>2026-07-19|巴塞罗那SC（Barcelona SC）|中文名待确认（Libertad）</x:v>
      </x:c>
      <x:c r="B40" s="66" t="n">
        <x:v>46222.333333333336</x:v>
      </x:c>
      <x:c r="C40" s="65" t="str">
        <x:v>规范中文名待确认（Ecuador - Serie A）</x:v>
      </x:c>
      <x:c r="D40" s="65" t="str">
        <x:v>巴塞罗那SC（Barcelona SC）</x:v>
      </x:c>
      <x:c r="E40" s="65" t="str">
        <x:v>中文名待确认（Libertad）</x:v>
      </x:c>
      <x:c r="F40" s="65" t="str">
        <x:v>无可靠让球盘/只观察｜现有证据不足以形成可执行让球倾向</x:v>
      </x:c>
      <x:c r="G40" s="65" t="str">
        <x:v>无可靠大小球盘/只观察｜现有证据不足以形成可执行总进球倾向</x:v>
      </x:c>
      <x:c r="H40" s="65" t="str">
        <x:v>待确认首发、伤停、双方近5场与主客拆分、亚洲让球/大小球初盘及当前水位；任一市场欧赔&lt;1.80/港水&lt;0.80不进；未满足全部触发条件不进、不加仓</x:v>
      </x:c>
      <x:c r="I40" s="66" t="n">
        <x:v>46221.793217592596</x:v>
      </x:c>
      <x:c r="J40" s="65" t="str">
        <x:v>需复核</x:v>
      </x:c>
      <x:c r="K40" s="65"/>
      <x:c r="L40" s="65"/>
      <x:c r="M40" s="65"/>
      <x:c r="N40" s="549"/>
      <x:c r="O40" s="549"/>
      <x:c r="P40" s="549" t="str">
        <x:f>IF(COUNT(N40:O40)=0,"",SUM(N40:O40))</x:f>
      </x:c>
      <x:c r="Q40" s="65" t="str">
        <x:v>https://www.livescore.mobi/football/ecuador/serie-a/barcelona-sc-vs-libertad/1736355/；https://www.fotmob.com/matches/x/x#1000009031；https://www.espn.com/soccer/match/_/gameId/401859621/libertad-ecuador-barcelona-sc；查询时间：2026-07-18 19:02（北京时间）</x:v>
      </x:c>
      <x:c r="R40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DDWLL、客队WDL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1" ht="38" customHeight="1">
      <x:c r="A41" s="65" t="str">
        <x:f>IF(B41="","",TEXT(B41,"yyyy-mm-dd")&amp;"|"&amp;D41&amp;"|"&amp;E41)</x:f>
        <x:v>2026-07-19|中文名待确认（Huntsville City FC）|中文名待确认（Atlanta United 2）</x:v>
      </x:c>
      <x:c r="B41" s="66" t="n">
        <x:v>46222.333333333336</x:v>
      </x:c>
      <x:c r="C41" s="65" t="str">
        <x:v>美国MLS Next Pro联赛</x:v>
      </x:c>
      <x:c r="D41" s="65" t="str">
        <x:v>中文名待确认（Huntsville City FC）</x:v>
      </x:c>
      <x:c r="E41" s="65" t="str">
        <x:v>中文名待确认（Atlanta United 2）</x:v>
      </x:c>
      <x:c r="F41" s="65" t="str">
        <x:v>无可靠让球盘/只观察｜现有证据不足以形成可执行让球倾向</x:v>
      </x:c>
      <x:c r="G41" s="65" t="str">
        <x:v>无可靠大小球盘/只观察｜现有证据不足以形成可执行总进球倾向</x:v>
      </x:c>
      <x:c r="H41" s="65" t="str">
        <x:v>待确认首发、伤停、双方近5场与主客拆分、亚洲让球/大小球初盘及当前水位；任一市场欧赔&lt;1.80/港水&lt;0.80不进；未满足全部触发条件不进、不加仓</x:v>
      </x:c>
      <x:c r="I41" s="66" t="n">
        <x:v>46221.793217592596</x:v>
      </x:c>
      <x:c r="J41" s="65" t="str">
        <x:v>需复核</x:v>
      </x:c>
      <x:c r="K41" s="65"/>
      <x:c r="L41" s="65"/>
      <x:c r="M41" s="65"/>
      <x:c r="N41" s="549"/>
      <x:c r="O41" s="549"/>
      <x:c r="P41" s="549" t="str">
        <x:f>IF(COUNT(N41:O41)=0,"",SUM(N41:O41))</x:f>
      </x:c>
      <x:c r="Q41" s="65" t="str">
        <x:v>https://www.fotmob.com/matches/x/x#1000007658；https://www.livescore.mobi/football/usa/mls-next-pro/huntsville-city-fc-vs-atlanta-united-ii/1740450/；查询时间：2026-07-18 19:02（北京时间）</x:v>
      </x:c>
      <x:c r="R41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2" ht="38" customHeight="1">
      <x:c r="A42" s="65" t="str">
        <x:f>IF(B42="","",TEXT(B42,"yyyy-mm-dd")&amp;"|"&amp;D42&amp;"|"&amp;E42)</x:f>
        <x:v>2026-07-19|中文名待确认（Racing Louisville）|中文名待确认（Houston Dash）</x:v>
      </x:c>
      <x:c r="B42" s="66" t="n">
        <x:v>46222.333333333336</x:v>
      </x:c>
      <x:c r="C42" s="65" t="str">
        <x:v>美国国家女子足球联赛（NWSL）</x:v>
      </x:c>
      <x:c r="D42" s="65" t="str">
        <x:v>中文名待确认（Racing Louisville）</x:v>
      </x:c>
      <x:c r="E42" s="65" t="str">
        <x:v>中文名待确认（Houston Dash）</x:v>
      </x:c>
      <x:c r="F42" s="65" t="str">
        <x:v>无可靠让球盘/只观察｜现有证据不足以形成可执行让球倾向</x:v>
      </x:c>
      <x:c r="G42" s="65" t="str">
        <x:v>无可靠大小球盘/只观察｜现有证据不足以形成可执行总进球倾向</x:v>
      </x:c>
      <x:c r="H42" s="65" t="str">
        <x:v>待确认首发、伤停、双方近5场与主客拆分、亚洲让球/大小球初盘及当前水位；任一市场欧赔&lt;1.80/港水&lt;0.80不进；未满足全部触发条件不进、不加仓</x:v>
      </x:c>
      <x:c r="I42" s="66" t="n">
        <x:v>46221.793217592596</x:v>
      </x:c>
      <x:c r="J42" s="65" t="str">
        <x:v>需复核</x:v>
      </x:c>
      <x:c r="K42" s="65"/>
      <x:c r="L42" s="65"/>
      <x:c r="M42" s="65"/>
      <x:c r="N42" s="549"/>
      <x:c r="O42" s="549"/>
      <x:c r="P42" s="549" t="str">
        <x:f>IF(COUNT(N42:O42)=0,"",SUM(N42:O42))</x:f>
      </x:c>
      <x:c r="Q42" s="65" t="str">
        <x:v>https://www.livescore.mobi/football/usa/national-womens-soccer-league/racing-louisville-vs-houston-dash/1731741/；https://www.fotmob.com/matches/x/x#5161567；https://www.espn.com/soccer/match/_/gameId/401853945/houston-dash-racing-louisville-fc；查询时间：2026-07-18 19:02（北京时间）</x:v>
      </x:c>
      <x:c r="R42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LLL、客队DLLW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3" ht="38" customHeight="1">
      <x:c r="A43" s="65" t="str">
        <x:f>IF(B43="","",TEXT(B43,"yyyy-mm-dd")&amp;"|"&amp;D43&amp;"|"&amp;E43)</x:f>
        <x:v>2026-07-19|中文名待确认（Charleston Battery）|萨克拉门托共和国（Sacramento Republic）</x:v>
      </x:c>
      <x:c r="B43" s="66" t="n">
        <x:v>46222.3125</x:v>
      </x:c>
      <x:c r="C43" s="65" t="str">
        <x:v>美国USL冠军联赛</x:v>
      </x:c>
      <x:c r="D43" s="65" t="str">
        <x:v>中文名待确认（Charleston Battery）</x:v>
      </x:c>
      <x:c r="E43" s="65" t="str">
        <x:v>萨克拉门托共和国（Sacramento Republic）</x:v>
      </x:c>
      <x:c r="F43" s="65" t="str">
        <x:v>无可靠让球盘/只观察｜现有证据不足以形成可执行让球倾向</x:v>
      </x:c>
      <x:c r="G43" s="65" t="str">
        <x:v>无可靠大小球盘/只观察｜现有证据不足以形成可执行总进球倾向</x:v>
      </x:c>
      <x:c r="H43" s="65" t="str">
        <x:v>待确认首发、伤停、双方近5场与主客拆分、亚洲让球/大小球初盘及当前水位；任一市场欧赔&lt;1.80/港水&lt;0.80不进；未满足全部触发条件不进、不加仓</x:v>
      </x:c>
      <x:c r="I43" s="66" t="n">
        <x:v>46221.793217592596</x:v>
      </x:c>
      <x:c r="J43" s="65" t="str">
        <x:v>需复核</x:v>
      </x:c>
      <x:c r="K43" s="65"/>
      <x:c r="L43" s="65"/>
      <x:c r="M43" s="65"/>
      <x:c r="N43" s="549"/>
      <x:c r="O43" s="549"/>
      <x:c r="P43" s="549" t="str">
        <x:f>IF(COUNT(N43:O43)=0,"",SUM(N43:O43))</x:f>
      </x:c>
      <x:c r="Q43" s="65" t="str">
        <x:v>https://www.livescore.mobi/football/usa/usl-championship/charleston-battery-vs-sacramento-republic-fc/1711557/；https://www.fotmob.com/matches/x/x#5109833；https://www.espn.com/soccer/match/_/gameId/401841989/sacramento-republic-fc-charleston-battery；查询时间：2026-07-18 19:02（北京时间）</x:v>
      </x:c>
      <x:c r="R43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WW、客队LW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4" ht="38" customHeight="1">
      <x:c r="A44" s="65" t="str">
        <x:f>IF(B44="","",TEXT(B44,"yyyy-mm-dd")&amp;"|"&amp;D44&amp;"|"&amp;E44)</x:f>
        <x:v>2026-07-19|库斯科（Cusco FC）|中文名待确认（Alianza Atletico）</x:v>
      </x:c>
      <x:c r="B44" s="66" t="n">
        <x:v>46222.3125</x:v>
      </x:c>
      <x:c r="C44" s="65" t="str">
        <x:v>秘鲁甲级联赛（Liga 1）</x:v>
      </x:c>
      <x:c r="D44" s="65" t="str">
        <x:v>库斯科（Cusco FC）</x:v>
      </x:c>
      <x:c r="E44" s="65" t="str">
        <x:v>中文名待确认（Alianza Atletico）</x:v>
      </x:c>
      <x:c r="F44" s="65" t="str">
        <x:v>无可靠让球盘/只观察｜现有证据不足以形成可执行让球倾向</x:v>
      </x:c>
      <x:c r="G44" s="65" t="str">
        <x:v>无可靠大小球盘/只观察｜现有证据不足以形成可执行总进球倾向</x:v>
      </x:c>
      <x:c r="H44" s="65" t="str">
        <x:v>待确认首发、伤停、双方近5场与主客拆分、亚洲让球/大小球初盘及当前水位；任一市场欧赔&lt;1.80/港水&lt;0.80不进；未满足全部触发条件不进、不加仓</x:v>
      </x:c>
      <x:c r="I44" s="66" t="n">
        <x:v>46221.793217592596</x:v>
      </x:c>
      <x:c r="J44" s="65" t="str">
        <x:v>需复核</x:v>
      </x:c>
      <x:c r="K44" s="65"/>
      <x:c r="L44" s="65"/>
      <x:c r="M44" s="65"/>
      <x:c r="N44" s="549"/>
      <x:c r="O44" s="549"/>
      <x:c r="P44" s="549" t="str">
        <x:f>IF(COUNT(N44:O44)=0,"",SUM(N44:O44))</x:f>
      </x:c>
      <x:c r="Q44" s="65" t="str">
        <x:v>https://www.livescore.mobi/football/peru/primera-division-clausura/cusco-fc-vs-alianza-atletico/1806564/；https://www.fotmob.com/matches/x/x#1000013495；https://www.espn.com/soccer/match/_/gameId/401874339/alianza-atletico-cusco-fc；查询时间：2026-07-18 19:02（北京时间）</x:v>
      </x:c>
      <x:c r="R44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WLL、客队LLD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5" ht="38" customHeight="1">
      <x:c r="A45" s="65" t="str">
        <x:f>IF(B45="","",TEXT(B45,"yyyy-mm-dd")&amp;"|"&amp;D45&amp;"|"&amp;E45)</x:f>
        <x:v>2026-07-19|韦恩堡（Fort Wayne FC）|中文名待确认（Greenville Triumph）</x:v>
      </x:c>
      <x:c r="B45" s="66" t="n">
        <x:v>46222.3125</x:v>
      </x:c>
      <x:c r="C45" s="65" t="str">
        <x:v>规范中文名待确认（Regular Season）</x:v>
      </x:c>
      <x:c r="D45" s="65" t="str">
        <x:v>韦恩堡（Fort Wayne FC）</x:v>
      </x:c>
      <x:c r="E45" s="65" t="str">
        <x:v>中文名待确认（Greenville Triumph）</x:v>
      </x:c>
      <x:c r="F45" s="65" t="str">
        <x:v>无可靠让球盘/只观察｜现有证据不足以形成可执行让球倾向</x:v>
      </x:c>
      <x:c r="G45" s="65" t="str">
        <x:v>无可靠大小球盘/只观察｜现有证据不足以形成可执行总进球倾向</x:v>
      </x:c>
      <x:c r="H45" s="65" t="str">
        <x:v>待确认首发、伤停、双方近5场与主客拆分、亚洲让球/大小球初盘及当前水位；任一市场欧赔&lt;1.80/港水&lt;0.80不进；未满足全部触发条件不进、不加仓</x:v>
      </x:c>
      <x:c r="I45" s="66" t="n">
        <x:v>46221.793217592596</x:v>
      </x:c>
      <x:c r="J45" s="65" t="str">
        <x:v>需复核</x:v>
      </x:c>
      <x:c r="K45" s="65"/>
      <x:c r="L45" s="65"/>
      <x:c r="M45" s="65"/>
      <x:c r="N45" s="549"/>
      <x:c r="O45" s="549"/>
      <x:c r="P45" s="549" t="str">
        <x:f>IF(COUNT(N45:O45)=0,"",SUM(N45:O45))</x:f>
      </x:c>
      <x:c r="Q45" s="65" t="str">
        <x:v>https://www.espn.com/soccer/match/_/gameId/401841939/greenville-triumph-fort-wayne；https://www.fotmob.com/matches/x/x#5109465；https://www.livescore.mobi/football/usa/usl-league-one/fort-wayne-fc-vs-greenville-triumph-sc/1711333/；查询时间：2026-07-18 19:02（北京时间）</x:v>
      </x:c>
      <x:c r="R45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WD、客队LDW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6" ht="38" customHeight="1">
      <x:c r="A46" s="65" t="str">
        <x:f>IF(B46="","",TEXT(B46,"yyyy-mm-dd")&amp;"|"&amp;D46&amp;"|"&amp;E46)</x:f>
        <x:v>2026-07-19|诺克斯维尔联（One Knoxville SC）|AV阿尔塔（AV Alta FC）</x:v>
      </x:c>
      <x:c r="B46" s="66" t="n">
        <x:v>46222.3125</x:v>
      </x:c>
      <x:c r="C46" s="65" t="str">
        <x:v>规范中文名待确认（Regular Season）</x:v>
      </x:c>
      <x:c r="D46" s="65" t="str">
        <x:v>诺克斯维尔联（One Knoxville SC）</x:v>
      </x:c>
      <x:c r="E46" s="65" t="str">
        <x:v>AV阿尔塔（AV Alta FC）</x:v>
      </x:c>
      <x:c r="F46" s="65" t="str">
        <x:v>无可靠让球盘/只观察｜现有证据不足以形成可执行让球倾向</x:v>
      </x:c>
      <x:c r="G46" s="65" t="str">
        <x:v>无可靠大小球盘/只观察｜现有证据不足以形成可执行总进球倾向</x:v>
      </x:c>
      <x:c r="H46" s="65" t="str">
        <x:v>待确认首发、伤停、双方近5场与主客拆分、亚洲让球/大小球初盘及当前水位；任一市场欧赔&lt;1.80/港水&lt;0.80不进；未满足全部触发条件不进、不加仓</x:v>
      </x:c>
      <x:c r="I46" s="66" t="n">
        <x:v>46221.793217592596</x:v>
      </x:c>
      <x:c r="J46" s="65" t="str">
        <x:v>需复核</x:v>
      </x:c>
      <x:c r="K46" s="65"/>
      <x:c r="L46" s="65"/>
      <x:c r="M46" s="65"/>
      <x:c r="N46" s="549"/>
      <x:c r="O46" s="549"/>
      <x:c r="P46" s="549" t="str">
        <x:f>IF(COUNT(N46:O46)=0,"",SUM(N46:O46))</x:f>
      </x:c>
      <x:c r="Q46" s="65" t="str">
        <x:v>https://www.espn.com/soccer/match/_/gameId/401841945/av-alta-fc-one-knoxville；https://www.livescore.mobi/football/usa/usl-league-one/one-knoxville-sc-vs-av-alta/1711329/；https://www.fotmob.com/matches/x/x#5109461；查询时间：2026-07-18 19:02（北京时间）</x:v>
      </x:c>
      <x:c r="R46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WWW、客队LWD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7" ht="38" customHeight="1">
      <x:c r="A47" s="65" t="str">
        <x:f>IF(B47="","",TEXT(B47,"yyyy-mm-dd")&amp;"|"&amp;D47&amp;"|"&amp;E47)</x:f>
        <x:v>2026-07-19|罗德岛FC（Rhode Island FC）|中文名待确认（Hartford Athletic）</x:v>
      </x:c>
      <x:c r="B47" s="66" t="n">
        <x:v>46222.3125</x:v>
      </x:c>
      <x:c r="C47" s="65" t="str">
        <x:v>美国USL冠军联赛</x:v>
      </x:c>
      <x:c r="D47" s="65" t="str">
        <x:v>罗德岛FC（Rhode Island FC）</x:v>
      </x:c>
      <x:c r="E47" s="65" t="str">
        <x:v>中文名待确认（Hartford Athletic）</x:v>
      </x:c>
      <x:c r="F47" s="65" t="str">
        <x:v>无可靠让球盘/只观察｜现有证据不足以形成可执行让球倾向</x:v>
      </x:c>
      <x:c r="G47" s="65" t="str">
        <x:v>无可靠大小球盘/只观察｜现有证据不足以形成可执行总进球倾向</x:v>
      </x:c>
      <x:c r="H47" s="65" t="str">
        <x:v>待确认首发、伤停、双方近5场与主客拆分、亚洲让球/大小球初盘及当前水位；任一市场欧赔&lt;1.80/港水&lt;0.80不进；未满足全部触发条件不进、不加仓</x:v>
      </x:c>
      <x:c r="I47" s="66" t="n">
        <x:v>46221.793217592596</x:v>
      </x:c>
      <x:c r="J47" s="65" t="str">
        <x:v>需复核</x:v>
      </x:c>
      <x:c r="K47" s="65"/>
      <x:c r="L47" s="65"/>
      <x:c r="M47" s="65"/>
      <x:c r="N47" s="549"/>
      <x:c r="O47" s="549"/>
      <x:c r="P47" s="549" t="str">
        <x:f>IF(COUNT(N47:O47)=0,"",SUM(N47:O47))</x:f>
      </x:c>
      <x:c r="Q47" s="65" t="str">
        <x:v>https://www.livescore.mobi/football/usa/usl-championship/rhode-island-vs-hartford-athletic/1711563/；https://www.fotmob.com/matches/x/x#5109839；https://www.espn.com/soccer/match/_/gameId/401842001/hartford-athletic-rhode-island-fc；查询时间：2026-07-18 19:02（北京时间）</x:v>
      </x:c>
      <x:c r="R47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DWW、客队WDL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8" ht="38" customHeight="1">
      <x:c r="A48" s="65" t="str">
        <x:f>IF(B48="","",TEXT(B48,"yyyy-mm-dd")&amp;"|"&amp;D48&amp;"|"&amp;E48)</x:f>
        <x:v>2026-07-19|夏洛特独立（Charlotte Independence）|查塔努加红狼（Chattanooga Red Wolves）</x:v>
      </x:c>
      <x:c r="B48" s="66" t="n">
        <x:v>46222.291666666664</x:v>
      </x:c>
      <x:c r="C48" s="65" t="str">
        <x:v>规范中文名待确认（Regular Season）</x:v>
      </x:c>
      <x:c r="D48" s="65" t="str">
        <x:v>夏洛特独立（Charlotte Independence）</x:v>
      </x:c>
      <x:c r="E48" s="65" t="str">
        <x:v>查塔努加红狼（Chattanooga Red Wolves）</x:v>
      </x:c>
      <x:c r="F48" s="65" t="str">
        <x:v>无可靠让球盘/只观察｜现有证据不足以形成可执行让球倾向</x:v>
      </x:c>
      <x:c r="G48" s="65" t="str">
        <x:v>无可靠大小球盘/只观察｜现有证据不足以形成可执行总进球倾向</x:v>
      </x:c>
      <x:c r="H48" s="65" t="str">
        <x:v>待确认首发、伤停、双方近5场与主客拆分、亚洲让球/大小球初盘及当前水位；任一市场欧赔&lt;1.80/港水&lt;0.80不进；未满足全部触发条件不进、不加仓</x:v>
      </x:c>
      <x:c r="I48" s="66" t="n">
        <x:v>46221.793217592596</x:v>
      </x:c>
      <x:c r="J48" s="65" t="str">
        <x:v>需复核</x:v>
      </x:c>
      <x:c r="K48" s="65"/>
      <x:c r="L48" s="65"/>
      <x:c r="M48" s="65"/>
      <x:c r="N48" s="549"/>
      <x:c r="O48" s="549"/>
      <x:c r="P48" s="549" t="str">
        <x:f>IF(COUNT(N48:O48)=0,"",SUM(N48:O48))</x:f>
      </x:c>
      <x:c r="Q48" s="65" t="str">
        <x:v>https://www.espn.com/soccer/match/_/gameId/401841937/chattanooga-red-wolves-charlotte-independence；https://www.livescore.mobi/football/usa/usl-league-one/charlotte-independence-vs-chattanooga-red-wolves-sc/1711328/；https://www.fotmob.com/matches/x/x#5109459；查询时间：2026-07-18 19:02（北京时间）</x:v>
      </x:c>
      <x:c r="R4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WWW、客队WL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49" ht="38" customHeight="1">
      <x:c r="A49" s="65" t="str">
        <x:f>IF(B49="","",TEXT(B49,"yyyy-mm-dd")&amp;"|"&amp;D49&amp;"|"&amp;E49)</x:f>
        <x:v>2026-07-19|中文名待确认（Chattanooga FC）|奥兰多城（Orlando City SC）</x:v>
      </x:c>
      <x:c r="B49" s="66" t="n">
        <x:v>46222.291666666664</x:v>
      </x:c>
      <x:c r="C49" s="65" t="str">
        <x:v>美国MLS Next Pro联赛</x:v>
      </x:c>
      <x:c r="D49" s="65" t="str">
        <x:v>中文名待确认（Chattanooga FC）</x:v>
      </x:c>
      <x:c r="E49" s="65" t="str">
        <x:v>奥兰多城（Orlando City SC）</x:v>
      </x:c>
      <x:c r="F49" s="65" t="str">
        <x:v>无可靠让球盘/只观察｜现有证据不足以形成可执行让球倾向</x:v>
      </x:c>
      <x:c r="G49" s="65" t="str">
        <x:v>无可靠大小球盘/只观察｜现有证据不足以形成可执行总进球倾向</x:v>
      </x:c>
      <x:c r="H49" s="65" t="str">
        <x:v>待确认首发、伤停、双方近5场与主客拆分、亚洲让球/大小球初盘及当前水位；任一市场欧赔&lt;1.80/港水&lt;0.80不进；未满足全部触发条件不进、不加仓</x:v>
      </x:c>
      <x:c r="I49" s="66" t="n">
        <x:v>46221.793217592596</x:v>
      </x:c>
      <x:c r="J49" s="65" t="str">
        <x:v>需复核</x:v>
      </x:c>
      <x:c r="K49" s="65"/>
      <x:c r="L49" s="65"/>
      <x:c r="M49" s="65"/>
      <x:c r="N49" s="549"/>
      <x:c r="O49" s="549"/>
      <x:c r="P49" s="549" t="str">
        <x:f>IF(COUNT(N49:O49)=0,"",SUM(N49:O49))</x:f>
      </x:c>
      <x:c r="Q49" s="65" t="str">
        <x:v>https://www.livescore.mobi/football/usa/mls-next-pro/chattanooga-fc-vs-orlando-city-b/1740436/；https://www.fotmob.com/matches/x/x#1000007654；查询时间：2026-07-18 19:02（北京时间）</x:v>
      </x:c>
      <x:c r="R49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0" ht="38" customHeight="1">
      <x:c r="A50" s="65" t="str">
        <x:f>IF(B50="","",TEXT(B50,"yyyy-mm-dd")&amp;"|"&amp;D50&amp;"|"&amp;E50)</x:f>
        <x:v>2026-07-19|中文名待确认（Cosmos）|科珀斯克里斯蒂FC（Corpus Christi FC）</x:v>
      </x:c>
      <x:c r="B50" s="66" t="n">
        <x:v>46222.291666666664</x:v>
      </x:c>
      <x:c r="C50" s="65" t="str">
        <x:v>美国USL甲级联赛</x:v>
      </x:c>
      <x:c r="D50" s="65" t="str">
        <x:v>中文名待确认（Cosmos）</x:v>
      </x:c>
      <x:c r="E50" s="65" t="str">
        <x:v>科珀斯克里斯蒂FC（Corpus Christi FC）</x:v>
      </x:c>
      <x:c r="F50" s="65" t="str">
        <x:v>无可靠让球盘/只观察｜现有证据不足以形成可执行让球倾向</x:v>
      </x:c>
      <x:c r="G50" s="65" t="str">
        <x:v>无可靠大小球盘/只观察｜现有证据不足以形成可执行总进球倾向</x:v>
      </x:c>
      <x:c r="H50" s="65" t="str">
        <x:v>待确认首发、伤停、双方近5场与主客拆分、亚洲让球/大小球初盘及当前水位；任一市场欧赔&lt;1.80/港水&lt;0.80不进；未满足全部触发条件不进、不加仓</x:v>
      </x:c>
      <x:c r="I50" s="66" t="n">
        <x:v>46221.793217592596</x:v>
      </x:c>
      <x:c r="J50" s="65" t="str">
        <x:v>需复核</x:v>
      </x:c>
      <x:c r="K50" s="65"/>
      <x:c r="L50" s="65"/>
      <x:c r="M50" s="65"/>
      <x:c r="N50" s="549"/>
      <x:c r="O50" s="549"/>
      <x:c r="P50" s="549" t="str">
        <x:f>IF(COUNT(N50:O50)=0,"",SUM(N50:O50))</x:f>
      </x:c>
      <x:c r="Q50" s="65" t="str">
        <x:v>https://www.fotmob.com/matches/x/x#5109460；https://www.livescore.mobi/football/usa/usl-league-one/new-york-cosmos-vs-corpus-christi/1711331/；https://www.espn.com/soccer/match/_/gameId/401841943/corpus-christi-fc-new-york-cosmos；查询时间：2026-07-18 19:02（北京时间）</x:v>
      </x:c>
      <x:c r="R50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LLL、客队LWL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1" ht="38" customHeight="1">
      <x:c r="A51" s="65" t="str">
        <x:f>IF(B51="","",TEXT(B51,"yyyy-mm-dd")&amp;"|"&amp;D51&amp;"|"&amp;E51)</x:f>
        <x:v>2026-07-19|底特律城（Detroit City FC）|印第十一人（Indy Eleven）</x:v>
      </x:c>
      <x:c r="B51" s="66" t="n">
        <x:v>46222.291666666664</x:v>
      </x:c>
      <x:c r="C51" s="65" t="str">
        <x:v>美国USL冠军联赛</x:v>
      </x:c>
      <x:c r="D51" s="65" t="str">
        <x:v>底特律城（Detroit City FC）</x:v>
      </x:c>
      <x:c r="E51" s="65" t="str">
        <x:v>印第十一人（Indy Eleven）</x:v>
      </x:c>
      <x:c r="F51" s="65" t="str">
        <x:v>无可靠让球盘/只观察｜现有证据不足以形成可执行让球倾向</x:v>
      </x:c>
      <x:c r="G51" s="65" t="str">
        <x:v>无可靠大小球盘/只观察｜现有证据不足以形成可执行总进球倾向</x:v>
      </x:c>
      <x:c r="H51" s="65" t="str">
        <x:v>待确认首发、伤停、双方近5场与主客拆分、亚洲让球/大小球初盘及当前水位；任一市场欧赔&lt;1.80/港水&lt;0.80不进；未满足全部触发条件不进、不加仓</x:v>
      </x:c>
      <x:c r="I51" s="66" t="n">
        <x:v>46221.793217592596</x:v>
      </x:c>
      <x:c r="J51" s="65" t="str">
        <x:v>需复核</x:v>
      </x:c>
      <x:c r="K51" s="65"/>
      <x:c r="L51" s="65"/>
      <x:c r="M51" s="65"/>
      <x:c r="N51" s="549"/>
      <x:c r="O51" s="549"/>
      <x:c r="P51" s="549" t="str">
        <x:f>IF(COUNT(N51:O51)=0,"",SUM(N51:O51))</x:f>
      </x:c>
      <x:c r="Q51" s="65" t="str">
        <x:v>https://www.livescore.mobi/football/usa/usl-championship/detroit-city-fc-vs-indy-eleven/1711559/；https://www.fotmob.com/matches/x/x#5109834；https://www.espn.com/soccer/match/_/gameId/401841991/indy-eleven-detroit-city-fc；查询时间：2026-07-18 19:02（北京时间）</x:v>
      </x:c>
      <x:c r="R51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LWD、客队LWW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2" ht="38" customHeight="1">
      <x:c r="A52" s="65" t="str">
        <x:f>IF(B52="","",TEXT(B52,"yyyy-mm-dd")&amp;"|"&amp;D52&amp;"|"&amp;E52)</x:f>
        <x:v>2026-07-19|中文名待确认（Houston Dynamo 2）|中文名待确认（Colorado Rapids 2）</x:v>
      </x:c>
      <x:c r="B52" s="66" t="n">
        <x:v>46222.291666666664</x:v>
      </x:c>
      <x:c r="C52" s="65" t="str">
        <x:v>美国MLS Next Pro联赛</x:v>
      </x:c>
      <x:c r="D52" s="65" t="str">
        <x:v>中文名待确认（Houston Dynamo 2）</x:v>
      </x:c>
      <x:c r="E52" s="65" t="str">
        <x:v>中文名待确认（Colorado Rapids 2）</x:v>
      </x:c>
      <x:c r="F52" s="65" t="str">
        <x:v>无可靠让球盘/只观察｜现有证据不足以形成可执行让球倾向</x:v>
      </x:c>
      <x:c r="G52" s="65" t="str">
        <x:v>无可靠大小球盘/只观察｜现有证据不足以形成可执行总进球倾向</x:v>
      </x:c>
      <x:c r="H52" s="65" t="str">
        <x:v>待确认首发、伤停、双方近5场与主客拆分、亚洲让球/大小球初盘及当前水位；任一市场欧赔&lt;1.80/港水&lt;0.80不进；未满足全部触发条件不进、不加仓</x:v>
      </x:c>
      <x:c r="I52" s="66" t="n">
        <x:v>46221.793217592596</x:v>
      </x:c>
      <x:c r="J52" s="65" t="str">
        <x:v>需复核</x:v>
      </x:c>
      <x:c r="K52" s="65"/>
      <x:c r="L52" s="65"/>
      <x:c r="M52" s="65"/>
      <x:c r="N52" s="549"/>
      <x:c r="O52" s="549"/>
      <x:c r="P52" s="549" t="str">
        <x:f>IF(COUNT(N52:O52)=0,"",SUM(N52:O52))</x:f>
      </x:c>
      <x:c r="Q52" s="65" t="str">
        <x:v>https://www.fotmob.com/matches/x/x#1000007655；https://www.livescore.mobi/football/usa/mls-next-pro/houston-dynamo-ii-vs-colorado-rapids-ii/1740433/；查询时间：2026-07-18 19:02（北京时间）</x:v>
      </x:c>
      <x:c r="R52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3" ht="38" customHeight="1">
      <x:c r="A53" s="65" t="str">
        <x:f>IF(B53="","",TEXT(B53,"yyyy-mm-dd")&amp;"|"&amp;D53&amp;"|"&amp;E53)</x:f>
        <x:v>2026-07-19|中文名待确认（Loudoun United）|中文名待确认（Tampa Bay Rowdies）</x:v>
      </x:c>
      <x:c r="B53" s="66" t="n">
        <x:v>46222.291666666664</x:v>
      </x:c>
      <x:c r="C53" s="65" t="str">
        <x:v>美国USL冠军联赛</x:v>
      </x:c>
      <x:c r="D53" s="65" t="str">
        <x:v>中文名待确认（Loudoun United）</x:v>
      </x:c>
      <x:c r="E53" s="65" t="str">
        <x:v>中文名待确认（Tampa Bay Rowdies）</x:v>
      </x:c>
      <x:c r="F53" s="65" t="str">
        <x:v>无可靠让球盘/只观察｜现有证据不足以形成可执行让球倾向</x:v>
      </x:c>
      <x:c r="G53" s="65" t="str">
        <x:v>无可靠大小球盘/只观察｜现有证据不足以形成可执行总进球倾向</x:v>
      </x:c>
      <x:c r="H53" s="65" t="str">
        <x:v>待确认首发、伤停、双方近5场与主客拆分、亚洲让球/大小球初盘及当前水位；任一市场欧赔&lt;1.80/港水&lt;0.80不进；未满足全部触发条件不进、不加仓</x:v>
      </x:c>
      <x:c r="I53" s="66" t="n">
        <x:v>46221.793217592596</x:v>
      </x:c>
      <x:c r="J53" s="65" t="str">
        <x:v>需复核</x:v>
      </x:c>
      <x:c r="K53" s="65"/>
      <x:c r="L53" s="65"/>
      <x:c r="M53" s="65"/>
      <x:c r="N53" s="549"/>
      <x:c r="O53" s="549"/>
      <x:c r="P53" s="549" t="str">
        <x:f>IF(COUNT(N53:O53)=0,"",SUM(N53:O53))</x:f>
      </x:c>
      <x:c r="Q53" s="65" t="str">
        <x:v>https://www.livescore.mobi/football/usa/usl-championship/loudoun-united-vs-tampa-bay-rowdies/1711561/；https://www.fotmob.com/matches/x/x#5109836；https://www.espn.com/soccer/match/_/gameId/401841995/tampa-bay-rowdies-loudoun-united-fc；查询时间：2026-07-18 19:02（北京时间）</x:v>
      </x:c>
      <x:c r="R53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LDL、客队WLW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4" ht="38" customHeight="1">
      <x:c r="A54" s="65" t="str">
        <x:f>IF(B54="","",TEXT(B54,"yyyy-mm-dd")&amp;"|"&amp;D54&amp;"|"&amp;E54)</x:f>
        <x:v>2026-07-19|中文名待确认（Pumas）|帕丘卡（Pachuca）</x:v>
      </x:c>
      <x:c r="B54" s="66" t="n">
        <x:v>46222.291666666664</x:v>
      </x:c>
      <x:c r="C54" s="65" t="str">
        <x:v>墨西哥超级联赛（Liga MX）</x:v>
      </x:c>
      <x:c r="D54" s="65" t="str">
        <x:v>中文名待确认（Pumas）</x:v>
      </x:c>
      <x:c r="E54" s="65" t="str">
        <x:v>帕丘卡（Pachuca）</x:v>
      </x:c>
      <x:c r="F54" s="65" t="str">
        <x:v>无可靠让球盘/只观察｜现有证据不足以形成可执行让球倾向</x:v>
      </x:c>
      <x:c r="G54" s="65" t="str">
        <x:v>无可靠大小球盘/只观察｜现有证据不足以形成可执行总进球倾向</x:v>
      </x:c>
      <x:c r="H54" s="65" t="str">
        <x:v>待确认首发、伤停、双方近5场与主客拆分、亚洲让球/大小球初盘及当前水位；任一市场欧赔&lt;1.80/港水&lt;0.80不进；未满足全部触发条件不进、不加仓</x:v>
      </x:c>
      <x:c r="I54" s="66" t="n">
        <x:v>46221.793217592596</x:v>
      </x:c>
      <x:c r="J54" s="65" t="str">
        <x:v>需复核</x:v>
      </x:c>
      <x:c r="K54" s="65"/>
      <x:c r="L54" s="65"/>
      <x:c r="M54" s="65"/>
      <x:c r="N54" s="549"/>
      <x:c r="O54" s="549"/>
      <x:c r="P54" s="549" t="str">
        <x:f>IF(COUNT(N54:O54)=0,"",SUM(N54:O54))</x:f>
      </x:c>
      <x:c r="Q54" s="65" t="str">
        <x:v>https://www.livescore.mobi/football/mexico/liga-mx-apertura/pumas-vs-pachuca/1798951/；https://www.fotmob.com/matches/x/x#1000014504；https://www.espn.com/soccer/match/_/gameId/401877040/pachuca-pumas-unam；查询时间：2026-07-18 19:02（北京时间）</x:v>
      </x:c>
      <x:c r="R54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WLD、客队LWW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5" ht="38" customHeight="1">
      <x:c r="A55" s="65" t="str">
        <x:f>IF(B55="","",TEXT(B55,"yyyy-mm-dd")&amp;"|"&amp;D55&amp;"|"&amp;E55)</x:f>
        <x:v>2026-07-19|里士满踢球者（Richmond Kickers）|中文名待确认（Spokane Velocity）</x:v>
      </x:c>
      <x:c r="B55" s="66" t="n">
        <x:v>46222.291666666664</x:v>
      </x:c>
      <x:c r="C55" s="65" t="str">
        <x:v>美国USL甲级联赛</x:v>
      </x:c>
      <x:c r="D55" s="65" t="str">
        <x:v>里士满踢球者（Richmond Kickers）</x:v>
      </x:c>
      <x:c r="E55" s="65" t="str">
        <x:v>中文名待确认（Spokane Velocity）</x:v>
      </x:c>
      <x:c r="F55" s="65" t="str">
        <x:v>无可靠让球盘/只观察｜现有证据不足以形成可执行让球倾向</x:v>
      </x:c>
      <x:c r="G55" s="65" t="str">
        <x:v>无可靠大小球盘/只观察｜现有证据不足以形成可执行总进球倾向</x:v>
      </x:c>
      <x:c r="H55" s="65" t="str">
        <x:v>待确认首发、伤停、双方近5场与主客拆分、亚洲让球/大小球初盘及当前水位；任一市场欧赔&lt;1.80/港水&lt;0.80不进；未满足全部触发条件不进、不加仓</x:v>
      </x:c>
      <x:c r="I55" s="66" t="n">
        <x:v>46221.793217592596</x:v>
      </x:c>
      <x:c r="J55" s="65" t="str">
        <x:v>需复核</x:v>
      </x:c>
      <x:c r="K55" s="65"/>
      <x:c r="L55" s="65"/>
      <x:c r="M55" s="65"/>
      <x:c r="N55" s="549"/>
      <x:c r="O55" s="549"/>
      <x:c r="P55" s="549" t="str">
        <x:f>IF(COUNT(N55:O55)=0,"",SUM(N55:O55))</x:f>
      </x:c>
      <x:c r="Q55" s="65" t="str">
        <x:v>https://www.livescore.mobi/football/usa/usl-league-one/richmond-kickers-vs-spokane-velocity/1711330/；https://www.fotmob.com/matches/x/x#5109462；https://www.espn.com/soccer/match/_/gameId/401841947/spokane-velocity-fc-richmond-kickers；查询时间：2026-07-18 19:02（北京时间）</x:v>
      </x:c>
      <x:c r="R55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DLL、客队WLL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6" ht="38" customHeight="1">
      <x:c r="A56" s="65" t="str">
        <x:f>IF(B56="","",TEXT(B56,"yyyy-mm-dd")&amp;"|"&amp;D56&amp;"|"&amp;E56)</x:f>
        <x:v>2026-07-19|杰克逊维尔竞技（Sporting JAX）|中文名待确认（Brooklyn）</x:v>
      </x:c>
      <x:c r="B56" s="66" t="n">
        <x:v>46222.291666666664</x:v>
      </x:c>
      <x:c r="C56" s="65" t="str">
        <x:v>美国USL冠军联赛</x:v>
      </x:c>
      <x:c r="D56" s="65" t="str">
        <x:v>杰克逊维尔竞技（Sporting JAX）</x:v>
      </x:c>
      <x:c r="E56" s="65" t="str">
        <x:v>中文名待确认（Brooklyn）</x:v>
      </x:c>
      <x:c r="F56" s="65" t="str">
        <x:v>无可靠让球盘/只观察｜现有证据不足以形成可执行让球倾向</x:v>
      </x:c>
      <x:c r="G56" s="65" t="str">
        <x:v>无可靠大小球盘/只观察｜现有证据不足以形成可执行总进球倾向</x:v>
      </x:c>
      <x:c r="H56" s="65" t="str">
        <x:v>待确认首发、伤停、双方近5场与主客拆分、亚洲让球/大小球初盘及当前水位；任一市场欧赔&lt;1.80/港水&lt;0.80不进；未满足全部触发条件不进、不加仓</x:v>
      </x:c>
      <x:c r="I56" s="66" t="n">
        <x:v>46221.793217592596</x:v>
      </x:c>
      <x:c r="J56" s="65" t="str">
        <x:v>需复核</x:v>
      </x:c>
      <x:c r="K56" s="65"/>
      <x:c r="L56" s="65"/>
      <x:c r="M56" s="65"/>
      <x:c r="N56" s="549"/>
      <x:c r="O56" s="549"/>
      <x:c r="P56" s="549" t="str">
        <x:f>IF(COUNT(N56:O56)=0,"",SUM(N56:O56))</x:f>
      </x:c>
      <x:c r="Q56" s="65" t="str">
        <x:v>https://www.fotmob.com/matches/x/x#5109841；https://www.espn.com/soccer/match/_/gameId/401842005/brooklyn-fc-sporting-jax；https://www.livescore.mobi/football/usa/usl-championship/sporting-jax-vs-brooklyn/1711560/；查询时间：2026-07-18 19:02（北京时间）</x:v>
      </x:c>
      <x:c r="R56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LLL、客队LWL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7" ht="38" customHeight="1">
      <x:c r="A57" s="65" t="str">
        <x:f>IF(B57="","",TEXT(B57,"yyyy-mm-dd")&amp;"|"&amp;D57&amp;"|"&amp;E57)</x:f>
        <x:v>2026-07-19|中文名待确认（St. Louis City 2）|中文名待确认（Portland Timbers 2）</x:v>
      </x:c>
      <x:c r="B57" s="66" t="n">
        <x:v>46222.291666666664</x:v>
      </x:c>
      <x:c r="C57" s="65" t="str">
        <x:v>美国MLS Next Pro联赛</x:v>
      </x:c>
      <x:c r="D57" s="65" t="str">
        <x:v>中文名待确认（St. Louis City 2）</x:v>
      </x:c>
      <x:c r="E57" s="65" t="str">
        <x:v>中文名待确认（Portland Timbers 2）</x:v>
      </x:c>
      <x:c r="F57" s="65" t="str">
        <x:v>无可靠让球盘/只观察｜现有证据不足以形成可执行让球倾向</x:v>
      </x:c>
      <x:c r="G57" s="65" t="str">
        <x:v>无可靠大小球盘/只观察｜现有证据不足以形成可执行总进球倾向</x:v>
      </x:c>
      <x:c r="H57" s="65" t="str">
        <x:v>待确认首发、伤停、双方近5场与主客拆分、亚洲让球/大小球初盘及当前水位；任一市场欧赔&lt;1.80/港水&lt;0.80不进；未满足全部触发条件不进、不加仓</x:v>
      </x:c>
      <x:c r="I57" s="66" t="n">
        <x:v>46221.793217592596</x:v>
      </x:c>
      <x:c r="J57" s="65" t="str">
        <x:v>需复核</x:v>
      </x:c>
      <x:c r="K57" s="65"/>
      <x:c r="L57" s="65"/>
      <x:c r="M57" s="65"/>
      <x:c r="N57" s="549"/>
      <x:c r="O57" s="549"/>
      <x:c r="P57" s="549" t="str">
        <x:f>IF(COUNT(N57:O57)=0,"",SUM(N57:O57))</x:f>
      </x:c>
      <x:c r="Q57" s="65" t="str">
        <x:v>https://www.fotmob.com/matches/x/x#1000007657；https://www.livescore.mobi/football/usa/mls-next-pro/st-louis-city-ii-vs-portland-timbers-ii/1740432/；查询时间：2026-07-18 19:02（北京时间）</x:v>
      </x:c>
      <x:c r="R57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8" ht="38" customHeight="1">
      <x:c r="A58" s="65" t="str">
        <x:f>IF(B58="","",TEXT(B58,"yyyy-mm-dd")&amp;"|"&amp;D58&amp;"|"&amp;E58)</x:f>
        <x:v>2026-07-19|奥马哈联盟（Union Omaha SC）|中文名待确认（Westchester SC）</x:v>
      </x:c>
      <x:c r="B58" s="66" t="n">
        <x:v>46222.291666666664</x:v>
      </x:c>
      <x:c r="C58" s="65" t="str">
        <x:v>美国USL甲级联赛</x:v>
      </x:c>
      <x:c r="D58" s="65" t="str">
        <x:v>奥马哈联盟（Union Omaha SC）</x:v>
      </x:c>
      <x:c r="E58" s="65" t="str">
        <x:v>中文名待确认（Westchester SC）</x:v>
      </x:c>
      <x:c r="F58" s="65" t="str">
        <x:v>无可靠让球盘/只观察｜现有证据不足以形成可执行让球倾向</x:v>
      </x:c>
      <x:c r="G58" s="65" t="str">
        <x:v>无可靠大小球盘/只观察｜现有证据不足以形成可执行总进球倾向</x:v>
      </x:c>
      <x:c r="H58" s="65" t="str">
        <x:v>待确认首发、伤停、双方近5场与主客拆分、亚洲让球/大小球初盘及当前水位；任一市场欧赔&lt;1.80/港水&lt;0.80不进；未满足全部触发条件不进、不加仓</x:v>
      </x:c>
      <x:c r="I58" s="66" t="n">
        <x:v>46221.793217592596</x:v>
      </x:c>
      <x:c r="J58" s="65" t="str">
        <x:v>需复核</x:v>
      </x:c>
      <x:c r="K58" s="65"/>
      <x:c r="L58" s="65"/>
      <x:c r="M58" s="65"/>
      <x:c r="N58" s="549"/>
      <x:c r="O58" s="549"/>
      <x:c r="P58" s="549" t="str">
        <x:f>IF(COUNT(N58:O58)=0,"",SUM(N58:O58))</x:f>
      </x:c>
      <x:c r="Q58" s="65" t="str">
        <x:v>https://www.livescore.mobi/football/usa/usl-league-one/union-omaha-vs-westchester-sc/1711332/；https://www.fotmob.com/matches/x/x#5109463；https://www.espn.com/soccer/match/_/gameId/401841949/westchester-sc-union-omaha；查询时间：2026-07-18 19:02（北京时间）</x:v>
      </x:c>
      <x:c r="R5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LLL、客队LLL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59" ht="38" customHeight="1">
      <x:c r="A59" s="65" t="str">
        <x:f>IF(B59="","",TEXT(B59,"yyyy-mm-dd")&amp;"|"&amp;D59&amp;"|"&amp;E59)</x:f>
        <x:v>2026-07-19|中文名待确认（Chicago Red Stars）|中文名待确认（Angel City FC）</x:v>
      </x:c>
      <x:c r="B59" s="66" t="n">
        <x:v>46222.270833333336</x:v>
      </x:c>
      <x:c r="C59" s="65" t="str">
        <x:v>美国国家女子足球联赛（NWSL）</x:v>
      </x:c>
      <x:c r="D59" s="65" t="str">
        <x:v>中文名待确认（Chicago Red Stars）</x:v>
      </x:c>
      <x:c r="E59" s="65" t="str">
        <x:v>中文名待确认（Angel City FC）</x:v>
      </x:c>
      <x:c r="F59" s="65" t="str">
        <x:v>无可靠让球盘/只观察｜现有证据不足以形成可执行让球倾向</x:v>
      </x:c>
      <x:c r="G59" s="65" t="str">
        <x:v>无可靠大小球盘/只观察｜现有证据不足以形成可执行总进球倾向</x:v>
      </x:c>
      <x:c r="H59" s="65" t="str">
        <x:v>待确认首发、伤停、双方近5场与主客拆分、亚洲让球/大小球初盘及当前水位；任一市场欧赔&lt;1.80/港水&lt;0.80不进；未满足全部触发条件不进、不加仓</x:v>
      </x:c>
      <x:c r="I59" s="66" t="n">
        <x:v>46221.793217592596</x:v>
      </x:c>
      <x:c r="J59" s="65" t="str">
        <x:v>需复核</x:v>
      </x:c>
      <x:c r="K59" s="65"/>
      <x:c r="L59" s="65"/>
      <x:c r="M59" s="65"/>
      <x:c r="N59" s="549"/>
      <x:c r="O59" s="549"/>
      <x:c r="P59" s="549" t="str">
        <x:f>IF(COUNT(N59:O59)=0,"",SUM(N59:O59))</x:f>
      </x:c>
      <x:c r="Q59" s="65" t="str">
        <x:v>https://www.livescore.mobi/football/usa/national-womens-soccer-league/chicago-red-stars-vs-angel-city-fc/1731745/；https://www.fotmob.com/matches/x/x#5161566；https://www.espn.com/soccer/match/_/gameId/401853944/angel-city-fc-chicago-stars-fc；查询时间：2026-07-18 19:02（北京时间）</x:v>
      </x:c>
      <x:c r="R59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LWL、客队WWL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0" ht="38" customHeight="1">
      <x:c r="A60" s="65" t="str">
        <x:f>IF(B60="","",TEXT(B60,"yyyy-mm-dd")&amp;"|"&amp;D60&amp;"|"&amp;E60)</x:f>
        <x:v>2026-07-19|中文名待确认（Oriental）|飓风（Huracán）</x:v>
      </x:c>
      <x:c r="B60" s="66" t="n">
        <x:v>46222.270833333336</x:v>
      </x:c>
      <x:c r="C60" s="65" t="str">
        <x:v>规范中文名待确认（Uruguay - Segunda División）</x:v>
      </x:c>
      <x:c r="D60" s="65" t="str">
        <x:v>中文名待确认（Oriental）</x:v>
      </x:c>
      <x:c r="E60" s="65" t="str">
        <x:v>飓风（Huracán）</x:v>
      </x:c>
      <x:c r="F60" s="65" t="str">
        <x:v>无可靠让球盘/只观察｜现有证据不足以形成可执行让球倾向</x:v>
      </x:c>
      <x:c r="G60" s="65" t="str">
        <x:v>无可靠大小球盘/只观察｜现有证据不足以形成可执行总进球倾向</x:v>
      </x:c>
      <x:c r="H60" s="65" t="str">
        <x:v>待确认首发、伤停、双方近5场与主客拆分、亚洲让球/大小球初盘及当前水位；任一市场欧赔&lt;1.80/港水&lt;0.80不进；未满足全部触发条件不进、不加仓</x:v>
      </x:c>
      <x:c r="I60" s="66" t="n">
        <x:v>46221.793217592596</x:v>
      </x:c>
      <x:c r="J60" s="65" t="str">
        <x:v>需复核</x:v>
      </x:c>
      <x:c r="K60" s="65"/>
      <x:c r="L60" s="65"/>
      <x:c r="M60" s="65"/>
      <x:c r="N60" s="549"/>
      <x:c r="O60" s="549"/>
      <x:c r="P60" s="549" t="str">
        <x:f>IF(COUNT(N60:O60)=0,"",SUM(N60:O60))</x:f>
      </x:c>
      <x:c r="Q60" s="65" t="str">
        <x:v>https://www.livescore.mobi/football/uruguay/segunda-division/oriental-vs-huracan-fc/1820689/；https://www.fotmob.com/matches/x/x#5904127；查询时间：2026-07-18 19:02（北京时间）</x:v>
      </x:c>
      <x:c r="R60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1" ht="38" customHeight="1">
      <x:c r="A61" s="65" t="str">
        <x:f>IF(B61="","",TEXT(B61,"yyyy-mm-dd")&amp;"|"&amp;D61&amp;"|"&amp;E61)</x:f>
        <x:v>2026-07-19|中文名待确认（Bandeirante）|中文名待确认（Linense）</x:v>
      </x:c>
      <x:c r="B61" s="66" t="n">
        <x:v>46222.25</x:v>
      </x:c>
      <x:c r="C61" s="65" t="str">
        <x:v>规范中文名待确认（BRA - Copa Paulista）</x:v>
      </x:c>
      <x:c r="D61" s="65" t="str">
        <x:v>中文名待确认（Bandeirante）</x:v>
      </x:c>
      <x:c r="E61" s="65" t="str">
        <x:v>中文名待确认（Linense）</x:v>
      </x:c>
      <x:c r="F61" s="65" t="str">
        <x:v>无可靠让球盘/只观察｜现有证据不足以形成可执行让球倾向</x:v>
      </x:c>
      <x:c r="G61" s="65" t="str">
        <x:v>无可靠大小球盘/只观察｜现有证据不足以形成可执行总进球倾向</x:v>
      </x:c>
      <x:c r="H61" s="65" t="str">
        <x:v>待确认首发、伤停、双方近5场与主客拆分、亚洲让球/大小球初盘及当前水位；任一市场欧赔&lt;1.80/港水&lt;0.80不进；未满足全部触发条件不进、不加仓</x:v>
      </x:c>
      <x:c r="I61" s="66" t="n">
        <x:v>46221.793217592596</x:v>
      </x:c>
      <x:c r="J61" s="65" t="str">
        <x:v>需复核</x:v>
      </x:c>
      <x:c r="K61" s="65"/>
      <x:c r="L61" s="65"/>
      <x:c r="M61" s="65"/>
      <x:c r="N61" s="549"/>
      <x:c r="O61" s="549"/>
      <x:c r="P61" s="549" t="str">
        <x:f>IF(COUNT(N61:O61)=0,"",SUM(N61:O61))</x:f>
      </x:c>
      <x:c r="Q61" s="65" t="str">
        <x:v>https://www.fotmob.com/matches/x/x#1000011183；查询时间：2026-07-18 19:02（北京时间）</x:v>
      </x:c>
      <x:c r="R61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62" ht="38" customHeight="1">
      <x:c r="A62" s="65" t="str">
        <x:f>IF(B62="","",TEXT(B62,"yyyy-mm-dd")&amp;"|"&amp;D62&amp;"|"&amp;E62)</x:f>
        <x:v>2026-07-19|中文名待确认（Columbus Crew 2）|费城联合（Philadelphia Union）</x:v>
      </x:c>
      <x:c r="B62" s="66" t="n">
        <x:v>46222.25</x:v>
      </x:c>
      <x:c r="C62" s="65" t="str">
        <x:v>美国MLS Next Pro联赛</x:v>
      </x:c>
      <x:c r="D62" s="65" t="str">
        <x:v>中文名待确认（Columbus Crew 2）</x:v>
      </x:c>
      <x:c r="E62" s="65" t="str">
        <x:v>费城联合（Philadelphia Union）</x:v>
      </x:c>
      <x:c r="F62" s="65" t="str">
        <x:v>无可靠让球盘/只观察｜现有证据不足以形成可执行让球倾向</x:v>
      </x:c>
      <x:c r="G62" s="65" t="str">
        <x:v>无可靠大小球盘/只观察｜现有证据不足以形成可执行总进球倾向</x:v>
      </x:c>
      <x:c r="H62" s="65" t="str">
        <x:v>待确认首发、伤停、双方近5场与主客拆分、亚洲让球/大小球初盘及当前水位；任一市场欧赔&lt;1.80/港水&lt;0.80不进；未满足全部触发条件不进、不加仓</x:v>
      </x:c>
      <x:c r="I62" s="66" t="n">
        <x:v>46221.793217592596</x:v>
      </x:c>
      <x:c r="J62" s="65" t="str">
        <x:v>需复核</x:v>
      </x:c>
      <x:c r="K62" s="65"/>
      <x:c r="L62" s="65"/>
      <x:c r="M62" s="65"/>
      <x:c r="N62" s="549"/>
      <x:c r="O62" s="549"/>
      <x:c r="P62" s="549" t="str">
        <x:f>IF(COUNT(N62:O62)=0,"",SUM(N62:O62))</x:f>
      </x:c>
      <x:c r="Q62" s="65" t="str">
        <x:v>https://www.fotmob.com/matches/x/x#1000007652；https://www.livescore.mobi/football/usa/mls-next-pro/columbus-crew-ii-vs-philadelphia-union-ii/1740429/；查询时间：2026-07-18 19:02（北京时间）</x:v>
      </x:c>
      <x:c r="R62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3" ht="38" customHeight="1">
      <x:c r="A63" s="65" t="str">
        <x:f>IF(B63="","",TEXT(B63,"yyyy-mm-dd")&amp;"|"&amp;D63&amp;"|"&amp;E63)</x:f>
        <x:v>2026-07-19|中文名待确认（Luverdense）|中文名待确认（ABC）</x:v>
      </x:c>
      <x:c r="B63" s="66" t="n">
        <x:v>46222.25</x:v>
      </x:c>
      <x:c r="C63" s="65" t="str">
        <x:v>巴西丁级联赛（Serie D）</x:v>
      </x:c>
      <x:c r="D63" s="65" t="str">
        <x:v>中文名待确认（Luverdense）</x:v>
      </x:c>
      <x:c r="E63" s="65" t="str">
        <x:v>中文名待确认（ABC）</x:v>
      </x:c>
      <x:c r="F63" s="65" t="str">
        <x:v>无可靠让球盘/只观察｜现有证据不足以形成可执行让球倾向</x:v>
      </x:c>
      <x:c r="G63" s="65" t="str">
        <x:v>无可靠大小球盘/只观察｜现有证据不足以形成可执行总进球倾向</x:v>
      </x:c>
      <x:c r="H63" s="65" t="str">
        <x:v>待确认首发、伤停、双方近5场与主客拆分、亚洲让球/大小球初盘及当前水位；任一市场欧赔&lt;1.80/港水&lt;0.80不进；未满足全部触发条件不进、不加仓</x:v>
      </x:c>
      <x:c r="I63" s="66" t="n">
        <x:v>46221.793217592596</x:v>
      </x:c>
      <x:c r="J63" s="65" t="str">
        <x:v>需复核</x:v>
      </x:c>
      <x:c r="K63" s="65"/>
      <x:c r="L63" s="65"/>
      <x:c r="M63" s="65"/>
      <x:c r="N63" s="549"/>
      <x:c r="O63" s="549"/>
      <x:c r="P63" s="549" t="str">
        <x:f>IF(COUNT(N63:O63)=0,"",SUM(N63:O63))</x:f>
      </x:c>
      <x:c r="Q63" s="65" t="str">
        <x:v>https://www.livescore.mobi/football/brazil/serie-d-play-off/luverdense-vs-abc/1836842/；https://www.fotmob.com/matches/x/x#1000017518；查询时间：2026-07-18 19:02（北京时间）</x:v>
      </x:c>
      <x:c r="R63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4" ht="38" customHeight="1">
      <x:c r="A64" s="65" t="str">
        <x:f>IF(B64="","",TEXT(B64,"yyyy-mm-dd")&amp;"|"&amp;D64&amp;"|"&amp;E64)</x:f>
        <x:v>2026-07-19|中文名待确认（Crown Legacy）|芝加哥火焰（Chicago Fire）</x:v>
      </x:c>
      <x:c r="B64" s="66" t="n">
        <x:v>46222.229166666664</x:v>
      </x:c>
      <x:c r="C64" s="65" t="str">
        <x:v>美国MLS Next Pro联赛</x:v>
      </x:c>
      <x:c r="D64" s="65" t="str">
        <x:v>中文名待确认（Crown Legacy）</x:v>
      </x:c>
      <x:c r="E64" s="65" t="str">
        <x:v>芝加哥火焰（Chicago Fire）</x:v>
      </x:c>
      <x:c r="F64" s="65" t="str">
        <x:v>无可靠让球盘/只观察｜现有证据不足以形成可执行让球倾向</x:v>
      </x:c>
      <x:c r="G64" s="65" t="str">
        <x:v>无可靠大小球盘/只观察｜现有证据不足以形成可执行总进球倾向</x:v>
      </x:c>
      <x:c r="H64" s="65" t="str">
        <x:v>待确认首发、伤停、双方近5场与主客拆分、亚洲让球/大小球初盘及当前水位；任一市场欧赔&lt;1.80/港水&lt;0.80不进；未满足全部触发条件不进、不加仓</x:v>
      </x:c>
      <x:c r="I64" s="66" t="n">
        <x:v>46221.793217592596</x:v>
      </x:c>
      <x:c r="J64" s="65" t="str">
        <x:v>需复核</x:v>
      </x:c>
      <x:c r="K64" s="65"/>
      <x:c r="L64" s="65"/>
      <x:c r="M64" s="65"/>
      <x:c r="N64" s="549"/>
      <x:c r="O64" s="549"/>
      <x:c r="P64" s="549" t="str">
        <x:f>IF(COUNT(N64:O64)=0,"",SUM(N64:O64))</x:f>
      </x:c>
      <x:c r="Q64" s="65" t="str">
        <x:v>https://www.livescore.mobi/football/usa/mls-next-pro/crown-legacy-vs-chicago-fire-fc-ii/1740430/；https://www.fotmob.com/matches/x/x#1000007651；查询时间：2026-07-18 19:02（北京时间）</x:v>
      </x:c>
      <x:c r="R6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5" ht="38" customHeight="1">
      <x:c r="A65" s="65" t="str">
        <x:f>IF(B65="","",TEXT(B65,"yyyy-mm-dd")&amp;"|"&amp;D65&amp;"|"&amp;E65)</x:f>
        <x:v>2026-07-19|中文名待确认（Goiatuba SC）|中文名待确认（Ferroviario）</x:v>
      </x:c>
      <x:c r="B65" s="66" t="n">
        <x:v>46222.229166666664</x:v>
      </x:c>
      <x:c r="C65" s="65" t="str">
        <x:v>巴西丁级联赛（Serie D）</x:v>
      </x:c>
      <x:c r="D65" s="65" t="str">
        <x:v>中文名待确认（Goiatuba SC）</x:v>
      </x:c>
      <x:c r="E65" s="65" t="str">
        <x:v>中文名待确认（Ferroviario）</x:v>
      </x:c>
      <x:c r="F65" s="65" t="str">
        <x:v>无可靠让球盘/只观察｜现有证据不足以形成可执行让球倾向</x:v>
      </x:c>
      <x:c r="G65" s="65" t="str">
        <x:v>无可靠大小球盘/只观察｜现有证据不足以形成可执行总进球倾向</x:v>
      </x:c>
      <x:c r="H65" s="65" t="str">
        <x:v>待确认首发、伤停、双方近5场与主客拆分、亚洲让球/大小球初盘及当前水位；任一市场欧赔&lt;1.80/港水&lt;0.80不进；未满足全部触发条件不进、不加仓</x:v>
      </x:c>
      <x:c r="I65" s="66" t="n">
        <x:v>46221.793217592596</x:v>
      </x:c>
      <x:c r="J65" s="65" t="str">
        <x:v>需复核</x:v>
      </x:c>
      <x:c r="K65" s="65"/>
      <x:c r="L65" s="65"/>
      <x:c r="M65" s="65"/>
      <x:c r="N65" s="549"/>
      <x:c r="O65" s="549"/>
      <x:c r="P65" s="549" t="str">
        <x:f>IF(COUNT(N65:O65)=0,"",SUM(N65:O65))</x:f>
      </x:c>
      <x:c r="Q65" s="65" t="str">
        <x:v>https://www.livescore.mobi/football/brazil/serie-d-play-off/goiatuba-sc-vs-ferroviario/1836843/；https://www.fotmob.com/matches/x/x#1000017514；查询时间：2026-07-18 19:02（北京时间）</x:v>
      </x:c>
      <x:c r="R65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6" ht="38" customHeight="1">
      <x:c r="A66" s="65" t="str">
        <x:f>IF(B66="","",TEXT(B66,"yyyy-mm-dd")&amp;"|"&amp;D66&amp;"|"&amp;E66)</x:f>
        <x:v>2026-07-19|中文名待确认（LDU de Quito）|北方雄狮（Club Leones del Norte）</x:v>
      </x:c>
      <x:c r="B66" s="66" t="n">
        <x:v>46222.229166666664</x:v>
      </x:c>
      <x:c r="C66" s="65" t="str">
        <x:v>规范中文名待确认（Ecuador - Serie A）</x:v>
      </x:c>
      <x:c r="D66" s="65" t="str">
        <x:v>中文名待确认（LDU de Quito）</x:v>
      </x:c>
      <x:c r="E66" s="65" t="str">
        <x:v>北方雄狮（Club Leones del Norte）</x:v>
      </x:c>
      <x:c r="F66" s="65" t="str">
        <x:v>无可靠让球盘/只观察｜现有证据不足以形成可执行让球倾向</x:v>
      </x:c>
      <x:c r="G66" s="65" t="str">
        <x:v>无可靠大小球盘/只观察｜现有证据不足以形成可执行总进球倾向</x:v>
      </x:c>
      <x:c r="H66" s="65" t="str">
        <x:v>待确认首发、伤停、双方近5场与主客拆分、亚洲让球/大小球初盘及当前水位；任一市场欧赔&lt;1.80/港水&lt;0.80不进；未满足全部触发条件不进、不加仓</x:v>
      </x:c>
      <x:c r="I66" s="66" t="n">
        <x:v>46221.793217592596</x:v>
      </x:c>
      <x:c r="J66" s="65" t="str">
        <x:v>需复核</x:v>
      </x:c>
      <x:c r="K66" s="65"/>
      <x:c r="L66" s="65"/>
      <x:c r="M66" s="65"/>
      <x:c r="N66" s="549"/>
      <x:c r="O66" s="549"/>
      <x:c r="P66" s="549" t="str">
        <x:f>IF(COUNT(N66:O66)=0,"",SUM(N66:O66))</x:f>
      </x:c>
      <x:c r="Q66" s="65" t="str">
        <x:v>https://www.livescore.mobi/football/ecuador/serie-a/ldu-de-quito-vs-club-leones-del-norte/1736358/；https://www.fotmob.com/matches/x/x#1000009032；https://www.espn.com/soccer/match/_/gameId/401859715/leones-liga-de-quito；查询时间：2026-07-18 19:02（北京时间）</x:v>
      </x:c>
      <x:c r="R66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LWW、客队DWWD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7" ht="38" customHeight="1">
      <x:c r="A67" s="65" t="str">
        <x:f>IF(B67="","",TEXT(B67,"yyyy-mm-dd")&amp;"|"&amp;D67&amp;"|"&amp;E67)</x:f>
        <x:v>2026-07-19|中文名待确认（Atletico GO）|毕尔巴鄂竞技（Athletic Club）</x:v>
      </x:c>
      <x:c r="B67" s="66" t="n">
        <x:v>46222.208333333336</x:v>
      </x:c>
      <x:c r="C67" s="65" t="str">
        <x:v>巴西乙级联赛（Serie B）</x:v>
      </x:c>
      <x:c r="D67" s="65" t="str">
        <x:v>中文名待确认（Atletico GO）</x:v>
      </x:c>
      <x:c r="E67" s="65" t="str">
        <x:v>毕尔巴鄂竞技（Athletic Club）</x:v>
      </x:c>
      <x:c r="F67" s="65" t="str">
        <x:v>无可靠让球盘/只观察｜现有证据不足以形成可执行让球倾向</x:v>
      </x:c>
      <x:c r="G67" s="65" t="str">
        <x:v>无可靠大小球盘/只观察｜现有证据不足以形成可执行总进球倾向</x:v>
      </x:c>
      <x:c r="H67" s="65" t="str">
        <x:v>待确认首发、伤停、双方近5场与主客拆分、亚洲让球/大小球初盘及当前水位；任一市场欧赔&lt;1.80/港水&lt;0.80不进；未满足全部触发条件不进、不加仓</x:v>
      </x:c>
      <x:c r="I67" s="66" t="n">
        <x:v>46221.793217592596</x:v>
      </x:c>
      <x:c r="J67" s="65" t="str">
        <x:v>需复核</x:v>
      </x:c>
      <x:c r="K67" s="65"/>
      <x:c r="L67" s="65"/>
      <x:c r="M67" s="65"/>
      <x:c r="N67" s="549"/>
      <x:c r="O67" s="549"/>
      <x:c r="P67" s="549" t="str">
        <x:f>IF(COUNT(N67:O67)=0,"",SUM(N67:O67))</x:f>
      </x:c>
      <x:c r="Q67" s="65" t="str">
        <x:v>https://www.livescore.mobi/football/brazil/serie-b/atletico-go-vs-athletic-club/1741274/；https://www.fotmob.com/matches/x/x#5190614；https://www.espn.com/soccer/match/_/gameId/401873988/athletic-atletico-goianiense；查询时间：2026-07-18 19:02（北京时间）</x:v>
      </x:c>
      <x:c r="R67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WDD、客队DLW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8" ht="38" customHeight="1">
      <x:c r="A68" s="65" t="str">
        <x:f>IF(B68="","",TEXT(B68,"yyyy-mm-dd")&amp;"|"&amp;D68&amp;"|"&amp;E68)</x:f>
        <x:v>2026-07-19|法国（France）|英格兰（England）</x:v>
      </x:c>
      <x:c r="B68" s="66" t="n">
        <x:v>46222.208333333336</x:v>
      </x:c>
      <x:c r="C68" s="65" t="str">
        <x:v>规范中文名待确认（World Cup 2026 - Third Place Play-Off）</x:v>
      </x:c>
      <x:c r="D68" s="65" t="str">
        <x:v>法国（France）</x:v>
      </x:c>
      <x:c r="E68" s="65" t="str">
        <x:v>英格兰（England）</x:v>
      </x:c>
      <x:c r="F68" s="65" t="str">
        <x:v>无可靠让球盘/只观察｜现有证据不足以形成可执行让球倾向</x:v>
      </x:c>
      <x:c r="G68" s="65" t="str">
        <x:v>无可靠大小球盘/只观察｜现有证据不足以形成可执行总进球倾向</x:v>
      </x:c>
      <x:c r="H68" s="65" t="str">
        <x:v>待确认首发、伤停、双方近5场与主客拆分、亚洲让球/大小球初盘及当前水位；任一市场欧赔&lt;1.80/港水&lt;0.80不进；未满足全部触发条件不进、不加仓</x:v>
      </x:c>
      <x:c r="I68" s="66" t="n">
        <x:v>46221.793217592596</x:v>
      </x:c>
      <x:c r="J68" s="65" t="str">
        <x:v>需复核</x:v>
      </x:c>
      <x:c r="K68" s="65"/>
      <x:c r="L68" s="65"/>
      <x:c r="M68" s="65"/>
      <x:c r="N68" s="549"/>
      <x:c r="O68" s="549"/>
      <x:c r="P68" s="549" t="str">
        <x:f>IF(COUNT(N68:O68)=0,"",SUM(N68:O68))</x:f>
      </x:c>
      <x:c r="Q68" s="65" t="str">
        <x:v>https://www.livescore.mobi/football/world-cup-2026/third-place-play-off/france-vs-england/1691883/；https://www.fotmob.com/matches/x/x#4653857；https://www.espn.com/soccer/match/_/gameId/760516/england-france；https://www.fifa.com/en/match-centre/match/17/285023/289291/400021542；查询时间：2026-07-18 19:02（北京时间）</x:v>
      </x:c>
      <x:c r="R68" s="65" t="str">
        <x:v>证据卡：杯赛/淘汰赛背景，赛制与晋级动机重要；具体轮次已按赛事名称核对，仍需临场阵容确认。比赛身份与北京时间由4类来源核对。阵容：未公布/未检索到可靠确认首发，伤停、停赛、轮换、阵型及替代者待确认。近期/主客：ESPN最近赛果序列：主队LWWWW、客队LWW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69" ht="38" customHeight="1">
      <x:c r="A69" s="65" t="str">
        <x:f>IF(B69="","",TEXT(B69,"yyyy-mm-dd")&amp;"|"&amp;D69&amp;"|"&amp;E69)</x:f>
        <x:v>2026-07-19|中文名待确认（Atletico Grau）|中文名待确认（CD UT Cajamarca）</x:v>
      </x:c>
      <x:c r="B69" s="66" t="n">
        <x:v>46222.1875</x:v>
      </x:c>
      <x:c r="C69" s="65" t="str">
        <x:v>秘鲁甲级联赛（Liga 1）</x:v>
      </x:c>
      <x:c r="D69" s="65" t="str">
        <x:v>中文名待确认（Atletico Grau）</x:v>
      </x:c>
      <x:c r="E69" s="65" t="str">
        <x:v>中文名待确认（CD UT Cajamarca）</x:v>
      </x:c>
      <x:c r="F69" s="65" t="str">
        <x:v>无可靠让球盘/只观察｜现有证据不足以形成可执行让球倾向</x:v>
      </x:c>
      <x:c r="G69" s="65" t="str">
        <x:v>无可靠大小球盘/只观察｜现有证据不足以形成可执行总进球倾向</x:v>
      </x:c>
      <x:c r="H69" s="65" t="str">
        <x:v>待确认首发、伤停、双方近5场与主客拆分、亚洲让球/大小球初盘及当前水位；任一市场欧赔&lt;1.80/港水&lt;0.80不进；未满足全部触发条件不进、不加仓</x:v>
      </x:c>
      <x:c r="I69" s="66" t="n">
        <x:v>46221.793217592596</x:v>
      </x:c>
      <x:c r="J69" s="65" t="str">
        <x:v>需复核</x:v>
      </x:c>
      <x:c r="K69" s="65"/>
      <x:c r="L69" s="65"/>
      <x:c r="M69" s="65"/>
      <x:c r="N69" s="549"/>
      <x:c r="O69" s="549"/>
      <x:c r="P69" s="549" t="str">
        <x:f>IF(COUNT(N69:O69)=0,"",SUM(N69:O69))</x:f>
      </x:c>
      <x:c r="Q69" s="65" t="str">
        <x:v>https://www.livescore.mobi/football/peru/primera-division-clausura/atletico-grau-vs-cd-ut-cajamarca/1806568/；https://www.fotmob.com/matches/x/x#1000013490；https://www.espn.com/soccer/match/_/gameId/401874356/utc-atletico-grau；查询时间：2026-07-18 19:02（北京时间）</x:v>
      </x:c>
      <x:c r="R69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WLL、客队DDL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0" ht="38" customHeight="1">
      <x:c r="A70" s="65" t="str">
        <x:f>IF(B70="","",TEXT(B70,"yyyy-mm-dd")&amp;"|"&amp;D70&amp;"|"&amp;E70)</x:f>
        <x:v>2026-07-19|中文名待确认（Gualaceo SC）|中文名待确认（22 de Julio）</x:v>
      </x:c>
      <x:c r="B70" s="66" t="n">
        <x:v>46222.1875</x:v>
      </x:c>
      <x:c r="C70" s="65" t="str">
        <x:v>巴西乙级联赛</x:v>
      </x:c>
      <x:c r="D70" s="65" t="str">
        <x:v>中文名待确认（Gualaceo SC）</x:v>
      </x:c>
      <x:c r="E70" s="65" t="str">
        <x:v>中文名待确认（22 de Julio）</x:v>
      </x:c>
      <x:c r="F70" s="65" t="str">
        <x:v>无可靠让球盘/只观察｜现有证据不足以形成可执行让球倾向</x:v>
      </x:c>
      <x:c r="G70" s="65" t="str">
        <x:v>无可靠大小球盘/只观察｜现有证据不足以形成可执行总进球倾向</x:v>
      </x:c>
      <x:c r="H70" s="65" t="str">
        <x:v>待确认首发、伤停、双方近5场与主客拆分、亚洲让球/大小球初盘及当前水位；任一市场欧赔&lt;1.80/港水&lt;0.80不进；未满足全部触发条件不进、不加仓</x:v>
      </x:c>
      <x:c r="I70" s="66" t="n">
        <x:v>46221.793217592596</x:v>
      </x:c>
      <x:c r="J70" s="65" t="str">
        <x:v>需复核</x:v>
      </x:c>
      <x:c r="K70" s="65"/>
      <x:c r="L70" s="65"/>
      <x:c r="M70" s="65"/>
      <x:c r="N70" s="549"/>
      <x:c r="O70" s="549"/>
      <x:c r="P70" s="549" t="str">
        <x:f>IF(COUNT(N70:O70)=0,"",SUM(N70:O70))</x:f>
      </x:c>
      <x:c r="Q70" s="65" t="str">
        <x:v>https://www.livescore.mobi/football/ecuador/liga-pro-serie-b/gualaceo-sc-vs-22-de-julio/1754741/；查询时间：2026-07-18 19:02（北京时间）</x:v>
      </x:c>
      <x:c r="R70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71" ht="38" customHeight="1">
      <x:c r="A71" s="65" t="str">
        <x:f>IF(B71="","",TEXT(B71,"yyyy-mm-dd")&amp;"|"&amp;D71&amp;"|"&amp;E71)</x:f>
        <x:v>2026-07-19|中文名待确认（Sport Huancayo Reserves）|中文名待确认（Comerciantes FC）</x:v>
      </x:c>
      <x:c r="B71" s="66" t="n">
        <x:v>46222.177083333336</x:v>
      </x:c>
      <x:c r="C71" s="65" t="str">
        <x:v>规范中文名待确认（Peru - Liga 2: Group B）</x:v>
      </x:c>
      <x:c r="D71" s="65" t="str">
        <x:v>中文名待确认（Sport Huancayo Reserves）</x:v>
      </x:c>
      <x:c r="E71" s="65" t="str">
        <x:v>中文名待确认（Comerciantes FC）</x:v>
      </x:c>
      <x:c r="F71" s="65" t="str">
        <x:v>无可靠让球盘/只观察｜现有证据不足以形成可执行让球倾向</x:v>
      </x:c>
      <x:c r="G71" s="65" t="str">
        <x:v>无可靠大小球盘/只观察｜现有证据不足以形成可执行总进球倾向</x:v>
      </x:c>
      <x:c r="H71" s="65" t="str">
        <x:v>待确认首发、伤停、双方近5场与主客拆分、亚洲让球/大小球初盘及当前水位；任一市场欧赔&lt;1.80/港水&lt;0.80不进；未满足全部触发条件不进、不加仓</x:v>
      </x:c>
      <x:c r="I71" s="66" t="n">
        <x:v>46221.793217592596</x:v>
      </x:c>
      <x:c r="J71" s="65" t="str">
        <x:v>需复核</x:v>
      </x:c>
      <x:c r="K71" s="65"/>
      <x:c r="L71" s="65"/>
      <x:c r="M71" s="65"/>
      <x:c r="N71" s="549"/>
      <x:c r="O71" s="549"/>
      <x:c r="P71" s="549" t="str">
        <x:f>IF(COUNT(N71:O71)=0,"",SUM(N71:O71))</x:f>
      </x:c>
      <x:c r="Q71" s="65" t="str">
        <x:v>https://www.livescore.mobi/football/peru/liga-2-group-b/sport-huancayo-reserves-vs-comerciantes-fc/1805776/；查询时间：2026-07-18 19:02（北京时间）</x:v>
      </x:c>
      <x:c r="R71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72" ht="38" customHeight="1">
      <x:c r="A72" s="65" t="str">
        <x:f>IF(B72="","",TEXT(B72,"yyyy-mm-dd")&amp;"|"&amp;D72&amp;"|"&amp;E72)</x:f>
        <x:v>2026-07-19|多伦多FC（Toronto FC）|中文名待确认（Vancouver Rise FC）</x:v>
      </x:c>
      <x:c r="B72" s="66" t="n">
        <x:v>46222.166666666664</x:v>
      </x:c>
      <x:c r="C72" s="65" t="str">
        <x:v>规范中文名待确认（CAN - Northern Super League）</x:v>
      </x:c>
      <x:c r="D72" s="65" t="str">
        <x:v>多伦多FC（Toronto FC）</x:v>
      </x:c>
      <x:c r="E72" s="65" t="str">
        <x:v>中文名待确认（Vancouver Rise FC）</x:v>
      </x:c>
      <x:c r="F72" s="65" t="str">
        <x:v>无可靠让球盘/只观察｜现有证据不足以形成可执行让球倾向</x:v>
      </x:c>
      <x:c r="G72" s="65" t="str">
        <x:v>无可靠大小球盘/只观察｜现有证据不足以形成可执行总进球倾向</x:v>
      </x:c>
      <x:c r="H72" s="65" t="str">
        <x:v>待确认首发、伤停、双方近5场与主客拆分、亚洲让球/大小球初盘及当前水位；任一市场欧赔&lt;1.80/港水&lt;0.80不进；未满足全部触发条件不进、不加仓</x:v>
      </x:c>
      <x:c r="I72" s="66" t="n">
        <x:v>46221.793217592596</x:v>
      </x:c>
      <x:c r="J72" s="65" t="str">
        <x:v>需复核</x:v>
      </x:c>
      <x:c r="K72" s="65"/>
      <x:c r="L72" s="65"/>
      <x:c r="M72" s="65"/>
      <x:c r="N72" s="549"/>
      <x:c r="O72" s="549"/>
      <x:c r="P72" s="549" t="str">
        <x:f>IF(COUNT(N72:O72)=0,"",SUM(N72:O72))</x:f>
      </x:c>
      <x:c r="Q72" s="65" t="str">
        <x:v>https://www.fotmob.com/matches/x/x#1000009192；https://www.espn.com/soccer/match/_/gameId/401859920/vancouver-rise-fc-afc-toronto；查询时间：2026-07-18 19:02（北京时间）</x:v>
      </x:c>
      <x:c r="R72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ESPN最近赛果序列：主队LWWDD、客队WLLD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3" ht="38" customHeight="1">
      <x:c r="A73" s="65" t="str">
        <x:f>IF(B73="","",TEXT(B73,"yyyy-mm-dd")&amp;"|"&amp;D73&amp;"|"&amp;E73)</x:f>
        <x:v>2026-07-19|中文名待确认（Bay FC）|中文名待确认（North Carolina Courage）</x:v>
      </x:c>
      <x:c r="B73" s="66" t="n">
        <x:v>46222.166666666664</x:v>
      </x:c>
      <x:c r="C73" s="65" t="str">
        <x:v>美国国家女子足球联赛（NWSL）</x:v>
      </x:c>
      <x:c r="D73" s="65" t="str">
        <x:v>中文名待确认（Bay FC）</x:v>
      </x:c>
      <x:c r="E73" s="65" t="str">
        <x:v>中文名待确认（North Carolina Courage）</x:v>
      </x:c>
      <x:c r="F73" s="65" t="str">
        <x:v>无可靠让球盘/只观察｜现有证据不足以形成可执行让球倾向</x:v>
      </x:c>
      <x:c r="G73" s="65" t="str">
        <x:v>无可靠大小球盘/只观察｜现有证据不足以形成可执行总进球倾向</x:v>
      </x:c>
      <x:c r="H73" s="65" t="str">
        <x:v>待确认首发、伤停、双方近5场与主客拆分、亚洲让球/大小球初盘及当前水位；任一市场欧赔&lt;1.80/港水&lt;0.80不进；未满足全部触发条件不进、不加仓</x:v>
      </x:c>
      <x:c r="I73" s="66" t="n">
        <x:v>46221.793217592596</x:v>
      </x:c>
      <x:c r="J73" s="65" t="str">
        <x:v>需复核</x:v>
      </x:c>
      <x:c r="K73" s="65"/>
      <x:c r="L73" s="65"/>
      <x:c r="M73" s="65"/>
      <x:c r="N73" s="549"/>
      <x:c r="O73" s="549"/>
      <x:c r="P73" s="549" t="str">
        <x:f>IF(COUNT(N73:O73)=0,"",SUM(N73:O73))</x:f>
      </x:c>
      <x:c r="Q73" s="65" t="str">
        <x:v>https://www.livescore.mobi/football/usa/national-womens-soccer-league/bay-fc-vs-north-carolina-courage/1731748/；https://www.espn.com/soccer/match/_/gameId/401853943/north-carolina-courage-bay-fc；https://www.fotmob.com/matches/x/x#5161565；查询时间：2026-07-18 19:02（北京时间）</x:v>
      </x:c>
      <x:c r="R73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LLL、客队LWW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4" ht="38" customHeight="1">
      <x:c r="A74" s="65" t="str">
        <x:f>IF(B74="","",TEXT(B74,"yyyy-mm-dd")&amp;"|"&amp;D74&amp;"|"&amp;E74)</x:f>
        <x:v>2026-07-19|中文名待确认（Uberlandia）|中文名待确认（Portuguesa）</x:v>
      </x:c>
      <x:c r="B74" s="66" t="n">
        <x:v>46222.166666666664</x:v>
      </x:c>
      <x:c r="C74" s="65" t="str">
        <x:v>巴西丁级联赛（Serie D）</x:v>
      </x:c>
      <x:c r="D74" s="65" t="str">
        <x:v>中文名待确认（Uberlandia）</x:v>
      </x:c>
      <x:c r="E74" s="65" t="str">
        <x:v>中文名待确认（Portuguesa）</x:v>
      </x:c>
      <x:c r="F74" s="65" t="str">
        <x:v>无可靠让球盘/只观察｜现有证据不足以形成可执行让球倾向</x:v>
      </x:c>
      <x:c r="G74" s="65" t="str">
        <x:v>无可靠大小球盘/只观察｜现有证据不足以形成可执行总进球倾向</x:v>
      </x:c>
      <x:c r="H74" s="65" t="str">
        <x:v>待确认首发、伤停、双方近5场与主客拆分、亚洲让球/大小球初盘及当前水位；任一市场欧赔&lt;1.80/港水&lt;0.80不进；未满足全部触发条件不进、不加仓</x:v>
      </x:c>
      <x:c r="I74" s="66" t="n">
        <x:v>46221.793217592596</x:v>
      </x:c>
      <x:c r="J74" s="65" t="str">
        <x:v>需复核</x:v>
      </x:c>
      <x:c r="K74" s="65"/>
      <x:c r="L74" s="65"/>
      <x:c r="M74" s="65"/>
      <x:c r="N74" s="549"/>
      <x:c r="O74" s="549"/>
      <x:c r="P74" s="549" t="str">
        <x:f>IF(COUNT(N74:O74)=0,"",SUM(N74:O74))</x:f>
      </x:c>
      <x:c r="Q74" s="65" t="str">
        <x:v>https://www.livescore.mobi/football/brazil/serie-d-play-off/uberlandia-vs-portuguesa/1836845/；https://www.fotmob.com/matches/x/x#1000017524；查询时间：2026-07-18 19:02（北京时间）</x:v>
      </x:c>
      <x:c r="R7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5" ht="38" customHeight="1">
      <x:c r="A75" s="65" t="str">
        <x:f>IF(B75="","",TEXT(B75,"yyyy-mm-dd")&amp;"|"&amp;D75&amp;"|"&amp;E75)</x:f>
        <x:v>2026-07-19|中文名待确认（Valur）|中文名待确认（Fram Reykjavik）</x:v>
      </x:c>
      <x:c r="B75" s="66" t="n">
        <x:v>46222.135416666664</x:v>
      </x:c>
      <x:c r="C75" s="65" t="str">
        <x:v>规范中文名待确认（Iceland - Besta deildin）</x:v>
      </x:c>
      <x:c r="D75" s="65" t="str">
        <x:v>中文名待确认（Valur）</x:v>
      </x:c>
      <x:c r="E75" s="65" t="str">
        <x:v>中文名待确认（Fram Reykjavik）</x:v>
      </x:c>
      <x:c r="F75" s="65" t="str">
        <x:v>无可靠让球盘/只观察｜现有证据不足以形成可执行让球倾向</x:v>
      </x:c>
      <x:c r="G75" s="65" t="str">
        <x:v>无可靠大小球盘/只观察｜现有证据不足以形成可执行总进球倾向</x:v>
      </x:c>
      <x:c r="H75" s="65" t="str">
        <x:v>待确认首发、伤停、双方近5场与主客拆分、亚洲让球/大小球初盘及当前水位；任一市场欧赔&lt;1.80/港水&lt;0.80不进；未满足全部触发条件不进、不加仓</x:v>
      </x:c>
      <x:c r="I75" s="66" t="n">
        <x:v>46221.793217592596</x:v>
      </x:c>
      <x:c r="J75" s="65" t="str">
        <x:v>需复核</x:v>
      </x:c>
      <x:c r="K75" s="65"/>
      <x:c r="L75" s="65"/>
      <x:c r="M75" s="65"/>
      <x:c r="N75" s="549"/>
      <x:c r="O75" s="549"/>
      <x:c r="P75" s="549" t="str">
        <x:f>IF(COUNT(N75:O75)=0,"",SUM(N75:O75))</x:f>
      </x:c>
      <x:c r="Q75" s="65" t="str">
        <x:v>https://www.livescore.mobi/football/iceland/urvalsdeild/valur-vs-fram-reykjavik/1750903/；https://www.fotmob.com/matches/x/x#5225684；查询时间：2026-07-18 19:02（北京时间）</x:v>
      </x:c>
      <x:c r="R75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6" ht="38" customHeight="1">
      <x:c r="A76" s="65" t="str">
        <x:f>IF(B76="","",TEXT(B76,"yyyy-mm-dd")&amp;"|"&amp;D76&amp;"|"&amp;E76)</x:f>
        <x:v>2026-07-19|阿拉维准备（Always Ready）|澳尼塔（Universitario de Vinto）</x:v>
      </x:c>
      <x:c r="B76" s="66" t="n">
        <x:v>46222.125</x:v>
      </x:c>
      <x:c r="C76" s="65" t="str">
        <x:v>玻利维亚甲级联赛</x:v>
      </x:c>
      <x:c r="D76" s="65" t="str">
        <x:v>阿拉维准备（Always Ready）</x:v>
      </x:c>
      <x:c r="E76" s="65" t="str">
        <x:v>澳尼塔（Universitario de Vinto）</x:v>
      </x:c>
      <x:c r="F76" s="65" t="str">
        <x:v>无可靠让球盘/只观察｜现有证据不足以形成可执行让球倾向</x:v>
      </x:c>
      <x:c r="G76" s="65" t="str">
        <x:v>无可靠大小球盘/只观察｜现有证据不足以形成可执行总进球倾向</x:v>
      </x:c>
      <x:c r="H76" s="65" t="str">
        <x:v>待确认首发、伤停、双方近5场与主客拆分、亚洲让球/大小球初盘及当前水位；任一市场欧赔&lt;1.80/港水&lt;0.80不进；未满足全部触发条件不进、不加仓</x:v>
      </x:c>
      <x:c r="I76" s="66" t="n">
        <x:v>46221.793217592596</x:v>
      </x:c>
      <x:c r="J76" s="65" t="str">
        <x:v>需复核</x:v>
      </x:c>
      <x:c r="K76" s="65"/>
      <x:c r="L76" s="65"/>
      <x:c r="M76" s="65"/>
      <x:c r="N76" s="549"/>
      <x:c r="O76" s="549"/>
      <x:c r="P76" s="549" t="str">
        <x:f>IF(COUNT(N76:O76)=0,"",SUM(N76:O76))</x:f>
      </x:c>
      <x:c r="Q76" s="65" t="str">
        <x:v>https://www.livescore.mobi/football/bolivia/primera-division/always-ready-vs-universitario-de-vinto/1761314/；https://www.fotmob.com/matches/x/x#1000010874；https://www.espn.com/soccer/match/_/gameId/401867181/universitario-de-vinto-always-ready；查询时间：2026-07-18 19:02（北京时间）</x:v>
      </x:c>
      <x:c r="R76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LLL、客队LLWW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7" ht="38" customHeight="1">
      <x:c r="A77" s="65" t="str">
        <x:f>IF(B77="","",TEXT(B77,"yyyy-mm-dd")&amp;"|"&amp;D77&amp;"|"&amp;E77)</x:f>
        <x:v>2026-07-19|骑兵队（Cavalry FC）|中文名待确认（HFX Wanderers FC）</x:v>
      </x:c>
      <x:c r="B77" s="66" t="n">
        <x:v>46222.125</x:v>
      </x:c>
      <x:c r="C77" s="65" t="str">
        <x:v>规范中文名待确认（Canada - Premier League）</x:v>
      </x:c>
      <x:c r="D77" s="65" t="str">
        <x:v>骑兵队（Cavalry FC）</x:v>
      </x:c>
      <x:c r="E77" s="65" t="str">
        <x:v>中文名待确认（HFX Wanderers FC）</x:v>
      </x:c>
      <x:c r="F77" s="65" t="str">
        <x:v>无可靠让球盘/只观察｜现有证据不足以形成可执行让球倾向</x:v>
      </x:c>
      <x:c r="G77" s="65" t="str">
        <x:v>无可靠大小球盘/只观察｜现有证据不足以形成可执行总进球倾向</x:v>
      </x:c>
      <x:c r="H77" s="65" t="str">
        <x:v>待确认首发、伤停、双方近5场与主客拆分、亚洲让球/大小球初盘及当前水位；任一市场欧赔&lt;1.80/港水&lt;0.80不进；未满足全部触发条件不进、不加仓</x:v>
      </x:c>
      <x:c r="I77" s="66" t="n">
        <x:v>46221.793217592596</x:v>
      </x:c>
      <x:c r="J77" s="65" t="str">
        <x:v>需复核</x:v>
      </x:c>
      <x:c r="K77" s="65"/>
      <x:c r="L77" s="65"/>
      <x:c r="M77" s="65"/>
      <x:c r="N77" s="549"/>
      <x:c r="O77" s="549"/>
      <x:c r="P77" s="549" t="str">
        <x:f>IF(COUNT(N77:O77)=0,"",SUM(N77:O77))</x:f>
      </x:c>
      <x:c r="Q77" s="65" t="str">
        <x:v>https://www.livescore.mobi/football/canada/premier-league/cavalry-fc-vs-hfx-wanderers-fc/1735755/；https://www.fotmob.com/matches/x/x#1000008677；查询时间：2026-07-18 19:02（北京时间）</x:v>
      </x:c>
      <x:c r="R77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8" ht="38" customHeight="1">
      <x:c r="A78" s="65" t="str">
        <x:f>IF(B78="","",TEXT(B78,"yyyy-mm-dd")&amp;"|"&amp;D78&amp;"|"&amp;E78)</x:f>
        <x:v>2026-07-19|中文名待确认（Cianorte）|中文名待确认（ASA）</x:v>
      </x:c>
      <x:c r="B78" s="66" t="n">
        <x:v>46222.125</x:v>
      </x:c>
      <x:c r="C78" s="65" t="str">
        <x:v>巴西丁级联赛（Serie D）</x:v>
      </x:c>
      <x:c r="D78" s="65" t="str">
        <x:v>中文名待确认（Cianorte）</x:v>
      </x:c>
      <x:c r="E78" s="65" t="str">
        <x:v>中文名待确认（ASA）</x:v>
      </x:c>
      <x:c r="F78" s="65" t="str">
        <x:v>无可靠让球盘/只观察｜现有证据不足以形成可执行让球倾向</x:v>
      </x:c>
      <x:c r="G78" s="65" t="str">
        <x:v>无可靠大小球盘/只观察｜现有证据不足以形成可执行总进球倾向</x:v>
      </x:c>
      <x:c r="H78" s="65" t="str">
        <x:v>待确认首发、伤停、双方近5场与主客拆分、亚洲让球/大小球初盘及当前水位；任一市场欧赔&lt;1.80/港水&lt;0.80不进；未满足全部触发条件不进、不加仓</x:v>
      </x:c>
      <x:c r="I78" s="66" t="n">
        <x:v>46221.793217592596</x:v>
      </x:c>
      <x:c r="J78" s="65" t="str">
        <x:v>需复核</x:v>
      </x:c>
      <x:c r="K78" s="65"/>
      <x:c r="L78" s="65"/>
      <x:c r="M78" s="65"/>
      <x:c r="N78" s="549"/>
      <x:c r="O78" s="549"/>
      <x:c r="P78" s="549" t="str">
        <x:f>IF(COUNT(N78:O78)=0,"",SUM(N78:O78))</x:f>
      </x:c>
      <x:c r="Q78" s="65" t="str">
        <x:v>https://www.livescore.mobi/football/brazil/serie-d-play-off/cianorte-vs-asa/1836840/；https://www.fotmob.com/matches/x/x#1000017528；查询时间：2026-07-18 19:02（北京时间）</x:v>
      </x:c>
      <x:c r="R78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79" ht="38" customHeight="1">
      <x:c r="A79" s="65" t="str">
        <x:f>IF(B79="","",TEXT(B79,"yyyy-mm-dd")&amp;"|"&amp;D79&amp;"|"&amp;E79)</x:f>
        <x:v>2026-07-19|中文名待确认（Club Atletico Penarol）|波士顿河（Boston River）</x:v>
      </x:c>
      <x:c r="B79" s="66" t="n">
        <x:v>46222.125</x:v>
      </x:c>
      <x:c r="C79" s="65" t="str">
        <x:v>规范中文名待确认（Uruguay - Primera División: Intermedio Group A）</x:v>
      </x:c>
      <x:c r="D79" s="65" t="str">
        <x:v>中文名待确认（Club Atletico Penarol）</x:v>
      </x:c>
      <x:c r="E79" s="65" t="str">
        <x:v>波士顿河（Boston River）</x:v>
      </x:c>
      <x:c r="F79" s="65" t="str">
        <x:v>无可靠让球盘/只观察｜现有证据不足以形成可执行让球倾向</x:v>
      </x:c>
      <x:c r="G79" s="65" t="str">
        <x:v>无可靠大小球盘/只观察｜现有证据不足以形成可执行总进球倾向</x:v>
      </x:c>
      <x:c r="H79" s="65" t="str">
        <x:v>待确认首发、伤停、双方近5场与主客拆分、亚洲让球/大小球初盘及当前水位；任一市场欧赔&lt;1.80/港水&lt;0.80不进；未满足全部触发条件不进、不加仓</x:v>
      </x:c>
      <x:c r="I79" s="66" t="n">
        <x:v>46221.793217592596</x:v>
      </x:c>
      <x:c r="J79" s="65" t="str">
        <x:v>需复核</x:v>
      </x:c>
      <x:c r="K79" s="65"/>
      <x:c r="L79" s="65"/>
      <x:c r="M79" s="65"/>
      <x:c r="N79" s="549"/>
      <x:c r="O79" s="549"/>
      <x:c r="P79" s="549" t="str">
        <x:f>IF(COUNT(N79:O79)=0,"",SUM(N79:O79))</x:f>
      </x:c>
      <x:c r="Q79" s="65" t="str">
        <x:v>https://www.livescore.mobi/football/uruguay/primera-division-intermedio-group-a/club-atletico-penarol-vs-boston-river/1817354/；https://www.fotmob.com/matches/x/x#5888333；https://www.espn.com/soccer/match/_/gameId/401872724/boston-river-penarol；查询时间：2026-07-18 19:02（北京时间）</x:v>
      </x:c>
      <x:c r="R79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DWLLW、客队DDL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80" ht="38" customHeight="1">
      <x:c r="A80" s="65" t="str">
        <x:f>IF(B80="","",TEXT(B80,"yyyy-mm-dd")&amp;"|"&amp;D80&amp;"|"&amp;E80)</x:f>
        <x:v>2026-07-19|中文名待确认（Comercial SP）|中文名待确认（Noroeste）</x:v>
      </x:c>
      <x:c r="B80" s="66" t="n">
        <x:v>46222.125</x:v>
      </x:c>
      <x:c r="C80" s="65" t="str">
        <x:v>规范中文名待确认（BRA - Copa Paulista）</x:v>
      </x:c>
      <x:c r="D80" s="65" t="str">
        <x:v>中文名待确认（Comercial SP）</x:v>
      </x:c>
      <x:c r="E80" s="65" t="str">
        <x:v>中文名待确认（Noroeste）</x:v>
      </x:c>
      <x:c r="F80" s="65" t="str">
        <x:v>无可靠让球盘/只观察｜现有证据不足以形成可执行让球倾向</x:v>
      </x:c>
      <x:c r="G80" s="65" t="str">
        <x:v>无可靠大小球盘/只观察｜现有证据不足以形成可执行总进球倾向</x:v>
      </x:c>
      <x:c r="H80" s="65" t="str">
        <x:v>待确认首发、伤停、双方近5场与主客拆分、亚洲让球/大小球初盘及当前水位；任一市场欧赔&lt;1.80/港水&lt;0.80不进；未满足全部触发条件不进、不加仓</x:v>
      </x:c>
      <x:c r="I80" s="66" t="n">
        <x:v>46221.793217592596</x:v>
      </x:c>
      <x:c r="J80" s="65" t="str">
        <x:v>需复核</x:v>
      </x:c>
      <x:c r="K80" s="65"/>
      <x:c r="L80" s="65"/>
      <x:c r="M80" s="65"/>
      <x:c r="N80" s="549"/>
      <x:c r="O80" s="549"/>
      <x:c r="P80" s="549" t="str">
        <x:f>IF(COUNT(N80:O80)=0,"",SUM(N80:O80))</x:f>
      </x:c>
      <x:c r="Q80" s="65" t="str">
        <x:v>https://www.fotmob.com/matches/x/x#1000011185；查询时间：2026-07-18 19:02（北京时间）</x:v>
      </x:c>
      <x:c r="R80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81" ht="38" customHeight="1">
      <x:c r="A81" s="65" t="str">
        <x:f>IF(B81="","",TEXT(B81,"yyyy-mm-dd")&amp;"|"&amp;D81&amp;"|"&amp;E81)</x:f>
        <x:v>2026-07-19|中文名待确认（Criciuma）|中文名待确认（Vila Nova）</x:v>
      </x:c>
      <x:c r="B81" s="66" t="n">
        <x:v>46222.125</x:v>
      </x:c>
      <x:c r="C81" s="65" t="str">
        <x:v>巴西乙级联赛（Serie B）</x:v>
      </x:c>
      <x:c r="D81" s="65" t="str">
        <x:v>中文名待确认（Criciuma）</x:v>
      </x:c>
      <x:c r="E81" s="65" t="str">
        <x:v>中文名待确认（Vila Nova）</x:v>
      </x:c>
      <x:c r="F81" s="65" t="str">
        <x:v>无可靠让球盘/只观察｜现有证据不足以形成可执行让球倾向</x:v>
      </x:c>
      <x:c r="G81" s="65" t="str">
        <x:v>无可靠大小球盘/只观察｜现有证据不足以形成可执行总进球倾向</x:v>
      </x:c>
      <x:c r="H81" s="65" t="str">
        <x:v>待确认首发、伤停、双方近5场与主客拆分、亚洲让球/大小球初盘及当前水位；任一市场欧赔&lt;1.80/港水&lt;0.80不进；未满足全部触发条件不进、不加仓</x:v>
      </x:c>
      <x:c r="I81" s="66" t="n">
        <x:v>46221.793217592596</x:v>
      </x:c>
      <x:c r="J81" s="65" t="str">
        <x:v>需复核</x:v>
      </x:c>
      <x:c r="K81" s="65"/>
      <x:c r="L81" s="65"/>
      <x:c r="M81" s="65"/>
      <x:c r="N81" s="549"/>
      <x:c r="O81" s="549"/>
      <x:c r="P81" s="549" t="str">
        <x:f>IF(COUNT(N81:O81)=0,"",SUM(N81:O81))</x:f>
      </x:c>
      <x:c r="Q81" s="65" t="str">
        <x:v>https://www.livescore.mobi/football/brazil/serie-b/criciuma-vs-vila-nova/1741290/；https://www.fotmob.com/matches/x/x#5190615；https://www.espn.com/soccer/match/_/gameId/401874006/vila-nova-criciuma；查询时间：2026-07-18 19:02（北京时间）</x:v>
      </x:c>
      <x:c r="R81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WWD、客队LWL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82" ht="38" customHeight="1">
      <x:c r="A82" s="65" t="str">
        <x:f>IF(B82="","",TEXT(B82,"yyyy-mm-dd")&amp;"|"&amp;D82&amp;"|"&amp;E82)</x:f>
        <x:v>2026-07-19|中文名待确认（Deportes Recoleta）|中文名待确认（Santiago Wanderers）</x:v>
      </x:c>
      <x:c r="B82" s="66" t="n">
        <x:v>46222.125</x:v>
      </x:c>
      <x:c r="C82" s="65" t="str">
        <x:v>规范中文名待确认（CHI - Primera B）</x:v>
      </x:c>
      <x:c r="D82" s="65" t="str">
        <x:v>中文名待确认（Deportes Recoleta）</x:v>
      </x:c>
      <x:c r="E82" s="65" t="str">
        <x:v>中文名待确认（Santiago Wanderers）</x:v>
      </x:c>
      <x:c r="F82" s="65" t="str">
        <x:v>无可靠让球盘/只观察｜现有证据不足以形成可执行让球倾向</x:v>
      </x:c>
      <x:c r="G82" s="65" t="str">
        <x:v>无可靠大小球盘/只观察｜现有证据不足以形成可执行总进球倾向</x:v>
      </x:c>
      <x:c r="H82" s="65" t="str">
        <x:v>待确认首发、伤停、双方近5场与主客拆分、亚洲让球/大小球初盘及当前水位；任一市场欧赔&lt;1.80/港水&lt;0.80不进；未满足全部触发条件不进、不加仓</x:v>
      </x:c>
      <x:c r="I82" s="66" t="n">
        <x:v>46221.793217592596</x:v>
      </x:c>
      <x:c r="J82" s="65" t="str">
        <x:v>需复核</x:v>
      </x:c>
      <x:c r="K82" s="65"/>
      <x:c r="L82" s="65"/>
      <x:c r="M82" s="65"/>
      <x:c r="N82" s="549"/>
      <x:c r="O82" s="549"/>
      <x:c r="P82" s="549" t="str">
        <x:f>IF(COUNT(N82:O82)=0,"",SUM(N82:O82))</x:f>
      </x:c>
      <x:c r="Q82" s="65" t="str">
        <x:v>https://www.fotmob.com/matches/x/x#1000007238；查询时间：2026-07-18 19:02（北京时间）</x:v>
      </x:c>
      <x:c r="R82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83" ht="38" customHeight="1">
      <x:c r="A83" s="65" t="str">
        <x:f>IF(B83="","",TEXT(B83,"yyyy-mm-dd")&amp;"|"&amp;D83&amp;"|"&amp;E83)</x:f>
        <x:v>2026-07-19|中文名待确认（Deportes Temuco）|中文名待确认（Cobreloa）</x:v>
      </x:c>
      <x:c r="B83" s="66" t="n">
        <x:v>46222.125</x:v>
      </x:c>
      <x:c r="C83" s="65" t="str">
        <x:v>规范中文名待确认（CHI - Primera B）</x:v>
      </x:c>
      <x:c r="D83" s="65" t="str">
        <x:v>中文名待确认（Deportes Temuco）</x:v>
      </x:c>
      <x:c r="E83" s="65" t="str">
        <x:v>中文名待确认（Cobreloa）</x:v>
      </x:c>
      <x:c r="F83" s="65" t="str">
        <x:v>无可靠让球盘/只观察｜现有证据不足以形成可执行让球倾向</x:v>
      </x:c>
      <x:c r="G83" s="65" t="str">
        <x:v>无可靠大小球盘/只观察｜现有证据不足以形成可执行总进球倾向</x:v>
      </x:c>
      <x:c r="H83" s="65" t="str">
        <x:v>待确认首发、伤停、双方近5场与主客拆分、亚洲让球/大小球初盘及当前水位；任一市场欧赔&lt;1.80/港水&lt;0.80不进；未满足全部触发条件不进、不加仓</x:v>
      </x:c>
      <x:c r="I83" s="66" t="n">
        <x:v>46221.793217592596</x:v>
      </x:c>
      <x:c r="J83" s="65" t="str">
        <x:v>需复核</x:v>
      </x:c>
      <x:c r="K83" s="65"/>
      <x:c r="L83" s="65"/>
      <x:c r="M83" s="65"/>
      <x:c r="N83" s="549"/>
      <x:c r="O83" s="549"/>
      <x:c r="P83" s="549" t="str">
        <x:f>IF(COUNT(N83:O83)=0,"",SUM(N83:O83))</x:f>
      </x:c>
      <x:c r="Q83" s="65" t="str">
        <x:v>https://www.fotmob.com/matches/x/x#1000007237；查询时间：2026-07-18 19:02（北京时间）</x:v>
      </x:c>
      <x:c r="R83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84" ht="38" customHeight="1">
      <x:c r="A84" s="65" t="str">
        <x:f>IF(B84="","",TEXT(B84,"yyyy-mm-dd")&amp;"|"&amp;D84&amp;"|"&amp;E84)</x:f>
        <x:v>2026-07-19|昆卡体育（Deportivo Cuenca）|基多天主大学（Universidad Católica）</x:v>
      </x:c>
      <x:c r="B84" s="66" t="n">
        <x:v>46222.125</x:v>
      </x:c>
      <x:c r="C84" s="65" t="str">
        <x:v>规范中文名待确认（Ecuador - Serie A）</x:v>
      </x:c>
      <x:c r="D84" s="65" t="str">
        <x:v>昆卡体育（Deportivo Cuenca）</x:v>
      </x:c>
      <x:c r="E84" s="65" t="str">
        <x:v>基多天主大学（Universidad Católica）</x:v>
      </x:c>
      <x:c r="F84" s="65" t="str">
        <x:v>无可靠让球盘/只观察｜现有证据不足以形成可执行让球倾向</x:v>
      </x:c>
      <x:c r="G84" s="65" t="str">
        <x:v>无可靠大小球盘/只观察｜现有证据不足以形成可执行总进球倾向</x:v>
      </x:c>
      <x:c r="H84" s="65" t="str">
        <x:v>待确认首发、伤停、双方近5场与主客拆分、亚洲让球/大小球初盘及当前水位；任一市场欧赔&lt;1.80/港水&lt;0.80不进；未满足全部触发条件不进、不加仓</x:v>
      </x:c>
      <x:c r="I84" s="66" t="n">
        <x:v>46221.793217592596</x:v>
      </x:c>
      <x:c r="J84" s="65" t="str">
        <x:v>需复核</x:v>
      </x:c>
      <x:c r="K84" s="65"/>
      <x:c r="L84" s="65"/>
      <x:c r="M84" s="65"/>
      <x:c r="N84" s="549"/>
      <x:c r="O84" s="549"/>
      <x:c r="P84" s="549" t="str">
        <x:f>IF(COUNT(N84:O84)=0,"",SUM(N84:O84))</x:f>
      </x:c>
      <x:c r="Q84" s="65" t="str">
        <x:v>https://www.livescore.mobi/football/ecuador/serie-a/deportivo-cuenca-vs-universidad-catolica/1736359/；https://www.fotmob.com/matches/x/x#1000009026；https://www.espn.com/soccer/match/_/gameId/401859619/universidad-catolica-quito-deportivo-cuenca；查询时间：2026-07-18 19:02（北京时间）</x:v>
      </x:c>
      <x:c r="R84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DLLWL、客队WLL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85" ht="38" customHeight="1">
      <x:c r="A85" s="65" t="str">
        <x:f>IF(B85="","",TEXT(B85,"yyyy-mm-dd")&amp;"|"&amp;D85&amp;"|"&amp;E85)</x:f>
        <x:v>2026-07-19|中文名待确认（EC Sao Jose）|中文名待确认（Treze）</x:v>
      </x:c>
      <x:c r="B85" s="66" t="n">
        <x:v>46222.125</x:v>
      </x:c>
      <x:c r="C85" s="65" t="str">
        <x:v>巴西丁级联赛（Serie D）</x:v>
      </x:c>
      <x:c r="D85" s="65" t="str">
        <x:v>中文名待确认（EC Sao Jose）</x:v>
      </x:c>
      <x:c r="E85" s="65" t="str">
        <x:v>中文名待确认（Treze）</x:v>
      </x:c>
      <x:c r="F85" s="65" t="str">
        <x:v>无可靠让球盘/只观察｜现有证据不足以形成可执行让球倾向</x:v>
      </x:c>
      <x:c r="G85" s="65" t="str">
        <x:v>无可靠大小球盘/只观察｜现有证据不足以形成可执行总进球倾向</x:v>
      </x:c>
      <x:c r="H85" s="65" t="str">
        <x:v>待确认首发、伤停、双方近5场与主客拆分、亚洲让球/大小球初盘及当前水位；任一市场欧赔&lt;1.80/港水&lt;0.80不进；未满足全部触发条件不进、不加仓</x:v>
      </x:c>
      <x:c r="I85" s="66" t="n">
        <x:v>46221.793217592596</x:v>
      </x:c>
      <x:c r="J85" s="65" t="str">
        <x:v>需复核</x:v>
      </x:c>
      <x:c r="K85" s="65"/>
      <x:c r="L85" s="65"/>
      <x:c r="M85" s="65"/>
      <x:c r="N85" s="549"/>
      <x:c r="O85" s="549"/>
      <x:c r="P85" s="549" t="str">
        <x:f>IF(COUNT(N85:O85)=0,"",SUM(N85:O85))</x:f>
      </x:c>
      <x:c r="Q85" s="65" t="str">
        <x:v>https://www.livescore.mobi/football/brazil/serie-d-play-off/ec-sao-jose-vs-treze/1836838/；https://www.fotmob.com/matches/x/x#1000017522；查询时间：2026-07-18 19:02（北京时间）</x:v>
      </x:c>
      <x:c r="R85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86" ht="38" customHeight="1">
      <x:c r="A86" s="65" t="str">
        <x:f>IF(B86="","",TEXT(B86,"yyyy-mm-dd")&amp;"|"&amp;D86&amp;"|"&amp;E86)</x:f>
        <x:v>2026-07-19|中文名待确认（Nacional AM）|中文名待确认（Iguatu）</x:v>
      </x:c>
      <x:c r="B86" s="66" t="n">
        <x:v>46222.125</x:v>
      </x:c>
      <x:c r="C86" s="65" t="str">
        <x:v>巴西丁级联赛（Serie D）</x:v>
      </x:c>
      <x:c r="D86" s="65" t="str">
        <x:v>中文名待确认（Nacional AM）</x:v>
      </x:c>
      <x:c r="E86" s="65" t="str">
        <x:v>中文名待确认（Iguatu）</x:v>
      </x:c>
      <x:c r="F86" s="65" t="str">
        <x:v>无可靠让球盘/只观察｜现有证据不足以形成可执行让球倾向</x:v>
      </x:c>
      <x:c r="G86" s="65" t="str">
        <x:v>无可靠大小球盘/只观察｜现有证据不足以形成可执行总进球倾向</x:v>
      </x:c>
      <x:c r="H86" s="65" t="str">
        <x:v>待确认首发、伤停、双方近5场与主客拆分、亚洲让球/大小球初盘及当前水位；任一市场欧赔&lt;1.80/港水&lt;0.80不进；未满足全部触发条件不进、不加仓</x:v>
      </x:c>
      <x:c r="I86" s="66" t="n">
        <x:v>46221.793217592596</x:v>
      </x:c>
      <x:c r="J86" s="65" t="str">
        <x:v>需复核</x:v>
      </x:c>
      <x:c r="K86" s="65"/>
      <x:c r="L86" s="65"/>
      <x:c r="M86" s="65"/>
      <x:c r="N86" s="549"/>
      <x:c r="O86" s="549"/>
      <x:c r="P86" s="549" t="str">
        <x:f>IF(COUNT(N86:O86)=0,"",SUM(N86:O86))</x:f>
      </x:c>
      <x:c r="Q86" s="65" t="str">
        <x:v>https://www.livescore.mobi/football/brazil/serie-d-play-off/nacional-am-vs-iguatu/1836839/；https://www.fotmob.com/matches/x/x#1000017520；查询时间：2026-07-18 19:02（北京时间）</x:v>
      </x:c>
      <x:c r="R8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87" ht="38" customHeight="1">
      <x:c r="A87" s="65" t="str">
        <x:f>IF(B87="","",TEXT(B87,"yyyy-mm-dd")&amp;"|"&amp;D87&amp;"|"&amp;E87)</x:f>
        <x:v>2026-07-19|中文名待确认（Ponte Preta）|中文名待确认（Goias）</x:v>
      </x:c>
      <x:c r="B87" s="66" t="n">
        <x:v>46222.125</x:v>
      </x:c>
      <x:c r="C87" s="65" t="str">
        <x:v>巴西乙级联赛（Serie B）</x:v>
      </x:c>
      <x:c r="D87" s="65" t="str">
        <x:v>中文名待确认（Ponte Preta）</x:v>
      </x:c>
      <x:c r="E87" s="65" t="str">
        <x:v>中文名待确认（Goias）</x:v>
      </x:c>
      <x:c r="F87" s="65" t="str">
        <x:v>无可靠让球盘/只观察｜现有证据不足以形成可执行让球倾向</x:v>
      </x:c>
      <x:c r="G87" s="65" t="str">
        <x:v>无可靠大小球盘/只观察｜现有证据不足以形成可执行总进球倾向</x:v>
      </x:c>
      <x:c r="H87" s="65" t="str">
        <x:v>待确认首发、伤停、双方近5场与主客拆分、亚洲让球/大小球初盘及当前水位；任一市场欧赔&lt;1.80/港水&lt;0.80不进；未满足全部触发条件不进、不加仓</x:v>
      </x:c>
      <x:c r="I87" s="66" t="n">
        <x:v>46221.793217592596</x:v>
      </x:c>
      <x:c r="J87" s="65" t="str">
        <x:v>需复核</x:v>
      </x:c>
      <x:c r="K87" s="65"/>
      <x:c r="L87" s="65"/>
      <x:c r="M87" s="65"/>
      <x:c r="N87" s="549"/>
      <x:c r="O87" s="549"/>
      <x:c r="P87" s="549" t="str">
        <x:f>IF(COUNT(N87:O87)=0,"",SUM(N87:O87))</x:f>
      </x:c>
      <x:c r="Q87" s="65" t="str">
        <x:v>https://www.livescore.mobi/football/brazil/serie-b/ponte-preta-vs-goias/1741221/；https://www.fotmob.com/matches/x/x#5190609；https://www.espn.com/soccer/match/_/gameId/401874005/goias-ponte-preta；查询时间：2026-07-18 19:02（北京时间）</x:v>
      </x:c>
      <x:c r="R87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LLL、客队DWW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88" ht="38" customHeight="1">
      <x:c r="A88" s="65" t="str">
        <x:f>IF(B88="","",TEXT(B88,"yyyy-mm-dd")&amp;"|"&amp;D88&amp;"|"&amp;E88)</x:f>
        <x:v>2026-07-19|中文名待确认（Sport）|中文名待确认（Operário PR）</x:v>
      </x:c>
      <x:c r="B88" s="66" t="n">
        <x:v>46222.125</x:v>
      </x:c>
      <x:c r="C88" s="65" t="str">
        <x:v>规范中文名待确认（2026 Brasileiro Serie B）</x:v>
      </x:c>
      <x:c r="D88" s="65" t="str">
        <x:v>中文名待确认（Sport）</x:v>
      </x:c>
      <x:c r="E88" s="65" t="str">
        <x:v>中文名待确认（Operário PR）</x:v>
      </x:c>
      <x:c r="F88" s="65" t="str">
        <x:v>无可靠让球盘/只观察｜现有证据不足以形成可执行让球倾向</x:v>
      </x:c>
      <x:c r="G88" s="65" t="str">
        <x:v>无可靠大小球盘/只观察｜现有证据不足以形成可执行总进球倾向</x:v>
      </x:c>
      <x:c r="H88" s="65" t="str">
        <x:v>待确认首发、伤停、双方近5场与主客拆分、亚洲让球/大小球初盘及当前水位；任一市场欧赔&lt;1.80/港水&lt;0.80不进；未满足全部触发条件不进、不加仓</x:v>
      </x:c>
      <x:c r="I88" s="66" t="n">
        <x:v>46221.793217592596</x:v>
      </x:c>
      <x:c r="J88" s="65" t="str">
        <x:v>需复核</x:v>
      </x:c>
      <x:c r="K88" s="65"/>
      <x:c r="L88" s="65"/>
      <x:c r="M88" s="65"/>
      <x:c r="N88" s="549"/>
      <x:c r="O88" s="549"/>
      <x:c r="P88" s="549" t="str">
        <x:f>IF(COUNT(N88:O88)=0,"",SUM(N88:O88))</x:f>
      </x:c>
      <x:c r="Q88" s="65" t="str">
        <x:v>https://www.espn.com/soccer/match/_/gameId/401874007/operario-pr-sport；查询时间：2026-07-18 19:02（北京时间）</x:v>
      </x:c>
      <x:c r="R88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ESPN最近赛果序列：主队DLLDD、客队WWW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89" ht="38" customHeight="1">
      <x:c r="A89" s="65" t="str">
        <x:f>IF(B89="","",TEXT(B89,"yyyy-mm-dd")&amp;"|"&amp;D89&amp;"|"&amp;E89)</x:f>
        <x:v>2026-07-19|中文名待确认（Sport Recife）|中文名待确认（Operario Ferroviario）</x:v>
      </x:c>
      <x:c r="B89" s="66" t="n">
        <x:v>46222.125</x:v>
      </x:c>
      <x:c r="C89" s="65" t="str">
        <x:v>巴西乙级联赛（Serie B）</x:v>
      </x:c>
      <x:c r="D89" s="65" t="str">
        <x:v>中文名待确认（Sport Recife）</x:v>
      </x:c>
      <x:c r="E89" s="65" t="str">
        <x:v>中文名待确认（Operario Ferroviario）</x:v>
      </x:c>
      <x:c r="F89" s="65" t="str">
        <x:v>无可靠让球盘/只观察｜现有证据不足以形成可执行让球倾向</x:v>
      </x:c>
      <x:c r="G89" s="65" t="str">
        <x:v>无可靠大小球盘/只观察｜现有证据不足以形成可执行总进球倾向</x:v>
      </x:c>
      <x:c r="H89" s="65" t="str">
        <x:v>待确认首发、伤停、双方近5场与主客拆分、亚洲让球/大小球初盘及当前水位；任一市场欧赔&lt;1.80/港水&lt;0.80不进；未满足全部触发条件不进、不加仓</x:v>
      </x:c>
      <x:c r="I89" s="66" t="n">
        <x:v>46221.793217592596</x:v>
      </x:c>
      <x:c r="J89" s="65" t="str">
        <x:v>需复核</x:v>
      </x:c>
      <x:c r="K89" s="65"/>
      <x:c r="L89" s="65"/>
      <x:c r="M89" s="65"/>
      <x:c r="N89" s="549"/>
      <x:c r="O89" s="549"/>
      <x:c r="P89" s="549" t="str">
        <x:f>IF(COUNT(N89:O89)=0,"",SUM(N89:O89))</x:f>
      </x:c>
      <x:c r="Q89" s="65" t="str">
        <x:v>https://www.livescore.mobi/football/brazil/serie-b/sport-recife-vs-operario-ferroviario/1741273/；https://www.fotmob.com/matches/x/x#5190616；查询时间：2026-07-18 19:02（北京时间）</x:v>
      </x:c>
      <x:c r="R89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0" ht="38" customHeight="1">
      <x:c r="A90" s="65" t="str">
        <x:f>IF(B90="","",TEXT(B90,"yyyy-mm-dd")&amp;"|"&amp;D90&amp;"|"&amp;E90)</x:f>
        <x:v>2026-07-19|中文名待确认（Eastleigh）|南安普顿（Southampton）</x:v>
      </x:c>
      <x:c r="B90" s="66" t="n">
        <x:v>46222.114583333336</x:v>
      </x:c>
      <x:c r="C90" s="65" t="str">
        <x:v>国际俱乐部友谊赛</x:v>
      </x:c>
      <x:c r="D90" s="65" t="str">
        <x:v>中文名待确认（Eastleigh）</x:v>
      </x:c>
      <x:c r="E90" s="65" t="str">
        <x:v>南安普顿（Southampton）</x:v>
      </x:c>
      <x:c r="F90" s="65" t="str">
        <x:v>无可靠让球盘/只观察｜现有证据不足以形成可执行让球倾向</x:v>
      </x:c>
      <x:c r="G90" s="65" t="str">
        <x:v>无可靠大小球盘/只观察｜现有证据不足以形成可执行总进球倾向</x:v>
      </x:c>
      <x:c r="H90" s="65" t="str">
        <x:v>待确认首发、伤停、双方近5场与主客拆分、亚洲让球/大小球初盘及当前水位；任一市场欧赔&lt;1.80/港水&lt;0.80不进；未满足全部触发条件不进、不加仓</x:v>
      </x:c>
      <x:c r="I90" s="66" t="n">
        <x:v>46221.793217592596</x:v>
      </x:c>
      <x:c r="J90" s="65" t="str">
        <x:v>需复核</x:v>
      </x:c>
      <x:c r="K90" s="65"/>
      <x:c r="L90" s="65"/>
      <x:c r="M90" s="65"/>
      <x:c r="N90" s="549"/>
      <x:c r="O90" s="549"/>
      <x:c r="P90" s="549" t="str">
        <x:f>IF(COUNT(N90:O90)=0,"",SUM(N90:O90))</x:f>
      </x:c>
      <x:c r="Q90" s="65" t="str">
        <x:v>https://www.livescore.mobi/football/club-friendlies/club-friendlies-2026/eastleigh-vs-southampton/1836844/；查询时间：2026-07-18 19:02（北京时间）</x:v>
      </x:c>
      <x:c r="R90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91" ht="38" customHeight="1">
      <x:c r="A91" s="65" t="str">
        <x:f>IF(B91="","",TEXT(B91,"yyyy-mm-dd")&amp;"|"&amp;D91&amp;"|"&amp;E91)</x:f>
        <x:v>2026-07-19|中文名待确认（Braga）|维戈塞尔塔（Celta Vigo）</x:v>
      </x:c>
      <x:c r="B91" s="66" t="n">
        <x:v>46222.104166666664</x:v>
      </x:c>
      <x:c r="C91" s="65" t="str">
        <x:v>国际俱乐部友谊赛</x:v>
      </x:c>
      <x:c r="D91" s="65" t="str">
        <x:v>中文名待确认（Braga）</x:v>
      </x:c>
      <x:c r="E91" s="65" t="str">
        <x:v>维戈塞尔塔（Celta Vigo）</x:v>
      </x:c>
      <x:c r="F91" s="65" t="str">
        <x:v>无可靠让球盘/只观察｜现有证据不足以形成可执行让球倾向</x:v>
      </x:c>
      <x:c r="G91" s="65" t="str">
        <x:v>无可靠大小球盘/只观察｜现有证据不足以形成可执行总进球倾向</x:v>
      </x:c>
      <x:c r="H91" s="65" t="str">
        <x:v>待确认首发、伤停、双方近5场与主客拆分、亚洲让球/大小球初盘及当前水位；任一市场欧赔&lt;1.80/港水&lt;0.80不进；未满足全部触发条件不进、不加仓</x:v>
      </x:c>
      <x:c r="I91" s="66" t="n">
        <x:v>46221.793217592596</x:v>
      </x:c>
      <x:c r="J91" s="65" t="str">
        <x:v>需复核</x:v>
      </x:c>
      <x:c r="K91" s="65"/>
      <x:c r="L91" s="65"/>
      <x:c r="M91" s="65"/>
      <x:c r="N91" s="549"/>
      <x:c r="O91" s="549"/>
      <x:c r="P91" s="549" t="str">
        <x:f>IF(COUNT(N91:O91)=0,"",SUM(N91:O91))</x:f>
      </x:c>
      <x:c r="Q91" s="65" t="str">
        <x:v>https://www.fotmob.com/matches/x/x#5900324；https://www.livescore.mobi/football/club-friendlies/featured-club-friendlies/sc-braga-vs-celta-vigo/1822064/；查询时间：2026-07-18 19:02（北京时间）</x:v>
      </x:c>
      <x:c r="R91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2" ht="38" customHeight="1">
      <x:c r="A92" s="65" t="str">
        <x:f>IF(B92="","",TEXT(B92,"yyyy-mm-dd")&amp;"|"&amp;D92&amp;"|"&amp;E92)</x:f>
        <x:v>2026-07-19|中文名待确认（ADT）|秘鲁体育大学（Universitario）</x:v>
      </x:c>
      <x:c r="B92" s="66" t="n">
        <x:v>46222.09375</x:v>
      </x:c>
      <x:c r="C92" s="65" t="str">
        <x:v>规范中文名待确认（Clausura）</x:v>
      </x:c>
      <x:c r="D92" s="65" t="str">
        <x:v>中文名待确认（ADT）</x:v>
      </x:c>
      <x:c r="E92" s="65" t="str">
        <x:v>秘鲁体育大学（Universitario）</x:v>
      </x:c>
      <x:c r="F92" s="65" t="str">
        <x:v>无可靠让球盘/只观察｜现有证据不足以形成可执行让球倾向</x:v>
      </x:c>
      <x:c r="G92" s="65" t="str">
        <x:v>无可靠大小球盘/只观察｜现有证据不足以形成可执行总进球倾向</x:v>
      </x:c>
      <x:c r="H92" s="65" t="str">
        <x:v>待确认首发、伤停、双方近5场与主客拆分、亚洲让球/大小球初盘及当前水位；任一市场欧赔&lt;1.80/港水&lt;0.80不进；未满足全部触发条件不进、不加仓</x:v>
      </x:c>
      <x:c r="I92" s="66" t="n">
        <x:v>46221.793217592596</x:v>
      </x:c>
      <x:c r="J92" s="65" t="str">
        <x:v>需复核</x:v>
      </x:c>
      <x:c r="K92" s="65"/>
      <x:c r="L92" s="65"/>
      <x:c r="M92" s="65"/>
      <x:c r="N92" s="549"/>
      <x:c r="O92" s="549"/>
      <x:c r="P92" s="549" t="str">
        <x:f>IF(COUNT(N92:O92)=0,"",SUM(N92:O92))</x:f>
      </x:c>
      <x:c r="Q92" s="65" t="str">
        <x:v>https://www.espn.com/soccer/match/_/gameId/401874338/universitario-adt；https://www.livescore.mobi/football/peru/primera-division-clausura/asociacion-deportiva-tarma-vs-universitario-de-deportes/1806566/；https://www.fotmob.com/matches/x/x#1000013496；查询时间：2026-07-18 19:02（北京时间）</x:v>
      </x:c>
      <x:c r="R92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DW、客队WDDD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3" ht="38" customHeight="1">
      <x:c r="A93" s="65" t="str">
        <x:f>IF(B93="","",TEXT(B93,"yyyy-mm-dd")&amp;"|"&amp;D93&amp;"|"&amp;E93)</x:f>
        <x:v>2026-07-19|中文名待确认（CS Universitatea Craiova）|中文名待确认（UTA Arad）</x:v>
      </x:c>
      <x:c r="B93" s="66" t="n">
        <x:v>46222.09375</x:v>
      </x:c>
      <x:c r="C93" s="65" t="str">
        <x:v>印度尼西亚超级联赛（印尼超/Liga 1 Indonesia）</x:v>
      </x:c>
      <x:c r="D93" s="65" t="str">
        <x:v>中文名待确认（CS Universitatea Craiova）</x:v>
      </x:c>
      <x:c r="E93" s="65" t="str">
        <x:v>中文名待确认（UTA Arad）</x:v>
      </x:c>
      <x:c r="F93" s="65" t="str">
        <x:v>无可靠让球盘/只观察｜现有证据不足以形成可执行让球倾向</x:v>
      </x:c>
      <x:c r="G93" s="65" t="str">
        <x:v>无可靠大小球盘/只观察｜现有证据不足以形成可执行总进球倾向</x:v>
      </x:c>
      <x:c r="H93" s="65" t="str">
        <x:v>待确认首发、伤停、双方近5场与主客拆分、亚洲让球/大小球初盘及当前水位；任一市场欧赔&lt;1.80/港水&lt;0.80不进；未满足全部触发条件不进、不加仓</x:v>
      </x:c>
      <x:c r="I93" s="66" t="n">
        <x:v>46221.793217592596</x:v>
      </x:c>
      <x:c r="J93" s="65" t="str">
        <x:v>需复核</x:v>
      </x:c>
      <x:c r="K93" s="65"/>
      <x:c r="L93" s="65"/>
      <x:c r="M93" s="65"/>
      <x:c r="N93" s="549"/>
      <x:c r="O93" s="549"/>
      <x:c r="P93" s="549" t="str">
        <x:f>IF(COUNT(N93:O93)=0,"",SUM(N93:O93))</x:f>
      </x:c>
      <x:c r="Q93" s="65" t="str">
        <x:v>https://www.livescore.mobi/football/romania/liga-1/cs-universitatea-craiova-vs-uta-arad/1807212/；https://www.fotmob.com/matches/x/x#5853439；查询时间：2026-07-18 19:02（北京时间）</x:v>
      </x:c>
      <x:c r="R93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4" ht="38" customHeight="1">
      <x:c r="A94" s="65" t="str">
        <x:f>IF(B94="","",TEXT(B94,"yyyy-mm-dd")&amp;"|"&amp;D94&amp;"|"&amp;E94)</x:f>
        <x:v>2026-07-19|中文名待确认（Ludogorets Razgrad）|中文名待确认（Lokomotiv Plovdiv）</x:v>
      </x:c>
      <x:c r="B94" s="66" t="n">
        <x:v>46222.09375</x:v>
      </x:c>
      <x:c r="C94" s="65" t="str">
        <x:v>保加利亚甲级联赛</x:v>
      </x:c>
      <x:c r="D94" s="65" t="str">
        <x:v>中文名待确认（Ludogorets Razgrad）</x:v>
      </x:c>
      <x:c r="E94" s="65" t="str">
        <x:v>中文名待确认（Lokomotiv Plovdiv）</x:v>
      </x:c>
      <x:c r="F94" s="65" t="str">
        <x:v>无可靠让球盘/只观察｜现有证据不足以形成可执行让球倾向</x:v>
      </x:c>
      <x:c r="G94" s="65" t="str">
        <x:v>无可靠大小球盘/只观察｜现有证据不足以形成可执行总进球倾向</x:v>
      </x:c>
      <x:c r="H94" s="65" t="str">
        <x:v>待确认首发、伤停、双方近5场与主客拆分、亚洲让球/大小球初盘及当前水位；任一市场欧赔&lt;1.80/港水&lt;0.80不进；未满足全部触发条件不进、不加仓</x:v>
      </x:c>
      <x:c r="I94" s="66" t="n">
        <x:v>46221.793217592596</x:v>
      </x:c>
      <x:c r="J94" s="65" t="str">
        <x:v>需复核</x:v>
      </x:c>
      <x:c r="K94" s="65"/>
      <x:c r="L94" s="65"/>
      <x:c r="M94" s="65"/>
      <x:c r="N94" s="549"/>
      <x:c r="O94" s="549"/>
      <x:c r="P94" s="549" t="str">
        <x:f>IF(COUNT(N94:O94)=0,"",SUM(N94:O94))</x:f>
      </x:c>
      <x:c r="Q94" s="65" t="str">
        <x:v>https://www.livescore.mobi/football/bulgaria/parva-liga/ludogorets-razgrad-vs-lokomotiv-plovdiv/1786289/；https://www.fotmob.com/matches/x/x#5760424；查询时间：2026-07-18 19:02（北京时间）</x:v>
      </x:c>
      <x:c r="R9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5" ht="38" customHeight="1">
      <x:c r="A95" s="65" t="str">
        <x:f>IF(B95="","",TEXT(B95,"yyyy-mm-dd")&amp;"|"&amp;D95&amp;"|"&amp;E95)</x:f>
        <x:v>2026-07-19|中文名待确认（Olimpija Ljubljana）|中文名待确认（NK Bravo）</x:v>
      </x:c>
      <x:c r="B95" s="66" t="n">
        <x:v>46222.09375</x:v>
      </x:c>
      <x:c r="C95" s="65" t="str">
        <x:v>规范中文名待确认（Slovenia - Prva Liga）</x:v>
      </x:c>
      <x:c r="D95" s="65" t="str">
        <x:v>中文名待确认（Olimpija Ljubljana）</x:v>
      </x:c>
      <x:c r="E95" s="65" t="str">
        <x:v>中文名待确认（NK Bravo）</x:v>
      </x:c>
      <x:c r="F95" s="65" t="str">
        <x:v>无可靠让球盘/只观察｜现有证据不足以形成可执行让球倾向</x:v>
      </x:c>
      <x:c r="G95" s="65" t="str">
        <x:v>无可靠大小球盘/只观察｜现有证据不足以形成可执行总进球倾向</x:v>
      </x:c>
      <x:c r="H95" s="65" t="str">
        <x:v>待确认首发、伤停、双方近5场与主客拆分、亚洲让球/大小球初盘及当前水位；任一市场欧赔&lt;1.80/港水&lt;0.80不进；未满足全部触发条件不进、不加仓</x:v>
      </x:c>
      <x:c r="I95" s="66" t="n">
        <x:v>46221.793217592596</x:v>
      </x:c>
      <x:c r="J95" s="65" t="str">
        <x:v>需复核</x:v>
      </x:c>
      <x:c r="K95" s="65"/>
      <x:c r="L95" s="65"/>
      <x:c r="M95" s="65"/>
      <x:c r="N95" s="549"/>
      <x:c r="O95" s="549"/>
      <x:c r="P95" s="549" t="str">
        <x:f>IF(COUNT(N95:O95)=0,"",SUM(N95:O95))</x:f>
      </x:c>
      <x:c r="Q95" s="65" t="str">
        <x:v>https://www.livescore.mobi/football/slovenia/prva-liga/olimpija-ljubljana-vs-nk-bravo/1800802/；https://www.fotmob.com/matches/x/x#5833535；查询时间：2026-07-18 19:02（北京时间）</x:v>
      </x:c>
      <x:c r="R95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6" ht="38" customHeight="1">
      <x:c r="A96" s="65" t="str">
        <x:f>IF(B96="","",TEXT(B96,"yyyy-mm-dd")&amp;"|"&amp;D96&amp;"|"&amp;E96)</x:f>
        <x:v>2026-07-19|中文名待确认（Alianza Universidad）|中文名待确认（Ayacucho FC）</x:v>
      </x:c>
      <x:c r="B96" s="66" t="n">
        <x:v>46222.083333333336</x:v>
      </x:c>
      <x:c r="C96" s="65" t="str">
        <x:v>规范中文名待确认（Peru - Liga 2: Group B）</x:v>
      </x:c>
      <x:c r="D96" s="65" t="str">
        <x:v>中文名待确认（Alianza Universidad）</x:v>
      </x:c>
      <x:c r="E96" s="65" t="str">
        <x:v>中文名待确认（Ayacucho FC）</x:v>
      </x:c>
      <x:c r="F96" s="65" t="str">
        <x:v>无可靠让球盘/只观察｜现有证据不足以形成可执行让球倾向</x:v>
      </x:c>
      <x:c r="G96" s="65" t="str">
        <x:v>无可靠大小球盘/只观察｜现有证据不足以形成可执行总进球倾向</x:v>
      </x:c>
      <x:c r="H96" s="65" t="str">
        <x:v>待确认首发、伤停、双方近5场与主客拆分、亚洲让球/大小球初盘及当前水位；任一市场欧赔&lt;1.80/港水&lt;0.80不进；未满足全部触发条件不进、不加仓</x:v>
      </x:c>
      <x:c r="I96" s="66" t="n">
        <x:v>46221.793217592596</x:v>
      </x:c>
      <x:c r="J96" s="65" t="str">
        <x:v>需复核</x:v>
      </x:c>
      <x:c r="K96" s="65"/>
      <x:c r="L96" s="65"/>
      <x:c r="M96" s="65"/>
      <x:c r="N96" s="549"/>
      <x:c r="O96" s="549"/>
      <x:c r="P96" s="549" t="str">
        <x:f>IF(COUNT(N96:O96)=0,"",SUM(N96:O96))</x:f>
      </x:c>
      <x:c r="Q96" s="65" t="str">
        <x:v>https://www.livescore.mobi/football/peru/liga-2-group-b/alianza-universidad-vs-ayacucho-fc/1805779/；查询时间：2026-07-18 19:02（北京时间）</x:v>
      </x:c>
      <x:c r="R96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97" ht="38" customHeight="1">
      <x:c r="A97" s="65" t="str">
        <x:f>IF(B97="","",TEXT(B97,"yyyy-mm-dd")&amp;"|"&amp;D97&amp;"|"&amp;E97)</x:f>
        <x:v>2026-07-19|梅洛阿根廷人（Argentino de Merlo）|阿梅尼奥（Deportivo Armenio）</x:v>
      </x:c>
      <x:c r="B97" s="66" t="n">
        <x:v>46222.083333333336</x:v>
      </x:c>
      <x:c r="C97" s="65" t="str">
        <x:v>规范中文名待确认（Argentina - Primera B Metropolitana）</x:v>
      </x:c>
      <x:c r="D97" s="65" t="str">
        <x:v>梅洛阿根廷人（Argentino de Merlo）</x:v>
      </x:c>
      <x:c r="E97" s="65" t="str">
        <x:v>阿梅尼奥（Deportivo Armenio）</x:v>
      </x:c>
      <x:c r="F97" s="65" t="str">
        <x:v>无可靠让球盘/只观察｜现有证据不足以形成可执行让球倾向</x:v>
      </x:c>
      <x:c r="G97" s="65" t="str">
        <x:v>无可靠大小球盘/只观察｜现有证据不足以形成可执行总进球倾向</x:v>
      </x:c>
      <x:c r="H97" s="65" t="str">
        <x:v>待确认首发、伤停、双方近5场与主客拆分、亚洲让球/大小球初盘及当前水位；任一市场欧赔&lt;1.80/港水&lt;0.80不进；未满足全部触发条件不进、不加仓</x:v>
      </x:c>
      <x:c r="I97" s="66" t="n">
        <x:v>46221.793217592596</x:v>
      </x:c>
      <x:c r="J97" s="65" t="str">
        <x:v>需复核</x:v>
      </x:c>
      <x:c r="K97" s="65"/>
      <x:c r="L97" s="65"/>
      <x:c r="M97" s="65"/>
      <x:c r="N97" s="549"/>
      <x:c r="O97" s="549"/>
      <x:c r="P97" s="549" t="str">
        <x:f>IF(COUNT(N97:O97)=0,"",SUM(N97:O97))</x:f>
      </x:c>
      <x:c r="Q97" s="65" t="str">
        <x:v>https://www.livescore.mobi/football/argentina/primera-b-metropolitana-2026/argentino-de-merlo-vs-deportivo-armenio/1713868/；https://www.fotmob.com/matches/x/x#5113947；https://www.espn.com/soccer/match/_/gameId/401844997/deportivo-armenio-argentino-de-merlo；查询时间：2026-07-18 19:02（北京时间）</x:v>
      </x:c>
      <x:c r="R97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DWW、客队WDD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8" ht="38" customHeight="1">
      <x:c r="A98" s="65" t="str">
        <x:f>IF(B98="","",TEXT(B98,"yyyy-mm-dd")&amp;"|"&amp;D98&amp;"|"&amp;E98)</x:f>
        <x:v>2026-07-19|中文名待确认（Arsenal Sarandi）|中文名待确认（CSD Flandria）</x:v>
      </x:c>
      <x:c r="B98" s="66" t="n">
        <x:v>46222.083333333336</x:v>
      </x:c>
      <x:c r="C98" s="65" t="str">
        <x:v>规范中文名待确认（Argentina - Primera B Metropolitana）</x:v>
      </x:c>
      <x:c r="D98" s="65" t="str">
        <x:v>中文名待确认（Arsenal Sarandi）</x:v>
      </x:c>
      <x:c r="E98" s="65" t="str">
        <x:v>中文名待确认（CSD Flandria）</x:v>
      </x:c>
      <x:c r="F98" s="65" t="str">
        <x:v>无可靠让球盘/只观察｜现有证据不足以形成可执行让球倾向</x:v>
      </x:c>
      <x:c r="G98" s="65" t="str">
        <x:v>无可靠大小球盘/只观察｜现有证据不足以形成可执行总进球倾向</x:v>
      </x:c>
      <x:c r="H98" s="65" t="str">
        <x:v>待确认首发、伤停、双方近5场与主客拆分、亚洲让球/大小球初盘及当前水位；任一市场欧赔&lt;1.80/港水&lt;0.80不进；未满足全部触发条件不进、不加仓</x:v>
      </x:c>
      <x:c r="I98" s="66" t="n">
        <x:v>46221.793217592596</x:v>
      </x:c>
      <x:c r="J98" s="65" t="str">
        <x:v>需复核</x:v>
      </x:c>
      <x:c r="K98" s="65"/>
      <x:c r="L98" s="65"/>
      <x:c r="M98" s="65"/>
      <x:c r="N98" s="549"/>
      <x:c r="O98" s="549"/>
      <x:c r="P98" s="549" t="str">
        <x:f>IF(COUNT(N98:O98)=0,"",SUM(N98:O98))</x:f>
      </x:c>
      <x:c r="Q98" s="65" t="str">
        <x:v>https://www.livescore.mobi/football/argentina/primera-b-metropolitana-2026/arsenal-sarandi-vs-csd-flandria/1713869/；https://www.fotmob.com/matches/x/x#5113948；https://www.espn.com/soccer/match/_/gameId/401844996/flandria-arsenal-sarandi；查询时间：2026-07-18 19:02（北京时间）</x:v>
      </x:c>
      <x:c r="R9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WDW、客队WDL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99" ht="38" customHeight="1">
      <x:c r="A99" s="65" t="str">
        <x:f>IF(B99="","",TEXT(B99,"yyyy-mm-dd")&amp;"|"&amp;D99&amp;"|"&amp;E99)</x:f>
        <x:v>2026-07-19|中文名待确认（CA Excursionistas）|阿根廷基尔梅斯（Argentino de Quilmes）</x:v>
      </x:c>
      <x:c r="B99" s="66" t="n">
        <x:v>46222.083333333336</x:v>
      </x:c>
      <x:c r="C99" s="65" t="str">
        <x:v>规范中文名待确认（Argentina - Primera B Metropolitana）</x:v>
      </x:c>
      <x:c r="D99" s="65" t="str">
        <x:v>中文名待确认（CA Excursionistas）</x:v>
      </x:c>
      <x:c r="E99" s="65" t="str">
        <x:v>阿根廷基尔梅斯（Argentino de Quilmes）</x:v>
      </x:c>
      <x:c r="F99" s="65" t="str">
        <x:v>无可靠让球盘/只观察｜现有证据不足以形成可执行让球倾向</x:v>
      </x:c>
      <x:c r="G99" s="65" t="str">
        <x:v>无可靠大小球盘/只观察｜现有证据不足以形成可执行总进球倾向</x:v>
      </x:c>
      <x:c r="H99" s="65" t="str">
        <x:v>待确认首发、伤停、双方近5场与主客拆分、亚洲让球/大小球初盘及当前水位；任一市场欧赔&lt;1.80/港水&lt;0.80不进；未满足全部触发条件不进、不加仓</x:v>
      </x:c>
      <x:c r="I99" s="66" t="n">
        <x:v>46221.793217592596</x:v>
      </x:c>
      <x:c r="J99" s="65" t="str">
        <x:v>需复核</x:v>
      </x:c>
      <x:c r="K99" s="65"/>
      <x:c r="L99" s="65"/>
      <x:c r="M99" s="65"/>
      <x:c r="N99" s="549"/>
      <x:c r="O99" s="549"/>
      <x:c r="P99" s="549" t="str">
        <x:f>IF(COUNT(N99:O99)=0,"",SUM(N99:O99))</x:f>
      </x:c>
      <x:c r="Q99" s="65" t="str">
        <x:v>https://www.livescore.mobi/football/argentina/primera-b-metropolitana-2026/ca-excursionistas-vs-argentino-de-quilmes/1713871/；https://www.fotmob.com/matches/x/x#5113949；https://www.espn.com/soccer/match/_/gameId/401844994/argentino-de-quilmes-excursionistas；查询时间：2026-07-18 19:02（北京时间）</x:v>
      </x:c>
      <x:c r="R99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LWD、客队WLL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00" ht="38" customHeight="1">
      <x:c r="A100" s="65" t="str">
        <x:f>IF(B100="","",TEXT(B100,"yyyy-mm-dd")&amp;"|"&amp;D100&amp;"|"&amp;E100)</x:f>
        <x:v>2026-07-19|中文名待确认（CA Talleres Remedios de Escalada）|布朗德阿德罗格（Brown de Adrogué）</x:v>
      </x:c>
      <x:c r="B100" s="66" t="n">
        <x:v>46222.083333333336</x:v>
      </x:c>
      <x:c r="C100" s="65" t="str">
        <x:v>规范中文名待确认（Argentina - Primera B Metropolitana）</x:v>
      </x:c>
      <x:c r="D100" s="65" t="str">
        <x:v>中文名待确认（CA Talleres Remedios de Escalada）</x:v>
      </x:c>
      <x:c r="E100" s="65" t="str">
        <x:v>布朗德阿德罗格（Brown de Adrogué）</x:v>
      </x:c>
      <x:c r="F100" s="65" t="str">
        <x:v>无可靠让球盘/只观察｜现有证据不足以形成可执行让球倾向</x:v>
      </x:c>
      <x:c r="G100" s="65" t="str">
        <x:v>无可靠大小球盘/只观察｜现有证据不足以形成可执行总进球倾向</x:v>
      </x:c>
      <x:c r="H100" s="65" t="str">
        <x:v>待确认首发、伤停、双方近5场与主客拆分、亚洲让球/大小球初盘及当前水位；任一市场欧赔&lt;1.80/港水&lt;0.80不进；未满足全部触发条件不进、不加仓</x:v>
      </x:c>
      <x:c r="I100" s="66" t="n">
        <x:v>46221.793217592596</x:v>
      </x:c>
      <x:c r="J100" s="65" t="str">
        <x:v>需复核</x:v>
      </x:c>
      <x:c r="K100" s="65"/>
      <x:c r="L100" s="65"/>
      <x:c r="M100" s="65"/>
      <x:c r="N100" s="549"/>
      <x:c r="O100" s="549"/>
      <x:c r="P100" s="549" t="str">
        <x:f>IF(COUNT(N100:O100)=0,"",SUM(N100:O100))</x:f>
      </x:c>
      <x:c r="Q100" s="65" t="str">
        <x:v>https://www.livescore.mobi/football/argentina/primera-b-metropolitana-2026/ca-talleres-remedios-de-escalada-vs-brown-de-adrogue/1713887/；https://www.fotmob.com/matches/x/x#5113954；https://www.espn.com/soccer/match/_/gameId/401844990/brown-de-adrogue-talleres-de-remedios；查询时间：2026-07-18 19:02（北京时间）</x:v>
      </x:c>
      <x:c r="R100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WWD、客队LDD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01" ht="38" customHeight="1">
      <x:c r="A101" s="65" t="str">
        <x:f>IF(B101="","",TEXT(B101,"yyyy-mm-dd")&amp;"|"&amp;D101&amp;"|"&amp;E101)</x:f>
        <x:v>2026-07-19|中文名待确认（CD UAI Urquiza）|中文名待确认（Comunicaciones）</x:v>
      </x:c>
      <x:c r="B101" s="66" t="n">
        <x:v>46222.083333333336</x:v>
      </x:c>
      <x:c r="C101" s="65" t="str">
        <x:v>规范中文名待确认（Argentina - Primera B Metropolitana）</x:v>
      </x:c>
      <x:c r="D101" s="65" t="str">
        <x:v>中文名待确认（CD UAI Urquiza）</x:v>
      </x:c>
      <x:c r="E101" s="65" t="str">
        <x:v>中文名待确认（Comunicaciones）</x:v>
      </x:c>
      <x:c r="F101" s="65" t="str">
        <x:v>无可靠让球盘/只观察｜现有证据不足以形成可执行让球倾向</x:v>
      </x:c>
      <x:c r="G101" s="65" t="str">
        <x:v>无可靠大小球盘/只观察｜现有证据不足以形成可执行总进球倾向</x:v>
      </x:c>
      <x:c r="H101" s="65" t="str">
        <x:v>待确认首发、伤停、双方近5场与主客拆分、亚洲让球/大小球初盘及当前水位；任一市场欧赔&lt;1.80/港水&lt;0.80不进；未满足全部触发条件不进、不加仓</x:v>
      </x:c>
      <x:c r="I101" s="66" t="n">
        <x:v>46221.793217592596</x:v>
      </x:c>
      <x:c r="J101" s="65" t="str">
        <x:v>需复核</x:v>
      </x:c>
      <x:c r="K101" s="65"/>
      <x:c r="L101" s="65"/>
      <x:c r="M101" s="65"/>
      <x:c r="N101" s="549"/>
      <x:c r="O101" s="549"/>
      <x:c r="P101" s="549" t="str">
        <x:f>IF(COUNT(N101:O101)=0,"",SUM(N101:O101))</x:f>
      </x:c>
      <x:c r="Q101" s="65" t="str">
        <x:v>https://www.livescore.mobi/football/argentina/primera-b-metropolitana-2026/cd-uai-urquiza-vs-comunicaciones/1713888/；https://www.fotmob.com/matches/x/x#5113955；https://www.espn.com/soccer/match/_/gameId/401844989/comunicaciones-uai-urquiza；查询时间：2026-07-18 19:02（北京时间）</x:v>
      </x:c>
      <x:c r="R101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DDLDD、客队DWL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02" ht="38" customHeight="1">
      <x:c r="A102" s="65" t="str">
        <x:f>IF(B102="","",TEXT(B102,"yyyy-mm-dd")&amp;"|"&amp;D102&amp;"|"&amp;E102)</x:f>
        <x:v>2026-07-19|中文名待确认（CS Deportivo Liniers）|梅洛体育（Deportivo Merlo）</x:v>
      </x:c>
      <x:c r="B102" s="66" t="n">
        <x:v>46222.083333333336</x:v>
      </x:c>
      <x:c r="C102" s="65" t="str">
        <x:v>规范中文名待确认（Argentina - Primera B Metropolitana）</x:v>
      </x:c>
      <x:c r="D102" s="65" t="str">
        <x:v>中文名待确认（CS Deportivo Liniers）</x:v>
      </x:c>
      <x:c r="E102" s="65" t="str">
        <x:v>梅洛体育（Deportivo Merlo）</x:v>
      </x:c>
      <x:c r="F102" s="65" t="str">
        <x:v>无可靠让球盘/只观察｜现有证据不足以形成可执行让球倾向</x:v>
      </x:c>
      <x:c r="G102" s="65" t="str">
        <x:v>无可靠大小球盘/只观察｜现有证据不足以形成可执行总进球倾向</x:v>
      </x:c>
      <x:c r="H102" s="65" t="str">
        <x:v>待确认首发、伤停、双方近5场与主客拆分、亚洲让球/大小球初盘及当前水位；任一市场欧赔&lt;1.80/港水&lt;0.80不进；未满足全部触发条件不进、不加仓</x:v>
      </x:c>
      <x:c r="I102" s="66" t="n">
        <x:v>46221.793217592596</x:v>
      </x:c>
      <x:c r="J102" s="65" t="str">
        <x:v>需复核</x:v>
      </x:c>
      <x:c r="K102" s="65"/>
      <x:c r="L102" s="65"/>
      <x:c r="M102" s="65"/>
      <x:c r="N102" s="549"/>
      <x:c r="O102" s="549"/>
      <x:c r="P102" s="549" t="str">
        <x:f>IF(COUNT(N102:O102)=0,"",SUM(N102:O102))</x:f>
      </x:c>
      <x:c r="Q102" s="65" t="str">
        <x:v>https://www.livescore.mobi/football/argentina/primera-b-metropolitana-2026/cs-deportivo-liniers-vs-deportivo-merlo/1713880/；https://www.fotmob.com/matches/x/x#5113951；https://www.espn.com/soccer/match/_/gameId/401844993/deportivo-merlo-liniers；查询时间：2026-07-18 19:02（北京时间）</x:v>
      </x:c>
      <x:c r="R102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DDD、客队WDL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03" ht="38" customHeight="1">
      <x:c r="A103" s="65" t="str">
        <x:f>IF(B103="","",TEXT(B103,"yyyy-mm-dd")&amp;"|"&amp;D103&amp;"|"&amp;E103)</x:f>
        <x:v>2026-07-19|中文名待确认（Canuelas）|中文名待确认（Leandro N. Alem）</x:v>
      </x:c>
      <x:c r="B103" s="66" t="n">
        <x:v>46222.083333333336</x:v>
      </x:c>
      <x:c r="C103" s="65" t="str">
        <x:v>阿根廷丙级联赛</x:v>
      </x:c>
      <x:c r="D103" s="65" t="str">
        <x:v>中文名待确认（Canuelas）</x:v>
      </x:c>
      <x:c r="E103" s="65" t="str">
        <x:v>中文名待确认（Leandro N. Alem）</x:v>
      </x:c>
      <x:c r="F103" s="65" t="str">
        <x:v>无可靠让球盘/只观察｜现有证据不足以形成可执行让球倾向</x:v>
      </x:c>
      <x:c r="G103" s="65" t="str">
        <x:v>无可靠大小球盘/只观察｜现有证据不足以形成可执行总进球倾向</x:v>
      </x:c>
      <x:c r="H103" s="65" t="str">
        <x:v>待确认首发、伤停、双方近5场与主客拆分、亚洲让球/大小球初盘及当前水位；任一市场欧赔&lt;1.80/港水&lt;0.80不进；未满足全部触发条件不进、不加仓</x:v>
      </x:c>
      <x:c r="I103" s="66" t="n">
        <x:v>46221.793217592596</x:v>
      </x:c>
      <x:c r="J103" s="65" t="str">
        <x:v>需复核</x:v>
      </x:c>
      <x:c r="K103" s="65"/>
      <x:c r="L103" s="65"/>
      <x:c r="M103" s="65"/>
      <x:c r="N103" s="549"/>
      <x:c r="O103" s="549"/>
      <x:c r="P103" s="549" t="str">
        <x:f>IF(COUNT(N103:O103)=0,"",SUM(N103:O103))</x:f>
      </x:c>
      <x:c r="Q103" s="65" t="str">
        <x:v>https://www.livescore.mobi/football/argentina/primera-c-2026/canuelas-vs-leandro-n-alem/1715487/；查询时间：2026-07-18 19:02（北京时间）</x:v>
      </x:c>
      <x:c r="R103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04" ht="38" customHeight="1">
      <x:c r="A104" s="65" t="str">
        <x:f>IF(B104="","",TEXT(B104,"yyyy-mm-dd")&amp;"|"&amp;D104&amp;"|"&amp;E104)</x:f>
        <x:v>2026-07-19|中文名待确认（Club Dr Benjamin Aceval）|中文名待确认（Resistencia）</x:v>
      </x:c>
      <x:c r="B104" s="66" t="n">
        <x:v>46222.083333333336</x:v>
      </x:c>
      <x:c r="C104" s="65" t="str">
        <x:v>巴拉圭乙级联赛</x:v>
      </x:c>
      <x:c r="D104" s="65" t="str">
        <x:v>中文名待确认（Club Dr Benjamin Aceval）</x:v>
      </x:c>
      <x:c r="E104" s="65" t="str">
        <x:v>中文名待确认（Resistencia）</x:v>
      </x:c>
      <x:c r="F104" s="65" t="str">
        <x:v>无可靠让球盘/只观察｜现有证据不足以形成可执行让球倾向</x:v>
      </x:c>
      <x:c r="G104" s="65" t="str">
        <x:v>无可靠大小球盘/只观察｜现有证据不足以形成可执行总进球倾向</x:v>
      </x:c>
      <x:c r="H104" s="65" t="str">
        <x:v>待确认首发、伤停、双方近5场与主客拆分、亚洲让球/大小球初盘及当前水位；任一市场欧赔&lt;1.80/港水&lt;0.80不进；未满足全部触发条件不进、不加仓</x:v>
      </x:c>
      <x:c r="I104" s="66" t="n">
        <x:v>46221.793217592596</x:v>
      </x:c>
      <x:c r="J104" s="65" t="str">
        <x:v>需复核</x:v>
      </x:c>
      <x:c r="K104" s="65"/>
      <x:c r="L104" s="65"/>
      <x:c r="M104" s="65"/>
      <x:c r="N104" s="549"/>
      <x:c r="O104" s="549"/>
      <x:c r="P104" s="549" t="str">
        <x:f>IF(COUNT(N104:O104)=0,"",SUM(N104:O104))</x:f>
      </x:c>
      <x:c r="Q104" s="65" t="str">
        <x:v>https://www.livescore.mobi/football/paraguay/division-intermedia/club-dr-benjamin-aceval-vs-resistencia/1825977/；查询时间：2026-07-18 19:02（北京时间）</x:v>
      </x:c>
      <x:c r="R104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05" ht="38" customHeight="1">
      <x:c r="A105" s="65" t="str">
        <x:f>IF(B105="","",TEXT(B105,"yyyy-mm-dd")&amp;"|"&amp;D105&amp;"|"&amp;E105)</x:f>
        <x:v>2026-07-19|中文名待确认（Club Sportivo Carapegua）|中文名待确认（Guairena）</x:v>
      </x:c>
      <x:c r="B105" s="66" t="n">
        <x:v>46222.083333333336</x:v>
      </x:c>
      <x:c r="C105" s="65" t="str">
        <x:v>巴拉圭乙级联赛</x:v>
      </x:c>
      <x:c r="D105" s="65" t="str">
        <x:v>中文名待确认（Club Sportivo Carapegua）</x:v>
      </x:c>
      <x:c r="E105" s="65" t="str">
        <x:v>中文名待确认（Guairena）</x:v>
      </x:c>
      <x:c r="F105" s="65" t="str">
        <x:v>无可靠让球盘/只观察｜现有证据不足以形成可执行让球倾向</x:v>
      </x:c>
      <x:c r="G105" s="65" t="str">
        <x:v>无可靠大小球盘/只观察｜现有证据不足以形成可执行总进球倾向</x:v>
      </x:c>
      <x:c r="H105" s="65" t="str">
        <x:v>待确认首发、伤停、双方近5场与主客拆分、亚洲让球/大小球初盘及当前水位；任一市场欧赔&lt;1.80/港水&lt;0.80不进；未满足全部触发条件不进、不加仓</x:v>
      </x:c>
      <x:c r="I105" s="66" t="n">
        <x:v>46221.793217592596</x:v>
      </x:c>
      <x:c r="J105" s="65" t="str">
        <x:v>需复核</x:v>
      </x:c>
      <x:c r="K105" s="65"/>
      <x:c r="L105" s="65"/>
      <x:c r="M105" s="65"/>
      <x:c r="N105" s="549"/>
      <x:c r="O105" s="549"/>
      <x:c r="P105" s="549" t="str">
        <x:f>IF(COUNT(N105:O105)=0,"",SUM(N105:O105))</x:f>
      </x:c>
      <x:c r="Q105" s="65" t="str">
        <x:v>https://www.livescore.mobi/football/paraguay/division-intermedia/club-sportivo-carapegua-vs-guairena/1825975/；查询时间：2026-07-18 19:02（北京时间）</x:v>
      </x:c>
      <x:c r="R105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06" ht="38" customHeight="1">
      <x:c r="A106" s="65" t="str">
        <x:f>IF(B106="","",TEXT(B106,"yyyy-mm-dd")&amp;"|"&amp;D106&amp;"|"&amp;E106)</x:f>
        <x:v>2026-07-19|中文名待确认（Compostela）|中文名待确认（Deportivo La Coruna）</x:v>
      </x:c>
      <x:c r="B106" s="66" t="n">
        <x:v>46222.083333333336</x:v>
      </x:c>
      <x:c r="C106" s="65" t="str">
        <x:v>国际俱乐部友谊赛</x:v>
      </x:c>
      <x:c r="D106" s="65" t="str">
        <x:v>中文名待确认（Compostela）</x:v>
      </x:c>
      <x:c r="E106" s="65" t="str">
        <x:v>中文名待确认（Deportivo La Coruna）</x:v>
      </x:c>
      <x:c r="F106" s="65" t="str">
        <x:v>无可靠让球盘/只观察｜现有证据不足以形成可执行让球倾向</x:v>
      </x:c>
      <x:c r="G106" s="65" t="str">
        <x:v>无可靠大小球盘/只观察｜现有证据不足以形成可执行总进球倾向</x:v>
      </x:c>
      <x:c r="H106" s="65" t="str">
        <x:v>待确认首发、伤停、双方近5场与主客拆分、亚洲让球/大小球初盘及当前水位；任一市场欧赔&lt;1.80/港水&lt;0.80不进；未满足全部触发条件不进、不加仓</x:v>
      </x:c>
      <x:c r="I106" s="66" t="n">
        <x:v>46221.793217592596</x:v>
      </x:c>
      <x:c r="J106" s="65" t="str">
        <x:v>需复核</x:v>
      </x:c>
      <x:c r="K106" s="65"/>
      <x:c r="L106" s="65"/>
      <x:c r="M106" s="65"/>
      <x:c r="N106" s="549"/>
      <x:c r="O106" s="549"/>
      <x:c r="P106" s="549" t="str">
        <x:f>IF(COUNT(N106:O106)=0,"",SUM(N106:O106))</x:f>
      </x:c>
      <x:c r="Q106" s="65" t="str">
        <x:v>https://www.livescore.mobi/football/club-friendlies/club-friendlies-2026/compostela-vs-deportivo-la-coruna/1836841/；查询时间：2026-07-18 19:02（北京时间）</x:v>
      </x:c>
      <x:c r="R106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07" ht="38" customHeight="1">
      <x:c r="A107" s="65" t="str">
        <x:f>IF(B107="","",TEXT(B107,"yyyy-mm-dd")&amp;"|"&amp;D107&amp;"|"&amp;E107)</x:f>
        <x:v>2026-07-19|中文名待确认（Denver Summit FC）|中文名待确认（Portland Thorns）</x:v>
      </x:c>
      <x:c r="B107" s="66" t="n">
        <x:v>46222.083333333336</x:v>
      </x:c>
      <x:c r="C107" s="65" t="str">
        <x:v>美国国家女子足球联赛（NWSL）</x:v>
      </x:c>
      <x:c r="D107" s="65" t="str">
        <x:v>中文名待确认（Denver Summit FC）</x:v>
      </x:c>
      <x:c r="E107" s="65" t="str">
        <x:v>中文名待确认（Portland Thorns）</x:v>
      </x:c>
      <x:c r="F107" s="65" t="str">
        <x:v>无可靠让球盘/只观察｜现有证据不足以形成可执行让球倾向</x:v>
      </x:c>
      <x:c r="G107" s="65" t="str">
        <x:v>无可靠大小球盘/只观察｜现有证据不足以形成可执行总进球倾向</x:v>
      </x:c>
      <x:c r="H107" s="65" t="str">
        <x:v>待确认首发、伤停、双方近5场与主客拆分、亚洲让球/大小球初盘及当前水位；任一市场欧赔&lt;1.80/港水&lt;0.80不进；未满足全部触发条件不进、不加仓</x:v>
      </x:c>
      <x:c r="I107" s="66" t="n">
        <x:v>46221.793217592596</x:v>
      </x:c>
      <x:c r="J107" s="65" t="str">
        <x:v>需复核</x:v>
      </x:c>
      <x:c r="K107" s="65"/>
      <x:c r="L107" s="65"/>
      <x:c r="M107" s="65"/>
      <x:c r="N107" s="549"/>
      <x:c r="O107" s="549"/>
      <x:c r="P107" s="549" t="str">
        <x:f>IF(COUNT(N107:O107)=0,"",SUM(N107:O107))</x:f>
      </x:c>
      <x:c r="Q107" s="65" t="str">
        <x:v>https://www.livescore.mobi/football/usa/national-womens-soccer-league/denver-summit-fc-vs-portland-thorns/1731752/；https://www.espn.com/soccer/match/_/gameId/401854066/portland-thorns-fc-denver-summit-fc；https://www.fotmob.com/matches/x/x#5161564；查询时间：2026-07-18 19:02（北京时间）</x:v>
      </x:c>
      <x:c r="R107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DLWLW、客队LW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08" ht="38" customHeight="1">
      <x:c r="A108" s="65" t="str">
        <x:f>IF(B108="","",TEXT(B108,"yyyy-mm-dd")&amp;"|"&amp;D108&amp;"|"&amp;E108)</x:f>
        <x:v>2026-07-19|拉费雷雷（Deportivo Laferrere）|伊图萨因戈（Ituzaingó）</x:v>
      </x:c>
      <x:c r="B108" s="66" t="n">
        <x:v>46222.083333333336</x:v>
      </x:c>
      <x:c r="C108" s="65" t="str">
        <x:v>规范中文名待确认（Regular Season）</x:v>
      </x:c>
      <x:c r="D108" s="65" t="str">
        <x:v>拉费雷雷（Deportivo Laferrere）</x:v>
      </x:c>
      <x:c r="E108" s="65" t="str">
        <x:v>伊图萨因戈（Ituzaingó）</x:v>
      </x:c>
      <x:c r="F108" s="65" t="str">
        <x:v>无可靠让球盘/只观察｜现有证据不足以形成可执行让球倾向</x:v>
      </x:c>
      <x:c r="G108" s="65" t="str">
        <x:v>无可靠大小球盘/只观察｜现有证据不足以形成可执行总进球倾向</x:v>
      </x:c>
      <x:c r="H108" s="65" t="str">
        <x:v>待确认首发、伤停、双方近5场与主客拆分、亚洲让球/大小球初盘及当前水位；任一市场欧赔&lt;1.80/港水&lt;0.80不进；未满足全部触发条件不进、不加仓</x:v>
      </x:c>
      <x:c r="I108" s="66" t="n">
        <x:v>46221.793217592596</x:v>
      </x:c>
      <x:c r="J108" s="65" t="str">
        <x:v>需复核</x:v>
      </x:c>
      <x:c r="K108" s="65"/>
      <x:c r="L108" s="65"/>
      <x:c r="M108" s="65"/>
      <x:c r="N108" s="549"/>
      <x:c r="O108" s="549"/>
      <x:c r="P108" s="549" t="str">
        <x:f>IF(COUNT(N108:O108)=0,"",SUM(N108:O108))</x:f>
      </x:c>
      <x:c r="Q108" s="65" t="str">
        <x:v>https://www.espn.com/soccer/match/_/gameId/401844995/ituzaingo-deportivo-laferrere；https://www.livescore.mobi/football/argentina/primera-b-metropolitana-2026/laferrere-vs-ituzaingo/1713875/；https://www.fotmob.com/matches/x/x#5113950；查询时间：2026-07-18 19:02（北京时间）</x:v>
      </x:c>
      <x:c r="R10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WDW、客队LDL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09" ht="38" customHeight="1">
      <x:c r="A109" s="65" t="str">
        <x:f>IF(B109="","",TEXT(B109,"yyyy-mm-dd")&amp;"|"&amp;D109&amp;"|"&amp;E109)</x:f>
        <x:v>2026-07-19|邓迪联（Dundee United）|中文名待确认（Arbroath）</x:v>
      </x:c>
      <x:c r="B109" s="66" t="n">
        <x:v>46222.083333333336</x:v>
      </x:c>
      <x:c r="C109" s="65" t="str">
        <x:v>规范中文名待确认（Scotland - Scottish League Cup: Group B）</x:v>
      </x:c>
      <x:c r="D109" s="65" t="str">
        <x:v>邓迪联（Dundee United）</x:v>
      </x:c>
      <x:c r="E109" s="65" t="str">
        <x:v>中文名待确认（Arbroath）</x:v>
      </x:c>
      <x:c r="F109" s="65" t="str">
        <x:v>无可靠让球盘/只观察｜现有证据不足以形成可执行让球倾向</x:v>
      </x:c>
      <x:c r="G109" s="65" t="str">
        <x:v>无可靠大小球盘/只观察｜现有证据不足以形成可执行总进球倾向</x:v>
      </x:c>
      <x:c r="H109" s="65" t="str">
        <x:v>待确认首发、伤停、双方近5场与主客拆分、亚洲让球/大小球初盘及当前水位；任一市场欧赔&lt;1.80/港水&lt;0.80不进；未满足全部触发条件不进、不加仓</x:v>
      </x:c>
      <x:c r="I109" s="66" t="n">
        <x:v>46221.793217592596</x:v>
      </x:c>
      <x:c r="J109" s="65" t="str">
        <x:v>需复核</x:v>
      </x:c>
      <x:c r="K109" s="65"/>
      <x:c r="L109" s="65"/>
      <x:c r="M109" s="65"/>
      <x:c r="N109" s="549"/>
      <x:c r="O109" s="549"/>
      <x:c r="P109" s="549" t="str">
        <x:f>IF(COUNT(N109:O109)=0,"",SUM(N109:O109))</x:f>
      </x:c>
      <x:c r="Q109" s="65" t="str">
        <x:v>https://www.livescore.mobi/football/scotland/league-cup-group-b/dundee-united-vs-arbroath/1786677/；https://www.fotmob.com/matches/x/x#5762585；https://www.espn.com/soccer/match/_/gameId/401874239/arbroath-dundee-united；查询时间：2026-07-18 19:02（北京时间）</x:v>
      </x:c>
      <x:c r="R109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LWDDL、客队WDLD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10" ht="38" customHeight="1">
      <x:c r="A110" s="65" t="str">
        <x:f>IF(B110="","",TEXT(B110,"yyyy-mm-dd")&amp;"|"&amp;D110&amp;"|"&amp;E110)</x:f>
        <x:v>2026-07-19|中文名待确认（FK Zemun）|中文名待确认（Partizan Beograd）</x:v>
      </x:c>
      <x:c r="B110" s="66" t="n">
        <x:v>46222.083333333336</x:v>
      </x:c>
      <x:c r="C110" s="65" t="str">
        <x:v>塞尔维亚超级联赛</x:v>
      </x:c>
      <x:c r="D110" s="65" t="str">
        <x:v>中文名待确认（FK Zemun）</x:v>
      </x:c>
      <x:c r="E110" s="65" t="str">
        <x:v>中文名待确认（Partizan Beograd）</x:v>
      </x:c>
      <x:c r="F110" s="65" t="str">
        <x:v>无可靠让球盘/只观察｜现有证据不足以形成可执行让球倾向</x:v>
      </x:c>
      <x:c r="G110" s="65" t="str">
        <x:v>无可靠大小球盘/只观察｜现有证据不足以形成可执行总进球倾向</x:v>
      </x:c>
      <x:c r="H110" s="65" t="str">
        <x:v>待确认首发、伤停、双方近5场与主客拆分、亚洲让球/大小球初盘及当前水位；任一市场欧赔&lt;1.80/港水&lt;0.80不进；未满足全部触发条件不进、不加仓</x:v>
      </x:c>
      <x:c r="I110" s="66" t="n">
        <x:v>46221.793217592596</x:v>
      </x:c>
      <x:c r="J110" s="65" t="str">
        <x:v>需复核</x:v>
      </x:c>
      <x:c r="K110" s="65"/>
      <x:c r="L110" s="65"/>
      <x:c r="M110" s="65"/>
      <x:c r="N110" s="549"/>
      <x:c r="O110" s="549"/>
      <x:c r="P110" s="549" t="str">
        <x:f>IF(COUNT(N110:O110)=0,"",SUM(N110:O110))</x:f>
      </x:c>
      <x:c r="Q110" s="65" t="str">
        <x:v>https://www.livescore.mobi/football/serbia/super-liga/fk-zemun-vs-partizan-beograd/1799100/；https://www.fotmob.com/matches/x/x#1000015075；查询时间：2026-07-18 19:02（北京时间）</x:v>
      </x:c>
      <x:c r="R110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11" ht="38" customHeight="1">
      <x:c r="A111" s="65" t="str">
        <x:f>IF(B111="","",TEXT(B111,"yyyy-mm-dd")&amp;"|"&amp;D111&amp;"|"&amp;E111)</x:f>
        <x:v>2026-07-19|中文名待确认（Justo Jose de Urquiza）|中文名待确认（Deportivo Muniz）</x:v>
      </x:c>
      <x:c r="B111" s="66" t="n">
        <x:v>46222.083333333336</x:v>
      </x:c>
      <x:c r="C111" s="65" t="str">
        <x:v>阿根廷丙级联赛</x:v>
      </x:c>
      <x:c r="D111" s="65" t="str">
        <x:v>中文名待确认（Justo Jose de Urquiza）</x:v>
      </x:c>
      <x:c r="E111" s="65" t="str">
        <x:v>中文名待确认（Deportivo Muniz）</x:v>
      </x:c>
      <x:c r="F111" s="65" t="str">
        <x:v>无可靠让球盘/只观察｜现有证据不足以形成可执行让球倾向</x:v>
      </x:c>
      <x:c r="G111" s="65" t="str">
        <x:v>无可靠大小球盘/只观察｜现有证据不足以形成可执行总进球倾向</x:v>
      </x:c>
      <x:c r="H111" s="65" t="str">
        <x:v>待确认首发、伤停、双方近5场与主客拆分、亚洲让球/大小球初盘及当前水位；任一市场欧赔&lt;1.80/港水&lt;0.80不进；未满足全部触发条件不进、不加仓</x:v>
      </x:c>
      <x:c r="I111" s="66" t="n">
        <x:v>46221.793217592596</x:v>
      </x:c>
      <x:c r="J111" s="65" t="str">
        <x:v>需复核</x:v>
      </x:c>
      <x:c r="K111" s="65"/>
      <x:c r="L111" s="65"/>
      <x:c r="M111" s="65"/>
      <x:c r="N111" s="549"/>
      <x:c r="O111" s="549"/>
      <x:c r="P111" s="549" t="str">
        <x:f>IF(COUNT(N111:O111)=0,"",SUM(N111:O111))</x:f>
      </x:c>
      <x:c r="Q111" s="65" t="str">
        <x:v>https://www.livescore.mobi/football/argentina/primera-c-2026/justo-jose-de-urquiza-vs-deportivo-muniz/1715509/；查询时间：2026-07-18 19:02（北京时间）</x:v>
      </x:c>
      <x:c r="R111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12" ht="38" customHeight="1">
      <x:c r="A112" s="65" t="str">
        <x:f>IF(B112="","",TEXT(B112,"yyyy-mm-dd")&amp;"|"&amp;D112&amp;"|"&amp;E112)</x:f>
        <x:v>2026-07-19|中文名待确认（Mercedes）|中文名待确认（El Porvenir）</x:v>
      </x:c>
      <x:c r="B112" s="66" t="n">
        <x:v>46222.083333333336</x:v>
      </x:c>
      <x:c r="C112" s="65" t="str">
        <x:v>阿根廷丙级联赛</x:v>
      </x:c>
      <x:c r="D112" s="65" t="str">
        <x:v>中文名待确认（Mercedes）</x:v>
      </x:c>
      <x:c r="E112" s="65" t="str">
        <x:v>中文名待确认（El Porvenir）</x:v>
      </x:c>
      <x:c r="F112" s="65" t="str">
        <x:v>无可靠让球盘/只观察｜现有证据不足以形成可执行让球倾向</x:v>
      </x:c>
      <x:c r="G112" s="65" t="str">
        <x:v>无可靠大小球盘/只观察｜现有证据不足以形成可执行总进球倾向</x:v>
      </x:c>
      <x:c r="H112" s="65" t="str">
        <x:v>待确认首发、伤停、双方近5场与主客拆分、亚洲让球/大小球初盘及当前水位；任一市场欧赔&lt;1.80/港水&lt;0.80不进；未满足全部触发条件不进、不加仓</x:v>
      </x:c>
      <x:c r="I112" s="66" t="n">
        <x:v>46221.793217592596</x:v>
      </x:c>
      <x:c r="J112" s="65" t="str">
        <x:v>需复核</x:v>
      </x:c>
      <x:c r="K112" s="65"/>
      <x:c r="L112" s="65"/>
      <x:c r="M112" s="65"/>
      <x:c r="N112" s="549"/>
      <x:c r="O112" s="549"/>
      <x:c r="P112" s="549" t="str">
        <x:f>IF(COUNT(N112:O112)=0,"",SUM(N112:O112))</x:f>
      </x:c>
      <x:c r="Q112" s="65" t="str">
        <x:v>https://www.livescore.mobi/football/argentina/primera-c-2026/mercedes-vs-el-porvenir/1715514/；查询时间：2026-07-18 19:02（北京时间）</x:v>
      </x:c>
      <x:c r="R112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13" ht="38" customHeight="1">
      <x:c r="A113" s="65" t="str">
        <x:f>IF(B113="","",TEXT(B113,"yyyy-mm-dd")&amp;"|"&amp;D113&amp;"|"&amp;E113)</x:f>
        <x:v>2026-07-19|中文名待确认（Novi Pazar）|中文名待确认（FK Radnicki 1923）</x:v>
      </x:c>
      <x:c r="B113" s="66" t="n">
        <x:v>46222.083333333336</x:v>
      </x:c>
      <x:c r="C113" s="65" t="str">
        <x:v>塞尔维亚超级联赛</x:v>
      </x:c>
      <x:c r="D113" s="65" t="str">
        <x:v>中文名待确认（Novi Pazar）</x:v>
      </x:c>
      <x:c r="E113" s="65" t="str">
        <x:v>中文名待确认（FK Radnicki 1923）</x:v>
      </x:c>
      <x:c r="F113" s="65" t="str">
        <x:v>无可靠让球盘/只观察｜现有证据不足以形成可执行让球倾向</x:v>
      </x:c>
      <x:c r="G113" s="65" t="str">
        <x:v>无可靠大小球盘/只观察｜现有证据不足以形成可执行总进球倾向</x:v>
      </x:c>
      <x:c r="H113" s="65" t="str">
        <x:v>待确认首发、伤停、双方近5场与主客拆分、亚洲让球/大小球初盘及当前水位；任一市场欧赔&lt;1.80/港水&lt;0.80不进；未满足全部触发条件不进、不加仓</x:v>
      </x:c>
      <x:c r="I113" s="66" t="n">
        <x:v>46221.793217592596</x:v>
      </x:c>
      <x:c r="J113" s="65" t="str">
        <x:v>需复核</x:v>
      </x:c>
      <x:c r="K113" s="65"/>
      <x:c r="L113" s="65"/>
      <x:c r="M113" s="65"/>
      <x:c r="N113" s="549"/>
      <x:c r="O113" s="549"/>
      <x:c r="P113" s="549" t="str">
        <x:f>IF(COUNT(N113:O113)=0,"",SUM(N113:O113))</x:f>
      </x:c>
      <x:c r="Q113" s="65" t="str">
        <x:v>https://www.livescore.mobi/football/serbia/super-liga/novi-pazar-vs-fk-radnicki-1923/1799096/；https://www.fotmob.com/matches/x/x#1000015071；查询时间：2026-07-18 19:02（北京时间）</x:v>
      </x:c>
      <x:c r="R113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14" ht="38" customHeight="1">
      <x:c r="A114" s="65" t="str">
        <x:f>IF(B114="","",TEXT(B114,"yyyy-mm-dd")&amp;"|"&amp;D114&amp;"|"&amp;E114)</x:f>
        <x:v>2026-07-19|中文名待确认（Paulista FC）|中文名待确认（Primavera SP）</x:v>
      </x:c>
      <x:c r="B114" s="66" t="n">
        <x:v>46222.083333333336</x:v>
      </x:c>
      <x:c r="C114" s="65" t="str">
        <x:v>规范中文名待确认（BRA - Copa Paulista）</x:v>
      </x:c>
      <x:c r="D114" s="65" t="str">
        <x:v>中文名待确认（Paulista FC）</x:v>
      </x:c>
      <x:c r="E114" s="65" t="str">
        <x:v>中文名待确认（Primavera SP）</x:v>
      </x:c>
      <x:c r="F114" s="65" t="str">
        <x:v>无可靠让球盘/只观察｜现有证据不足以形成可执行让球倾向</x:v>
      </x:c>
      <x:c r="G114" s="65" t="str">
        <x:v>无可靠大小球盘/只观察｜现有证据不足以形成可执行总进球倾向</x:v>
      </x:c>
      <x:c r="H114" s="65" t="str">
        <x:v>待确认首发、伤停、双方近5场与主客拆分、亚洲让球/大小球初盘及当前水位；任一市场欧赔&lt;1.80/港水&lt;0.80不进；未满足全部触发条件不进、不加仓</x:v>
      </x:c>
      <x:c r="I114" s="66" t="n">
        <x:v>46221.793217592596</x:v>
      </x:c>
      <x:c r="J114" s="65" t="str">
        <x:v>需复核</x:v>
      </x:c>
      <x:c r="K114" s="65"/>
      <x:c r="L114" s="65"/>
      <x:c r="M114" s="65"/>
      <x:c r="N114" s="549"/>
      <x:c r="O114" s="549"/>
      <x:c r="P114" s="549" t="str">
        <x:f>IF(COUNT(N114:O114)=0,"",SUM(N114:O114))</x:f>
      </x:c>
      <x:c r="Q114" s="65" t="str">
        <x:v>https://www.fotmob.com/matches/x/x#1000011187；查询时间：2026-07-18 19:02（北京时间）</x:v>
      </x:c>
      <x:c r="R114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15" ht="38" customHeight="1">
      <x:c r="A115" s="65" t="str">
        <x:f>IF(B115="","",TEXT(B115,"yyyy-mm-dd")&amp;"|"&amp;D115&amp;"|"&amp;E115)</x:f>
        <x:v>2026-07-19|皇家皮拉尔（Real Pilar）|多克苏德（Dock Sud）</x:v>
      </x:c>
      <x:c r="B115" s="66" t="n">
        <x:v>46222.083333333336</x:v>
      </x:c>
      <x:c r="C115" s="65" t="str">
        <x:v>规范中文名待确认（Argentina - Primera B Metropolitana）</x:v>
      </x:c>
      <x:c r="D115" s="65" t="str">
        <x:v>皇家皮拉尔（Real Pilar）</x:v>
      </x:c>
      <x:c r="E115" s="65" t="str">
        <x:v>多克苏德（Dock Sud）</x:v>
      </x:c>
      <x:c r="F115" s="65" t="str">
        <x:v>无可靠让球盘/只观察｜现有证据不足以形成可执行让球倾向</x:v>
      </x:c>
      <x:c r="G115" s="65" t="str">
        <x:v>无可靠大小球盘/只观察｜现有证据不足以形成可执行总进球倾向</x:v>
      </x:c>
      <x:c r="H115" s="65" t="str">
        <x:v>待确认首发、伤停、双方近5场与主客拆分、亚洲让球/大小球初盘及当前水位；任一市场欧赔&lt;1.80/港水&lt;0.80不进；未满足全部触发条件不进、不加仓</x:v>
      </x:c>
      <x:c r="I115" s="66" t="n">
        <x:v>46221.793217592596</x:v>
      </x:c>
      <x:c r="J115" s="65" t="str">
        <x:v>需复核</x:v>
      </x:c>
      <x:c r="K115" s="65"/>
      <x:c r="L115" s="65"/>
      <x:c r="M115" s="65"/>
      <x:c r="N115" s="549"/>
      <x:c r="O115" s="549"/>
      <x:c r="P115" s="549" t="str">
        <x:f>IF(COUNT(N115:O115)=0,"",SUM(N115:O115))</x:f>
      </x:c>
      <x:c r="Q115" s="65" t="str">
        <x:v>https://www.livescore.mobi/football/argentina/primera-b-metropolitana-2026/real-pilar-vs-dock-sud/1713879/；https://www.fotmob.com/matches/x/x#5113952；https://www.espn.com/soccer/match/_/gameId/401844992/dock-sud-real-pilar；查询时间：2026-07-18 19:02（北京时间）</x:v>
      </x:c>
      <x:c r="R115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DDD、客队DLWD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16" ht="38" customHeight="1">
      <x:c r="A116" s="65" t="str">
        <x:f>IF(B116="","",TEXT(B116,"yyyy-mm-dd")&amp;"|"&amp;D116&amp;"|"&amp;E116)</x:f>
        <x:v>2026-07-19|中文名待确认（San Martin Burzaco）|意大利体育会（Sportivo Italiano）</x:v>
      </x:c>
      <x:c r="B116" s="66" t="n">
        <x:v>46222.083333333336</x:v>
      </x:c>
      <x:c r="C116" s="65" t="str">
        <x:v>规范中文名待确认（Argentina - Primera B Metropolitana）</x:v>
      </x:c>
      <x:c r="D116" s="65" t="str">
        <x:v>中文名待确认（San Martin Burzaco）</x:v>
      </x:c>
      <x:c r="E116" s="65" t="str">
        <x:v>意大利体育会（Sportivo Italiano）</x:v>
      </x:c>
      <x:c r="F116" s="65" t="str">
        <x:v>无可靠让球盘/只观察｜现有证据不足以形成可执行让球倾向</x:v>
      </x:c>
      <x:c r="G116" s="65" t="str">
        <x:v>无可靠大小球盘/只观察｜现有证据不足以形成可执行总进球倾向</x:v>
      </x:c>
      <x:c r="H116" s="65" t="str">
        <x:v>待确认首发、伤停、双方近5场与主客拆分、亚洲让球/大小球初盘及当前水位；任一市场欧赔&lt;1.80/港水&lt;0.80不进；未满足全部触发条件不进、不加仓</x:v>
      </x:c>
      <x:c r="I116" s="66" t="n">
        <x:v>46221.793217592596</x:v>
      </x:c>
      <x:c r="J116" s="65" t="str">
        <x:v>需复核</x:v>
      </x:c>
      <x:c r="K116" s="65"/>
      <x:c r="L116" s="65"/>
      <x:c r="M116" s="65"/>
      <x:c r="N116" s="549"/>
      <x:c r="O116" s="549"/>
      <x:c r="P116" s="549" t="str">
        <x:f>IF(COUNT(N116:O116)=0,"",SUM(N116:O116))</x:f>
      </x:c>
      <x:c r="Q116" s="65" t="str">
        <x:v>https://www.livescore.mobi/football/argentina/primera-b-metropolitana-2026/san-martin-burzaco-vs-sportivo-italiano/1713886/；https://www.fotmob.com/matches/x/x#5113953；https://www.espn.com/soccer/match/_/gameId/401844991/sportivo-italiano-san-martin-burzaco；查询时间：2026-07-18 19:02（北京时间）</x:v>
      </x:c>
      <x:c r="R116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DDDD、客队WWDD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17" ht="38" customHeight="1">
      <x:c r="A117" s="65" t="str">
        <x:f>IF(B117="","",TEXT(B117,"yyyy-mm-dd")&amp;"|"&amp;D117&amp;"|"&amp;E117)</x:f>
        <x:v>2026-07-19|中文名待确认（UE Olot）|西班牙人（Espanyol）</x:v>
      </x:c>
      <x:c r="B117" s="66" t="n">
        <x:v>46222.083333333336</x:v>
      </x:c>
      <x:c r="C117" s="65" t="str">
        <x:v>国际俱乐部友谊赛</x:v>
      </x:c>
      <x:c r="D117" s="65" t="str">
        <x:v>中文名待确认（UE Olot）</x:v>
      </x:c>
      <x:c r="E117" s="65" t="str">
        <x:v>西班牙人（Espanyol）</x:v>
      </x:c>
      <x:c r="F117" s="65" t="str">
        <x:v>无可靠让球盘/只观察｜现有证据不足以形成可执行让球倾向</x:v>
      </x:c>
      <x:c r="G117" s="65" t="str">
        <x:v>无可靠大小球盘/只观察｜现有证据不足以形成可执行总进球倾向</x:v>
      </x:c>
      <x:c r="H117" s="65" t="str">
        <x:v>待确认首发、伤停、双方近5场与主客拆分、亚洲让球/大小球初盘及当前水位；任一市场欧赔&lt;1.80/港水&lt;0.80不进；未满足全部触发条件不进、不加仓</x:v>
      </x:c>
      <x:c r="I117" s="66" t="n">
        <x:v>46221.793217592596</x:v>
      </x:c>
      <x:c r="J117" s="65" t="str">
        <x:v>需复核</x:v>
      </x:c>
      <x:c r="K117" s="65"/>
      <x:c r="L117" s="65"/>
      <x:c r="M117" s="65"/>
      <x:c r="N117" s="549"/>
      <x:c r="O117" s="549"/>
      <x:c r="P117" s="549" t="str">
        <x:f>IF(COUNT(N117:O117)=0,"",SUM(N117:O117))</x:f>
      </x:c>
      <x:c r="Q117" s="65" t="str">
        <x:v>https://www.livescore.mobi/football/club-friendlies/club-friendlies-2026/ue-olot-vs-espanyol/1821798/；https://www.fotmob.com/matches/x/x#5793418；查询时间：2026-07-18 19:02（北京时间）</x:v>
      </x:c>
      <x:c r="R117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18" ht="38" customHeight="1">
      <x:c r="A118" s="65" t="str">
        <x:f>IF(B118="","",TEXT(B118,"yyyy-mm-dd")&amp;"|"&amp;D118&amp;"|"&amp;E118)</x:f>
        <x:v>2026-07-19|中文名待确认（Villa Dalmine）|中文名待确认（CA Defensores Unidos）</x:v>
      </x:c>
      <x:c r="B118" s="66" t="n">
        <x:v>46222.083333333336</x:v>
      </x:c>
      <x:c r="C118" s="65" t="str">
        <x:v>规范中文名待确认（Argentina - Primera B Metropolitana）</x:v>
      </x:c>
      <x:c r="D118" s="65" t="str">
        <x:v>中文名待确认（Villa Dalmine）</x:v>
      </x:c>
      <x:c r="E118" s="65" t="str">
        <x:v>中文名待确认（CA Defensores Unidos）</x:v>
      </x:c>
      <x:c r="F118" s="65" t="str">
        <x:v>无可靠让球盘/只观察｜现有证据不足以形成可执行让球倾向</x:v>
      </x:c>
      <x:c r="G118" s="65" t="str">
        <x:v>无可靠大小球盘/只观察｜现有证据不足以形成可执行总进球倾向</x:v>
      </x:c>
      <x:c r="H118" s="65" t="str">
        <x:v>待确认首发、伤停、双方近5场与主客拆分、亚洲让球/大小球初盘及当前水位；任一市场欧赔&lt;1.80/港水&lt;0.80不进；未满足全部触发条件不进、不加仓</x:v>
      </x:c>
      <x:c r="I118" s="66" t="n">
        <x:v>46221.793217592596</x:v>
      </x:c>
      <x:c r="J118" s="65" t="str">
        <x:v>需复核</x:v>
      </x:c>
      <x:c r="K118" s="65"/>
      <x:c r="L118" s="65"/>
      <x:c r="M118" s="65"/>
      <x:c r="N118" s="549"/>
      <x:c r="O118" s="549"/>
      <x:c r="P118" s="549" t="str">
        <x:f>IF(COUNT(N118:O118)=0,"",SUM(N118:O118))</x:f>
      </x:c>
      <x:c r="Q118" s="65" t="str">
        <x:v>https://www.livescore.mobi/football/argentina/primera-b-metropolitana-2026/villa-dalmine-vs-ca-defensores-unidos/1713895/；https://www.fotmob.com/matches/x/x#5113956；https://www.espn.com/soccer/match/_/gameId/401844988/defensores-unidos-villa-dalmine；查询时间：2026-07-18 19:02（北京时间）</x:v>
      </x:c>
      <x:c r="R11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DWWLW、客队LLD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19" ht="38" customHeight="1">
      <x:c r="A119" s="65" t="str">
        <x:f>IF(B119="","",TEXT(B119,"yyyy-mm-dd")&amp;"|"&amp;D119&amp;"|"&amp;E119)</x:f>
        <x:v>2026-07-19|维拉圣卡洛斯（Villa San Carlos）|卡米奥内罗斯（Camioneros）</x:v>
      </x:c>
      <x:c r="B119" s="66" t="n">
        <x:v>46222.083333333336</x:v>
      </x:c>
      <x:c r="C119" s="65" t="str">
        <x:v>规范中文名待确认（Regular Season）</x:v>
      </x:c>
      <x:c r="D119" s="65" t="str">
        <x:v>维拉圣卡洛斯（Villa San Carlos）</x:v>
      </x:c>
      <x:c r="E119" s="65" t="str">
        <x:v>卡米奥内罗斯（Camioneros）</x:v>
      </x:c>
      <x:c r="F119" s="65" t="str">
        <x:v>无可靠让球盘/只观察｜现有证据不足以形成可执行让球倾向</x:v>
      </x:c>
      <x:c r="G119" s="65" t="str">
        <x:v>无可靠大小球盘/只观察｜现有证据不足以形成可执行总进球倾向</x:v>
      </x:c>
      <x:c r="H119" s="65" t="str">
        <x:v>待确认首发、伤停、双方近5场与主客拆分、亚洲让球/大小球初盘及当前水位；任一市场欧赔&lt;1.80/港水&lt;0.80不进；未满足全部触发条件不进、不加仓</x:v>
      </x:c>
      <x:c r="I119" s="66" t="n">
        <x:v>46221.793217592596</x:v>
      </x:c>
      <x:c r="J119" s="65" t="str">
        <x:v>需复核</x:v>
      </x:c>
      <x:c r="K119" s="65"/>
      <x:c r="L119" s="65"/>
      <x:c r="M119" s="65"/>
      <x:c r="N119" s="549"/>
      <x:c r="O119" s="549"/>
      <x:c r="P119" s="549" t="str">
        <x:f>IF(COUNT(N119:O119)=0,"",SUM(N119:O119))</x:f>
      </x:c>
      <x:c r="Q119" s="65" t="str">
        <x:v>https://www.espn.com/soccer/match/_/gameId/401844998/camioneros-villa-san-carlos；查询时间：2026-07-18 19:02（北京时间）</x:v>
      </x:c>
      <x:c r="R119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ESPN最近赛果序列：主队LDWDD、客队WLWW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20" ht="38" customHeight="1">
      <x:c r="A120" s="65" t="str">
        <x:f>IF(B120="","",TEXT(B120,"yyyy-mm-dd")&amp;"|"&amp;D120&amp;"|"&amp;E120)</x:f>
        <x:v>2026-07-19|中文名待确认（Zulte Waregem）|阿尔克马尔（AZ Alkmaar）</x:v>
      </x:c>
      <x:c r="B120" s="66" t="n">
        <x:v>46222.083333333336</x:v>
      </x:c>
      <x:c r="C120" s="65" t="str">
        <x:v>国际俱乐部友谊赛</x:v>
      </x:c>
      <x:c r="D120" s="65" t="str">
        <x:v>中文名待确认（Zulte Waregem）</x:v>
      </x:c>
      <x:c r="E120" s="65" t="str">
        <x:v>阿尔克马尔（AZ Alkmaar）</x:v>
      </x:c>
      <x:c r="F120" s="65" t="str">
        <x:v>无可靠让球盘/只观察｜现有证据不足以形成可执行让球倾向</x:v>
      </x:c>
      <x:c r="G120" s="65" t="str">
        <x:v>无可靠大小球盘/只观察｜现有证据不足以形成可执行总进球倾向</x:v>
      </x:c>
      <x:c r="H120" s="65" t="str">
        <x:v>待确认首发、伤停、双方近5场与主客拆分、亚洲让球/大小球初盘及当前水位；任一市场欧赔&lt;1.80/港水&lt;0.80不进；未满足全部触发条件不进、不加仓</x:v>
      </x:c>
      <x:c r="I120" s="66" t="n">
        <x:v>46221.793217592596</x:v>
      </x:c>
      <x:c r="J120" s="65" t="str">
        <x:v>需复核</x:v>
      </x:c>
      <x:c r="K120" s="65"/>
      <x:c r="L120" s="65"/>
      <x:c r="M120" s="65"/>
      <x:c r="N120" s="549"/>
      <x:c r="O120" s="549"/>
      <x:c r="P120" s="549" t="str">
        <x:f>IF(COUNT(N120:O120)=0,"",SUM(N120:O120))</x:f>
      </x:c>
      <x:c r="Q120" s="65" t="str">
        <x:v>https://www.livescore.mobi/football/club-friendlies/club-friendlies-2026/zulte-waregem-vs-az-alkmaar/1822063/；https://www.fotmob.com/matches/x/x#5900439；查询时间：2026-07-18 19:02（北京时间）</x:v>
      </x:c>
      <x:c r="R120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1" ht="38" customHeight="1">
      <x:c r="A121" s="65" t="str">
        <x:f>IF(B121="","",TEXT(B121,"yyyy-mm-dd")&amp;"|"&amp;D121&amp;"|"&amp;E121)</x:f>
        <x:v>2026-07-19|中文名待确认（Beitar Jerusalem）|中文名待确认（Hapoel Tel Aviv）</x:v>
      </x:c>
      <x:c r="B121" s="66" t="n">
        <x:v>46222.0625</x:v>
      </x:c>
      <x:c r="C121" s="65" t="str">
        <x:v>规范中文名待确认（Israel - Toto Cup Al: UEFA Qualifiers: Play-off）</x:v>
      </x:c>
      <x:c r="D121" s="65" t="str">
        <x:v>中文名待确认（Beitar Jerusalem）</x:v>
      </x:c>
      <x:c r="E121" s="65" t="str">
        <x:v>中文名待确认（Hapoel Tel Aviv）</x:v>
      </x:c>
      <x:c r="F121" s="65" t="str">
        <x:v>无可靠让球盘/只观察｜现有证据不足以形成可执行让球倾向</x:v>
      </x:c>
      <x:c r="G121" s="65" t="str">
        <x:v>无可靠大小球盘/只观察｜现有证据不足以形成可执行总进球倾向</x:v>
      </x:c>
      <x:c r="H121" s="65" t="str">
        <x:v>待确认首发、伤停、双方近5场与主客拆分、亚洲让球/大小球初盘及当前水位；任一市场欧赔&lt;1.80/港水&lt;0.80不进；未满足全部触发条件不进、不加仓</x:v>
      </x:c>
      <x:c r="I121" s="66" t="n">
        <x:v>46221.793217592596</x:v>
      </x:c>
      <x:c r="J121" s="65" t="str">
        <x:v>需复核</x:v>
      </x:c>
      <x:c r="K121" s="65"/>
      <x:c r="L121" s="65"/>
      <x:c r="M121" s="65"/>
      <x:c r="N121" s="549"/>
      <x:c r="O121" s="549"/>
      <x:c r="P121" s="549" t="str">
        <x:f>IF(COUNT(N121:O121)=0,"",SUM(N121:O121))</x:f>
      </x:c>
      <x:c r="Q121" s="65" t="str">
        <x:v>https://www.livescore.mobi/football/israel/toto-cup-al-uefa-qualifiers-play-off/beitar-jerusalem-vs-hapoel-tel-aviv/1832637/；https://www.fotmob.com/matches/x/x#5923033；查询时间：2026-07-18 19:02（北京时间）</x:v>
      </x:c>
      <x:c r="R121" s="65" t="str">
        <x:v>证据卡：杯赛/淘汰赛背景，赛制与晋级动机重要；具体轮次已按赛事名称核对，仍需临场阵容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2" ht="38" customHeight="1">
      <x:c r="A122" s="65" t="str">
        <x:f>IF(B122="","",TEXT(B122,"yyyy-mm-dd")&amp;"|"&amp;D122&amp;"|"&amp;E122)</x:f>
        <x:v>2026-07-19|中文名待确认（SD Leioa）|毕尔巴鄂竞技（Athletic Club）</x:v>
      </x:c>
      <x:c r="B122" s="66" t="n">
        <x:v>46222.0625</x:v>
      </x:c>
      <x:c r="C122" s="65" t="str">
        <x:v>国际俱乐部友谊赛</x:v>
      </x:c>
      <x:c r="D122" s="65" t="str">
        <x:v>中文名待确认（SD Leioa）</x:v>
      </x:c>
      <x:c r="E122" s="65" t="str">
        <x:v>毕尔巴鄂竞技（Athletic Club）</x:v>
      </x:c>
      <x:c r="F122" s="65" t="str">
        <x:v>无可靠让球盘/只观察｜现有证据不足以形成可执行让球倾向</x:v>
      </x:c>
      <x:c r="G122" s="65" t="str">
        <x:v>无可靠大小球盘/只观察｜现有证据不足以形成可执行总进球倾向</x:v>
      </x:c>
      <x:c r="H122" s="65" t="str">
        <x:v>待确认首发、伤停、双方近5场与主客拆分、亚洲让球/大小球初盘及当前水位；任一市场欧赔&lt;1.80/港水&lt;0.80不进；未满足全部触发条件不进、不加仓</x:v>
      </x:c>
      <x:c r="I122" s="66" t="n">
        <x:v>46221.793217592596</x:v>
      </x:c>
      <x:c r="J122" s="65" t="str">
        <x:v>需复核</x:v>
      </x:c>
      <x:c r="K122" s="65"/>
      <x:c r="L122" s="65"/>
      <x:c r="M122" s="65"/>
      <x:c r="N122" s="549"/>
      <x:c r="O122" s="549"/>
      <x:c r="P122" s="549" t="str">
        <x:f>IF(COUNT(N122:O122)=0,"",SUM(N122:O122))</x:f>
      </x:c>
      <x:c r="Q122" s="65" t="str">
        <x:v>https://www.livescore.mobi/football/club-friendlies/club-friendlies-2026/sd-leioa-vs-athletic-club/1821789/；https://www.fotmob.com/matches/x/x#5793341；查询时间：2026-07-18 19:02（北京时间）</x:v>
      </x:c>
      <x:c r="R122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3" ht="38" customHeight="1">
      <x:c r="A123" s="65" t="str">
        <x:f>IF(B123="","",TEXT(B123,"yyyy-mm-dd")&amp;"|"&amp;D123&amp;"|"&amp;E123)</x:f>
        <x:v>2026-07-19|中文名待确认（Athlone Town (W)）|波希米亚人（Bohemians）</x:v>
      </x:c>
      <x:c r="B123" s="66" t="n">
        <x:v>46222.041666666664</x:v>
      </x:c>
      <x:c r="C123" s="65" t="str">
        <x:v>规范中文名待确认（IRL - Women's Premier Division）</x:v>
      </x:c>
      <x:c r="D123" s="65" t="str">
        <x:v>中文名待确认（Athlone Town (W)）</x:v>
      </x:c>
      <x:c r="E123" s="65" t="str">
        <x:v>波希米亚人（Bohemians）</x:v>
      </x:c>
      <x:c r="F123" s="65" t="str">
        <x:v>无可靠让球盘/只观察｜现有证据不足以形成可执行让球倾向</x:v>
      </x:c>
      <x:c r="G123" s="65" t="str">
        <x:v>无可靠大小球盘/只观察｜现有证据不足以形成可执行总进球倾向</x:v>
      </x:c>
      <x:c r="H123" s="65" t="str">
        <x:v>待确认首发、伤停、双方近5场与主客拆分、亚洲让球/大小球初盘及当前水位；任一市场欧赔&lt;1.80/港水&lt;0.80不进；未满足全部触发条件不进、不加仓</x:v>
      </x:c>
      <x:c r="I123" s="66" t="n">
        <x:v>46221.793217592596</x:v>
      </x:c>
      <x:c r="J123" s="65" t="str">
        <x:v>需复核</x:v>
      </x:c>
      <x:c r="K123" s="65"/>
      <x:c r="L123" s="65"/>
      <x:c r="M123" s="65"/>
      <x:c r="N123" s="549"/>
      <x:c r="O123" s="549"/>
      <x:c r="P123" s="549" t="str">
        <x:f>IF(COUNT(N123:O123)=0,"",SUM(N123:O123))</x:f>
      </x:c>
      <x:c r="Q123" s="65" t="str">
        <x:v>https://www.fotmob.com/matches/x/x#5101063；https://www.livescore.mobi/football/ireland/womens-national-league/athlone-town-w-vs-bohemian-fc-w/1719718/；查询时间：2026-07-18 19:02（北京时间）</x:v>
      </x:c>
      <x:c r="R123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4" ht="38" customHeight="1">
      <x:c r="A124" s="65" t="str">
        <x:f>IF(B124="","",TEXT(B124,"yyyy-mm-dd")&amp;"|"&amp;D124&amp;"|"&amp;E124)</x:f>
        <x:v>2026-07-19|中文名待确认（Deportivo Alaves）|中文名待确认（Eibar）</x:v>
      </x:c>
      <x:c r="B124" s="66" t="n">
        <x:v>46222.041666666664</x:v>
      </x:c>
      <x:c r="C124" s="65" t="str">
        <x:v>国际俱乐部友谊赛</x:v>
      </x:c>
      <x:c r="D124" s="65" t="str">
        <x:v>中文名待确认（Deportivo Alaves）</x:v>
      </x:c>
      <x:c r="E124" s="65" t="str">
        <x:v>中文名待确认（Eibar）</x:v>
      </x:c>
      <x:c r="F124" s="65" t="str">
        <x:v>无可靠让球盘/只观察｜现有证据不足以形成可执行让球倾向</x:v>
      </x:c>
      <x:c r="G124" s="65" t="str">
        <x:v>无可靠大小球盘/只观察｜现有证据不足以形成可执行总进球倾向</x:v>
      </x:c>
      <x:c r="H124" s="65" t="str">
        <x:v>待确认首发、伤停、双方近5场与主客拆分、亚洲让球/大小球初盘及当前水位；任一市场欧赔&lt;1.80/港水&lt;0.80不进；未满足全部触发条件不进、不加仓</x:v>
      </x:c>
      <x:c r="I124" s="66" t="n">
        <x:v>46221.793217592596</x:v>
      </x:c>
      <x:c r="J124" s="65" t="str">
        <x:v>需复核</x:v>
      </x:c>
      <x:c r="K124" s="65"/>
      <x:c r="L124" s="65"/>
      <x:c r="M124" s="65"/>
      <x:c r="N124" s="549"/>
      <x:c r="O124" s="549"/>
      <x:c r="P124" s="549" t="str">
        <x:f>IF(COUNT(N124:O124)=0,"",SUM(N124:O124))</x:f>
      </x:c>
      <x:c r="Q124" s="65" t="str">
        <x:v>https://www.livescore.mobi/football/club-friendlies/club-friendlies-2026/deportivo-alaves-vs-eibar/1822022/；https://www.fotmob.com/matches/x/x#5900298；查询时间：2026-07-18 19:02（北京时间）</x:v>
      </x:c>
      <x:c r="R124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5" ht="38" customHeight="1">
      <x:c r="A125" s="65" t="str">
        <x:f>IF(B125="","",TEXT(B125,"yyyy-mm-dd")&amp;"|"&amp;D125&amp;"|"&amp;E125)</x:f>
        <x:v>2026-07-19|埃尔切（Elche）|中文名待确认（Kaizer Chiefs）</x:v>
      </x:c>
      <x:c r="B125" s="66" t="n">
        <x:v>46222.041666666664</x:v>
      </x:c>
      <x:c r="C125" s="65" t="str">
        <x:v>国际俱乐部友谊赛</x:v>
      </x:c>
      <x:c r="D125" s="65" t="str">
        <x:v>埃尔切（Elche）</x:v>
      </x:c>
      <x:c r="E125" s="65" t="str">
        <x:v>中文名待确认（Kaizer Chiefs）</x:v>
      </x:c>
      <x:c r="F125" s="65" t="str">
        <x:v>无可靠让球盘/只观察｜现有证据不足以形成可执行让球倾向</x:v>
      </x:c>
      <x:c r="G125" s="65" t="str">
        <x:v>无可靠大小球盘/只观察｜现有证据不足以形成可执行总进球倾向</x:v>
      </x:c>
      <x:c r="H125" s="65" t="str">
        <x:v>待确认首发、伤停、双方近5场与主客拆分、亚洲让球/大小球初盘及当前水位；任一市场欧赔&lt;1.80/港水&lt;0.80不进；未满足全部触发条件不进、不加仓</x:v>
      </x:c>
      <x:c r="I125" s="66" t="n">
        <x:v>46221.793217592596</x:v>
      </x:c>
      <x:c r="J125" s="65" t="str">
        <x:v>需复核</x:v>
      </x:c>
      <x:c r="K125" s="65"/>
      <x:c r="L125" s="65"/>
      <x:c r="M125" s="65"/>
      <x:c r="N125" s="549"/>
      <x:c r="O125" s="549"/>
      <x:c r="P125" s="549" t="str">
        <x:f>IF(COUNT(N125:O125)=0,"",SUM(N125:O125))</x:f>
      </x:c>
      <x:c r="Q125" s="65" t="str">
        <x:v>https://www.livescore.mobi/football/club-friendlies/club-friendlies-2026/elche-vs-kaizer-chiefs/1834615/；https://www.fotmob.com/matches/x/x#5932982；查询时间：2026-07-18 19:02（北京时间）</x:v>
      </x:c>
      <x:c r="R125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6" ht="38" customHeight="1">
      <x:c r="A126" s="65" t="str">
        <x:f>IF(B126="","",TEXT(B126,"yyyy-mm-dd")&amp;"|"&amp;D126&amp;"|"&amp;E126)</x:f>
        <x:v>2026-07-19|中文名待确认（Kormakur/Hvoet）|中文名待确认（Dalvik/Reynir）</x:v>
      </x:c>
      <x:c r="B126" s="66" t="n">
        <x:v>46222.041666666664</x:v>
      </x:c>
      <x:c r="C126" s="65" t="str">
        <x:v>冰岛乙级联赛</x:v>
      </x:c>
      <x:c r="D126" s="65" t="str">
        <x:v>中文名待确认（Kormakur/Hvoet）</x:v>
      </x:c>
      <x:c r="E126" s="65" t="str">
        <x:v>中文名待确认（Dalvik/Reynir）</x:v>
      </x:c>
      <x:c r="F126" s="65" t="str">
        <x:v>无可靠让球盘/只观察｜现有证据不足以形成可执行让球倾向</x:v>
      </x:c>
      <x:c r="G126" s="65" t="str">
        <x:v>无可靠大小球盘/只观察｜现有证据不足以形成可执行总进球倾向</x:v>
      </x:c>
      <x:c r="H126" s="65" t="str">
        <x:v>待确认首发、伤停、双方近5场与主客拆分、亚洲让球/大小球初盘及当前水位；任一市场欧赔&lt;1.80/港水&lt;0.80不进；未满足全部触发条件不进、不加仓</x:v>
      </x:c>
      <x:c r="I126" s="66" t="n">
        <x:v>46221.793217592596</x:v>
      </x:c>
      <x:c r="J126" s="65" t="str">
        <x:v>需复核</x:v>
      </x:c>
      <x:c r="K126" s="65"/>
      <x:c r="L126" s="65"/>
      <x:c r="M126" s="65"/>
      <x:c r="N126" s="549"/>
      <x:c r="O126" s="549"/>
      <x:c r="P126" s="549" t="str">
        <x:f>IF(COUNT(N126:O126)=0,"",SUM(N126:O126))</x:f>
      </x:c>
      <x:c r="Q126" s="65" t="str">
        <x:v>https://www.livescore.mobi/football/iceland/2-deild/kormakurhvoet-vs-dalvikreynir/1751017/；https://www.fotmob.com/matches/x/x#5225942；查询时间：2026-07-18 19:02（北京时间）</x:v>
      </x:c>
      <x:c r="R12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7" ht="38" customHeight="1">
      <x:c r="A127" s="65" t="str">
        <x:f>IF(B127="","",TEXT(B127,"yyyy-mm-dd")&amp;"|"&amp;D127&amp;"|"&amp;E127)</x:f>
        <x:v>2026-07-19|中文名待确认（Lyon）|中文名待确认（Slavia Prague）</x:v>
      </x:c>
      <x:c r="B127" s="66" t="n">
        <x:v>46222.041666666664</x:v>
      </x:c>
      <x:c r="C127" s="65" t="str">
        <x:v>国际俱乐部友谊赛</x:v>
      </x:c>
      <x:c r="D127" s="65" t="str">
        <x:v>中文名待确认（Lyon）</x:v>
      </x:c>
      <x:c r="E127" s="65" t="str">
        <x:v>中文名待确认（Slavia Prague）</x:v>
      </x:c>
      <x:c r="F127" s="65" t="str">
        <x:v>无可靠让球盘/只观察｜现有证据不足以形成可执行让球倾向</x:v>
      </x:c>
      <x:c r="G127" s="65" t="str">
        <x:v>无可靠大小球盘/只观察｜现有证据不足以形成可执行总进球倾向</x:v>
      </x:c>
      <x:c r="H127" s="65" t="str">
        <x:v>待确认首发、伤停、双方近5场与主客拆分、亚洲让球/大小球初盘及当前水位；任一市场欧赔&lt;1.80/港水&lt;0.80不进；未满足全部触发条件不进、不加仓</x:v>
      </x:c>
      <x:c r="I127" s="66" t="n">
        <x:v>46221.793217592596</x:v>
      </x:c>
      <x:c r="J127" s="65" t="str">
        <x:v>需复核</x:v>
      </x:c>
      <x:c r="K127" s="65"/>
      <x:c r="L127" s="65"/>
      <x:c r="M127" s="65"/>
      <x:c r="N127" s="549"/>
      <x:c r="O127" s="549"/>
      <x:c r="P127" s="549" t="str">
        <x:f>IF(COUNT(N127:O127)=0,"",SUM(N127:O127))</x:f>
      </x:c>
      <x:c r="Q127" s="65" t="str">
        <x:v>https://www.livescore.mobi/football/club-friendlies/club-friendlies-2026/lyon-vs-slavia-prague/1836837/；https://www.fotmob.com/matches/x/x#5944915；查询时间：2026-07-18 19:02（北京时间）</x:v>
      </x:c>
      <x:c r="R127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8" ht="38" customHeight="1">
      <x:c r="A128" s="65" t="str">
        <x:f>IF(B128="","",TEXT(B128,"yyyy-mm-dd")&amp;"|"&amp;D128&amp;"|"&amp;E128)</x:f>
        <x:v>2026-07-19|维也纳快速（Rapid Wien）|中文名待确认（Hamburger SV）</x:v>
      </x:c>
      <x:c r="B128" s="66" t="n">
        <x:v>46222.041666666664</x:v>
      </x:c>
      <x:c r="C128" s="65" t="str">
        <x:v>国际俱乐部友谊赛</x:v>
      </x:c>
      <x:c r="D128" s="65" t="str">
        <x:v>维也纳快速（Rapid Wien）</x:v>
      </x:c>
      <x:c r="E128" s="65" t="str">
        <x:v>中文名待确认（Hamburger SV）</x:v>
      </x:c>
      <x:c r="F128" s="65" t="str">
        <x:v>无可靠让球盘/只观察｜现有证据不足以形成可执行让球倾向</x:v>
      </x:c>
      <x:c r="G128" s="65" t="str">
        <x:v>无可靠大小球盘/只观察｜现有证据不足以形成可执行总进球倾向</x:v>
      </x:c>
      <x:c r="H128" s="65" t="str">
        <x:v>待确认首发、伤停、双方近5场与主客拆分、亚洲让球/大小球初盘及当前水位；任一市场欧赔&lt;1.80/港水&lt;0.80不进；未满足全部触发条件不进、不加仓</x:v>
      </x:c>
      <x:c r="I128" s="66" t="n">
        <x:v>46221.793217592596</x:v>
      </x:c>
      <x:c r="J128" s="65" t="str">
        <x:v>需复核</x:v>
      </x:c>
      <x:c r="K128" s="65"/>
      <x:c r="L128" s="65"/>
      <x:c r="M128" s="65"/>
      <x:c r="N128" s="549"/>
      <x:c r="O128" s="549"/>
      <x:c r="P128" s="549" t="str">
        <x:f>IF(COUNT(N128:O128)=0,"",SUM(N128:O128))</x:f>
      </x:c>
      <x:c r="Q128" s="65" t="str">
        <x:v>https://www.livescore.mobi/football/club-friendlies/club-friendlies-2026/rapid-wien-vs-hamburger-sv/1822124/；https://www.fotmob.com/matches/x/x#5900642；查询时间：2026-07-18 19:02（北京时间）</x:v>
      </x:c>
      <x:c r="R128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29" ht="38" customHeight="1">
      <x:c r="A129" s="65" t="str">
        <x:f>IF(B129="","",TEXT(B129,"yyyy-mm-dd")&amp;"|"&amp;D129&amp;"|"&amp;E129)</x:f>
        <x:v>2026-07-19|中文名待确认（Rentistas）|中文名待确认（Cerrito）</x:v>
      </x:c>
      <x:c r="B129" s="66" t="n">
        <x:v>46222.041666666664</x:v>
      </x:c>
      <x:c r="C129" s="65" t="str">
        <x:v>规范中文名待确认（Uruguay - Segunda División）</x:v>
      </x:c>
      <x:c r="D129" s="65" t="str">
        <x:v>中文名待确认（Rentistas）</x:v>
      </x:c>
      <x:c r="E129" s="65" t="str">
        <x:v>中文名待确认（Cerrito）</x:v>
      </x:c>
      <x:c r="F129" s="65" t="str">
        <x:v>无可靠让球盘/只观察｜现有证据不足以形成可执行让球倾向</x:v>
      </x:c>
      <x:c r="G129" s="65" t="str">
        <x:v>无可靠大小球盘/只观察｜现有证据不足以形成可执行总进球倾向</x:v>
      </x:c>
      <x:c r="H129" s="65" t="str">
        <x:v>待确认首发、伤停、双方近5场与主客拆分、亚洲让球/大小球初盘及当前水位；任一市场欧赔&lt;1.80/港水&lt;0.80不进；未满足全部触发条件不进、不加仓</x:v>
      </x:c>
      <x:c r="I129" s="66" t="n">
        <x:v>46221.793217592596</x:v>
      </x:c>
      <x:c r="J129" s="65" t="str">
        <x:v>需复核</x:v>
      </x:c>
      <x:c r="K129" s="65"/>
      <x:c r="L129" s="65"/>
      <x:c r="M129" s="65"/>
      <x:c r="N129" s="549"/>
      <x:c r="O129" s="549"/>
      <x:c r="P129" s="549" t="str">
        <x:f>IF(COUNT(N129:O129)=0,"",SUM(N129:O129))</x:f>
      </x:c>
      <x:c r="Q129" s="65" t="str">
        <x:v>https://www.livescore.mobi/football/uruguay/segunda-division/rentistas-vs-cerrito/1820688/；https://www.fotmob.com/matches/x/x#5904126；查询时间：2026-07-18 19:02（北京时间）</x:v>
      </x:c>
      <x:c r="R129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30" ht="38" customHeight="1">
      <x:c r="A130" s="65" t="str">
        <x:f>IF(B130="","",TEXT(B130,"yyyy-mm-dd")&amp;"|"&amp;D130&amp;"|"&amp;E130)</x:f>
        <x:v>2026-07-19|中文名待确认（Wexford (W)）|中文名待确认（Galway United (W)）</x:v>
      </x:c>
      <x:c r="B130" s="66" t="n">
        <x:v>46222.041666666664</x:v>
      </x:c>
      <x:c r="C130" s="65" t="str">
        <x:v>规范中文名待确认（IRL - Women's Premier Division）</x:v>
      </x:c>
      <x:c r="D130" s="65" t="str">
        <x:v>中文名待确认（Wexford (W)）</x:v>
      </x:c>
      <x:c r="E130" s="65" t="str">
        <x:v>中文名待确认（Galway United (W)）</x:v>
      </x:c>
      <x:c r="F130" s="65" t="str">
        <x:v>无可靠让球盘/只观察｜现有证据不足以形成可执行让球倾向</x:v>
      </x:c>
      <x:c r="G130" s="65" t="str">
        <x:v>无可靠大小球盘/只观察｜现有证据不足以形成可执行总进球倾向</x:v>
      </x:c>
      <x:c r="H130" s="65" t="str">
        <x:v>待确认首发、伤停、双方近5场与主客拆分、亚洲让球/大小球初盘及当前水位；任一市场欧赔&lt;1.80/港水&lt;0.80不进；未满足全部触发条件不进、不加仓</x:v>
      </x:c>
      <x:c r="I130" s="66" t="n">
        <x:v>46221.793217592596</x:v>
      </x:c>
      <x:c r="J130" s="65" t="str">
        <x:v>需复核</x:v>
      </x:c>
      <x:c r="K130" s="65"/>
      <x:c r="L130" s="65"/>
      <x:c r="M130" s="65"/>
      <x:c r="N130" s="549"/>
      <x:c r="O130" s="549"/>
      <x:c r="P130" s="549" t="str">
        <x:f>IF(COUNT(N130:O130)=0,"",SUM(N130:O130))</x:f>
      </x:c>
      <x:c r="Q130" s="65" t="str">
        <x:v>https://www.fotmob.com/matches/x/x#5101062；查询时间：2026-07-18 19:02（北京时间）</x:v>
      </x:c>
      <x:c r="R130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31" ht="38" customHeight="1">
      <x:c r="A131" s="65" t="str">
        <x:f>IF(B131="","",TEXT(B131,"yyyy-mm-dd")&amp;"|"&amp;D131&amp;"|"&amp;E131)</x:f>
        <x:v>2026-07-19|中文名待确认（Zimbru）|中文名待确认（Real Sireti）</x:v>
      </x:c>
      <x:c r="B131" s="66" t="n">
        <x:v>46222.041666666664</x:v>
      </x:c>
      <x:c r="C131" s="65" t="str">
        <x:v>规范中文名待确认（Moldova - Super Liga）</x:v>
      </x:c>
      <x:c r="D131" s="65" t="str">
        <x:v>中文名待确认（Zimbru）</x:v>
      </x:c>
      <x:c r="E131" s="65" t="str">
        <x:v>中文名待确认（Real Sireti）</x:v>
      </x:c>
      <x:c r="F131" s="65" t="str">
        <x:v>无可靠让球盘/只观察｜现有证据不足以形成可执行让球倾向</x:v>
      </x:c>
      <x:c r="G131" s="65" t="str">
        <x:v>无可靠大小球盘/只观察｜现有证据不足以形成可执行总进球倾向</x:v>
      </x:c>
      <x:c r="H131" s="65" t="str">
        <x:v>待确认首发、伤停、双方近5场与主客拆分、亚洲让球/大小球初盘及当前水位；任一市场欧赔&lt;1.80/港水&lt;0.80不进；未满足全部触发条件不进、不加仓</x:v>
      </x:c>
      <x:c r="I131" s="66" t="n">
        <x:v>46221.793217592596</x:v>
      </x:c>
      <x:c r="J131" s="65" t="str">
        <x:v>需复核</x:v>
      </x:c>
      <x:c r="K131" s="65"/>
      <x:c r="L131" s="65"/>
      <x:c r="M131" s="65"/>
      <x:c r="N131" s="549"/>
      <x:c r="O131" s="549"/>
      <x:c r="P131" s="549" t="str">
        <x:f>IF(COUNT(N131:O131)=0,"",SUM(N131:O131))</x:f>
      </x:c>
      <x:c r="Q131" s="65" t="str">
        <x:v>https://www.livescore.mobi/football/moldova/super-liga/zimbru-vs-real-sireti/1825973/；https://www.fotmob.com/matches/x/x#5912133；查询时间：2026-07-18 19:02（北京时间）</x:v>
      </x:c>
      <x:c r="R131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32" ht="38" customHeight="1">
      <x:c r="A132" s="65" t="str">
        <x:f>IF(B132="","",TEXT(B132,"yyyy-mm-dd")&amp;"|"&amp;D132&amp;"|"&amp;E132)</x:f>
        <x:v>2026-07-19|中文名待确认（Deportes Copiapo）|中文名待确认（Puerto Montt）</x:v>
      </x:c>
      <x:c r="B132" s="66" t="n">
        <x:v>46222.020833333336</x:v>
      </x:c>
      <x:c r="C132" s="65" t="str">
        <x:v>规范中文名待确认（CHI - Primera B）</x:v>
      </x:c>
      <x:c r="D132" s="65" t="str">
        <x:v>中文名待确认（Deportes Copiapo）</x:v>
      </x:c>
      <x:c r="E132" s="65" t="str">
        <x:v>中文名待确认（Puerto Montt）</x:v>
      </x:c>
      <x:c r="F132" s="65" t="str">
        <x:v>无可靠让球盘/只观察｜现有证据不足以形成可执行让球倾向</x:v>
      </x:c>
      <x:c r="G132" s="65" t="str">
        <x:v>无可靠大小球盘/只观察｜现有证据不足以形成可执行总进球倾向</x:v>
      </x:c>
      <x:c r="H132" s="65" t="str">
        <x:v>待确认首发、伤停、双方近5场与主客拆分、亚洲让球/大小球初盘及当前水位；任一市场欧赔&lt;1.80/港水&lt;0.80不进；未满足全部触发条件不进、不加仓</x:v>
      </x:c>
      <x:c r="I132" s="66" t="n">
        <x:v>46221.793217592596</x:v>
      </x:c>
      <x:c r="J132" s="65" t="str">
        <x:v>需复核</x:v>
      </x:c>
      <x:c r="K132" s="65"/>
      <x:c r="L132" s="65"/>
      <x:c r="M132" s="65"/>
      <x:c r="N132" s="549"/>
      <x:c r="O132" s="549"/>
      <x:c r="P132" s="549" t="str">
        <x:f>IF(COUNT(N132:O132)=0,"",SUM(N132:O132))</x:f>
      </x:c>
      <x:c r="Q132" s="65" t="str">
        <x:v>https://www.fotmob.com/matches/x/x#1000007242；查询时间：2026-07-18 19:02（北京时间）</x:v>
      </x:c>
      <x:c r="R132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33" ht="38" customHeight="1">
      <x:c r="A133" s="65" t="str">
        <x:f>IF(B133="","",TEXT(B133,"yyyy-mm-dd")&amp;"|"&amp;D133&amp;"|"&amp;E133)</x:f>
        <x:v>2026-07-19|中文名待确认（Petro Atletico）|瓦伦西亚（Valencia CF）</x:v>
      </x:c>
      <x:c r="B133" s="66" t="n">
        <x:v>46222.020833333336</x:v>
      </x:c>
      <x:c r="C133" s="65" t="str">
        <x:v>国际俱乐部友谊赛</x:v>
      </x:c>
      <x:c r="D133" s="65" t="str">
        <x:v>中文名待确认（Petro Atletico）</x:v>
      </x:c>
      <x:c r="E133" s="65" t="str">
        <x:v>瓦伦西亚（Valencia CF）</x:v>
      </x:c>
      <x:c r="F133" s="65" t="str">
        <x:v>无可靠让球盘/只观察｜现有证据不足以形成可执行让球倾向</x:v>
      </x:c>
      <x:c r="G133" s="65" t="str">
        <x:v>无可靠大小球盘/只观察｜现有证据不足以形成可执行总进球倾向</x:v>
      </x:c>
      <x:c r="H133" s="65" t="str">
        <x:v>待确认首发、伤停、双方近5场与主客拆分、亚洲让球/大小球初盘及当前水位；任一市场欧赔&lt;1.80/港水&lt;0.80不进；未满足全部触发条件不进、不加仓</x:v>
      </x:c>
      <x:c r="I133" s="66" t="n">
        <x:v>46221.793217592596</x:v>
      </x:c>
      <x:c r="J133" s="65" t="str">
        <x:v>需复核</x:v>
      </x:c>
      <x:c r="K133" s="65"/>
      <x:c r="L133" s="65"/>
      <x:c r="M133" s="65"/>
      <x:c r="N133" s="549"/>
      <x:c r="O133" s="549"/>
      <x:c r="P133" s="549" t="str">
        <x:f>IF(COUNT(N133:O133)=0,"",SUM(N133:O133))</x:f>
      </x:c>
      <x:c r="Q133" s="65" t="str">
        <x:v>https://www.livescore.mobi/football/club-friendlies/club-friendlies-2026/petro-atletico-vs-valencia/1822059/；https://www.fotmob.com/matches/x/x#5900431；查询时间：2026-07-18 19:02（北京时间）</x:v>
      </x:c>
      <x:c r="R133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34" ht="38" customHeight="1">
      <x:c r="A134" s="65" t="str">
        <x:f>IF(B134="","",TEXT(B134,"yyyy-mm-dd")&amp;"|"&amp;D134&amp;"|"&amp;E134)</x:f>
        <x:v>2026-07-19|中文名待确认（Union San Felipe）|中文名待确认（Deportes Iquique）</x:v>
      </x:c>
      <x:c r="B134" s="66" t="n">
        <x:v>46222.020833333336</x:v>
      </x:c>
      <x:c r="C134" s="65" t="str">
        <x:v>规范中文名待确认（CHI - Primera B）</x:v>
      </x:c>
      <x:c r="D134" s="65" t="str">
        <x:v>中文名待确认（Union San Felipe）</x:v>
      </x:c>
      <x:c r="E134" s="65" t="str">
        <x:v>中文名待确认（Deportes Iquique）</x:v>
      </x:c>
      <x:c r="F134" s="65" t="str">
        <x:v>无可靠让球盘/只观察｜现有证据不足以形成可执行让球倾向</x:v>
      </x:c>
      <x:c r="G134" s="65" t="str">
        <x:v>无可靠大小球盘/只观察｜现有证据不足以形成可执行总进球倾向</x:v>
      </x:c>
      <x:c r="H134" s="65" t="str">
        <x:v>待确认首发、伤停、双方近5场与主客拆分、亚洲让球/大小球初盘及当前水位；任一市场欧赔&lt;1.80/港水&lt;0.80不进；未满足全部触发条件不进、不加仓</x:v>
      </x:c>
      <x:c r="I134" s="66" t="n">
        <x:v>46221.793217592596</x:v>
      </x:c>
      <x:c r="J134" s="65" t="str">
        <x:v>需复核</x:v>
      </x:c>
      <x:c r="K134" s="65"/>
      <x:c r="L134" s="65"/>
      <x:c r="M134" s="65"/>
      <x:c r="N134" s="549"/>
      <x:c r="O134" s="549"/>
      <x:c r="P134" s="549" t="str">
        <x:f>IF(COUNT(N134:O134)=0,"",SUM(N134:O134))</x:f>
      </x:c>
      <x:c r="Q134" s="65" t="str">
        <x:v>https://www.fotmob.com/matches/x/x#1000007236；查询时间：2026-07-18 19:02（北京时间）</x:v>
      </x:c>
      <x:c r="R134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35" ht="38" customHeight="1">
      <x:c r="A135" s="65" t="str">
        <x:f>IF(B135="","",TEXT(B135,"yyyy-mm-dd")&amp;"|"&amp;D135&amp;"|"&amp;E135)</x:f>
        <x:v>2026-07-19|中文名待确认（Zenit）|中文名待确认（Spartak）</x:v>
      </x:c>
      <x:c r="B135" s="66" t="n">
        <x:v>46222.020833333336</x:v>
      </x:c>
      <x:c r="C135" s="65" t="str">
        <x:v>规范中文名待确认（RUS - Super Cup）</x:v>
      </x:c>
      <x:c r="D135" s="65" t="str">
        <x:v>中文名待确认（Zenit）</x:v>
      </x:c>
      <x:c r="E135" s="65" t="str">
        <x:v>中文名待确认（Spartak）</x:v>
      </x:c>
      <x:c r="F135" s="65" t="str">
        <x:v>无可靠让球盘/只观察｜现有证据不足以形成可执行让球倾向</x:v>
      </x:c>
      <x:c r="G135" s="65" t="str">
        <x:v>无可靠大小球盘/只观察｜现有证据不足以形成可执行总进球倾向</x:v>
      </x:c>
      <x:c r="H135" s="65" t="str">
        <x:v>待确认首发、伤停、双方近5场与主客拆分、亚洲让球/大小球初盘及当前水位；任一市场欧赔&lt;1.80/港水&lt;0.80不进；未满足全部触发条件不进、不加仓</x:v>
      </x:c>
      <x:c r="I135" s="66" t="n">
        <x:v>46221.793217592596</x:v>
      </x:c>
      <x:c r="J135" s="65" t="str">
        <x:v>需复核</x:v>
      </x:c>
      <x:c r="K135" s="65"/>
      <x:c r="L135" s="65"/>
      <x:c r="M135" s="65"/>
      <x:c r="N135" s="549"/>
      <x:c r="O135" s="549"/>
      <x:c r="P135" s="549" t="str">
        <x:f>IF(COUNT(N135:O135)=0,"",SUM(N135:O135))</x:f>
      </x:c>
      <x:c r="Q135" s="65" t="str">
        <x:v>https://www.fotmob.com/matches/x/x#5803517；查询时间：2026-07-18 19:02（北京时间）</x:v>
      </x:c>
      <x:c r="R135" s="65" t="str">
        <x:v>证据卡：杯赛/淘汰赛背景，赛制与晋级动机重要；具体轮次已按赛事名称核对，仍需临场阵容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36" ht="38" customHeight="1">
      <x:c r="A136" s="65" t="str">
        <x:f>IF(B136="","",TEXT(B136,"yyyy-mm-dd")&amp;"|"&amp;D136&amp;"|"&amp;E136)</x:f>
        <x:v>2026-07-19|中文名待确认（Young Boys）|中文名待确认（Etoile Carouge）</x:v>
      </x:c>
      <x:c r="B136" s="66" t="n">
        <x:v>46222.010416666664</x:v>
      </x:c>
      <x:c r="C136" s="65" t="str">
        <x:v>国际俱乐部友谊赛</x:v>
      </x:c>
      <x:c r="D136" s="65" t="str">
        <x:v>中文名待确认（Young Boys）</x:v>
      </x:c>
      <x:c r="E136" s="65" t="str">
        <x:v>中文名待确认（Etoile Carouge）</x:v>
      </x:c>
      <x:c r="F136" s="65" t="str">
        <x:v>无可靠让球盘/只观察｜现有证据不足以形成可执行让球倾向</x:v>
      </x:c>
      <x:c r="G136" s="65" t="str">
        <x:v>无可靠大小球盘/只观察｜现有证据不足以形成可执行总进球倾向</x:v>
      </x:c>
      <x:c r="H136" s="65" t="str">
        <x:v>待确认首发、伤停、双方近5场与主客拆分、亚洲让球/大小球初盘及当前水位；任一市场欧赔&lt;1.80/港水&lt;0.80不进；未满足全部触发条件不进、不加仓</x:v>
      </x:c>
      <x:c r="I136" s="66" t="n">
        <x:v>46221.793217592596</x:v>
      </x:c>
      <x:c r="J136" s="65" t="str">
        <x:v>需复核</x:v>
      </x:c>
      <x:c r="K136" s="65"/>
      <x:c r="L136" s="65"/>
      <x:c r="M136" s="65"/>
      <x:c r="N136" s="549"/>
      <x:c r="O136" s="549"/>
      <x:c r="P136" s="549" t="str">
        <x:f>IF(COUNT(N136:O136)=0,"",SUM(N136:O136))</x:f>
      </x:c>
      <x:c r="Q136" s="65" t="str">
        <x:v>https://www.livescore.mobi/football/club-friendlies/club-friendlies-2026/young-boys-vs-etoile-carouge/1832888/；https://www.fotmob.com/matches/x/x#5924853；查询时间：2026-07-18 19:02（北京时间）</x:v>
      </x:c>
      <x:c r="R136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37" ht="38" customHeight="1">
      <x:c r="A137" s="65" t="str">
        <x:f>IF(B137="","",TEXT(B137,"yyyy-mm-dd")&amp;"|"&amp;D137&amp;"|"&amp;E137)</x:f>
        <x:v>2026-07-19|中文名待确认（Aberdeen）|女王公园（Queen's Park）</x:v>
      </x:c>
      <x:c r="B137" s="66" t="n">
        <x:v>46222</x:v>
      </x:c>
      <x:c r="C137" s="65" t="str">
        <x:v>规范中文名待确认（Scotland - Scottish League Cup: Group A）</x:v>
      </x:c>
      <x:c r="D137" s="65" t="str">
        <x:v>中文名待确认（Aberdeen）</x:v>
      </x:c>
      <x:c r="E137" s="65" t="str">
        <x:v>女王公园（Queen's Park）</x:v>
      </x:c>
      <x:c r="F137" s="65" t="str">
        <x:v>无可靠让球盘/只观察｜现有证据不足以形成可执行让球倾向</x:v>
      </x:c>
      <x:c r="G137" s="65" t="str">
        <x:v>无可靠大小球盘/只观察｜现有证据不足以形成可执行总进球倾向</x:v>
      </x:c>
      <x:c r="H137" s="65" t="str">
        <x:v>待确认首发、伤停、双方近5场与主客拆分、亚洲让球/大小球初盘及当前水位；任一市场欧赔&lt;1.80/港水&lt;0.80不进；未满足全部触发条件不进、不加仓</x:v>
      </x:c>
      <x:c r="I137" s="66" t="n">
        <x:v>46221.793217592596</x:v>
      </x:c>
      <x:c r="J137" s="65" t="str">
        <x:v>需复核</x:v>
      </x:c>
      <x:c r="K137" s="65"/>
      <x:c r="L137" s="65"/>
      <x:c r="M137" s="65"/>
      <x:c r="N137" s="549"/>
      <x:c r="O137" s="549"/>
      <x:c r="P137" s="549" t="str">
        <x:f>IF(COUNT(N137:O137)=0,"",SUM(N137:O137))</x:f>
      </x:c>
      <x:c r="Q137" s="65" t="str">
        <x:v>https://www.livescore.mobi/football/scotland/league-cup-group-a/aberdeen-vs-queens-park/1786640/；https://www.fotmob.com/matches/x/x#5762478；https://www.espn.com/soccer/match/_/gameId/401874232/queens-park-aberdeen；查询时间：2026-07-18 19:02（北京时间）</x:v>
      </x:c>
      <x:c r="R137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WLLWD、客队WWD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38" ht="38" customHeight="1">
      <x:c r="A138" s="65" t="str">
        <x:f>IF(B138="","",TEXT(B138,"yyyy-mm-dd")&amp;"|"&amp;D138&amp;"|"&amp;E138)</x:f>
        <x:v>2026-07-19|中文名待确认（Auxerre）|中文名待确认（St Maur Lusitanos）</x:v>
      </x:c>
      <x:c r="B138" s="66" t="n">
        <x:v>46222</x:v>
      </x:c>
      <x:c r="C138" s="65" t="str">
        <x:v>国际俱乐部友谊赛</x:v>
      </x:c>
      <x:c r="D138" s="65" t="str">
        <x:v>中文名待确认（Auxerre）</x:v>
      </x:c>
      <x:c r="E138" s="65" t="str">
        <x:v>中文名待确认（St Maur Lusitanos）</x:v>
      </x:c>
      <x:c r="F138" s="65" t="str">
        <x:v>无可靠让球盘/只观察｜现有证据不足以形成可执行让球倾向</x:v>
      </x:c>
      <x:c r="G138" s="65" t="str">
        <x:v>无可靠大小球盘/只观察｜现有证据不足以形成可执行总进球倾向</x:v>
      </x:c>
      <x:c r="H138" s="65" t="str">
        <x:v>待确认首发、伤停、双方近5场与主客拆分、亚洲让球/大小球初盘及当前水位；任一市场欧赔&lt;1.80/港水&lt;0.80不进；未满足全部触发条件不进、不加仓</x:v>
      </x:c>
      <x:c r="I138" s="66" t="n">
        <x:v>46221.793217592596</x:v>
      </x:c>
      <x:c r="J138" s="65" t="str">
        <x:v>需复核</x:v>
      </x:c>
      <x:c r="K138" s="65"/>
      <x:c r="L138" s="65"/>
      <x:c r="M138" s="65"/>
      <x:c r="N138" s="549"/>
      <x:c r="O138" s="549"/>
      <x:c r="P138" s="549" t="str">
        <x:f>IF(COUNT(N138:O138)=0,"",SUM(N138:O138))</x:f>
      </x:c>
      <x:c r="Q138" s="65" t="str">
        <x:v>https://www.livescore.mobi/football/club-friendlies/club-friendlies-2026/auxerre-vs-st-maur-lusitanos/1821992/；https://www.fotmob.com/matches/x/x#5900175；查询时间：2026-07-18 19:02（北京时间）</x:v>
      </x:c>
      <x:c r="R138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39" ht="38" customHeight="1">
      <x:c r="A139" s="65" t="str">
        <x:f>IF(B139="","",TEXT(B139,"yyyy-mm-dd")&amp;"|"&amp;D139&amp;"|"&amp;E139)</x:f>
        <x:v>2026-07-19|中文名待确认（Baldoyle United）|中文名待确认（Longford Town）</x:v>
      </x:c>
      <x:c r="B139" s="66" t="n">
        <x:v>46222</x:v>
      </x:c>
      <x:c r="C139" s="65" t="str">
        <x:v>爱尔兰足协杯</x:v>
      </x:c>
      <x:c r="D139" s="65" t="str">
        <x:v>中文名待确认（Baldoyle United）</x:v>
      </x:c>
      <x:c r="E139" s="65" t="str">
        <x:v>中文名待确认（Longford Town）</x:v>
      </x:c>
      <x:c r="F139" s="65" t="str">
        <x:v>无可靠让球盘/只观察｜现有证据不足以形成可执行让球倾向</x:v>
      </x:c>
      <x:c r="G139" s="65" t="str">
        <x:v>无可靠大小球盘/只观察｜现有证据不足以形成可执行总进球倾向</x:v>
      </x:c>
      <x:c r="H139" s="65" t="str">
        <x:v>待确认首发、伤停、双方近5场与主客拆分、亚洲让球/大小球初盘及当前水位；任一市场欧赔&lt;1.80/港水&lt;0.80不进；未满足全部触发条件不进、不加仓</x:v>
      </x:c>
      <x:c r="I139" s="66" t="n">
        <x:v>46221.793217592596</x:v>
      </x:c>
      <x:c r="J139" s="65" t="str">
        <x:v>需复核</x:v>
      </x:c>
      <x:c r="K139" s="65"/>
      <x:c r="L139" s="65"/>
      <x:c r="M139" s="65"/>
      <x:c r="N139" s="549"/>
      <x:c r="O139" s="549"/>
      <x:c r="P139" s="549" t="str">
        <x:f>IF(COUNT(N139:O139)=0,"",SUM(N139:O139))</x:f>
      </x:c>
      <x:c r="Q139" s="65" t="str">
        <x:v>https://www.livescore.mobi/football/ireland/fai-cup/baldoyle-united-vs-longford-town/1784351/；https://www.fotmob.com/matches/x/x#5740722；查询时间：2026-07-18 19:02（北京时间）</x:v>
      </x:c>
      <x:c r="R139" s="65" t="str">
        <x:v>证据卡：杯赛/淘汰赛背景，赛制与晋级动机重要；具体轮次已按赛事名称核对，仍需临场阵容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0" ht="38" customHeight="1">
      <x:c r="A140" s="65" t="str">
        <x:f>IF(B140="","",TEXT(B140,"yyyy-mm-dd")&amp;"|"&amp;D140&amp;"|"&amp;E140)</x:f>
        <x:v>2026-07-19|中文名待确认（Brest）|中文名待确认（Concarneau）</x:v>
      </x:c>
      <x:c r="B140" s="66" t="n">
        <x:v>46222</x:v>
      </x:c>
      <x:c r="C140" s="65" t="str">
        <x:v>国际俱乐部友谊赛</x:v>
      </x:c>
      <x:c r="D140" s="65" t="str">
        <x:v>中文名待确认（Brest）</x:v>
      </x:c>
      <x:c r="E140" s="65" t="str">
        <x:v>中文名待确认（Concarneau）</x:v>
      </x:c>
      <x:c r="F140" s="65" t="str">
        <x:v>无可靠让球盘/只观察｜现有证据不足以形成可执行让球倾向</x:v>
      </x:c>
      <x:c r="G140" s="65" t="str">
        <x:v>无可靠大小球盘/只观察｜现有证据不足以形成可执行总进球倾向</x:v>
      </x:c>
      <x:c r="H140" s="65" t="str">
        <x:v>待确认首发、伤停、双方近5场与主客拆分、亚洲让球/大小球初盘及当前水位；任一市场欧赔&lt;1.80/港水&lt;0.80不进；未满足全部触发条件不进、不加仓</x:v>
      </x:c>
      <x:c r="I140" s="66" t="n">
        <x:v>46221.793217592596</x:v>
      </x:c>
      <x:c r="J140" s="65" t="str">
        <x:v>需复核</x:v>
      </x:c>
      <x:c r="K140" s="65"/>
      <x:c r="L140" s="65"/>
      <x:c r="M140" s="65"/>
      <x:c r="N140" s="549"/>
      <x:c r="O140" s="549"/>
      <x:c r="P140" s="549" t="str">
        <x:f>IF(COUNT(N140:O140)=0,"",SUM(N140:O140))</x:f>
      </x:c>
      <x:c r="Q140" s="65" t="str">
        <x:v>https://www.livescore.mobi/football/club-friendlies/club-friendlies-2026/brest-vs-concarneau/1821999/；https://www.fotmob.com/matches/x/x#5900182；查询时间：2026-07-18 19:02（北京时间）</x:v>
      </x:c>
      <x:c r="R140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1" ht="38" customHeight="1">
      <x:c r="A141" s="65" t="str">
        <x:f>IF(B141="","",TEXT(B141,"yyyy-mm-dd")&amp;"|"&amp;D141&amp;"|"&amp;E141)</x:f>
        <x:v>2026-07-19|中文名待确认（Club Deportivo Moquegua）|中文名待确认（Comerciantes Unidos）</x:v>
      </x:c>
      <x:c r="B141" s="66" t="n">
        <x:v>46222</x:v>
      </x:c>
      <x:c r="C141" s="65" t="str">
        <x:v>秘鲁甲级联赛（Liga 1）</x:v>
      </x:c>
      <x:c r="D141" s="65" t="str">
        <x:v>中文名待确认（Club Deportivo Moquegua）</x:v>
      </x:c>
      <x:c r="E141" s="65" t="str">
        <x:v>中文名待确认（Comerciantes Unidos）</x:v>
      </x:c>
      <x:c r="F141" s="65" t="str">
        <x:v>无可靠让球盘/只观察｜现有证据不足以形成可执行让球倾向</x:v>
      </x:c>
      <x:c r="G141" s="65" t="str">
        <x:v>无可靠大小球盘/只观察｜现有证据不足以形成可执行总进球倾向</x:v>
      </x:c>
      <x:c r="H141" s="65" t="str">
        <x:v>待确认首发、伤停、双方近5场与主客拆分、亚洲让球/大小球初盘及当前水位；任一市场欧赔&lt;1.80/港水&lt;0.80不进；未满足全部触发条件不进、不加仓</x:v>
      </x:c>
      <x:c r="I141" s="66" t="n">
        <x:v>46221.793217592596</x:v>
      </x:c>
      <x:c r="J141" s="65" t="str">
        <x:v>需复核</x:v>
      </x:c>
      <x:c r="K141" s="65"/>
      <x:c r="L141" s="65"/>
      <x:c r="M141" s="65"/>
      <x:c r="N141" s="549"/>
      <x:c r="O141" s="549"/>
      <x:c r="P141" s="549" t="str">
        <x:f>IF(COUNT(N141:O141)=0,"",SUM(N141:O141))</x:f>
      </x:c>
      <x:c r="Q141" s="65" t="str">
        <x:v>https://www.livescore.mobi/football/peru/primera-division-clausura/club-deportivo-moquegua-vs-comerciantes-unidos/1806565/；https://www.fotmob.com/matches/x/x#1000013497；https://www.espn.com/soccer/match/_/gameId/401874337/comerciantes-unidos-deportivo-moquegua；查询时间：2026-07-18 19:02（北京时间）</x:v>
      </x:c>
      <x:c r="R141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DLDL、客队LDLD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2" ht="38" customHeight="1">
      <x:c r="A142" s="65" t="str">
        <x:f>IF(B142="","",TEXT(B142,"yyyy-mm-dd")&amp;"|"&amp;D142&amp;"|"&amp;E142)</x:f>
        <x:v>2026-07-19|中文名待确认（Dinamo）|中文名待确认（CSKA）</x:v>
      </x:c>
      <x:c r="B142" s="66" t="n">
        <x:v>46222</x:v>
      </x:c>
      <x:c r="C142" s="65" t="str">
        <x:v>国际俱乐部友谊赛</x:v>
      </x:c>
      <x:c r="D142" s="65" t="str">
        <x:v>中文名待确认（Dinamo）</x:v>
      </x:c>
      <x:c r="E142" s="65" t="str">
        <x:v>中文名待确认（CSKA）</x:v>
      </x:c>
      <x:c r="F142" s="65" t="str">
        <x:v>无可靠让球盘/只观察｜现有证据不足以形成可执行让球倾向</x:v>
      </x:c>
      <x:c r="G142" s="65" t="str">
        <x:v>无可靠大小球盘/只观察｜现有证据不足以形成可执行总进球倾向</x:v>
      </x:c>
      <x:c r="H142" s="65" t="str">
        <x:v>待确认首发、伤停、双方近5场与主客拆分、亚洲让球/大小球初盘及当前水位；任一市场欧赔&lt;1.80/港水&lt;0.80不进；未满足全部触发条件不进、不加仓</x:v>
      </x:c>
      <x:c r="I142" s="66" t="n">
        <x:v>46221.793217592596</x:v>
      </x:c>
      <x:c r="J142" s="65" t="str">
        <x:v>需复核</x:v>
      </x:c>
      <x:c r="K142" s="65"/>
      <x:c r="L142" s="65"/>
      <x:c r="M142" s="65"/>
      <x:c r="N142" s="549"/>
      <x:c r="O142" s="549"/>
      <x:c r="P142" s="549" t="str">
        <x:f>IF(COUNT(N142:O142)=0,"",SUM(N142:O142))</x:f>
      </x:c>
      <x:c r="Q142" s="65" t="str">
        <x:v>https://www.fotmob.com/matches/x/x#5924816；https://www.livescore.mobi/football/club-friendlies/club-friendlies-2026/dinamo-moscow-vs-cska-moscow/1832889/；查询时间：2026-07-18 19:02（北京时间）</x:v>
      </x:c>
      <x:c r="R142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3" ht="38" customHeight="1">
      <x:c r="A143" s="65" t="str">
        <x:f>IF(B143="","",TEXT(B143,"yyyy-mm-dd")&amp;"|"&amp;D143&amp;"|"&amp;E143)</x:f>
        <x:v>2026-07-19|考纳斯扎尔吉里斯（Kauno Žalgiris）|中文名待确认（FA Siauliai）</x:v>
      </x:c>
      <x:c r="B143" s="66" t="n">
        <x:v>46222</x:v>
      </x:c>
      <x:c r="C143" s="65" t="str">
        <x:v>规范中文名待确认（Lithuania - A Lyga）</x:v>
      </x:c>
      <x:c r="D143" s="65" t="str">
        <x:v>考纳斯扎尔吉里斯（Kauno Žalgiris）</x:v>
      </x:c>
      <x:c r="E143" s="65" t="str">
        <x:v>中文名待确认（FA Siauliai）</x:v>
      </x:c>
      <x:c r="F143" s="65" t="str">
        <x:v>无可靠让球盘/只观察｜现有证据不足以形成可执行让球倾向</x:v>
      </x:c>
      <x:c r="G143" s="65" t="str">
        <x:v>无可靠大小球盘/只观察｜现有证据不足以形成可执行总进球倾向</x:v>
      </x:c>
      <x:c r="H143" s="65" t="str">
        <x:v>待确认首发、伤停、双方近5场与主客拆分、亚洲让球/大小球初盘及当前水位；任一市场欧赔&lt;1.80/港水&lt;0.80不进；未满足全部触发条件不进、不加仓</x:v>
      </x:c>
      <x:c r="I143" s="66" t="n">
        <x:v>46221.793217592596</x:v>
      </x:c>
      <x:c r="J143" s="65" t="str">
        <x:v>需复核</x:v>
      </x:c>
      <x:c r="K143" s="65"/>
      <x:c r="L143" s="65"/>
      <x:c r="M143" s="65"/>
      <x:c r="N143" s="549"/>
      <x:c r="O143" s="549"/>
      <x:c r="P143" s="549" t="str">
        <x:f>IF(COUNT(N143:O143)=0,"",SUM(N143:O143))</x:f>
      </x:c>
      <x:c r="Q143" s="65" t="str">
        <x:v>https://www.livescore.mobi/football/lithuania/a-lyga/fk-kauno-zalgiris-vs-fa-siauliai/1819651/；https://www.fotmob.com/matches/x/x#5900592；查询时间：2026-07-18 19:02（北京时间）</x:v>
      </x:c>
      <x:c r="R143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4" ht="38" customHeight="1">
      <x:c r="A144" s="65" t="str">
        <x:f>IF(B144="","",TEXT(B144,"yyyy-mm-dd")&amp;"|"&amp;D144&amp;"|"&amp;E144)</x:f>
        <x:v>2026-07-19|塔林弗洛拉（Flora Tallinn）|中文名待确认（Maardu Linnameeskond）</x:v>
      </x:c>
      <x:c r="B144" s="66" t="n">
        <x:v>46222</x:v>
      </x:c>
      <x:c r="C144" s="65" t="str">
        <x:v>规范中文名待确认（Estonia - Esiliiga）</x:v>
      </x:c>
      <x:c r="D144" s="65" t="str">
        <x:v>塔林弗洛拉（Flora Tallinn）</x:v>
      </x:c>
      <x:c r="E144" s="65" t="str">
        <x:v>中文名待确认（Maardu Linnameeskond）</x:v>
      </x:c>
      <x:c r="F144" s="65" t="str">
        <x:v>无可靠让球盘/只观察｜现有证据不足以形成可执行让球倾向</x:v>
      </x:c>
      <x:c r="G144" s="65" t="str">
        <x:v>无可靠大小球盘/只观察｜现有证据不足以形成可执行总进球倾向</x:v>
      </x:c>
      <x:c r="H144" s="65" t="str">
        <x:v>待确认首发、伤停、双方近5场与主客拆分、亚洲让球/大小球初盘及当前水位；任一市场欧赔&lt;1.80/港水&lt;0.80不进；未满足全部触发条件不进、不加仓</x:v>
      </x:c>
      <x:c r="I144" s="66" t="n">
        <x:v>46221.793217592596</x:v>
      </x:c>
      <x:c r="J144" s="65" t="str">
        <x:v>需复核</x:v>
      </x:c>
      <x:c r="K144" s="65"/>
      <x:c r="L144" s="65"/>
      <x:c r="M144" s="65"/>
      <x:c r="N144" s="549"/>
      <x:c r="O144" s="549"/>
      <x:c r="P144" s="549" t="str">
        <x:f>IF(COUNT(N144:O144)=0,"",SUM(N144:O144))</x:f>
      </x:c>
      <x:c r="Q144" s="65" t="str">
        <x:v>https://www.livescore.mobi/football/estonia/esiliiga/flora-tallinn-u21-vs-maardu-linnameeskond/1743695/；查询时间：2026-07-18 19:02（北京时间）</x:v>
      </x:c>
      <x:c r="R144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45" ht="38" customHeight="1">
      <x:c r="A145" s="65" t="str">
        <x:f>IF(B145="","",TEXT(B145,"yyyy-mm-dd")&amp;"|"&amp;D145&amp;"|"&amp;E145)</x:f>
        <x:v>2026-07-19|哥谭FC（Gotham FC）|中文名待确认（Seattle Reign FC）</x:v>
      </x:c>
      <x:c r="B145" s="66" t="n">
        <x:v>46222</x:v>
      </x:c>
      <x:c r="C145" s="65" t="str">
        <x:v>美国国家女子足球联赛（NWSL）</x:v>
      </x:c>
      <x:c r="D145" s="65" t="str">
        <x:v>哥谭FC（Gotham FC）</x:v>
      </x:c>
      <x:c r="E145" s="65" t="str">
        <x:v>中文名待确认（Seattle Reign FC）</x:v>
      </x:c>
      <x:c r="F145" s="65" t="str">
        <x:v>无可靠让球盘/只观察｜现有证据不足以形成可执行让球倾向</x:v>
      </x:c>
      <x:c r="G145" s="65" t="str">
        <x:v>无可靠大小球盘/只观察｜现有证据不足以形成可执行总进球倾向</x:v>
      </x:c>
      <x:c r="H145" s="65" t="str">
        <x:v>待确认首发、伤停、双方近5场与主客拆分、亚洲让球/大小球初盘及当前水位；任一市场欧赔&lt;1.80/港水&lt;0.80不进；未满足全部触发条件不进、不加仓</x:v>
      </x:c>
      <x:c r="I145" s="66" t="n">
        <x:v>46221.793217592596</x:v>
      </x:c>
      <x:c r="J145" s="65" t="str">
        <x:v>需复核</x:v>
      </x:c>
      <x:c r="K145" s="65"/>
      <x:c r="L145" s="65"/>
      <x:c r="M145" s="65"/>
      <x:c r="N145" s="549"/>
      <x:c r="O145" s="549"/>
      <x:c r="P145" s="549" t="str">
        <x:f>IF(COUNT(N145:O145)=0,"",SUM(N145:O145))</x:f>
      </x:c>
      <x:c r="Q145" s="65" t="str">
        <x:v>https://www.livescore.mobi/football/usa/national-womens-soccer-league/gotham-fc-vs-seattle-reign-fc/1731743/；https://www.espn.com/soccer/match/_/gameId/401853942/seattle-reign-fc-gotham-fc；https://www.fotmob.com/matches/x/x#5161563；查询时间：2026-07-18 19:02（北京时间）</x:v>
      </x:c>
      <x:c r="R145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LWW、客队WLL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6" ht="38" customHeight="1">
      <x:c r="A146" s="65" t="str">
        <x:f>IF(B146="","",TEXT(B146,"yyyy-mm-dd")&amp;"|"&amp;D146&amp;"|"&amp;E146)</x:f>
        <x:v>2026-07-19|中文名待确认（Magni）|中文名待确认（Fjoelnir）</x:v>
      </x:c>
      <x:c r="B146" s="66" t="n">
        <x:v>46222</x:v>
      </x:c>
      <x:c r="C146" s="65" t="str">
        <x:v>冰岛乙级联赛</x:v>
      </x:c>
      <x:c r="D146" s="65" t="str">
        <x:v>中文名待确认（Magni）</x:v>
      </x:c>
      <x:c r="E146" s="65" t="str">
        <x:v>中文名待确认（Fjoelnir）</x:v>
      </x:c>
      <x:c r="F146" s="65" t="str">
        <x:v>无可靠让球盘/只观察｜现有证据不足以形成可执行让球倾向</x:v>
      </x:c>
      <x:c r="G146" s="65" t="str">
        <x:v>无可靠大小球盘/只观察｜现有证据不足以形成可执行总进球倾向</x:v>
      </x:c>
      <x:c r="H146" s="65" t="str">
        <x:v>待确认首发、伤停、双方近5场与主客拆分、亚洲让球/大小球初盘及当前水位；任一市场欧赔&lt;1.80/港水&lt;0.80不进；未满足全部触发条件不进、不加仓</x:v>
      </x:c>
      <x:c r="I146" s="66" t="n">
        <x:v>46221.793217592596</x:v>
      </x:c>
      <x:c r="J146" s="65" t="str">
        <x:v>需复核</x:v>
      </x:c>
      <x:c r="K146" s="65"/>
      <x:c r="L146" s="65"/>
      <x:c r="M146" s="65"/>
      <x:c r="N146" s="549"/>
      <x:c r="O146" s="549"/>
      <x:c r="P146" s="549" t="str">
        <x:f>IF(COUNT(N146:O146)=0,"",SUM(N146:O146))</x:f>
      </x:c>
      <x:c r="Q146" s="65" t="str">
        <x:v>https://www.livescore.mobi/football/iceland/2-deild/magni-vs-fjoelnir/1751016/；https://www.fotmob.com/matches/x/x#5225941；查询时间：2026-07-18 19:02（北京时间）</x:v>
      </x:c>
      <x:c r="R14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7" ht="38" customHeight="1">
      <x:c r="A147" s="65" t="str">
        <x:f>IF(B147="","",TEXT(B147,"yyyy-mm-dd")&amp;"|"&amp;D147&amp;"|"&amp;E147)</x:f>
        <x:v>2026-07-19|莫尔德（Molde）|中文名待确认（Brann）</x:v>
      </x:c>
      <x:c r="B147" s="66" t="n">
        <x:v>46222</x:v>
      </x:c>
      <x:c r="C147" s="65" t="str">
        <x:v>挪威超级联赛（Eliteserien）</x:v>
      </x:c>
      <x:c r="D147" s="65" t="str">
        <x:v>莫尔德（Molde）</x:v>
      </x:c>
      <x:c r="E147" s="65" t="str">
        <x:v>中文名待确认（Brann）</x:v>
      </x:c>
      <x:c r="F147" s="65" t="str">
        <x:v>无可靠让球盘/只观察｜现有证据不足以形成可执行让球倾向</x:v>
      </x:c>
      <x:c r="G147" s="65" t="str">
        <x:v>无可靠大小球盘/只观察｜现有证据不足以形成可执行总进球倾向</x:v>
      </x:c>
      <x:c r="H147" s="65" t="str">
        <x:v>待确认首发、伤停、双方近5场与主客拆分、亚洲让球/大小球初盘及当前水位；任一市场欧赔&lt;1.80/港水&lt;0.80不进；未满足全部触发条件不进、不加仓</x:v>
      </x:c>
      <x:c r="I147" s="66" t="n">
        <x:v>46221.793217592596</x:v>
      </x:c>
      <x:c r="J147" s="65" t="str">
        <x:v>需复核</x:v>
      </x:c>
      <x:c r="K147" s="65"/>
      <x:c r="L147" s="65"/>
      <x:c r="M147" s="65"/>
      <x:c r="N147" s="549"/>
      <x:c r="O147" s="549"/>
      <x:c r="P147" s="549" t="str">
        <x:f>IF(COUNT(N147:O147)=0,"",SUM(N147:O147))</x:f>
      </x:c>
      <x:c r="Q147" s="65" t="str">
        <x:v>https://www.livescore.mobi/football/norway/eliteserien/molde-vs-brann/1709203/；https://www.fotmob.com/matches/x/x#5104948；https://www.espn.com/soccer/match/_/gameId/401843387/sk-brann-molde；查询时间：2026-07-18 19:02（北京时间）</x:v>
      </x:c>
      <x:c r="R147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DWLWL、客队WLL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8" ht="38" customHeight="1">
      <x:c r="A148" s="65" t="str">
        <x:f>IF(B148="","",TEXT(B148,"yyyy-mm-dd")&amp;"|"&amp;D148&amp;"|"&amp;E148)</x:f>
        <x:v>2026-07-19|中文名待确认（Nice）|中文名待确认（Nimes）</x:v>
      </x:c>
      <x:c r="B148" s="66" t="n">
        <x:v>46222</x:v>
      </x:c>
      <x:c r="C148" s="65" t="str">
        <x:v>国际俱乐部友谊赛</x:v>
      </x:c>
      <x:c r="D148" s="65" t="str">
        <x:v>中文名待确认（Nice）</x:v>
      </x:c>
      <x:c r="E148" s="65" t="str">
        <x:v>中文名待确认（Nimes）</x:v>
      </x:c>
      <x:c r="F148" s="65" t="str">
        <x:v>无可靠让球盘/只观察｜现有证据不足以形成可执行让球倾向</x:v>
      </x:c>
      <x:c r="G148" s="65" t="str">
        <x:v>无可靠大小球盘/只观察｜现有证据不足以形成可执行总进球倾向</x:v>
      </x:c>
      <x:c r="H148" s="65" t="str">
        <x:v>待确认首发、伤停、双方近5场与主客拆分、亚洲让球/大小球初盘及当前水位；任一市场欧赔&lt;1.80/港水&lt;0.80不进；未满足全部触发条件不进、不加仓</x:v>
      </x:c>
      <x:c r="I148" s="66" t="n">
        <x:v>46221.793217592596</x:v>
      </x:c>
      <x:c r="J148" s="65" t="str">
        <x:v>需复核</x:v>
      </x:c>
      <x:c r="K148" s="65"/>
      <x:c r="L148" s="65"/>
      <x:c r="M148" s="65"/>
      <x:c r="N148" s="549"/>
      <x:c r="O148" s="549"/>
      <x:c r="P148" s="549" t="str">
        <x:f>IF(COUNT(N148:O148)=0,"",SUM(N148:O148))</x:f>
      </x:c>
      <x:c r="Q148" s="65" t="str">
        <x:v>https://www.livescore.mobi/football/club-friendlies/club-friendlies-2026/nice-vs-nimes/1822025/；https://www.fotmob.com/matches/x/x#5900265；查询时间：2026-07-18 19:02（北京时间）</x:v>
      </x:c>
      <x:c r="R148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49" ht="38" customHeight="1">
      <x:c r="A149" s="65" t="str">
        <x:f>IF(B149="","",TEXT(B149,"yyyy-mm-dd")&amp;"|"&amp;D149&amp;"|"&amp;E149)</x:f>
        <x:v>2026-07-19|诺梅卡柳（Nomme Kalju）|中文名待确认（FCI Levadia U21）</x:v>
      </x:c>
      <x:c r="B149" s="66" t="n">
        <x:v>46222</x:v>
      </x:c>
      <x:c r="C149" s="65" t="str">
        <x:v>规范中文名待确认（Estonia - Esiliiga）</x:v>
      </x:c>
      <x:c r="D149" s="65" t="str">
        <x:v>诺梅卡柳（Nomme Kalju）</x:v>
      </x:c>
      <x:c r="E149" s="65" t="str">
        <x:v>中文名待确认（FCI Levadia U21）</x:v>
      </x:c>
      <x:c r="F149" s="65" t="str">
        <x:v>无可靠让球盘/只观察｜现有证据不足以形成可执行让球倾向</x:v>
      </x:c>
      <x:c r="G149" s="65" t="str">
        <x:v>无可靠大小球盘/只观察｜现有证据不足以形成可执行总进球倾向</x:v>
      </x:c>
      <x:c r="H149" s="65" t="str">
        <x:v>待确认首发、伤停、双方近5场与主客拆分、亚洲让球/大小球初盘及当前水位；任一市场欧赔&lt;1.80/港水&lt;0.80不进；未满足全部触发条件不进、不加仓</x:v>
      </x:c>
      <x:c r="I149" s="66" t="n">
        <x:v>46221.793217592596</x:v>
      </x:c>
      <x:c r="J149" s="65" t="str">
        <x:v>需复核</x:v>
      </x:c>
      <x:c r="K149" s="65"/>
      <x:c r="L149" s="65"/>
      <x:c r="M149" s="65"/>
      <x:c r="N149" s="549"/>
      <x:c r="O149" s="549"/>
      <x:c r="P149" s="549" t="str">
        <x:f>IF(COUNT(N149:O149)=0,"",SUM(N149:O149))</x:f>
      </x:c>
      <x:c r="Q149" s="65" t="str">
        <x:v>https://www.livescore.mobi/football/estonia/esiliiga/nomme-kalju-u21-vs-fci-levadia-u21/1743693/；查询时间：2026-07-18 19:02（北京时间）</x:v>
      </x:c>
      <x:c r="R149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50" ht="38" customHeight="1">
      <x:c r="A150" s="65" t="str">
        <x:f>IF(B150="","",TEXT(B150,"yyyy-mm-dd")&amp;"|"&amp;D150&amp;"|"&amp;E150)</x:f>
        <x:v>2026-07-19|匹兹堡河犬（Pittsburgh Riverhounds）|路易斯维尔城（Louisville City FC）</x:v>
      </x:c>
      <x:c r="B150" s="66" t="n">
        <x:v>46222</x:v>
      </x:c>
      <x:c r="C150" s="65" t="str">
        <x:v>美国USL冠军联赛</x:v>
      </x:c>
      <x:c r="D150" s="65" t="str">
        <x:v>匹兹堡河犬（Pittsburgh Riverhounds）</x:v>
      </x:c>
      <x:c r="E150" s="65" t="str">
        <x:v>路易斯维尔城（Louisville City FC）</x:v>
      </x:c>
      <x:c r="F150" s="65" t="str">
        <x:v>无可靠让球盘/只观察｜现有证据不足以形成可执行让球倾向</x:v>
      </x:c>
      <x:c r="G150" s="65" t="str">
        <x:v>无可靠大小球盘/只观察｜现有证据不足以形成可执行总进球倾向</x:v>
      </x:c>
      <x:c r="H150" s="65" t="str">
        <x:v>待确认首发、伤停、双方近5场与主客拆分、亚洲让球/大小球初盘及当前水位；任一市场欧赔&lt;1.80/港水&lt;0.80不进；未满足全部触发条件不进、不加仓</x:v>
      </x:c>
      <x:c r="I150" s="66" t="n">
        <x:v>46221.793217592596</x:v>
      </x:c>
      <x:c r="J150" s="65" t="str">
        <x:v>需复核</x:v>
      </x:c>
      <x:c r="K150" s="65"/>
      <x:c r="L150" s="65"/>
      <x:c r="M150" s="65"/>
      <x:c r="N150" s="549"/>
      <x:c r="O150" s="549"/>
      <x:c r="P150" s="549" t="str">
        <x:f>IF(COUNT(N150:O150)=0,"",SUM(N150:O150))</x:f>
      </x:c>
      <x:c r="Q150" s="65" t="str">
        <x:v>https://www.livescore.mobi/football/usa/usl-championship/pittsburgh-riverhounds-vs-louisville-city-fc/1711564/；https://www.espn.com/soccer/match/_/gameId/401841999/louisville-city-fc-pittsburgh-riverhounds；https://www.fotmob.com/matches/x/x#5109838；查询时间：2026-07-18 19:02（北京时间）</x:v>
      </x:c>
      <x:c r="R150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LDW、客队WWW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51" ht="38" customHeight="1">
      <x:c r="A151" s="65" t="str">
        <x:f>IF(B151="","",TEXT(B151,"yyyy-mm-dd")&amp;"|"&amp;D151&amp;"|"&amp;E151)</x:f>
        <x:v>2026-07-19|中文名待确认（Radomlje）|中文名待确认（Nk Brinje Grosuplje）</x:v>
      </x:c>
      <x:c r="B151" s="66" t="n">
        <x:v>46222</x:v>
      </x:c>
      <x:c r="C151" s="65" t="str">
        <x:v>规范中文名待确认（Slovenia - Prva Liga）</x:v>
      </x:c>
      <x:c r="D151" s="65" t="str">
        <x:v>中文名待确认（Radomlje）</x:v>
      </x:c>
      <x:c r="E151" s="65" t="str">
        <x:v>中文名待确认（Nk Brinje Grosuplje）</x:v>
      </x:c>
      <x:c r="F151" s="65" t="str">
        <x:v>无可靠让球盘/只观察｜现有证据不足以形成可执行让球倾向</x:v>
      </x:c>
      <x:c r="G151" s="65" t="str">
        <x:v>无可靠大小球盘/只观察｜现有证据不足以形成可执行总进球倾向</x:v>
      </x:c>
      <x:c r="H151" s="65" t="str">
        <x:v>待确认首发、伤停、双方近5场与主客拆分、亚洲让球/大小球初盘及当前水位；任一市场欧赔&lt;1.80/港水&lt;0.80不进；未满足全部触发条件不进、不加仓</x:v>
      </x:c>
      <x:c r="I151" s="66" t="n">
        <x:v>46221.793217592596</x:v>
      </x:c>
      <x:c r="J151" s="65" t="str">
        <x:v>需复核</x:v>
      </x:c>
      <x:c r="K151" s="65"/>
      <x:c r="L151" s="65"/>
      <x:c r="M151" s="65"/>
      <x:c r="N151" s="549"/>
      <x:c r="O151" s="549"/>
      <x:c r="P151" s="549" t="str">
        <x:f>IF(COUNT(N151:O151)=0,"",SUM(N151:O151))</x:f>
      </x:c>
      <x:c r="Q151" s="65" t="str">
        <x:v>https://www.livescore.mobi/football/slovenia/prva-liga/radomlje-vs-nk-brinje-grosuplje/1800801/；https://www.fotmob.com/matches/x/x#5833534；查询时间：2026-07-18 19:02（北京时间）</x:v>
      </x:c>
      <x:c r="R151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52" ht="38" customHeight="1">
      <x:c r="A152" s="65" t="str">
        <x:f>IF(B152="","",TEXT(B152,"yyyy-mm-dd")&amp;"|"&amp;D152&amp;"|"&amp;E152)</x:f>
        <x:v>2026-07-19|皇家社会（Real Sociedad）|中文名待确认（Racing Santander）</x:v>
      </x:c>
      <x:c r="B152" s="66" t="n">
        <x:v>46222</x:v>
      </x:c>
      <x:c r="C152" s="65" t="str">
        <x:v>国际俱乐部友谊赛</x:v>
      </x:c>
      <x:c r="D152" s="65" t="str">
        <x:v>皇家社会（Real Sociedad）</x:v>
      </x:c>
      <x:c r="E152" s="65" t="str">
        <x:v>中文名待确认（Racing Santander）</x:v>
      </x:c>
      <x:c r="F152" s="65" t="str">
        <x:v>无可靠让球盘/只观察｜现有证据不足以形成可执行让球倾向</x:v>
      </x:c>
      <x:c r="G152" s="65" t="str">
        <x:v>无可靠大小球盘/只观察｜现有证据不足以形成可执行总进球倾向</x:v>
      </x:c>
      <x:c r="H152" s="65" t="str">
        <x:v>待确认首发、伤停、双方近5场与主客拆分、亚洲让球/大小球初盘及当前水位；任一市场欧赔&lt;1.80/港水&lt;0.80不进；未满足全部触发条件不进、不加仓</x:v>
      </x:c>
      <x:c r="I152" s="66" t="n">
        <x:v>46221.793217592596</x:v>
      </x:c>
      <x:c r="J152" s="65" t="str">
        <x:v>需复核</x:v>
      </x:c>
      <x:c r="K152" s="65"/>
      <x:c r="L152" s="65"/>
      <x:c r="M152" s="65"/>
      <x:c r="N152" s="549"/>
      <x:c r="O152" s="549"/>
      <x:c r="P152" s="549" t="str">
        <x:f>IF(COUNT(N152:O152)=0,"",SUM(N152:O152))</x:f>
      </x:c>
      <x:c r="Q152" s="65" t="str">
        <x:v>https://www.livescore.mobi/football/club-friendlies/club-friendlies-2026/real-sociedad-vs-racing-santander/1822056/；https://www.fotmob.com/matches/x/x#5900419；查询时间：2026-07-18 19:02（北京时间）</x:v>
      </x:c>
      <x:c r="R152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53" ht="38" customHeight="1">
      <x:c r="A153" s="65" t="str">
        <x:f>IF(B153="","",TEXT(B153,"yyyy-mm-dd")&amp;"|"&amp;D153&amp;"|"&amp;E153)</x:f>
        <x:v>2026-07-19|里加FC（Riga FC）|中文名待确认（FK Tukums 2000）</x:v>
      </x:c>
      <x:c r="B153" s="66" t="n">
        <x:v>46222</x:v>
      </x:c>
      <x:c r="C153" s="65" t="str">
        <x:v>规范中文名待确认（Latvia - Virsliga）</x:v>
      </x:c>
      <x:c r="D153" s="65" t="str">
        <x:v>里加FC（Riga FC）</x:v>
      </x:c>
      <x:c r="E153" s="65" t="str">
        <x:v>中文名待确认（FK Tukums 2000）</x:v>
      </x:c>
      <x:c r="F153" s="65" t="str">
        <x:v>无可靠让球盘/只观察｜现有证据不足以形成可执行让球倾向</x:v>
      </x:c>
      <x:c r="G153" s="65" t="str">
        <x:v>无可靠大小球盘/只观察｜现有证据不足以形成可执行总进球倾向</x:v>
      </x:c>
      <x:c r="H153" s="65" t="str">
        <x:v>待确认首发、伤停、双方近5场与主客拆分、亚洲让球/大小球初盘及当前水位；任一市场欧赔&lt;1.80/港水&lt;0.80不进；未满足全部触发条件不进、不加仓</x:v>
      </x:c>
      <x:c r="I153" s="66" t="n">
        <x:v>46221.793217592596</x:v>
      </x:c>
      <x:c r="J153" s="65" t="str">
        <x:v>需复核</x:v>
      </x:c>
      <x:c r="K153" s="65"/>
      <x:c r="L153" s="65"/>
      <x:c r="M153" s="65"/>
      <x:c r="N153" s="549"/>
      <x:c r="O153" s="549"/>
      <x:c r="P153" s="549" t="str">
        <x:f>IF(COUNT(N153:O153)=0,"",SUM(N153:O153))</x:f>
      </x:c>
      <x:c r="Q153" s="65" t="str">
        <x:v>https://www.livescore.mobi/football/latvia/virsliga/riga-fc-vs-fk-tukums-2000/1732051/；https://www.fotmob.com/matches/x/x#5162027；查询时间：2026-07-18 19:02（北京时间）</x:v>
      </x:c>
      <x:c r="R153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54" ht="38" customHeight="1">
      <x:c r="A154" s="65" t="str">
        <x:f>IF(B154="","",TEXT(B154,"yyyy-mm-dd")&amp;"|"&amp;D154&amp;"|"&amp;E154)</x:f>
        <x:v>2026-07-19|中文名待确认（Septemvri Sofia）|中文名待确认（Arda Kardzhali）</x:v>
      </x:c>
      <x:c r="B154" s="66" t="n">
        <x:v>46222</x:v>
      </x:c>
      <x:c r="C154" s="65" t="str">
        <x:v>保加利亚甲级联赛</x:v>
      </x:c>
      <x:c r="D154" s="65" t="str">
        <x:v>中文名待确认（Septemvri Sofia）</x:v>
      </x:c>
      <x:c r="E154" s="65" t="str">
        <x:v>中文名待确认（Arda Kardzhali）</x:v>
      </x:c>
      <x:c r="F154" s="65" t="str">
        <x:v>无可靠让球盘/只观察｜现有证据不足以形成可执行让球倾向</x:v>
      </x:c>
      <x:c r="G154" s="65" t="str">
        <x:v>无可靠大小球盘/只观察｜现有证据不足以形成可执行总进球倾向</x:v>
      </x:c>
      <x:c r="H154" s="65" t="str">
        <x:v>待确认首发、伤停、双方近5场与主客拆分、亚洲让球/大小球初盘及当前水位；任一市场欧赔&lt;1.80/港水&lt;0.80不进；未满足全部触发条件不进、不加仓</x:v>
      </x:c>
      <x:c r="I154" s="66" t="n">
        <x:v>46221.793217592596</x:v>
      </x:c>
      <x:c r="J154" s="65" t="str">
        <x:v>需复核</x:v>
      </x:c>
      <x:c r="K154" s="65"/>
      <x:c r="L154" s="65"/>
      <x:c r="M154" s="65"/>
      <x:c r="N154" s="549"/>
      <x:c r="O154" s="549"/>
      <x:c r="P154" s="549" t="str">
        <x:f>IF(COUNT(N154:O154)=0,"",SUM(N154:O154))</x:f>
      </x:c>
      <x:c r="Q154" s="65" t="str">
        <x:v>https://www.livescore.mobi/football/bulgaria/parva-liga/septemvri-sofia-vs-arda-kardzhali/1786291/；https://www.fotmob.com/matches/x/x#5760425；查询时间：2026-07-18 19:02（北京时间）</x:v>
      </x:c>
      <x:c r="R15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55" ht="38" customHeight="1">
      <x:c r="A155" s="65" t="str">
        <x:f>IF(B155="","",TEXT(B155,"yyyy-mm-dd")&amp;"|"&amp;D155&amp;"|"&amp;E155)</x:f>
        <x:v>2026-07-19|塞尔维特（Servette）|中文名待确认（Saint-Etienne）</x:v>
      </x:c>
      <x:c r="B155" s="66" t="n">
        <x:v>46222</x:v>
      </x:c>
      <x:c r="C155" s="65" t="str">
        <x:v>国际俱乐部友谊赛</x:v>
      </x:c>
      <x:c r="D155" s="65" t="str">
        <x:v>塞尔维特（Servette）</x:v>
      </x:c>
      <x:c r="E155" s="65" t="str">
        <x:v>中文名待确认（Saint-Etienne）</x:v>
      </x:c>
      <x:c r="F155" s="65" t="str">
        <x:v>无可靠让球盘/只观察｜现有证据不足以形成可执行让球倾向</x:v>
      </x:c>
      <x:c r="G155" s="65" t="str">
        <x:v>无可靠大小球盘/只观察｜现有证据不足以形成可执行总进球倾向</x:v>
      </x:c>
      <x:c r="H155" s="65" t="str">
        <x:v>待确认首发、伤停、双方近5场与主客拆分、亚洲让球/大小球初盘及当前水位；任一市场欧赔&lt;1.80/港水&lt;0.80不进；未满足全部触发条件不进、不加仓</x:v>
      </x:c>
      <x:c r="I155" s="66" t="n">
        <x:v>46221.793217592596</x:v>
      </x:c>
      <x:c r="J155" s="65" t="str">
        <x:v>需复核</x:v>
      </x:c>
      <x:c r="K155" s="65"/>
      <x:c r="L155" s="65"/>
      <x:c r="M155" s="65"/>
      <x:c r="N155" s="549"/>
      <x:c r="O155" s="549"/>
      <x:c r="P155" s="549" t="str">
        <x:f>IF(COUNT(N155:O155)=0,"",SUM(N155:O155))</x:f>
      </x:c>
      <x:c r="Q155" s="65" t="str">
        <x:v>https://www.livescore.mobi/football/club-friendlies/club-friendlies-2026/servette-vs-saint-etienne/1832887/；查询时间：2026-07-18 19:02（北京时间）</x:v>
      </x:c>
      <x:c r="R15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56" ht="38" customHeight="1">
      <x:c r="A156" s="65" t="str">
        <x:f>IF(B156="","",TEXT(B156,"yyyy-mm-dd")&amp;"|"&amp;D156&amp;"|"&amp;E156)</x:f>
        <x:v>2026-07-19|中文名待确认（Sligo Rovers (W)）|中文名待确认（DLR Waves (W)）</x:v>
      </x:c>
      <x:c r="B156" s="66" t="n">
        <x:v>46222</x:v>
      </x:c>
      <x:c r="C156" s="65" t="str">
        <x:v>规范中文名待确认（IRL - Women's Premier Division）</x:v>
      </x:c>
      <x:c r="D156" s="65" t="str">
        <x:v>中文名待确认（Sligo Rovers (W)）</x:v>
      </x:c>
      <x:c r="E156" s="65" t="str">
        <x:v>中文名待确认（DLR Waves (W)）</x:v>
      </x:c>
      <x:c r="F156" s="65" t="str">
        <x:v>无可靠让球盘/只观察｜现有证据不足以形成可执行让球倾向</x:v>
      </x:c>
      <x:c r="G156" s="65" t="str">
        <x:v>无可靠大小球盘/只观察｜现有证据不足以形成可执行总进球倾向</x:v>
      </x:c>
      <x:c r="H156" s="65" t="str">
        <x:v>待确认首发、伤停、双方近5场与主客拆分、亚洲让球/大小球初盘及当前水位；任一市场欧赔&lt;1.80/港水&lt;0.80不进；未满足全部触发条件不进、不加仓</x:v>
      </x:c>
      <x:c r="I156" s="66" t="n">
        <x:v>46221.793217592596</x:v>
      </x:c>
      <x:c r="J156" s="65" t="str">
        <x:v>需复核</x:v>
      </x:c>
      <x:c r="K156" s="65"/>
      <x:c r="L156" s="65"/>
      <x:c r="M156" s="65"/>
      <x:c r="N156" s="549"/>
      <x:c r="O156" s="549"/>
      <x:c r="P156" s="549" t="str">
        <x:f>IF(COUNT(N156:O156)=0,"",SUM(N156:O156))</x:f>
      </x:c>
      <x:c r="Q156" s="65" t="str">
        <x:v>https://www.fotmob.com/matches/x/x#5101061；https://www.livescore.mobi/football/ireland/womens-national-league/sligo-rovers-w-vs-dlr-waves-w/1719716/；查询时间：2026-07-18 19:02（北京时间）</x:v>
      </x:c>
      <x:c r="R15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57" ht="38" customHeight="1">
      <x:c r="A157" s="65" t="str">
        <x:f>IF(B157="","",TEXT(B157,"yyyy-mm-dd")&amp;"|"&amp;D157&amp;"|"&amp;E157)</x:f>
        <x:v>2026-07-19|中文名待确认（Talinna Kalev）|中文名待确认（Nomme United U21）</x:v>
      </x:c>
      <x:c r="B157" s="66" t="n">
        <x:v>46222</x:v>
      </x:c>
      <x:c r="C157" s="65" t="str">
        <x:v>规范中文名待确认（Estonia - Esiliiga）</x:v>
      </x:c>
      <x:c r="D157" s="65" t="str">
        <x:v>中文名待确认（Talinna Kalev）</x:v>
      </x:c>
      <x:c r="E157" s="65" t="str">
        <x:v>中文名待确认（Nomme United U21）</x:v>
      </x:c>
      <x:c r="F157" s="65" t="str">
        <x:v>无可靠让球盘/只观察｜现有证据不足以形成可执行让球倾向</x:v>
      </x:c>
      <x:c r="G157" s="65" t="str">
        <x:v>无可靠大小球盘/只观察｜现有证据不足以形成可执行总进球倾向</x:v>
      </x:c>
      <x:c r="H157" s="65" t="str">
        <x:v>待确认首发、伤停、双方近5场与主客拆分、亚洲让球/大小球初盘及当前水位；任一市场欧赔&lt;1.80/港水&lt;0.80不进；未满足全部触发条件不进、不加仓</x:v>
      </x:c>
      <x:c r="I157" s="66" t="n">
        <x:v>46221.793217592596</x:v>
      </x:c>
      <x:c r="J157" s="65" t="str">
        <x:v>需复核</x:v>
      </x:c>
      <x:c r="K157" s="65"/>
      <x:c r="L157" s="65"/>
      <x:c r="M157" s="65"/>
      <x:c r="N157" s="549"/>
      <x:c r="O157" s="549"/>
      <x:c r="P157" s="549" t="str">
        <x:f>IF(COUNT(N157:O157)=0,"",SUM(N157:O157))</x:f>
      </x:c>
      <x:c r="Q157" s="65" t="str">
        <x:v>https://www.livescore.mobi/football/estonia/esiliiga/talinna-kalev-vs-nomme-united-u21/1743694/；查询时间：2026-07-18 19:02（北京时间）</x:v>
      </x:c>
      <x:c r="R157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58" ht="38" customHeight="1">
      <x:c r="A158" s="65" t="str">
        <x:f>IF(B158="","",TEXT(B158,"yyyy-mm-dd")&amp;"|"&amp;D158&amp;"|"&amp;E158)</x:f>
        <x:v>2026-07-19|中文名待确认（Tartu JK Welco）|中文名待确认（FC Tallinn）</x:v>
      </x:c>
      <x:c r="B158" s="66" t="n">
        <x:v>46222</x:v>
      </x:c>
      <x:c r="C158" s="65" t="str">
        <x:v>规范中文名待确认（Estonia - Esiliiga）</x:v>
      </x:c>
      <x:c r="D158" s="65" t="str">
        <x:v>中文名待确认（Tartu JK Welco）</x:v>
      </x:c>
      <x:c r="E158" s="65" t="str">
        <x:v>中文名待确认（FC Tallinn）</x:v>
      </x:c>
      <x:c r="F158" s="65" t="str">
        <x:v>无可靠让球盘/只观察｜现有证据不足以形成可执行让球倾向</x:v>
      </x:c>
      <x:c r="G158" s="65" t="str">
        <x:v>无可靠大小球盘/只观察｜现有证据不足以形成可执行总进球倾向</x:v>
      </x:c>
      <x:c r="H158" s="65" t="str">
        <x:v>待确认首发、伤停、双方近5场与主客拆分、亚洲让球/大小球初盘及当前水位；任一市场欧赔&lt;1.80/港水&lt;0.80不进；未满足全部触发条件不进、不加仓</x:v>
      </x:c>
      <x:c r="I158" s="66" t="n">
        <x:v>46221.793217592596</x:v>
      </x:c>
      <x:c r="J158" s="65" t="str">
        <x:v>需复核</x:v>
      </x:c>
      <x:c r="K158" s="65"/>
      <x:c r="L158" s="65"/>
      <x:c r="M158" s="65"/>
      <x:c r="N158" s="549"/>
      <x:c r="O158" s="549"/>
      <x:c r="P158" s="549" t="str">
        <x:f>IF(COUNT(N158:O158)=0,"",SUM(N158:O158))</x:f>
      </x:c>
      <x:c r="Q158" s="65" t="str">
        <x:v>https://www.livescore.mobi/football/estonia/esiliiga/tartu-jk-welco-vs-fc-tallinn/1743692/；查询时间：2026-07-18 19:02（北京时间）</x:v>
      </x:c>
      <x:c r="R158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59" ht="38" customHeight="1">
      <x:c r="A159" s="65" t="str">
        <x:f>IF(B159="","",TEXT(B159,"yyyy-mm-dd")&amp;"|"&amp;D159&amp;"|"&amp;E159)</x:f>
        <x:v>2026-07-19|中文名待确认（Thor Akureyri）|雷克雅未克维京人（Víkingur Reykjavík）</x:v>
      </x:c>
      <x:c r="B159" s="66" t="n">
        <x:v>46222</x:v>
      </x:c>
      <x:c r="C159" s="65" t="str">
        <x:v>规范中文名待确认（Iceland - Besta deildin）</x:v>
      </x:c>
      <x:c r="D159" s="65" t="str">
        <x:v>中文名待确认（Thor Akureyri）</x:v>
      </x:c>
      <x:c r="E159" s="65" t="str">
        <x:v>雷克雅未克维京人（Víkingur Reykjavík）</x:v>
      </x:c>
      <x:c r="F159" s="65" t="str">
        <x:v>无可靠让球盘/只观察｜现有证据不足以形成可执行让球倾向</x:v>
      </x:c>
      <x:c r="G159" s="65" t="str">
        <x:v>无可靠大小球盘/只观察｜现有证据不足以形成可执行总进球倾向</x:v>
      </x:c>
      <x:c r="H159" s="65" t="str">
        <x:v>待确认首发、伤停、双方近5场与主客拆分、亚洲让球/大小球初盘及当前水位；任一市场欧赔&lt;1.80/港水&lt;0.80不进；未满足全部触发条件不进、不加仓</x:v>
      </x:c>
      <x:c r="I159" s="66" t="n">
        <x:v>46221.793217592596</x:v>
      </x:c>
      <x:c r="J159" s="65" t="str">
        <x:v>需复核</x:v>
      </x:c>
      <x:c r="K159" s="65"/>
      <x:c r="L159" s="65"/>
      <x:c r="M159" s="65"/>
      <x:c r="N159" s="549"/>
      <x:c r="O159" s="549"/>
      <x:c r="P159" s="549" t="str">
        <x:f>IF(COUNT(N159:O159)=0,"",SUM(N159:O159))</x:f>
      </x:c>
      <x:c r="Q159" s="65" t="str">
        <x:v>https://www.livescore.mobi/football/iceland/urvalsdeild/thor-akureyri-vs-vikingur-reykjavik/1750902/；https://www.fotmob.com/matches/x/x#5225683；查询时间：2026-07-18 19:02（北京时间）</x:v>
      </x:c>
      <x:c r="R159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60" ht="38" customHeight="1">
      <x:c r="A160" s="65" t="str">
        <x:f>IF(B160="","",TEXT(B160,"yyyy-mm-dd")&amp;"|"&amp;D160&amp;"|"&amp;E160)</x:f>
        <x:v>2026-07-19|中文名待确认（Throttur Reykjavik）|中文名待确认（Volsungur）</x:v>
      </x:c>
      <x:c r="B160" s="66" t="n">
        <x:v>46222</x:v>
      </x:c>
      <x:c r="C160" s="65" t="str">
        <x:v>规范中文名待确认（Iceland - 1. Deild）</x:v>
      </x:c>
      <x:c r="D160" s="65" t="str">
        <x:v>中文名待确认（Throttur Reykjavik）</x:v>
      </x:c>
      <x:c r="E160" s="65" t="str">
        <x:v>中文名待确认（Volsungur）</x:v>
      </x:c>
      <x:c r="F160" s="65" t="str">
        <x:v>无可靠让球盘/只观察｜现有证据不足以形成可执行让球倾向</x:v>
      </x:c>
      <x:c r="G160" s="65" t="str">
        <x:v>无可靠大小球盘/只观察｜现有证据不足以形成可执行总进球倾向</x:v>
      </x:c>
      <x:c r="H160" s="65" t="str">
        <x:v>待确认首发、伤停、双方近5场与主客拆分、亚洲让球/大小球初盘及当前水位；任一市场欧赔&lt;1.80/港水&lt;0.80不进；未满足全部触发条件不进、不加仓</x:v>
      </x:c>
      <x:c r="I160" s="66" t="n">
        <x:v>46221.793217592596</x:v>
      </x:c>
      <x:c r="J160" s="65" t="str">
        <x:v>需复核</x:v>
      </x:c>
      <x:c r="K160" s="65"/>
      <x:c r="L160" s="65"/>
      <x:c r="M160" s="65"/>
      <x:c r="N160" s="549"/>
      <x:c r="O160" s="549"/>
      <x:c r="P160" s="549" t="str">
        <x:f>IF(COUNT(N160:O160)=0,"",SUM(N160:O160))</x:f>
      </x:c>
      <x:c r="Q160" s="65" t="str">
        <x:v>https://www.livescore.mobi/football/iceland/1-deild/throttur-reykjavik-vs-volsungur/1750767/；https://www.fotmob.com/matches/x/x#5225816；查询时间：2026-07-18 19:02（北京时间）</x:v>
      </x:c>
      <x:c r="R160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61" ht="38" customHeight="1">
      <x:c r="A161" s="65" t="str">
        <x:f>IF(B161="","",TEXT(B161,"yyyy-mm-dd")&amp;"|"&amp;D161&amp;"|"&amp;E161)</x:f>
        <x:v>2026-07-19|中文名待确认（US Amal Tiznit）|中文名待确认（Olympique Dcheira）</x:v>
      </x:c>
      <x:c r="B161" s="66" t="n">
        <x:v>46222</x:v>
      </x:c>
      <x:c r="C161" s="65" t="str">
        <x:v>摩洛哥甲级联赛资格赛</x:v>
      </x:c>
      <x:c r="D161" s="65" t="str">
        <x:v>中文名待确认（US Amal Tiznit）</x:v>
      </x:c>
      <x:c r="E161" s="65" t="str">
        <x:v>中文名待确认（Olympique Dcheira）</x:v>
      </x:c>
      <x:c r="F161" s="65" t="str">
        <x:v>无可靠让球盘/只观察｜现有证据不足以形成可执行让球倾向</x:v>
      </x:c>
      <x:c r="G161" s="65" t="str">
        <x:v>无可靠大小球盘/只观察｜现有证据不足以形成可执行总进球倾向</x:v>
      </x:c>
      <x:c r="H161" s="65" t="str">
        <x:v>待确认首发、伤停、双方近5场与主客拆分、亚洲让球/大小球初盘及当前水位；任一市场欧赔&lt;1.80/港水&lt;0.80不进；未满足全部触发条件不进、不加仓</x:v>
      </x:c>
      <x:c r="I161" s="66" t="n">
        <x:v>46221.793217592596</x:v>
      </x:c>
      <x:c r="J161" s="65" t="str">
        <x:v>需复核</x:v>
      </x:c>
      <x:c r="K161" s="65"/>
      <x:c r="L161" s="65"/>
      <x:c r="M161" s="65"/>
      <x:c r="N161" s="549"/>
      <x:c r="O161" s="549"/>
      <x:c r="P161" s="549" t="str">
        <x:f>IF(COUNT(N161:O161)=0,"",SUM(N161:O161))</x:f>
      </x:c>
      <x:c r="Q161" s="65" t="str">
        <x:v>https://www.livescore.mobi/football/morocco/botola-pro-qualification/us-amal-tiznit-vs-olympique-dcheira/1834399/；查询时间：2026-07-18 19:02（北京时间）</x:v>
      </x:c>
      <x:c r="R161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62" ht="38" customHeight="1">
      <x:c r="A162" s="65" t="str">
        <x:f>IF(B162="","",TEXT(B162,"yyyy-mm-dd")&amp;"|"&amp;D162&amp;"|"&amp;E162)</x:f>
        <x:v>2026-07-19|乌迪内斯（Udinese）|中文名待确认（NK Istra 1961）</x:v>
      </x:c>
      <x:c r="B162" s="66" t="n">
        <x:v>46222</x:v>
      </x:c>
      <x:c r="C162" s="65" t="str">
        <x:v>国际俱乐部友谊赛</x:v>
      </x:c>
      <x:c r="D162" s="65" t="str">
        <x:v>乌迪内斯（Udinese）</x:v>
      </x:c>
      <x:c r="E162" s="65" t="str">
        <x:v>中文名待确认（NK Istra 1961）</x:v>
      </x:c>
      <x:c r="F162" s="65" t="str">
        <x:v>无可靠让球盘/只观察｜现有证据不足以形成可执行让球倾向</x:v>
      </x:c>
      <x:c r="G162" s="65" t="str">
        <x:v>无可靠大小球盘/只观察｜现有证据不足以形成可执行总进球倾向</x:v>
      </x:c>
      <x:c r="H162" s="65" t="str">
        <x:v>待确认首发、伤停、双方近5场与主客拆分、亚洲让球/大小球初盘及当前水位；任一市场欧赔&lt;1.80/港水&lt;0.80不进；未满足全部触发条件不进、不加仓</x:v>
      </x:c>
      <x:c r="I162" s="66" t="n">
        <x:v>46221.793217592596</x:v>
      </x:c>
      <x:c r="J162" s="65" t="str">
        <x:v>需复核</x:v>
      </x:c>
      <x:c r="K162" s="65"/>
      <x:c r="L162" s="65"/>
      <x:c r="M162" s="65"/>
      <x:c r="N162" s="549"/>
      <x:c r="O162" s="549"/>
      <x:c r="P162" s="549" t="str">
        <x:f>IF(COUNT(N162:O162)=0,"",SUM(N162:O162))</x:f>
      </x:c>
      <x:c r="Q162" s="65" t="str">
        <x:v>https://www.livescore.mobi/football/club-friendlies/club-friendlies-2026/udinese-vs-nk-istra-1961/1836836/；查询时间：2026-07-18 19:02（北京时间）</x:v>
      </x:c>
      <x:c r="R162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63" ht="38" customHeight="1">
      <x:c r="A163" s="65" t="str">
        <x:f>IF(B163="","",TEXT(B163,"yyyy-mm-dd")&amp;"|"&amp;D163&amp;"|"&amp;E163)</x:f>
        <x:v>2026-07-19|中文名待确认（Viking）|中文名待确认（Sandefjord）</x:v>
      </x:c>
      <x:c r="B163" s="66" t="n">
        <x:v>46222</x:v>
      </x:c>
      <x:c r="C163" s="65" t="str">
        <x:v>挪威超级联赛（Eliteserien）</x:v>
      </x:c>
      <x:c r="D163" s="65" t="str">
        <x:v>中文名待确认（Viking）</x:v>
      </x:c>
      <x:c r="E163" s="65" t="str">
        <x:v>中文名待确认（Sandefjord）</x:v>
      </x:c>
      <x:c r="F163" s="65" t="str">
        <x:v>无可靠让球盘/只观察｜现有证据不足以形成可执行让球倾向</x:v>
      </x:c>
      <x:c r="G163" s="65" t="str">
        <x:v>无可靠大小球盘/只观察｜现有证据不足以形成可执行总进球倾向</x:v>
      </x:c>
      <x:c r="H163" s="65" t="str">
        <x:v>待确认首发、伤停、双方近5场与主客拆分、亚洲让球/大小球初盘及当前水位；任一市场欧赔&lt;1.80/港水&lt;0.80不进；未满足全部触发条件不进、不加仓</x:v>
      </x:c>
      <x:c r="I163" s="66" t="n">
        <x:v>46221.793217592596</x:v>
      </x:c>
      <x:c r="J163" s="65" t="str">
        <x:v>需复核</x:v>
      </x:c>
      <x:c r="K163" s="65"/>
      <x:c r="L163" s="65"/>
      <x:c r="M163" s="65"/>
      <x:c r="N163" s="549"/>
      <x:c r="O163" s="549"/>
      <x:c r="P163" s="549" t="str">
        <x:f>IF(COUNT(N163:O163)=0,"",SUM(N163:O163))</x:f>
      </x:c>
      <x:c r="Q163" s="65" t="str">
        <x:v>https://www.livescore.mobi/football/norway/eliteserien/viking-vs-sandefjord/1709213/；https://www.fotmob.com/matches/x/x#5104952；https://www.espn.com/soccer/match/_/gameId/401843385/sandefjord-viking-fk；查询时间：2026-07-18 19:02（北京时间）</x:v>
      </x:c>
      <x:c r="R163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WWWW、客队DL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64" ht="38" customHeight="1">
      <x:c r="A164" s="65" t="str">
        <x:f>IF(B164="","",TEXT(B164,"yyyy-mm-dd")&amp;"|"&amp;D164&amp;"|"&amp;E164)</x:f>
        <x:v>2026-07-19|维拉圣卡洛斯（Villa San Carlos）|中文名待确认（CASD Camioneros）</x:v>
      </x:c>
      <x:c r="B164" s="66" t="n">
        <x:v>46222</x:v>
      </x:c>
      <x:c r="C164" s="65" t="str">
        <x:v>规范中文名待确认（Argentina - Primera B Metropolitana）</x:v>
      </x:c>
      <x:c r="D164" s="65" t="str">
        <x:v>维拉圣卡洛斯（Villa San Carlos）</x:v>
      </x:c>
      <x:c r="E164" s="65" t="str">
        <x:v>中文名待确认（CASD Camioneros）</x:v>
      </x:c>
      <x:c r="F164" s="65" t="str">
        <x:v>无可靠让球盘/只观察｜现有证据不足以形成可执行让球倾向</x:v>
      </x:c>
      <x:c r="G164" s="65" t="str">
        <x:v>无可靠大小球盘/只观察｜现有证据不足以形成可执行总进球倾向</x:v>
      </x:c>
      <x:c r="H164" s="65" t="str">
        <x:v>待确认首发、伤停、双方近5场与主客拆分、亚洲让球/大小球初盘及当前水位；任一市场欧赔&lt;1.80/港水&lt;0.80不进；未满足全部触发条件不进、不加仓</x:v>
      </x:c>
      <x:c r="I164" s="66" t="n">
        <x:v>46221.793217592596</x:v>
      </x:c>
      <x:c r="J164" s="65" t="str">
        <x:v>需复核</x:v>
      </x:c>
      <x:c r="K164" s="65"/>
      <x:c r="L164" s="65"/>
      <x:c r="M164" s="65"/>
      <x:c r="N164" s="549"/>
      <x:c r="O164" s="549"/>
      <x:c r="P164" s="549" t="str">
        <x:f>IF(COUNT(N164:O164)=0,"",SUM(N164:O164))</x:f>
      </x:c>
      <x:c r="Q164" s="65" t="str">
        <x:v>https://www.livescore.mobi/football/argentina/primera-b-metropolitana-2026/villa-san-carlos-vs-casd-camioneros/1713897/；https://www.fotmob.com/matches/x/x#5113957；查询时间：2026-07-18 19:02（北京时间）</x:v>
      </x:c>
      <x:c r="R16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65" ht="38" customHeight="1">
      <x:c r="A165" s="65" t="str">
        <x:f>IF(B165="","",TEXT(B165,"yyyy-mm-dd")&amp;"|"&amp;D165&amp;"|"&amp;E165)</x:f>
        <x:v>2026-07-18|中文名待确认（Club Atletico Progreso）|马尔多纳多（Deportivo Maldonado）</x:v>
      </x:c>
      <x:c r="B165" s="66" t="n">
        <x:v>46221.979166666664</x:v>
      </x:c>
      <x:c r="C165" s="65" t="str">
        <x:v>规范中文名待确认（Uruguay - Primera División: Intermedio Group B）</x:v>
      </x:c>
      <x:c r="D165" s="65" t="str">
        <x:v>中文名待确认（Club Atletico Progreso）</x:v>
      </x:c>
      <x:c r="E165" s="65" t="str">
        <x:v>马尔多纳多（Deportivo Maldonado）</x:v>
      </x:c>
      <x:c r="F165" s="65" t="str">
        <x:v>无可靠让球盘/只观察｜现有证据不足以形成可执行让球倾向</x:v>
      </x:c>
      <x:c r="G165" s="65" t="str">
        <x:v>无可靠大小球盘/只观察｜现有证据不足以形成可执行总进球倾向</x:v>
      </x:c>
      <x:c r="H165" s="65" t="str">
        <x:v>待确认首发、伤停、双方近5场与主客拆分、亚洲让球/大小球初盘及当前水位；任一市场欧赔&lt;1.80/港水&lt;0.80不进；未满足全部触发条件不进、不加仓</x:v>
      </x:c>
      <x:c r="I165" s="66" t="n">
        <x:v>46221.793217592596</x:v>
      </x:c>
      <x:c r="J165" s="65" t="str">
        <x:v>需复核</x:v>
      </x:c>
      <x:c r="K165" s="65"/>
      <x:c r="L165" s="65"/>
      <x:c r="M165" s="65"/>
      <x:c r="N165" s="549"/>
      <x:c r="O165" s="549"/>
      <x:c r="P165" s="549" t="str">
        <x:f>IF(COUNT(N165:O165)=0,"",SUM(N165:O165))</x:f>
      </x:c>
      <x:c r="Q165" s="65" t="str">
        <x:v>https://www.livescore.mobi/football/uruguay/primera-division-intermedio-group-b/club-atletico-progreso-vs-deportivo-maldonado/1817353/；https://www.fotmob.com/matches/x/x#5888342；https://www.espn.com/soccer/match/_/gameId/401872723/deportivo-maldonado-progreso；查询时间：2026-07-18 19:02（北京时间）</x:v>
      </x:c>
      <x:c r="R165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LL、客队DWW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66" ht="38" customHeight="1">
      <x:c r="A166" s="65" t="str">
        <x:f>IF(B166="","",TEXT(B166,"yyyy-mm-dd")&amp;"|"&amp;D166&amp;"|"&amp;E166)</x:f>
        <x:v>2026-07-18|中文名待确认（JJK Jyvaskyla）|中文名待确认（FC Jazz）</x:v>
      </x:c>
      <x:c r="B166" s="66" t="n">
        <x:v>46221.979166666664</x:v>
      </x:c>
      <x:c r="C166" s="65" t="str">
        <x:v>规范中文名待确认（Finland - Ykkonen）</x:v>
      </x:c>
      <x:c r="D166" s="65" t="str">
        <x:v>中文名待确认（JJK Jyvaskyla）</x:v>
      </x:c>
      <x:c r="E166" s="65" t="str">
        <x:v>中文名待确认（FC Jazz）</x:v>
      </x:c>
      <x:c r="F166" s="65" t="str">
        <x:v>无可靠让球盘/只观察｜现有证据不足以形成可执行让球倾向</x:v>
      </x:c>
      <x:c r="G166" s="65" t="str">
        <x:v>无可靠大小球盘/只观察｜现有证据不足以形成可执行总进球倾向</x:v>
      </x:c>
      <x:c r="H166" s="65" t="str">
        <x:v>待确认首发、伤停、双方近5场与主客拆分、亚洲让球/大小球初盘及当前水位；任一市场欧赔&lt;1.80/港水&lt;0.80不进；未满足全部触发条件不进、不加仓</x:v>
      </x:c>
      <x:c r="I166" s="66" t="n">
        <x:v>46221.793217592596</x:v>
      </x:c>
      <x:c r="J166" s="65" t="str">
        <x:v>需复核</x:v>
      </x:c>
      <x:c r="K166" s="65"/>
      <x:c r="L166" s="65"/>
      <x:c r="M166" s="65"/>
      <x:c r="N166" s="549"/>
      <x:c r="O166" s="549"/>
      <x:c r="P166" s="549" t="str">
        <x:f>IF(COUNT(N166:O166)=0,"",SUM(N166:O166))</x:f>
      </x:c>
      <x:c r="Q166" s="65" t="str">
        <x:v>https://www.livescore.mobi/football/finland/ykkonen/jjk-jyvaskyla-vs-fc-jazz/1732791/；https://www.fotmob.com/matches/x/x#5164011；查询时间：2026-07-18 19:02（北京时间）</x:v>
      </x:c>
      <x:c r="R16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67" ht="38" customHeight="1">
      <x:c r="A167" s="65" t="str">
        <x:f>IF(B167="","",TEXT(B167,"yyyy-mm-dd")&amp;"|"&amp;D167&amp;"|"&amp;E167)</x:f>
        <x:v>2026-07-18|中文名待确认（Janesboro）|中文名待确认（Sligo Rovers）</x:v>
      </x:c>
      <x:c r="B167" s="66" t="n">
        <x:v>46221.979166666664</x:v>
      </x:c>
      <x:c r="C167" s="65" t="str">
        <x:v>爱尔兰足协杯</x:v>
      </x:c>
      <x:c r="D167" s="65" t="str">
        <x:v>中文名待确认（Janesboro）</x:v>
      </x:c>
      <x:c r="E167" s="65" t="str">
        <x:v>中文名待确认（Sligo Rovers）</x:v>
      </x:c>
      <x:c r="F167" s="65" t="str">
        <x:v>无可靠让球盘/只观察｜现有证据不足以形成可执行让球倾向</x:v>
      </x:c>
      <x:c r="G167" s="65" t="str">
        <x:v>无可靠大小球盘/只观察｜现有证据不足以形成可执行总进球倾向</x:v>
      </x:c>
      <x:c r="H167" s="65" t="str">
        <x:v>待确认首发、伤停、双方近5场与主客拆分、亚洲让球/大小球初盘及当前水位；任一市场欧赔&lt;1.80/港水&lt;0.80不进；未满足全部触发条件不进、不加仓</x:v>
      </x:c>
      <x:c r="I167" s="66" t="n">
        <x:v>46221.793217592596</x:v>
      </x:c>
      <x:c r="J167" s="65" t="str">
        <x:v>需复核</x:v>
      </x:c>
      <x:c r="K167" s="65"/>
      <x:c r="L167" s="65"/>
      <x:c r="M167" s="65"/>
      <x:c r="N167" s="549"/>
      <x:c r="O167" s="549"/>
      <x:c r="P167" s="549" t="str">
        <x:f>IF(COUNT(N167:O167)=0,"",SUM(N167:O167))</x:f>
      </x:c>
      <x:c r="Q167" s="65" t="str">
        <x:v>https://www.livescore.mobi/football/ireland/fai-cup/janesboro-vs-sligo-rovers/1784345/；https://www.fotmob.com/matches/x/x#5740726；查询时间：2026-07-18 19:02（北京时间）</x:v>
      </x:c>
      <x:c r="R167" s="65" t="str">
        <x:v>证据卡：杯赛/淘汰赛背景，赛制与晋级动机重要；具体轮次已按赛事名称核对，仍需临场阵容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68" ht="38" customHeight="1">
      <x:c r="A168" s="65" t="str">
        <x:f>IF(B168="","",TEXT(B168,"yyyy-mm-dd")&amp;"|"&amp;D168&amp;"|"&amp;E168)</x:f>
        <x:v>2026-07-18|中文名待确认（Otelul Galati）|中文名待确认（CFR Cluj）</x:v>
      </x:c>
      <x:c r="B168" s="66" t="n">
        <x:v>46221.979166666664</x:v>
      </x:c>
      <x:c r="C168" s="65" t="str">
        <x:v>印度尼西亚超级联赛（印尼超/Liga 1 Indonesia）</x:v>
      </x:c>
      <x:c r="D168" s="65" t="str">
        <x:v>中文名待确认（Otelul Galati）</x:v>
      </x:c>
      <x:c r="E168" s="65" t="str">
        <x:v>中文名待确认（CFR Cluj）</x:v>
      </x:c>
      <x:c r="F168" s="65" t="str">
        <x:v>无可靠让球盘/只观察｜现有证据不足以形成可执行让球倾向</x:v>
      </x:c>
      <x:c r="G168" s="65" t="str">
        <x:v>无可靠大小球盘/只观察｜现有证据不足以形成可执行总进球倾向</x:v>
      </x:c>
      <x:c r="H168" s="65" t="str">
        <x:v>待确认首发、伤停、双方近5场与主客拆分、亚洲让球/大小球初盘及当前水位；任一市场欧赔&lt;1.80/港水&lt;0.80不进；未满足全部触发条件不进、不加仓</x:v>
      </x:c>
      <x:c r="I168" s="66" t="n">
        <x:v>46221.793217592596</x:v>
      </x:c>
      <x:c r="J168" s="65" t="str">
        <x:v>需复核</x:v>
      </x:c>
      <x:c r="K168" s="65"/>
      <x:c r="L168" s="65"/>
      <x:c r="M168" s="65"/>
      <x:c r="N168" s="549"/>
      <x:c r="O168" s="549"/>
      <x:c r="P168" s="549" t="str">
        <x:f>IF(COUNT(N168:O168)=0,"",SUM(N168:O168))</x:f>
      </x:c>
      <x:c r="Q168" s="65" t="str">
        <x:v>https://www.livescore.mobi/football/romania/liga-1/otelul-galati-vs-cfr-cluj/1807210/；https://www.fotmob.com/matches/x/x#5853436；查询时间：2026-07-18 19:02（北京时间）</x:v>
      </x:c>
      <x:c r="R168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69" ht="38" customHeight="1">
      <x:c r="A169" s="65" t="str">
        <x:f>IF(B169="","",TEXT(B169,"yyyy-mm-dd")&amp;"|"&amp;D169&amp;"|"&amp;E169)</x:f>
        <x:v>2026-07-18|中文名待确认（TSV Hartberg）|中文名待确认（ASK Voitsberg）</x:v>
      </x:c>
      <x:c r="B169" s="66" t="n">
        <x:v>46221.979166666664</x:v>
      </x:c>
      <x:c r="C169" s="65" t="str">
        <x:v>国际俱乐部友谊赛</x:v>
      </x:c>
      <x:c r="D169" s="65" t="str">
        <x:v>中文名待确认（TSV Hartberg）</x:v>
      </x:c>
      <x:c r="E169" s="65" t="str">
        <x:v>中文名待确认（ASK Voitsberg）</x:v>
      </x:c>
      <x:c r="F169" s="65" t="str">
        <x:v>无可靠让球盘/只观察｜现有证据不足以形成可执行让球倾向</x:v>
      </x:c>
      <x:c r="G169" s="65" t="str">
        <x:v>无可靠大小球盘/只观察｜现有证据不足以形成可执行总进球倾向</x:v>
      </x:c>
      <x:c r="H169" s="65" t="str">
        <x:v>待确认首发、伤停、双方近5场与主客拆分、亚洲让球/大小球初盘及当前水位；任一市场欧赔&lt;1.80/港水&lt;0.80不进；未满足全部触发条件不进、不加仓</x:v>
      </x:c>
      <x:c r="I169" s="66" t="n">
        <x:v>46221.793217592596</x:v>
      </x:c>
      <x:c r="J169" s="65" t="str">
        <x:v>需复核</x:v>
      </x:c>
      <x:c r="K169" s="65"/>
      <x:c r="L169" s="65"/>
      <x:c r="M169" s="65"/>
      <x:c r="N169" s="549"/>
      <x:c r="O169" s="549"/>
      <x:c r="P169" s="549" t="str">
        <x:f>IF(COUNT(N169:O169)=0,"",SUM(N169:O169))</x:f>
      </x:c>
      <x:c r="Q169" s="65" t="str">
        <x:v>https://www.livescore.mobi/football/club-friendlies/club-friendlies-2026/tsv-hartberg-vs-ask-voitsberg/1821890/；查询时间：2026-07-18 19:02（北京时间）</x:v>
      </x:c>
      <x:c r="R169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70" ht="38" customHeight="1">
      <x:c r="A170" s="65" t="str">
        <x:f>IF(B170="","",TEXT(B170,"yyyy-mm-dd")&amp;"|"&amp;D170&amp;"|"&amp;E170)</x:f>
        <x:v>2026-07-18|都灵（Torino）|中文名待确认（Pinzolo）</x:v>
      </x:c>
      <x:c r="B170" s="66" t="n">
        <x:v>46221.979166666664</x:v>
      </x:c>
      <x:c r="C170" s="65" t="str">
        <x:v>国际俱乐部友谊赛</x:v>
      </x:c>
      <x:c r="D170" s="65" t="str">
        <x:v>都灵（Torino）</x:v>
      </x:c>
      <x:c r="E170" s="65" t="str">
        <x:v>中文名待确认（Pinzolo）</x:v>
      </x:c>
      <x:c r="F170" s="65" t="str">
        <x:v>无可靠让球盘/只观察｜现有证据不足以形成可执行让球倾向</x:v>
      </x:c>
      <x:c r="G170" s="65" t="str">
        <x:v>无可靠大小球盘/只观察｜现有证据不足以形成可执行总进球倾向</x:v>
      </x:c>
      <x:c r="H170" s="65" t="str">
        <x:v>待确认首发、伤停、双方近5场与主客拆分、亚洲让球/大小球初盘及当前水位；任一市场欧赔&lt;1.80/港水&lt;0.80不进；未满足全部触发条件不进、不加仓</x:v>
      </x:c>
      <x:c r="I170" s="66" t="n">
        <x:v>46221.793217592596</x:v>
      </x:c>
      <x:c r="J170" s="65" t="str">
        <x:v>需复核</x:v>
      </x:c>
      <x:c r="K170" s="65"/>
      <x:c r="L170" s="65"/>
      <x:c r="M170" s="65"/>
      <x:c r="N170" s="549"/>
      <x:c r="O170" s="549"/>
      <x:c r="P170" s="549" t="str">
        <x:f>IF(COUNT(N170:O170)=0,"",SUM(N170:O170))</x:f>
      </x:c>
      <x:c r="Q170" s="65" t="str">
        <x:v>https://www.livescore.mobi/football/club-friendlies/club-friendlies-2026/torino-vs-pinzolo/1822156/；https://www.fotmob.com/matches/x/x#5900870；查询时间：2026-07-18 19:02（北京时间）</x:v>
      </x:c>
      <x:c r="R170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71" ht="38" customHeight="1">
      <x:c r="A171" s="65" t="str">
        <x:f>IF(B171="","",TEXT(B171,"yyyy-mm-dd")&amp;"|"&amp;D171&amp;"|"&amp;E171)</x:f>
        <x:v>2026-07-18|中文名待确认（Andijon）|中文名待确认（Surkhon-2011）</x:v>
      </x:c>
      <x:c r="B171" s="66" t="n">
        <x:v>46221.958333333336</x:v>
      </x:c>
      <x:c r="C171" s="65" t="str">
        <x:v>超级联赛（国家待确认）</x:v>
      </x:c>
      <x:c r="D171" s="65" t="str">
        <x:v>中文名待确认（Andijon）</x:v>
      </x:c>
      <x:c r="E171" s="65" t="str">
        <x:v>中文名待确认（Surkhon-2011）</x:v>
      </x:c>
      <x:c r="F171" s="65" t="str">
        <x:v>无可靠让球盘/只观察｜现有证据不足以形成可执行让球倾向</x:v>
      </x:c>
      <x:c r="G171" s="65" t="str">
        <x:v>无可靠大小球盘/只观察｜现有证据不足以形成可执行总进球倾向</x:v>
      </x:c>
      <x:c r="H171" s="65" t="str">
        <x:v>待确认首发、伤停、双方近5场与主客拆分、亚洲让球/大小球初盘及当前水位；任一市场欧赔&lt;1.80/港水&lt;0.80不进；未满足全部触发条件不进、不加仓</x:v>
      </x:c>
      <x:c r="I171" s="66" t="n">
        <x:v>46221.793217592596</x:v>
      </x:c>
      <x:c r="J171" s="65" t="str">
        <x:v>需复核</x:v>
      </x:c>
      <x:c r="K171" s="65"/>
      <x:c r="L171" s="65"/>
      <x:c r="M171" s="65"/>
      <x:c r="N171" s="549"/>
      <x:c r="O171" s="549"/>
      <x:c r="P171" s="549" t="str">
        <x:f>IF(COUNT(N171:O171)=0,"",SUM(N171:O171))</x:f>
      </x:c>
      <x:c r="Q171" s="65" t="str">
        <x:v>https://www.livescore.mobi/football/uzbekistan/superliga/andijon-vs-surkhon-2011/1743463/；https://www.fotmob.com/matches/x/x#5200571；查询时间：2026-07-18 19:02（北京时间）</x:v>
      </x:c>
      <x:c r="R171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72" ht="38" customHeight="1">
      <x:c r="A172" s="65" t="str">
        <x:f>IF(B172="","",TEXT(B172,"yyyy-mm-dd")&amp;"|"&amp;D172&amp;"|"&amp;E172)</x:f>
        <x:v>2026-07-18|亚特兰大（Atalanta）|亚特兰大（Atalanta）</x:v>
      </x:c>
      <x:c r="B172" s="66" t="n">
        <x:v>46221.958333333336</x:v>
      </x:c>
      <x:c r="C172" s="65" t="str">
        <x:v>国际俱乐部友谊赛</x:v>
      </x:c>
      <x:c r="D172" s="65" t="str">
        <x:v>亚特兰大（Atalanta）</x:v>
      </x:c>
      <x:c r="E172" s="65" t="str">
        <x:v>亚特兰大（Atalanta）</x:v>
      </x:c>
      <x:c r="F172" s="65" t="str">
        <x:v>无可靠让球盘/只观察｜现有证据不足以形成可执行让球倾向</x:v>
      </x:c>
      <x:c r="G172" s="65" t="str">
        <x:v>无可靠大小球盘/只观察｜现有证据不足以形成可执行总进球倾向</x:v>
      </x:c>
      <x:c r="H172" s="65" t="str">
        <x:v>待确认首发、伤停、双方近5场与主客拆分、亚洲让球/大小球初盘及当前水位；任一市场欧赔&lt;1.80/港水&lt;0.80不进；未满足全部触发条件不进、不加仓</x:v>
      </x:c>
      <x:c r="I172" s="66" t="n">
        <x:v>46221.793217592596</x:v>
      </x:c>
      <x:c r="J172" s="65" t="str">
        <x:v>需复核</x:v>
      </x:c>
      <x:c r="K172" s="65"/>
      <x:c r="L172" s="65"/>
      <x:c r="M172" s="65"/>
      <x:c r="N172" s="549"/>
      <x:c r="O172" s="549"/>
      <x:c r="P172" s="549" t="str">
        <x:f>IF(COUNT(N172:O172)=0,"",SUM(N172:O172))</x:f>
      </x:c>
      <x:c r="Q172" s="65" t="str">
        <x:v>https://www.livescore.mobi/football/club-friendlies/club-friendlies-2026/atalanta-vs-atalanta-u23/1822157/；https://www.fotmob.com/matches/x/x#5900848；查询时间：2026-07-18 19:02（北京时间）</x:v>
      </x:c>
      <x:c r="R172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73" ht="38" customHeight="1">
      <x:c r="A173" s="65" t="str">
        <x:f>IF(B173="","",TEXT(B173,"yyyy-mm-dd")&amp;"|"&amp;D173&amp;"|"&amp;E173)</x:f>
        <x:v>2026-07-18|中文名待确认（Atyrau）|阿拉木图凯拉特（Kairat Almaty）</x:v>
      </x:c>
      <x:c r="B173" s="66" t="n">
        <x:v>46221.958333333336</x:v>
      </x:c>
      <x:c r="C173" s="65" t="str">
        <x:v>规范中文名待确认（Kazakhstan - Premier League）</x:v>
      </x:c>
      <x:c r="D173" s="65" t="str">
        <x:v>中文名待确认（Atyrau）</x:v>
      </x:c>
      <x:c r="E173" s="65" t="str">
        <x:v>阿拉木图凯拉特（Kairat Almaty）</x:v>
      </x:c>
      <x:c r="F173" s="65" t="str">
        <x:v>无可靠让球盘/只观察｜现有证据不足以形成可执行让球倾向</x:v>
      </x:c>
      <x:c r="G173" s="65" t="str">
        <x:v>无可靠大小球盘/只观察｜现有证据不足以形成可执行总进球倾向</x:v>
      </x:c>
      <x:c r="H173" s="65" t="str">
        <x:v>待确认首发、伤停、双方近5场与主客拆分、亚洲让球/大小球初盘及当前水位；任一市场欧赔&lt;1.80/港水&lt;0.80不进；未满足全部触发条件不进、不加仓</x:v>
      </x:c>
      <x:c r="I173" s="66" t="n">
        <x:v>46221.793217592596</x:v>
      </x:c>
      <x:c r="J173" s="65" t="str">
        <x:v>需复核</x:v>
      </x:c>
      <x:c r="K173" s="65"/>
      <x:c r="L173" s="65"/>
      <x:c r="M173" s="65"/>
      <x:c r="N173" s="549"/>
      <x:c r="O173" s="549"/>
      <x:c r="P173" s="549" t="str">
        <x:f>IF(COUNT(N173:O173)=0,"",SUM(N173:O173))</x:f>
      </x:c>
      <x:c r="Q173" s="65" t="str">
        <x:v>https://www.livescore.mobi/football/kazakhstan/premier-league/atyrau-vs-kairat-almaty/1744653/；https://www.fotmob.com/matches/x/x#5204178；查询时间：2026-07-18 19:02（北京时间）</x:v>
      </x:c>
      <x:c r="R173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74" ht="38" customHeight="1">
      <x:c r="A174" s="65" t="str">
        <x:f>IF(B174="","",TEXT(B174,"yyyy-mm-dd")&amp;"|"&amp;D174&amp;"|"&amp;E174)</x:f>
        <x:v>2026-07-18|中文名待确认（Dacia Buiucani）|中文名待确认（Politehnica UTM）</x:v>
      </x:c>
      <x:c r="B174" s="66" t="n">
        <x:v>46221.958333333336</x:v>
      </x:c>
      <x:c r="C174" s="65" t="str">
        <x:v>规范中文名待确认（MDA - Super Liga）</x:v>
      </x:c>
      <x:c r="D174" s="65" t="str">
        <x:v>中文名待确认（Dacia Buiucani）</x:v>
      </x:c>
      <x:c r="E174" s="65" t="str">
        <x:v>中文名待确认（Politehnica UTM）</x:v>
      </x:c>
      <x:c r="F174" s="65" t="str">
        <x:v>无可靠让球盘/只观察｜现有证据不足以形成可执行让球倾向</x:v>
      </x:c>
      <x:c r="G174" s="65" t="str">
        <x:v>无可靠大小球盘/只观察｜现有证据不足以形成可执行总进球倾向</x:v>
      </x:c>
      <x:c r="H174" s="65" t="str">
        <x:v>待确认首发、伤停、双方近5场与主客拆分、亚洲让球/大小球初盘及当前水位；任一市场欧赔&lt;1.80/港水&lt;0.80不进；未满足全部触发条件不进、不加仓</x:v>
      </x:c>
      <x:c r="I174" s="66" t="n">
        <x:v>46221.793217592596</x:v>
      </x:c>
      <x:c r="J174" s="65" t="str">
        <x:v>需复核</x:v>
      </x:c>
      <x:c r="K174" s="65"/>
      <x:c r="L174" s="65"/>
      <x:c r="M174" s="65"/>
      <x:c r="N174" s="549"/>
      <x:c r="O174" s="549"/>
      <x:c r="P174" s="549" t="str">
        <x:f>IF(COUNT(N174:O174)=0,"",SUM(N174:O174))</x:f>
      </x:c>
      <x:c r="Q174" s="65" t="str">
        <x:v>https://www.fotmob.com/matches/x/x#5912132；https://www.livescore.mobi/football/moldova/super-liga/dacia-2-buiucani-vs-politehnica-utm/1825976/；查询时间：2026-07-18 19:02（北京时间）</x:v>
      </x:c>
      <x:c r="R17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75" ht="38" customHeight="1">
      <x:c r="A175" s="65" t="str">
        <x:f>IF(B175="","",TEXT(B175,"yyyy-mm-dd")&amp;"|"&amp;D175&amp;"|"&amp;E175)</x:f>
        <x:v>2026-07-18|中文名待确认（FC Giessen）|法兰克福（Eintracht Frankfurt）</x:v>
      </x:c>
      <x:c r="B175" s="66" t="n">
        <x:v>46221.958333333336</x:v>
      </x:c>
      <x:c r="C175" s="65" t="str">
        <x:v>国际俱乐部友谊赛</x:v>
      </x:c>
      <x:c r="D175" s="65" t="str">
        <x:v>中文名待确认（FC Giessen）</x:v>
      </x:c>
      <x:c r="E175" s="65" t="str">
        <x:v>法兰克福（Eintracht Frankfurt）</x:v>
      </x:c>
      <x:c r="F175" s="65" t="str">
        <x:v>无可靠让球盘/只观察｜现有证据不足以形成可执行让球倾向</x:v>
      </x:c>
      <x:c r="G175" s="65" t="str">
        <x:v>无可靠大小球盘/只观察｜现有证据不足以形成可执行总进球倾向</x:v>
      </x:c>
      <x:c r="H175" s="65" t="str">
        <x:v>待确认首发、伤停、双方近5场与主客拆分、亚洲让球/大小球初盘及当前水位；任一市场欧赔&lt;1.80/港水&lt;0.80不进；未满足全部触发条件不进、不加仓</x:v>
      </x:c>
      <x:c r="I175" s="66" t="n">
        <x:v>46221.793217592596</x:v>
      </x:c>
      <x:c r="J175" s="65" t="str">
        <x:v>需复核</x:v>
      </x:c>
      <x:c r="K175" s="65"/>
      <x:c r="L175" s="65"/>
      <x:c r="M175" s="65"/>
      <x:c r="N175" s="549"/>
      <x:c r="O175" s="549"/>
      <x:c r="P175" s="549" t="str">
        <x:f>IF(COUNT(N175:O175)=0,"",SUM(N175:O175))</x:f>
      </x:c>
      <x:c r="Q175" s="65" t="str">
        <x:v>https://www.livescore.mobi/football/club-friendlies/club-friendlies-2026/fc-giessen-vs-eintracht-frankfurt/1822123/；https://www.fotmob.com/matches/x/x#5900634；查询时间：2026-07-18 19:02（北京时间）</x:v>
      </x:c>
      <x:c r="R175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76" ht="38" customHeight="1">
      <x:c r="A176" s="65" t="str">
        <x:f>IF(B176="","",TEXT(B176,"yyyy-mm-dd")&amp;"|"&amp;D176&amp;"|"&amp;E176)</x:f>
        <x:v>2026-07-18|中文名待确认（Gundelfingen）|中文名待确认（FC Deisenhofen）</x:v>
      </x:c>
      <x:c r="B176" s="66" t="n">
        <x:v>46221.958333333336</x:v>
      </x:c>
      <x:c r="C176" s="65" t="str">
        <x:v>德国巴伐利亚高级联赛南区</x:v>
      </x:c>
      <x:c r="D176" s="65" t="str">
        <x:v>中文名待确认（Gundelfingen）</x:v>
      </x:c>
      <x:c r="E176" s="65" t="str">
        <x:v>中文名待确认（FC Deisenhofen）</x:v>
      </x:c>
      <x:c r="F176" s="65" t="str">
        <x:v>无可靠让球盘/只观察｜现有证据不足以形成可执行让球倾向</x:v>
      </x:c>
      <x:c r="G176" s="65" t="str">
        <x:v>无可靠大小球盘/只观察｜现有证据不足以形成可执行总进球倾向</x:v>
      </x:c>
      <x:c r="H176" s="65" t="str">
        <x:v>待确认首发、伤停、双方近5场与主客拆分、亚洲让球/大小球初盘及当前水位；任一市场欧赔&lt;1.80/港水&lt;0.80不进；未满足全部触发条件不进、不加仓</x:v>
      </x:c>
      <x:c r="I176" s="66" t="n">
        <x:v>46221.793217592596</x:v>
      </x:c>
      <x:c r="J176" s="65" t="str">
        <x:v>需复核</x:v>
      </x:c>
      <x:c r="K176" s="65"/>
      <x:c r="L176" s="65"/>
      <x:c r="M176" s="65"/>
      <x:c r="N176" s="549"/>
      <x:c r="O176" s="549"/>
      <x:c r="P176" s="549" t="str">
        <x:f>IF(COUNT(N176:O176)=0,"",SUM(N176:O176))</x:f>
      </x:c>
      <x:c r="Q176" s="65" t="str">
        <x:v>https://www.livescore.mobi/football/germany/oberliga-bayern-south/gundelfingen-vs-fc-deisenhofen/1827852/；查询时间：2026-07-18 19:02（北京时间）</x:v>
      </x:c>
      <x:c r="R176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77" ht="38" customHeight="1">
      <x:c r="A177" s="65" t="str">
        <x:f>IF(B177="","",TEXT(B177,"yyyy-mm-dd")&amp;"|"&amp;D177&amp;"|"&amp;E177)</x:f>
        <x:v>2026-07-18|中文名待确认（Kaisar Kyzylorda）|中文名待确认（Kaspiy Aktau）</x:v>
      </x:c>
      <x:c r="B177" s="66" t="n">
        <x:v>46221.958333333336</x:v>
      </x:c>
      <x:c r="C177" s="65" t="str">
        <x:v>规范中文名待确认（KAZ - Premier League）</x:v>
      </x:c>
      <x:c r="D177" s="65" t="str">
        <x:v>中文名待确认（Kaisar Kyzylorda）</x:v>
      </x:c>
      <x:c r="E177" s="65" t="str">
        <x:v>中文名待确认（Kaspiy Aktau）</x:v>
      </x:c>
      <x:c r="F177" s="65" t="str">
        <x:v>无可靠让球盘/只观察｜现有证据不足以形成可执行让球倾向</x:v>
      </x:c>
      <x:c r="G177" s="65" t="str">
        <x:v>无可靠大小球盘/只观察｜现有证据不足以形成可执行总进球倾向</x:v>
      </x:c>
      <x:c r="H177" s="65" t="str">
        <x:v>待确认首发、伤停、双方近5场与主客拆分、亚洲让球/大小球初盘及当前水位；任一市场欧赔&lt;1.80/港水&lt;0.80不进；未满足全部触发条件不进、不加仓</x:v>
      </x:c>
      <x:c r="I177" s="66" t="n">
        <x:v>46221.793217592596</x:v>
      </x:c>
      <x:c r="J177" s="65" t="str">
        <x:v>需复核</x:v>
      </x:c>
      <x:c r="K177" s="65"/>
      <x:c r="L177" s="65"/>
      <x:c r="M177" s="65"/>
      <x:c r="N177" s="549"/>
      <x:c r="O177" s="549"/>
      <x:c r="P177" s="549" t="str">
        <x:f>IF(COUNT(N177:O177)=0,"",SUM(N177:O177))</x:f>
      </x:c>
      <x:c r="Q177" s="65" t="str">
        <x:v>https://www.fotmob.com/matches/x/x#5204180；https://www.livescore.mobi/football/kazakhstan/premier-league/kaisar-kyzylorda-vs-kaspyi-aktau/1744658/；查询时间：2026-07-18 19:02（北京时间）</x:v>
      </x:c>
      <x:c r="R177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78" ht="38" customHeight="1">
      <x:c r="A178" s="65" t="str">
        <x:f>IF(B178="","",TEXT(B178,"yyyy-mm-dd")&amp;"|"&amp;D178&amp;"|"&amp;E178)</x:f>
        <x:v>2026-07-18|中文名待确认（Lille）|中文名待确认（RAAL La Louviere）</x:v>
      </x:c>
      <x:c r="B178" s="66" t="n">
        <x:v>46221.958333333336</x:v>
      </x:c>
      <x:c r="C178" s="65" t="str">
        <x:v>国际俱乐部友谊赛</x:v>
      </x:c>
      <x:c r="D178" s="65" t="str">
        <x:v>中文名待确认（Lille）</x:v>
      </x:c>
      <x:c r="E178" s="65" t="str">
        <x:v>中文名待确认（RAAL La Louviere）</x:v>
      </x:c>
      <x:c r="F178" s="65" t="str">
        <x:v>无可靠让球盘/只观察｜现有证据不足以形成可执行让球倾向</x:v>
      </x:c>
      <x:c r="G178" s="65" t="str">
        <x:v>无可靠大小球盘/只观察｜现有证据不足以形成可执行总进球倾向</x:v>
      </x:c>
      <x:c r="H178" s="65" t="str">
        <x:v>待确认首发、伤停、双方近5场与主客拆分、亚洲让球/大小球初盘及当前水位；任一市场欧赔&lt;1.80/港水&lt;0.80不进；未满足全部触发条件不进、不加仓</x:v>
      </x:c>
      <x:c r="I178" s="66" t="n">
        <x:v>46221.793217592596</x:v>
      </x:c>
      <x:c r="J178" s="65" t="str">
        <x:v>需复核</x:v>
      </x:c>
      <x:c r="K178" s="65"/>
      <x:c r="L178" s="65"/>
      <x:c r="M178" s="65"/>
      <x:c r="N178" s="549"/>
      <x:c r="O178" s="549"/>
      <x:c r="P178" s="549" t="str">
        <x:f>IF(COUNT(N178:O178)=0,"",SUM(N178:O178))</x:f>
      </x:c>
      <x:c r="Q178" s="65" t="str">
        <x:v>https://www.fotmob.com/matches/x/x#5900194；https://www.livescore.mobi/football/club-friendlies/club-friendlies-2026/lille-vs-raal-la-louviere/1821990/；查询时间：2026-07-18 19:02（北京时间）</x:v>
      </x:c>
      <x:c r="R178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79" ht="38" customHeight="1">
      <x:c r="A179" s="65" t="str">
        <x:f>IF(B179="","",TEXT(B179,"yyyy-mm-dd")&amp;"|"&amp;D179&amp;"|"&amp;E179)</x:f>
        <x:v>2026-07-18|中文名待确认（Lorient）|中文名待确认（Nantes）</x:v>
      </x:c>
      <x:c r="B179" s="66" t="n">
        <x:v>46221.958333333336</x:v>
      </x:c>
      <x:c r="C179" s="65" t="str">
        <x:v>国际俱乐部友谊赛</x:v>
      </x:c>
      <x:c r="D179" s="65" t="str">
        <x:v>中文名待确认（Lorient）</x:v>
      </x:c>
      <x:c r="E179" s="65" t="str">
        <x:v>中文名待确认（Nantes）</x:v>
      </x:c>
      <x:c r="F179" s="65" t="str">
        <x:v>无可靠让球盘/只观察｜现有证据不足以形成可执行让球倾向</x:v>
      </x:c>
      <x:c r="G179" s="65" t="str">
        <x:v>无可靠大小球盘/只观察｜现有证据不足以形成可执行总进球倾向</x:v>
      </x:c>
      <x:c r="H179" s="65" t="str">
        <x:v>待确认首发、伤停、双方近5场与主客拆分、亚洲让球/大小球初盘及当前水位；任一市场欧赔&lt;1.80/港水&lt;0.80不进；未满足全部触发条件不进、不加仓</x:v>
      </x:c>
      <x:c r="I179" s="66" t="n">
        <x:v>46221.793217592596</x:v>
      </x:c>
      <x:c r="J179" s="65" t="str">
        <x:v>需复核</x:v>
      </x:c>
      <x:c r="K179" s="65"/>
      <x:c r="L179" s="65"/>
      <x:c r="M179" s="65"/>
      <x:c r="N179" s="549"/>
      <x:c r="O179" s="549"/>
      <x:c r="P179" s="549" t="str">
        <x:f>IF(COUNT(N179:O179)=0,"",SUM(N179:O179))</x:f>
      </x:c>
      <x:c r="Q179" s="65" t="str">
        <x:v>https://www.livescore.mobi/football/club-friendlies/club-friendlies-2026/lorient-vs-nantes/1822020/；https://www.fotmob.com/matches/x/x#5900215；查询时间：2026-07-18 19:02（北京时间）</x:v>
      </x:c>
      <x:c r="R179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80" ht="38" customHeight="1">
      <x:c r="A180" s="65" t="str">
        <x:f>IF(B180="","",TEXT(B180,"yyyy-mm-dd")&amp;"|"&amp;D180&amp;"|"&amp;E180)</x:f>
        <x:v>2026-07-18|中文名待确认（Man United）|雷克瑟姆（Wrexham）</x:v>
      </x:c>
      <x:c r="B180" s="66" t="n">
        <x:v>46221.958333333336</x:v>
      </x:c>
      <x:c r="C180" s="65" t="str">
        <x:v>国际俱乐部友谊赛</x:v>
      </x:c>
      <x:c r="D180" s="65" t="str">
        <x:v>中文名待确认（Man United）</x:v>
      </x:c>
      <x:c r="E180" s="65" t="str">
        <x:v>雷克瑟姆（Wrexham）</x:v>
      </x:c>
      <x:c r="F180" s="65" t="str">
        <x:v>无可靠让球盘/只观察｜现有证据不足以形成可执行让球倾向</x:v>
      </x:c>
      <x:c r="G180" s="65" t="str">
        <x:v>无可靠大小球盘/只观察｜现有证据不足以形成可执行总进球倾向</x:v>
      </x:c>
      <x:c r="H180" s="65" t="str">
        <x:v>待确认首发、伤停、双方近5场与主客拆分、亚洲让球/大小球初盘及当前水位；任一市场欧赔&lt;1.80/港水&lt;0.80不进；未满足全部触发条件不进、不加仓</x:v>
      </x:c>
      <x:c r="I180" s="66" t="n">
        <x:v>46221.793217592596</x:v>
      </x:c>
      <x:c r="J180" s="65" t="str">
        <x:v>需复核</x:v>
      </x:c>
      <x:c r="K180" s="65"/>
      <x:c r="L180" s="65"/>
      <x:c r="M180" s="65"/>
      <x:c r="N180" s="549"/>
      <x:c r="O180" s="549"/>
      <x:c r="P180" s="549" t="str">
        <x:f>IF(COUNT(N180:O180)=0,"",SUM(N180:O180))</x:f>
      </x:c>
      <x:c r="Q180" s="65" t="str">
        <x:v>https://www.fotmob.com/matches/x/x#5449681；https://www.livescore.mobi/football/club-friendlies/featured-club-friendlies/manchester-united-vs-wrexham/1821651/；https://www.espn.com/soccer/match/_/gameId/401863531/wrexham-manchester-united；查询时间：2026-07-18 19:02（北京时间）</x:v>
      </x:c>
      <x:c r="R180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ESPN最近赛果序列：主队WWDWW、客队DLW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81" ht="38" customHeight="1">
      <x:c r="A181" s="65" t="str">
        <x:f>IF(B181="","",TEXT(B181,"yyyy-mm-dd")&amp;"|"&amp;D181&amp;"|"&amp;E181)</x:f>
        <x:v>2026-07-18|中文名待确认（Oberhausen）|多特蒙德（Borussia Dortmund）</x:v>
      </x:c>
      <x:c r="B181" s="66" t="n">
        <x:v>46221.958333333336</x:v>
      </x:c>
      <x:c r="C181" s="65" t="str">
        <x:v>国际俱乐部友谊赛</x:v>
      </x:c>
      <x:c r="D181" s="65" t="str">
        <x:v>中文名待确认（Oberhausen）</x:v>
      </x:c>
      <x:c r="E181" s="65" t="str">
        <x:v>多特蒙德（Borussia Dortmund）</x:v>
      </x:c>
      <x:c r="F181" s="65" t="str">
        <x:v>无可靠让球盘/只观察｜现有证据不足以形成可执行让球倾向</x:v>
      </x:c>
      <x:c r="G181" s="65" t="str">
        <x:v>无可靠大小球盘/只观察｜现有证据不足以形成可执行总进球倾向</x:v>
      </x:c>
      <x:c r="H181" s="65" t="str">
        <x:v>待确认首发、伤停、双方近5场与主客拆分、亚洲让球/大小球初盘及当前水位；任一市场欧赔&lt;1.80/港水&lt;0.80不进；未满足全部触发条件不进、不加仓</x:v>
      </x:c>
      <x:c r="I181" s="66" t="n">
        <x:v>46221.793217592596</x:v>
      </x:c>
      <x:c r="J181" s="65" t="str">
        <x:v>需复核</x:v>
      </x:c>
      <x:c r="K181" s="65"/>
      <x:c r="L181" s="65"/>
      <x:c r="M181" s="65"/>
      <x:c r="N181" s="549"/>
      <x:c r="O181" s="549"/>
      <x:c r="P181" s="549" t="str">
        <x:f>IF(COUNT(N181:O181)=0,"",SUM(N181:O181))</x:f>
      </x:c>
      <x:c r="Q181" s="65" t="str">
        <x:v>https://www.livescore.mobi/football/club-friendlies/featured-club-friendlies/oberhausen-vs-borussia-dortmund/1821693/；https://www.fotmob.com/matches/x/x#5765420；https://www.espn.com/soccer/match/_/gameId/401873310/borussia-dortmund-rw-oberhausen；查询时间：2026-07-18 19:02（北京时间）</x:v>
      </x:c>
      <x:c r="R181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ESPN最近赛果序列：主队LLLLL、客队WWL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82" ht="38" customHeight="1">
      <x:c r="A182" s="65" t="str">
        <x:f>IF(B182="","",TEXT(B182,"yyyy-mm-dd")&amp;"|"&amp;D182&amp;"|"&amp;E182)</x:f>
        <x:v>2026-07-18|中文名待确认（Oesters IF）|中文名待确认（IK Brage）</x:v>
      </x:c>
      <x:c r="B182" s="66" t="n">
        <x:v>46221.958333333336</x:v>
      </x:c>
      <x:c r="C182" s="65" t="str">
        <x:v>规范中文名待确认（Sweden - Superettan）</x:v>
      </x:c>
      <x:c r="D182" s="65" t="str">
        <x:v>中文名待确认（Oesters IF）</x:v>
      </x:c>
      <x:c r="E182" s="65" t="str">
        <x:v>中文名待确认（IK Brage）</x:v>
      </x:c>
      <x:c r="F182" s="65" t="str">
        <x:v>无可靠让球盘/只观察｜现有证据不足以形成可执行让球倾向</x:v>
      </x:c>
      <x:c r="G182" s="65" t="str">
        <x:v>无可靠大小球盘/只观察｜现有证据不足以形成可执行总进球倾向</x:v>
      </x:c>
      <x:c r="H182" s="65" t="str">
        <x:v>待确认首发、伤停、双方近5场与主客拆分、亚洲让球/大小球初盘及当前水位；任一市场欧赔&lt;1.80/港水&lt;0.80不进；未满足全部触发条件不进、不加仓</x:v>
      </x:c>
      <x:c r="I182" s="66" t="n">
        <x:v>46221.793217592596</x:v>
      </x:c>
      <x:c r="J182" s="65" t="str">
        <x:v>需复核</x:v>
      </x:c>
      <x:c r="K182" s="65"/>
      <x:c r="L182" s="65"/>
      <x:c r="M182" s="65"/>
      <x:c r="N182" s="549"/>
      <x:c r="O182" s="549"/>
      <x:c r="P182" s="549" t="str">
        <x:f>IF(COUNT(N182:O182)=0,"",SUM(N182:O182))</x:f>
      </x:c>
      <x:c r="Q182" s="65" t="str">
        <x:v>https://www.livescore.mobi/football/sweden/superettan/oesters-if-vs-ik-brage/1718298/；https://www.fotmob.com/matches/x/x#5125562；查询时间：2026-07-18 19:02（北京时间）</x:v>
      </x:c>
      <x:c r="R182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83" ht="38" customHeight="1">
      <x:c r="A183" s="65" t="str">
        <x:f>IF(B183="","",TEXT(B183,"yyyy-mm-dd")&amp;"|"&amp;D183&amp;"|"&amp;E183)</x:f>
        <x:v>2026-07-18|中文名待确认（Qizilqum Zarafshon）|中文名待确认（Dinamo Samarkand）</x:v>
      </x:c>
      <x:c r="B183" s="66" t="n">
        <x:v>46221.958333333336</x:v>
      </x:c>
      <x:c r="C183" s="65" t="str">
        <x:v>超级联赛（国家待确认）</x:v>
      </x:c>
      <x:c r="D183" s="65" t="str">
        <x:v>中文名待确认（Qizilqum Zarafshon）</x:v>
      </x:c>
      <x:c r="E183" s="65" t="str">
        <x:v>中文名待确认（Dinamo Samarkand）</x:v>
      </x:c>
      <x:c r="F183" s="65" t="str">
        <x:v>无可靠让球盘/只观察｜现有证据不足以形成可执行让球倾向</x:v>
      </x:c>
      <x:c r="G183" s="65" t="str">
        <x:v>无可靠大小球盘/只观察｜现有证据不足以形成可执行总进球倾向</x:v>
      </x:c>
      <x:c r="H183" s="65" t="str">
        <x:v>待确认首发、伤停、双方近5场与主客拆分、亚洲让球/大小球初盘及当前水位；任一市场欧赔&lt;1.80/港水&lt;0.80不进；未满足全部触发条件不进、不加仓</x:v>
      </x:c>
      <x:c r="I183" s="66" t="n">
        <x:v>46221.793217592596</x:v>
      </x:c>
      <x:c r="J183" s="65" t="str">
        <x:v>需复核</x:v>
      </x:c>
      <x:c r="K183" s="65"/>
      <x:c r="L183" s="65"/>
      <x:c r="M183" s="65"/>
      <x:c r="N183" s="549"/>
      <x:c r="O183" s="549"/>
      <x:c r="P183" s="549" t="str">
        <x:f>IF(COUNT(N183:O183)=0,"",SUM(N183:O183))</x:f>
      </x:c>
      <x:c r="Q183" s="65" t="str">
        <x:v>https://www.livescore.mobi/football/uzbekistan/superliga/qizilqum-zarafshon-vs-dinamo-samarkand/1743470/；https://www.fotmob.com/matches/x/x#5200577；查询时间：2026-07-18 19:02（北京时间）</x:v>
      </x:c>
      <x:c r="R183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84" ht="38" customHeight="1">
      <x:c r="A184" s="65" t="str">
        <x:f>IF(B184="","",TEXT(B184,"yyyy-mm-dd")&amp;"|"&amp;D184&amp;"|"&amp;E184)</x:f>
        <x:v>2026-07-18|中文名待确认（SV Ried）|中文名待确认（Mlada Boleslav）</x:v>
      </x:c>
      <x:c r="B184" s="66" t="n">
        <x:v>46221.958333333336</x:v>
      </x:c>
      <x:c r="C184" s="65" t="str">
        <x:v>国际俱乐部友谊赛</x:v>
      </x:c>
      <x:c r="D184" s="65" t="str">
        <x:v>中文名待确认（SV Ried）</x:v>
      </x:c>
      <x:c r="E184" s="65" t="str">
        <x:v>中文名待确认（Mlada Boleslav）</x:v>
      </x:c>
      <x:c r="F184" s="65" t="str">
        <x:v>无可靠让球盘/只观察｜现有证据不足以形成可执行让球倾向</x:v>
      </x:c>
      <x:c r="G184" s="65" t="str">
        <x:v>无可靠大小球盘/只观察｜现有证据不足以形成可执行总进球倾向</x:v>
      </x:c>
      <x:c r="H184" s="65" t="str">
        <x:v>待确认首发、伤停、双方近5场与主客拆分、亚洲让球/大小球初盘及当前水位；任一市场欧赔&lt;1.80/港水&lt;0.80不进；未满足全部触发条件不进、不加仓</x:v>
      </x:c>
      <x:c r="I184" s="66" t="n">
        <x:v>46221.793217592596</x:v>
      </x:c>
      <x:c r="J184" s="65" t="str">
        <x:v>需复核</x:v>
      </x:c>
      <x:c r="K184" s="65"/>
      <x:c r="L184" s="65"/>
      <x:c r="M184" s="65"/>
      <x:c r="N184" s="549"/>
      <x:c r="O184" s="549"/>
      <x:c r="P184" s="549" t="str">
        <x:f>IF(COUNT(N184:O184)=0,"",SUM(N184:O184))</x:f>
      </x:c>
      <x:c r="Q184" s="65" t="str">
        <x:v>https://www.livescore.mobi/football/club-friendlies/club-friendlies-2026/sv-ried-vs-mlada-boleslav/1821763/；查询时间：2026-07-18 19:02（北京时间）</x:v>
      </x:c>
      <x:c r="R184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85" ht="38" customHeight="1">
      <x:c r="A185" s="65" t="str">
        <x:f>IF(B185="","",TEXT(B185,"yyyy-mm-dd")&amp;"|"&amp;D185&amp;"|"&amp;E185)</x:f>
        <x:v>2026-07-18|中文名待确认（Shelbourne (W)）|中文名待确认（Cork City (W)）</x:v>
      </x:c>
      <x:c r="B185" s="66" t="n">
        <x:v>46221.958333333336</x:v>
      </x:c>
      <x:c r="C185" s="65" t="str">
        <x:v>规范中文名待确认（IRL - Women's Premier Division）</x:v>
      </x:c>
      <x:c r="D185" s="65" t="str">
        <x:v>中文名待确认（Shelbourne (W)）</x:v>
      </x:c>
      <x:c r="E185" s="65" t="str">
        <x:v>中文名待确认（Cork City (W)）</x:v>
      </x:c>
      <x:c r="F185" s="65" t="str">
        <x:v>无可靠让球盘/只观察｜现有证据不足以形成可执行让球倾向</x:v>
      </x:c>
      <x:c r="G185" s="65" t="str">
        <x:v>无可靠大小球盘/只观察｜现有证据不足以形成可执行总进球倾向</x:v>
      </x:c>
      <x:c r="H185" s="65" t="str">
        <x:v>待确认首发、伤停、双方近5场与主客拆分、亚洲让球/大小球初盘及当前水位；任一市场欧赔&lt;1.80/港水&lt;0.80不进；未满足全部触发条件不进、不加仓</x:v>
      </x:c>
      <x:c r="I185" s="66" t="n">
        <x:v>46221.793217592596</x:v>
      </x:c>
      <x:c r="J185" s="65" t="str">
        <x:v>需复核</x:v>
      </x:c>
      <x:c r="K185" s="65"/>
      <x:c r="L185" s="65"/>
      <x:c r="M185" s="65"/>
      <x:c r="N185" s="549"/>
      <x:c r="O185" s="549"/>
      <x:c r="P185" s="549" t="str">
        <x:f>IF(COUNT(N185:O185)=0,"",SUM(N185:O185))</x:f>
      </x:c>
      <x:c r="Q185" s="65" t="str">
        <x:v>https://www.fotmob.com/matches/x/x#5101059；查询时间：2026-07-18 19:02（北京时间）</x:v>
      </x:c>
      <x:c r="R185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86" ht="38" customHeight="1">
      <x:c r="A186" s="65" t="str">
        <x:f>IF(B186="","",TEXT(B186,"yyyy-mm-dd")&amp;"|"&amp;D186&amp;"|"&amp;E186)</x:f>
        <x:v>2026-07-18|中文名待确认（TSV 1861 Noerdlingen）|中文名待确认（DJK Gebenbach）</x:v>
      </x:c>
      <x:c r="B186" s="66" t="n">
        <x:v>46221.958333333336</x:v>
      </x:c>
      <x:c r="C186" s="65" t="str">
        <x:v>规范中文名待确认（Germany - Oberliga: Bayern North）</x:v>
      </x:c>
      <x:c r="D186" s="65" t="str">
        <x:v>中文名待确认（TSV 1861 Noerdlingen）</x:v>
      </x:c>
      <x:c r="E186" s="65" t="str">
        <x:v>中文名待确认（DJK Gebenbach）</x:v>
      </x:c>
      <x:c r="F186" s="65" t="str">
        <x:v>无可靠让球盘/只观察｜现有证据不足以形成可执行让球倾向</x:v>
      </x:c>
      <x:c r="G186" s="65" t="str">
        <x:v>无可靠大小球盘/只观察｜现有证据不足以形成可执行总进球倾向</x:v>
      </x:c>
      <x:c r="H186" s="65" t="str">
        <x:v>待确认首发、伤停、双方近5场与主客拆分、亚洲让球/大小球初盘及当前水位；任一市场欧赔&lt;1.80/港水&lt;0.80不进；未满足全部触发条件不进、不加仓</x:v>
      </x:c>
      <x:c r="I186" s="66" t="n">
        <x:v>46221.793217592596</x:v>
      </x:c>
      <x:c r="J186" s="65" t="str">
        <x:v>需复核</x:v>
      </x:c>
      <x:c r="K186" s="65"/>
      <x:c r="L186" s="65"/>
      <x:c r="M186" s="65"/>
      <x:c r="N186" s="549"/>
      <x:c r="O186" s="549"/>
      <x:c r="P186" s="549" t="str">
        <x:f>IF(COUNT(N186:O186)=0,"",SUM(N186:O186))</x:f>
      </x:c>
      <x:c r="Q186" s="65" t="str">
        <x:v>https://www.livescore.mobi/football/germany/oberliga-bayern-north/tsv-1861-noerdlingen-vs-djk-gebenbach/1828159/；查询时间：2026-07-18 19:02（北京时间）</x:v>
      </x:c>
      <x:c r="R186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87" ht="38" customHeight="1">
      <x:c r="A187" s="65" t="str">
        <x:f>IF(B187="","",TEXT(B187,"yyyy-mm-dd")&amp;"|"&amp;D187&amp;"|"&amp;E187)</x:f>
        <x:v>2026-07-18|中文名待确认（Troyes）|中文名待确认（Red Star）</x:v>
      </x:c>
      <x:c r="B187" s="66" t="n">
        <x:v>46221.958333333336</x:v>
      </x:c>
      <x:c r="C187" s="65" t="str">
        <x:v>国际俱乐部友谊赛</x:v>
      </x:c>
      <x:c r="D187" s="65" t="str">
        <x:v>中文名待确认（Troyes）</x:v>
      </x:c>
      <x:c r="E187" s="65" t="str">
        <x:v>中文名待确认（Red Star）</x:v>
      </x:c>
      <x:c r="F187" s="65" t="str">
        <x:v>无可靠让球盘/只观察｜现有证据不足以形成可执行让球倾向</x:v>
      </x:c>
      <x:c r="G187" s="65" t="str">
        <x:v>无可靠大小球盘/只观察｜现有证据不足以形成可执行总进球倾向</x:v>
      </x:c>
      <x:c r="H187" s="65" t="str">
        <x:v>待确认首发、伤停、双方近5场与主客拆分、亚洲让球/大小球初盘及当前水位；任一市场欧赔&lt;1.80/港水&lt;0.80不进；未满足全部触发条件不进、不加仓</x:v>
      </x:c>
      <x:c r="I187" s="66" t="n">
        <x:v>46221.793217592596</x:v>
      </x:c>
      <x:c r="J187" s="65" t="str">
        <x:v>需复核</x:v>
      </x:c>
      <x:c r="K187" s="65"/>
      <x:c r="L187" s="65"/>
      <x:c r="M187" s="65"/>
      <x:c r="N187" s="549"/>
      <x:c r="O187" s="549"/>
      <x:c r="P187" s="549" t="str">
        <x:f>IF(COUNT(N187:O187)=0,"",SUM(N187:O187))</x:f>
      </x:c>
      <x:c r="Q187" s="65" t="str">
        <x:v>https://www.livescore.mobi/football/club-friendlies/club-friendlies-2026/troyes-vs-red-star/1822024/；https://www.fotmob.com/matches/x/x#5900296；查询时间：2026-07-18 19:02（北京时间）</x:v>
      </x:c>
      <x:c r="R187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88" ht="38" customHeight="1">
      <x:c r="A188" s="65" t="str">
        <x:f>IF(B188="","",TEXT(B188,"yyyy-mm-dd")&amp;"|"&amp;D188&amp;"|"&amp;E188)</x:f>
        <x:v>2026-07-18|中文名待确认（SCR Altach）|中文名待确认（Grasshopper）</x:v>
      </x:c>
      <x:c r="B188" s="66" t="n">
        <x:v>46221.9375</x:v>
      </x:c>
      <x:c r="C188" s="65" t="str">
        <x:v>国际俱乐部友谊赛</x:v>
      </x:c>
      <x:c r="D188" s="65" t="str">
        <x:v>中文名待确认（SCR Altach）</x:v>
      </x:c>
      <x:c r="E188" s="65" t="str">
        <x:v>中文名待确认（Grasshopper）</x:v>
      </x:c>
      <x:c r="F188" s="65" t="str">
        <x:v>无可靠让球盘/只观察｜现有证据不足以形成可执行让球倾向</x:v>
      </x:c>
      <x:c r="G188" s="65" t="str">
        <x:v>无可靠大小球盘/只观察｜现有证据不足以形成可执行总进球倾向</x:v>
      </x:c>
      <x:c r="H188" s="65" t="str">
        <x:v>待确认首发、伤停、双方近5场与主客拆分、亚洲让球/大小球初盘及当前水位；任一市场欧赔&lt;1.80/港水&lt;0.80不进；未满足全部触发条件不进、不加仓</x:v>
      </x:c>
      <x:c r="I188" s="66" t="n">
        <x:v>46221.793217592596</x:v>
      </x:c>
      <x:c r="J188" s="65" t="str">
        <x:v>需复核</x:v>
      </x:c>
      <x:c r="K188" s="65"/>
      <x:c r="L188" s="65"/>
      <x:c r="M188" s="65"/>
      <x:c r="N188" s="549"/>
      <x:c r="O188" s="549"/>
      <x:c r="P188" s="549" t="str">
        <x:f>IF(COUNT(N188:O188)=0,"",SUM(N188:O188))</x:f>
      </x:c>
      <x:c r="Q188" s="65" t="str">
        <x:v>https://www.livescore.mobi/football/club-friendlies/club-friendlies-2026/scr-altach-vs-grasshopper/1821751/；查询时间：2026-07-18 19:02（北京时间）</x:v>
      </x:c>
      <x:c r="R188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89" ht="38" customHeight="1">
      <x:c r="A189" s="65" t="str">
        <x:f>IF(B189="","",TEXT(B189,"yyyy-mm-dd")&amp;"|"&amp;D189&amp;"|"&amp;E189)</x:f>
        <x:v>2026-07-18|中文名待确认（AC Oulu）|格尼斯坦（IF Gnistan）</x:v>
      </x:c>
      <x:c r="B189" s="66" t="n">
        <x:v>46221.916666666664</x:v>
      </x:c>
      <x:c r="C189" s="65" t="str">
        <x:v>规范中文名待确认（Finland - Veikkausliiga）</x:v>
      </x:c>
      <x:c r="D189" s="65" t="str">
        <x:v>中文名待确认（AC Oulu）</x:v>
      </x:c>
      <x:c r="E189" s="65" t="str">
        <x:v>格尼斯坦（IF Gnistan）</x:v>
      </x:c>
      <x:c r="F189" s="65" t="str">
        <x:v>无可靠让球盘/只观察｜现有证据不足以形成可执行让球倾向</x:v>
      </x:c>
      <x:c r="G189" s="65" t="str">
        <x:v>无可靠大小球盘/只观察｜现有证据不足以形成可执行总进球倾向</x:v>
      </x:c>
      <x:c r="H189" s="65" t="str">
        <x:v>待确认首发、伤停、双方近5场与主客拆分、亚洲让球/大小球初盘及当前水位；任一市场欧赔&lt;1.80/港水&lt;0.80不进；未满足全部触发条件不进、不加仓</x:v>
      </x:c>
      <x:c r="I189" s="66" t="n">
        <x:v>46221.793217592596</x:v>
      </x:c>
      <x:c r="J189" s="65" t="str">
        <x:v>需复核</x:v>
      </x:c>
      <x:c r="K189" s="65"/>
      <x:c r="L189" s="65"/>
      <x:c r="M189" s="65"/>
      <x:c r="N189" s="549"/>
      <x:c r="O189" s="549"/>
      <x:c r="P189" s="549" t="str">
        <x:f>IF(COUNT(N189:O189)=0,"",SUM(N189:O189))</x:f>
      </x:c>
      <x:c r="Q189" s="65" t="str">
        <x:v>https://www.livescore.mobi/football/finland/veikkausliiga/ac-oulu-vs-if-gnistan/1727761/；https://www.fotmob.com/matches/x/x#5147598；查询时间：2026-07-18 19:02（北京时间）</x:v>
      </x:c>
      <x:c r="R189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0" ht="38" customHeight="1">
      <x:c r="A190" s="65" t="str">
        <x:f>IF(B190="","",TEXT(B190,"yyyy-mm-dd")&amp;"|"&amp;D190&amp;"|"&amp;E190)</x:f>
        <x:v>2026-07-18|中文名待确认（Aarau）|柏林联合（Union Berlin）</x:v>
      </x:c>
      <x:c r="B190" s="66" t="n">
        <x:v>46221.916666666664</x:v>
      </x:c>
      <x:c r="C190" s="65" t="str">
        <x:v>国际俱乐部友谊赛</x:v>
      </x:c>
      <x:c r="D190" s="65" t="str">
        <x:v>中文名待确认（Aarau）</x:v>
      </x:c>
      <x:c r="E190" s="65" t="str">
        <x:v>柏林联合（Union Berlin）</x:v>
      </x:c>
      <x:c r="F190" s="65" t="str">
        <x:v>无可靠让球盘/只观察｜现有证据不足以形成可执行让球倾向</x:v>
      </x:c>
      <x:c r="G190" s="65" t="str">
        <x:v>无可靠大小球盘/只观察｜现有证据不足以形成可执行总进球倾向</x:v>
      </x:c>
      <x:c r="H190" s="65" t="str">
        <x:v>待确认首发、伤停、双方近5场与主客拆分、亚洲让球/大小球初盘及当前水位；任一市场欧赔&lt;1.80/港水&lt;0.80不进；未满足全部触发条件不进、不加仓</x:v>
      </x:c>
      <x:c r="I190" s="66" t="n">
        <x:v>46221.793217592596</x:v>
      </x:c>
      <x:c r="J190" s="65" t="str">
        <x:v>需复核</x:v>
      </x:c>
      <x:c r="K190" s="65"/>
      <x:c r="L190" s="65"/>
      <x:c r="M190" s="65"/>
      <x:c r="N190" s="549"/>
      <x:c r="O190" s="549"/>
      <x:c r="P190" s="549" t="str">
        <x:f>IF(COUNT(N190:O190)=0,"",SUM(N190:O190))</x:f>
      </x:c>
      <x:c r="Q190" s="65" t="str">
        <x:v>https://www.livescore.mobi/football/club-friendlies/club-friendlies-2026/aarau-vs-union-berlin/1821715/；https://www.fotmob.com/matches/x/x#5765873；查询时间：2026-07-18 19:02（北京时间）</x:v>
      </x:c>
      <x:c r="R190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1" ht="38" customHeight="1">
      <x:c r="A191" s="65" t="str">
        <x:f>IF(B191="","",TEXT(B191,"yyyy-mm-dd")&amp;"|"&amp;D191&amp;"|"&amp;E191)</x:f>
        <x:v>2026-07-18|艾尔德里联（Airdrieonians）|安南竞技（Annan Athletic）</x:v>
      </x:c>
      <x:c r="B191" s="66" t="n">
        <x:v>46221.916666666664</x:v>
      </x:c>
      <x:c r="C191" s="65" t="str">
        <x:v>规范中文名待确认（Scotland - Scottish League Cup: Group D）</x:v>
      </x:c>
      <x:c r="D191" s="65" t="str">
        <x:v>艾尔德里联（Airdrieonians）</x:v>
      </x:c>
      <x:c r="E191" s="65" t="str">
        <x:v>安南竞技（Annan Athletic）</x:v>
      </x:c>
      <x:c r="F191" s="65" t="str">
        <x:v>无可靠让球盘/只观察｜现有证据不足以形成可执行让球倾向</x:v>
      </x:c>
      <x:c r="G191" s="65" t="str">
        <x:v>无可靠大小球盘/只观察｜现有证据不足以形成可执行总进球倾向</x:v>
      </x:c>
      <x:c r="H191" s="65" t="str">
        <x:v>待确认首发、伤停、双方近5场与主客拆分、亚洲让球/大小球初盘及当前水位；任一市场欧赔&lt;1.80/港水&lt;0.80不进；未满足全部触发条件不进、不加仓</x:v>
      </x:c>
      <x:c r="I191" s="66" t="n">
        <x:v>46221.793217592596</x:v>
      </x:c>
      <x:c r="J191" s="65" t="str">
        <x:v>需复核</x:v>
      </x:c>
      <x:c r="K191" s="65"/>
      <x:c r="L191" s="65"/>
      <x:c r="M191" s="65"/>
      <x:c r="N191" s="549"/>
      <x:c r="O191" s="549"/>
      <x:c r="P191" s="549" t="str">
        <x:f>IF(COUNT(N191:O191)=0,"",SUM(N191:O191))</x:f>
      </x:c>
      <x:c r="Q191" s="65" t="str">
        <x:v>https://www.livescore.mobi/football/scotland/league-cup-group-d/airdrieonians-vs-annan-athletic/1786667/；https://www.fotmob.com/matches/x/x#5762751；https://www.espn.com/soccer/match/_/gameId/401874194/annan-athletic-airdrieonians；查询时间：2026-07-18 19:02（北京时间）</x:v>
      </x:c>
      <x:c r="R191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LLLLD、客队LLL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2" ht="38" customHeight="1">
      <x:c r="A192" s="65" t="str">
        <x:f>IF(B192="","",TEXT(B192,"yyyy-mm-dd")&amp;"|"&amp;D192&amp;"|"&amp;E192)</x:f>
        <x:v>2026-07-18|中文名待确认（Akron Tolyatti）|中文名待确认（Krylya Sovetov Samara）</x:v>
      </x:c>
      <x:c r="B192" s="66" t="n">
        <x:v>46221.916666666664</x:v>
      </x:c>
      <x:c r="C192" s="65" t="str">
        <x:v>国际俱乐部友谊赛</x:v>
      </x:c>
      <x:c r="D192" s="65" t="str">
        <x:v>中文名待确认（Akron Tolyatti）</x:v>
      </x:c>
      <x:c r="E192" s="65" t="str">
        <x:v>中文名待确认（Krylya Sovetov Samara）</x:v>
      </x:c>
      <x:c r="F192" s="65" t="str">
        <x:v>无可靠让球盘/只观察｜现有证据不足以形成可执行让球倾向</x:v>
      </x:c>
      <x:c r="G192" s="65" t="str">
        <x:v>无可靠大小球盘/只观察｜现有证据不足以形成可执行总进球倾向</x:v>
      </x:c>
      <x:c r="H192" s="65" t="str">
        <x:v>待确认首发、伤停、双方近5场与主客拆分、亚洲让球/大小球初盘及当前水位；任一市场欧赔&lt;1.80/港水&lt;0.80不进；未满足全部触发条件不进、不加仓</x:v>
      </x:c>
      <x:c r="I192" s="66" t="n">
        <x:v>46221.793217592596</x:v>
      </x:c>
      <x:c r="J192" s="65" t="str">
        <x:v>需复核</x:v>
      </x:c>
      <x:c r="K192" s="65"/>
      <x:c r="L192" s="65"/>
      <x:c r="M192" s="65"/>
      <x:c r="N192" s="549"/>
      <x:c r="O192" s="549"/>
      <x:c r="P192" s="549" t="str">
        <x:f>IF(COUNT(N192:O192)=0,"",SUM(N192:O192))</x:f>
      </x:c>
      <x:c r="Q192" s="65" t="str">
        <x:v>https://www.livescore.mobi/football/club-friendlies/club-friendlies-2026/akron-tolyatti-vs-krylya-sovetov-samara/1837925/；查询时间：2026-07-18 19:02（北京时间）</x:v>
      </x:c>
      <x:c r="R192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193" ht="38" customHeight="1">
      <x:c r="A193" s="65" t="str">
        <x:f>IF(B193="","",TEXT(B193,"yyyy-mm-dd")&amp;"|"&amp;D193&amp;"|"&amp;E193)</x:f>
        <x:v>2026-07-18|中文名待确认（Alloa Athletic）|中文名待确认（Stranraer）</x:v>
      </x:c>
      <x:c r="B193" s="66" t="n">
        <x:v>46221.916666666664</x:v>
      </x:c>
      <x:c r="C193" s="65" t="str">
        <x:v>规范中文名待确认（Scotland - Scottish League Cup: Group G）</x:v>
      </x:c>
      <x:c r="D193" s="65" t="str">
        <x:v>中文名待确认（Alloa Athletic）</x:v>
      </x:c>
      <x:c r="E193" s="65" t="str">
        <x:v>中文名待确认（Stranraer）</x:v>
      </x:c>
      <x:c r="F193" s="65" t="str">
        <x:v>无可靠让球盘/只观察｜现有证据不足以形成可执行让球倾向</x:v>
      </x:c>
      <x:c r="G193" s="65" t="str">
        <x:v>无可靠大小球盘/只观察｜现有证据不足以形成可执行总进球倾向</x:v>
      </x:c>
      <x:c r="H193" s="65" t="str">
        <x:v>待确认首发、伤停、双方近5场与主客拆分、亚洲让球/大小球初盘及当前水位；任一市场欧赔&lt;1.80/港水&lt;0.80不进；未满足全部触发条件不进、不加仓</x:v>
      </x:c>
      <x:c r="I193" s="66" t="n">
        <x:v>46221.793217592596</x:v>
      </x:c>
      <x:c r="J193" s="65" t="str">
        <x:v>需复核</x:v>
      </x:c>
      <x:c r="K193" s="65"/>
      <x:c r="L193" s="65"/>
      <x:c r="M193" s="65"/>
      <x:c r="N193" s="549"/>
      <x:c r="O193" s="549"/>
      <x:c r="P193" s="549" t="str">
        <x:f>IF(COUNT(N193:O193)=0,"",SUM(N193:O193))</x:f>
      </x:c>
      <x:c r="Q193" s="65" t="str">
        <x:v>https://www.livescore.mobi/football/scotland/league-cup-group-g/alloa-athletic-vs-stranraer/1786697/；https://www.fotmob.com/matches/x/x#5763427；https://www.espn.com/soccer/match/_/gameId/401874187/stranraer-alloa-athletic；查询时间：2026-07-18 19:02（北京时间）</x:v>
      </x:c>
      <x:c r="R193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LWLWW、客队LW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4" ht="38" customHeight="1">
      <x:c r="A194" s="65" t="str">
        <x:f>IF(B194="","",TEXT(B194,"yyyy-mm-dd")&amp;"|"&amp;D194&amp;"|"&amp;E194)</x:f>
        <x:v>2026-07-18|艾尔联（Ayr United）|中文名待确认（Edinburgh City）</x:v>
      </x:c>
      <x:c r="B194" s="66" t="n">
        <x:v>46221.916666666664</x:v>
      </x:c>
      <x:c r="C194" s="65" t="str">
        <x:v>规范中文名待确认（Scotland - Scottish League Cup: Group G）</x:v>
      </x:c>
      <x:c r="D194" s="65" t="str">
        <x:v>艾尔联（Ayr United）</x:v>
      </x:c>
      <x:c r="E194" s="65" t="str">
        <x:v>中文名待确认（Edinburgh City）</x:v>
      </x:c>
      <x:c r="F194" s="65" t="str">
        <x:v>无可靠让球盘/只观察｜现有证据不足以形成可执行让球倾向</x:v>
      </x:c>
      <x:c r="G194" s="65" t="str">
        <x:v>无可靠大小球盘/只观察｜现有证据不足以形成可执行总进球倾向</x:v>
      </x:c>
      <x:c r="H194" s="65" t="str">
        <x:v>待确认首发、伤停、双方近5场与主客拆分、亚洲让球/大小球初盘及当前水位；任一市场欧赔&lt;1.80/港水&lt;0.80不进；未满足全部触发条件不进、不加仓</x:v>
      </x:c>
      <x:c r="I194" s="66" t="n">
        <x:v>46221.793217592596</x:v>
      </x:c>
      <x:c r="J194" s="65" t="str">
        <x:v>需复核</x:v>
      </x:c>
      <x:c r="K194" s="65"/>
      <x:c r="L194" s="65"/>
      <x:c r="M194" s="65"/>
      <x:c r="N194" s="549"/>
      <x:c r="O194" s="549"/>
      <x:c r="P194" s="549" t="str">
        <x:f>IF(COUNT(N194:O194)=0,"",SUM(N194:O194))</x:f>
      </x:c>
      <x:c r="Q194" s="65" t="str">
        <x:v>https://www.livescore.mobi/football/scotland/league-cup-group-g/ayr-united-vs-edinburgh-city/1786696/；https://www.fotmob.com/matches/x/x#5763428；https://www.espn.com/soccer/match/_/gameId/401874202/edinburgh-city-ayr-united；查询时间：2026-07-18 19:02（北京时间）</x:v>
      </x:c>
      <x:c r="R194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WWLLL、客队WLL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5" ht="38" customHeight="1">
      <x:c r="A195" s="65" t="str">
        <x:f>IF(B195="","",TEXT(B195,"yyyy-mm-dd")&amp;"|"&amp;D195&amp;"|"&amp;E195)</x:f>
        <x:v>2026-07-18|布里金城（Brechin City）|中文名待确认（Stenhousemuir）</x:v>
      </x:c>
      <x:c r="B195" s="66" t="n">
        <x:v>46221.916666666664</x:v>
      </x:c>
      <x:c r="C195" s="65" t="str">
        <x:v>规范中文名待确认（Scotland - Scottish League Cup: Group E）</x:v>
      </x:c>
      <x:c r="D195" s="65" t="str">
        <x:v>布里金城（Brechin City）</x:v>
      </x:c>
      <x:c r="E195" s="65" t="str">
        <x:v>中文名待确认（Stenhousemuir）</x:v>
      </x:c>
      <x:c r="F195" s="65" t="str">
        <x:v>无可靠让球盘/只观察｜现有证据不足以形成可执行让球倾向</x:v>
      </x:c>
      <x:c r="G195" s="65" t="str">
        <x:v>无可靠大小球盘/只观察｜现有证据不足以形成可执行总进球倾向</x:v>
      </x:c>
      <x:c r="H195" s="65" t="str">
        <x:v>待确认首发、伤停、双方近5场与主客拆分、亚洲让球/大小球初盘及当前水位；任一市场欧赔&lt;1.80/港水&lt;0.80不进；未满足全部触发条件不进、不加仓</x:v>
      </x:c>
      <x:c r="I195" s="66" t="n">
        <x:v>46221.793217592596</x:v>
      </x:c>
      <x:c r="J195" s="65" t="str">
        <x:v>需复核</x:v>
      </x:c>
      <x:c r="K195" s="65"/>
      <x:c r="L195" s="65"/>
      <x:c r="M195" s="65"/>
      <x:c r="N195" s="549"/>
      <x:c r="O195" s="549"/>
      <x:c r="P195" s="549" t="str">
        <x:f>IF(COUNT(N195:O195)=0,"",SUM(N195:O195))</x:f>
      </x:c>
      <x:c r="Q195" s="65" t="str">
        <x:v>https://www.livescore.mobi/football/scotland/league-cup-group-e/brechin-city-vs-stenhousemuir/1786659/；https://www.fotmob.com/matches/x/x#5763208；https://www.espn.com/soccer/match/_/gameId/401874193/stenhousemuir-brechin-city；查询时间：2026-07-18 19:02（北京时间）</x:v>
      </x:c>
      <x:c r="R195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LLLWW、客队WLWW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6" ht="38" customHeight="1">
      <x:c r="A196" s="65" t="str">
        <x:f>IF(B196="","",TEXT(B196,"yyyy-mm-dd")&amp;"|"&amp;D196&amp;"|"&amp;E196)</x:f>
        <x:v>2026-07-18|中文名待确认（Brora Rangers）|中文名待确认（Queen of the South）</x:v>
      </x:c>
      <x:c r="B196" s="66" t="n">
        <x:v>46221.916666666664</x:v>
      </x:c>
      <x:c r="C196" s="65" t="str">
        <x:v>规范中文名待确认（Scotland - Scottish League Cup: Group A）</x:v>
      </x:c>
      <x:c r="D196" s="65" t="str">
        <x:v>中文名待确认（Brora Rangers）</x:v>
      </x:c>
      <x:c r="E196" s="65" t="str">
        <x:v>中文名待确认（Queen of the South）</x:v>
      </x:c>
      <x:c r="F196" s="65" t="str">
        <x:v>无可靠让球盘/只观察｜现有证据不足以形成可执行让球倾向</x:v>
      </x:c>
      <x:c r="G196" s="65" t="str">
        <x:v>无可靠大小球盘/只观察｜现有证据不足以形成可执行总进球倾向</x:v>
      </x:c>
      <x:c r="H196" s="65" t="str">
        <x:v>待确认首发、伤停、双方近5场与主客拆分、亚洲让球/大小球初盘及当前水位；任一市场欧赔&lt;1.80/港水&lt;0.80不进；未满足全部触发条件不进、不加仓</x:v>
      </x:c>
      <x:c r="I196" s="66" t="n">
        <x:v>46221.793217592596</x:v>
      </x:c>
      <x:c r="J196" s="65" t="str">
        <x:v>需复核</x:v>
      </x:c>
      <x:c r="K196" s="65"/>
      <x:c r="L196" s="65"/>
      <x:c r="M196" s="65"/>
      <x:c r="N196" s="549"/>
      <x:c r="O196" s="549"/>
      <x:c r="P196" s="549" t="str">
        <x:f>IF(COUNT(N196:O196)=0,"",SUM(N196:O196))</x:f>
      </x:c>
      <x:c r="Q196" s="65" t="str">
        <x:v>https://www.livescore.mobi/football/scotland/league-cup-group-a/brora-rangers-vs-queen-of-the-south/1786636/；https://www.fotmob.com/matches/x/x#5762479；https://www.espn.com/soccer/match/_/gameId/401874160/queen-of-the-south-brora-rangers；查询时间：2026-07-18 19:02（北京时间）</x:v>
      </x:c>
      <x:c r="R196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LLLLL、客队LL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7" ht="38" customHeight="1">
      <x:c r="A197" s="65" t="str">
        <x:f>IF(B197="","",TEXT(B197,"yyyy-mm-dd")&amp;"|"&amp;D197&amp;"|"&amp;E197)</x:f>
        <x:v>2026-07-18|中文名待确认（Celtic）|米德尔斯堡（Middlesbrough）</x:v>
      </x:c>
      <x:c r="B197" s="66" t="n">
        <x:v>46221.916666666664</x:v>
      </x:c>
      <x:c r="C197" s="65" t="str">
        <x:v>国际俱乐部友谊赛</x:v>
      </x:c>
      <x:c r="D197" s="65" t="str">
        <x:v>中文名待确认（Celtic）</x:v>
      </x:c>
      <x:c r="E197" s="65" t="str">
        <x:v>米德尔斯堡（Middlesbrough）</x:v>
      </x:c>
      <x:c r="F197" s="65" t="str">
        <x:v>无可靠让球盘/只观察｜现有证据不足以形成可执行让球倾向</x:v>
      </x:c>
      <x:c r="G197" s="65" t="str">
        <x:v>无可靠大小球盘/只观察｜现有证据不足以形成可执行总进球倾向</x:v>
      </x:c>
      <x:c r="H197" s="65" t="str">
        <x:v>待确认首发、伤停、双方近5场与主客拆分、亚洲让球/大小球初盘及当前水位；任一市场欧赔&lt;1.80/港水&lt;0.80不进；未满足全部触发条件不进、不加仓</x:v>
      </x:c>
      <x:c r="I197" s="66" t="n">
        <x:v>46221.793217592596</x:v>
      </x:c>
      <x:c r="J197" s="65" t="str">
        <x:v>需复核</x:v>
      </x:c>
      <x:c r="K197" s="65"/>
      <x:c r="L197" s="65"/>
      <x:c r="M197" s="65"/>
      <x:c r="N197" s="549"/>
      <x:c r="O197" s="549"/>
      <x:c r="P197" s="549" t="str">
        <x:f>IF(COUNT(N197:O197)=0,"",SUM(N197:O197))</x:f>
      </x:c>
      <x:c r="Q197" s="65" t="str">
        <x:v>https://www.livescore.mobi/football/club-friendlies/club-friendlies-2026/celtic-vs-middlesbrough/1821806/；https://www.fotmob.com/matches/x/x#5810818；查询时间：2026-07-18 19:02（北京时间）</x:v>
      </x:c>
      <x:c r="R197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8" ht="38" customHeight="1">
      <x:c r="A198" s="65" t="str">
        <x:f>IF(B198="","",TEXT(B198,"yyyy-mm-dd")&amp;"|"&amp;D198&amp;"|"&amp;E198)</x:f>
        <x:v>2026-07-18|科夫流浪者（Cove Rangers）|圣米伦（St. Mirren）</x:v>
      </x:c>
      <x:c r="B198" s="66" t="n">
        <x:v>46221.916666666664</x:v>
      </x:c>
      <x:c r="C198" s="65" t="str">
        <x:v>规范中文名待确认（Group Stage）</x:v>
      </x:c>
      <x:c r="D198" s="65" t="str">
        <x:v>科夫流浪者（Cove Rangers）</x:v>
      </x:c>
      <x:c r="E198" s="65" t="str">
        <x:v>圣米伦（St. Mirren）</x:v>
      </x:c>
      <x:c r="F198" s="65" t="str">
        <x:v>无可靠让球盘/只观察｜现有证据不足以形成可执行让球倾向</x:v>
      </x:c>
      <x:c r="G198" s="65" t="str">
        <x:v>无可靠大小球盘/只观察｜现有证据不足以形成可执行总进球倾向</x:v>
      </x:c>
      <x:c r="H198" s="65" t="str">
        <x:v>待确认首发、伤停、双方近5场与主客拆分、亚洲让球/大小球初盘及当前水位；任一市场欧赔&lt;1.80/港水&lt;0.80不进；未满足全部触发条件不进、不加仓</x:v>
      </x:c>
      <x:c r="I198" s="66" t="n">
        <x:v>46221.793217592596</x:v>
      </x:c>
      <x:c r="J198" s="65" t="str">
        <x:v>需复核</x:v>
      </x:c>
      <x:c r="K198" s="65"/>
      <x:c r="L198" s="65"/>
      <x:c r="M198" s="65"/>
      <x:c r="N198" s="549"/>
      <x:c r="O198" s="549"/>
      <x:c r="P198" s="549" t="str">
        <x:f>IF(COUNT(N198:O198)=0,"",SUM(N198:O198))</x:f>
      </x:c>
      <x:c r="Q198" s="65" t="str">
        <x:v>https://www.espn.com/soccer/match/_/gameId/401874235/st-mirren-cove-rangers；https://www.livescore.mobi/football/scotland/league-cup-group-c/cove-rangers-vs-st-mirren/1786646/；https://www.fotmob.com/matches/x/x#5762593；查询时间：2026-07-18 19:02（北京时间）</x:v>
      </x:c>
      <x:c r="R19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LWL、客队WWD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199" ht="38" customHeight="1">
      <x:c r="A199" s="65" t="str">
        <x:f>IF(B199="","",TEXT(B199,"yyyy-mm-dd")&amp;"|"&amp;D199&amp;"|"&amp;E199)</x:f>
        <x:v>2026-07-18|中文名待确认（Crewe Alexandra）|斯托克城（Stoke City）</x:v>
      </x:c>
      <x:c r="B199" s="66" t="n">
        <x:v>46221.916666666664</x:v>
      </x:c>
      <x:c r="C199" s="65" t="str">
        <x:v>国际俱乐部友谊赛</x:v>
      </x:c>
      <x:c r="D199" s="65" t="str">
        <x:v>中文名待确认（Crewe Alexandra）</x:v>
      </x:c>
      <x:c r="E199" s="65" t="str">
        <x:v>斯托克城（Stoke City）</x:v>
      </x:c>
      <x:c r="F199" s="65" t="str">
        <x:v>无可靠让球盘/只观察｜现有证据不足以形成可执行让球倾向</x:v>
      </x:c>
      <x:c r="G199" s="65" t="str">
        <x:v>无可靠大小球盘/只观察｜现有证据不足以形成可执行总进球倾向</x:v>
      </x:c>
      <x:c r="H199" s="65" t="str">
        <x:v>待确认首发、伤停、双方近5场与主客拆分、亚洲让球/大小球初盘及当前水位；任一市场欧赔&lt;1.80/港水&lt;0.80不进；未满足全部触发条件不进、不加仓</x:v>
      </x:c>
      <x:c r="I199" s="66" t="n">
        <x:v>46221.793217592596</x:v>
      </x:c>
      <x:c r="J199" s="65" t="str">
        <x:v>需复核</x:v>
      </x:c>
      <x:c r="K199" s="65"/>
      <x:c r="L199" s="65"/>
      <x:c r="M199" s="65"/>
      <x:c r="N199" s="549"/>
      <x:c r="O199" s="549"/>
      <x:c r="P199" s="549" t="str">
        <x:f>IF(COUNT(N199:O199)=0,"",SUM(N199:O199))</x:f>
      </x:c>
      <x:c r="Q199" s="65" t="str">
        <x:v>https://www.livescore.mobi/football/club-friendlies/club-friendlies-2026/crewe-alexandra-vs-stoke-city/1836834/；查询时间：2026-07-18 19:02（北京时间）</x:v>
      </x:c>
      <x:c r="R199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00" ht="38" customHeight="1">
      <x:c r="A200" s="65" t="str">
        <x:f>IF(B200="","",TEXT(B200,"yyyy-mm-dd")&amp;"|"&amp;D200&amp;"|"&amp;E200)</x:f>
        <x:v>2026-07-18|中文名待确认（Douglas Hall）|中文名待确认（Castlebar Celtic）</x:v>
      </x:c>
      <x:c r="B200" s="66" t="n">
        <x:v>46221.916666666664</x:v>
      </x:c>
      <x:c r="C200" s="65" t="str">
        <x:v>爱尔兰足协杯</x:v>
      </x:c>
      <x:c r="D200" s="65" t="str">
        <x:v>中文名待确认（Douglas Hall）</x:v>
      </x:c>
      <x:c r="E200" s="65" t="str">
        <x:v>中文名待确认（Castlebar Celtic）</x:v>
      </x:c>
      <x:c r="F200" s="65" t="str">
        <x:v>无可靠让球盘/只观察｜现有证据不足以形成可执行让球倾向</x:v>
      </x:c>
      <x:c r="G200" s="65" t="str">
        <x:v>无可靠大小球盘/只观察｜现有证据不足以形成可执行总进球倾向</x:v>
      </x:c>
      <x:c r="H200" s="65" t="str">
        <x:v>待确认首发、伤停、双方近5场与主客拆分、亚洲让球/大小球初盘及当前水位；任一市场欧赔&lt;1.80/港水&lt;0.80不进；未满足全部触发条件不进、不加仓</x:v>
      </x:c>
      <x:c r="I200" s="66" t="n">
        <x:v>46221.793217592596</x:v>
      </x:c>
      <x:c r="J200" s="65" t="str">
        <x:v>需复核</x:v>
      </x:c>
      <x:c r="K200" s="65"/>
      <x:c r="L200" s="65"/>
      <x:c r="M200" s="65"/>
      <x:c r="N200" s="549"/>
      <x:c r="O200" s="549"/>
      <x:c r="P200" s="549" t="str">
        <x:f>IF(COUNT(N200:O200)=0,"",SUM(N200:O200))</x:f>
      </x:c>
      <x:c r="Q200" s="65" t="str">
        <x:v>https://www.livescore.mobi/football/ireland/fai-cup/douglas-hall-vs-castlebar-celtic/1784340/；https://www.fotmob.com/matches/x/x#5740718；查询时间：2026-07-18 19:02（北京时间）</x:v>
      </x:c>
      <x:c r="R200" s="65" t="str">
        <x:v>证据卡：杯赛/淘汰赛背景，赛制与晋级动机重要；具体轮次已按赛事名称核对，仍需临场阵容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01" ht="38" customHeight="1">
      <x:c r="A201" s="65" t="str">
        <x:f>IF(B201="","",TEXT(B201,"yyyy-mm-dd")&amp;"|"&amp;D201&amp;"|"&amp;E201)</x:f>
        <x:v>2026-07-18|德累斯顿迪纳摩（Dynamo Dresden）|中文名待确认（Grazer AK）</x:v>
      </x:c>
      <x:c r="B201" s="66" t="n">
        <x:v>46221.916666666664</x:v>
      </x:c>
      <x:c r="C201" s="65" t="str">
        <x:v>国际俱乐部友谊赛</x:v>
      </x:c>
      <x:c r="D201" s="65" t="str">
        <x:v>德累斯顿迪纳摩（Dynamo Dresden）</x:v>
      </x:c>
      <x:c r="E201" s="65" t="str">
        <x:v>中文名待确认（Grazer AK）</x:v>
      </x:c>
      <x:c r="F201" s="65" t="str">
        <x:v>无可靠让球盘/只观察｜现有证据不足以形成可执行让球倾向</x:v>
      </x:c>
      <x:c r="G201" s="65" t="str">
        <x:v>无可靠大小球盘/只观察｜现有证据不足以形成可执行总进球倾向</x:v>
      </x:c>
      <x:c r="H201" s="65" t="str">
        <x:v>待确认首发、伤停、双方近5场与主客拆分、亚洲让球/大小球初盘及当前水位；任一市场欧赔&lt;1.80/港水&lt;0.80不进；未满足全部触发条件不进、不加仓</x:v>
      </x:c>
      <x:c r="I201" s="66" t="n">
        <x:v>46221.793217592596</x:v>
      </x:c>
      <x:c r="J201" s="65" t="str">
        <x:v>需复核</x:v>
      </x:c>
      <x:c r="K201" s="65"/>
      <x:c r="L201" s="65"/>
      <x:c r="M201" s="65"/>
      <x:c r="N201" s="549"/>
      <x:c r="O201" s="549"/>
      <x:c r="P201" s="549" t="str">
        <x:f>IF(COUNT(N201:O201)=0,"",SUM(N201:O201))</x:f>
      </x:c>
      <x:c r="Q201" s="65" t="str">
        <x:v>https://www.livescore.mobi/football/club-friendlies/club-friendlies-2026/dynamo-dresden-vs-grazer-ak/1821726/；查询时间：2026-07-18 19:02（北京时间）</x:v>
      </x:c>
      <x:c r="R201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02" ht="38" customHeight="1">
      <x:c r="A202" s="65" t="str">
        <x:f>IF(B202="","",TEXT(B202,"yyyy-mm-dd")&amp;"|"&amp;D202&amp;"|"&amp;E202)</x:f>
        <x:v>2026-07-18|东基尔布赖德（East Kilbride）|邓巴顿（Dumbarton）</x:v>
      </x:c>
      <x:c r="B202" s="66" t="n">
        <x:v>46221.916666666664</x:v>
      </x:c>
      <x:c r="C202" s="65" t="str">
        <x:v>规范中文名待确认（Scotland - Scottish League Cup: Group C）</x:v>
      </x:c>
      <x:c r="D202" s="65" t="str">
        <x:v>东基尔布赖德（East Kilbride）</x:v>
      </x:c>
      <x:c r="E202" s="65" t="str">
        <x:v>邓巴顿（Dumbarton）</x:v>
      </x:c>
      <x:c r="F202" s="65" t="str">
        <x:v>无可靠让球盘/只观察｜现有证据不足以形成可执行让球倾向</x:v>
      </x:c>
      <x:c r="G202" s="65" t="str">
        <x:v>无可靠大小球盘/只观察｜现有证据不足以形成可执行总进球倾向</x:v>
      </x:c>
      <x:c r="H202" s="65" t="str">
        <x:v>待确认首发、伤停、双方近5场与主客拆分、亚洲让球/大小球初盘及当前水位；任一市场欧赔&lt;1.80/港水&lt;0.80不进；未满足全部触发条件不进、不加仓</x:v>
      </x:c>
      <x:c r="I202" s="66" t="n">
        <x:v>46221.793217592596</x:v>
      </x:c>
      <x:c r="J202" s="65" t="str">
        <x:v>需复核</x:v>
      </x:c>
      <x:c r="K202" s="65"/>
      <x:c r="L202" s="65"/>
      <x:c r="M202" s="65"/>
      <x:c r="N202" s="549"/>
      <x:c r="O202" s="549"/>
      <x:c r="P202" s="549" t="str">
        <x:f>IF(COUNT(N202:O202)=0,"",SUM(N202:O202))</x:f>
      </x:c>
      <x:c r="Q202" s="65" t="str">
        <x:v>https://www.livescore.mobi/football/scotland/league-cup-group-c/east-kilbride-vs-dumbarton/1786648/；https://www.fotmob.com/matches/x/x#5762594；https://www.espn.com/soccer/match/_/gameId/401874199/dumbarton-east-kilbride；查询时间：2026-07-18 19:02（北京时间）</x:v>
      </x:c>
      <x:c r="R202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LWLWL、客队LLL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03" ht="38" customHeight="1">
      <x:c r="A203" s="65" t="str">
        <x:f>IF(B203="","",TEXT(B203,"yyyy-mm-dd")&amp;"|"&amp;D203&amp;"|"&amp;E203)</x:f>
        <x:v>2026-07-18|埃尔金城（Elgin City）|基尔马诺克（Kilmarnock）</x:v>
      </x:c>
      <x:c r="B203" s="66" t="n">
        <x:v>46221.916666666664</x:v>
      </x:c>
      <x:c r="C203" s="65" t="str">
        <x:v>规范中文名待确认（Scotland - Scottish League Cup: Group H）</x:v>
      </x:c>
      <x:c r="D203" s="65" t="str">
        <x:v>埃尔金城（Elgin City）</x:v>
      </x:c>
      <x:c r="E203" s="65" t="str">
        <x:v>基尔马诺克（Kilmarnock）</x:v>
      </x:c>
      <x:c r="F203" s="65" t="str">
        <x:v>无可靠让球盘/只观察｜现有证据不足以形成可执行让球倾向</x:v>
      </x:c>
      <x:c r="G203" s="65" t="str">
        <x:v>无可靠大小球盘/只观察｜现有证据不足以形成可执行总进球倾向</x:v>
      </x:c>
      <x:c r="H203" s="65" t="str">
        <x:v>待确认首发、伤停、双方近5场与主客拆分、亚洲让球/大小球初盘及当前水位；任一市场欧赔&lt;1.80/港水&lt;0.80不进；未满足全部触发条件不进、不加仓</x:v>
      </x:c>
      <x:c r="I203" s="66" t="n">
        <x:v>46221.793217592596</x:v>
      </x:c>
      <x:c r="J203" s="65" t="str">
        <x:v>需复核</x:v>
      </x:c>
      <x:c r="K203" s="65"/>
      <x:c r="L203" s="65"/>
      <x:c r="M203" s="65"/>
      <x:c r="N203" s="549"/>
      <x:c r="O203" s="549"/>
      <x:c r="P203" s="549" t="str">
        <x:f>IF(COUNT(N203:O203)=0,"",SUM(N203:O203))</x:f>
      </x:c>
      <x:c r="Q203" s="65" t="str">
        <x:v>https://www.livescore.mobi/football/scotland/league-cup-group-h/elgin-city-vs-kilmarnock/1786717/；https://www.fotmob.com/matches/x/x#5763485；https://www.espn.com/soccer/match/_/gameId/401874226/kilmarnock-elgin-city；查询时间：2026-07-18 19:02（北京时间）</x:v>
      </x:c>
      <x:c r="R203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LLLWL、客队WWW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04" ht="38" customHeight="1">
      <x:c r="A204" s="65" t="str">
        <x:f>IF(B204="","",TEXT(B204,"yyyy-mm-dd")&amp;"|"&amp;D204&amp;"|"&amp;E204)</x:f>
        <x:v>2026-07-18|国际米兰（Inter）|中文名待确认（SalPa）</x:v>
      </x:c>
      <x:c r="B204" s="66" t="n">
        <x:v>46221.916666666664</x:v>
      </x:c>
      <x:c r="C204" s="65" t="str">
        <x:v>规范中文名待确认（Finland - Ykkonen）</x:v>
      </x:c>
      <x:c r="D204" s="65" t="str">
        <x:v>国际米兰（Inter）</x:v>
      </x:c>
      <x:c r="E204" s="65" t="str">
        <x:v>中文名待确认（SalPa）</x:v>
      </x:c>
      <x:c r="F204" s="65" t="str">
        <x:v>无可靠让球盘/只观察｜现有证据不足以形成可执行让球倾向</x:v>
      </x:c>
      <x:c r="G204" s="65" t="str">
        <x:v>无可靠大小球盘/只观察｜现有证据不足以形成可执行总进球倾向</x:v>
      </x:c>
      <x:c r="H204" s="65" t="str">
        <x:v>待确认首发、伤停、双方近5场与主客拆分、亚洲让球/大小球初盘及当前水位；任一市场欧赔&lt;1.80/港水&lt;0.80不进；未满足全部触发条件不进、不加仓</x:v>
      </x:c>
      <x:c r="I204" s="66" t="n">
        <x:v>46221.793217592596</x:v>
      </x:c>
      <x:c r="J204" s="65" t="str">
        <x:v>需复核</x:v>
      </x:c>
      <x:c r="K204" s="65"/>
      <x:c r="L204" s="65"/>
      <x:c r="M204" s="65"/>
      <x:c r="N204" s="549"/>
      <x:c r="O204" s="549"/>
      <x:c r="P204" s="549" t="str">
        <x:f>IF(COUNT(N204:O204)=0,"",SUM(N204:O204))</x:f>
      </x:c>
      <x:c r="Q204" s="65" t="str">
        <x:v>https://www.livescore.mobi/football/finland/ykkonen/fc-inter-ii-vs-salpa/1732788/；https://www.fotmob.com/matches/x/x#5164009；查询时间：2026-07-18 19:02（北京时间）</x:v>
      </x:c>
      <x:c r="R20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05" ht="38" customHeight="1">
      <x:c r="A205" s="65" t="str">
        <x:f>IF(B205="","",TEXT(B205,"yyyy-mm-dd")&amp;"|"&amp;D205&amp;"|"&amp;E205)</x:f>
        <x:v>2026-07-18|科特卡（FC KTP）|中文名待确认（PK-35）</x:v>
      </x:c>
      <x:c r="B205" s="66" t="n">
        <x:v>46221.916666666664</x:v>
      </x:c>
      <x:c r="C205" s="65" t="str">
        <x:v>规范中文名待确认（FIN - Ykkosliiga）</x:v>
      </x:c>
      <x:c r="D205" s="65" t="str">
        <x:v>科特卡（FC KTP）</x:v>
      </x:c>
      <x:c r="E205" s="65" t="str">
        <x:v>中文名待确认（PK-35）</x:v>
      </x:c>
      <x:c r="F205" s="65" t="str">
        <x:v>无可靠让球盘/只观察｜现有证据不足以形成可执行让球倾向</x:v>
      </x:c>
      <x:c r="G205" s="65" t="str">
        <x:v>无可靠大小球盘/只观察｜现有证据不足以形成可执行总进球倾向</x:v>
      </x:c>
      <x:c r="H205" s="65" t="str">
        <x:v>待确认首发、伤停、双方近5场与主客拆分、亚洲让球/大小球初盘及当前水位；任一市场欧赔&lt;1.80/港水&lt;0.80不进；未满足全部触发条件不进、不加仓</x:v>
      </x:c>
      <x:c r="I205" s="66" t="n">
        <x:v>46221.793217592596</x:v>
      </x:c>
      <x:c r="J205" s="65" t="str">
        <x:v>需复核</x:v>
      </x:c>
      <x:c r="K205" s="65"/>
      <x:c r="L205" s="65"/>
      <x:c r="M205" s="65"/>
      <x:c r="N205" s="549"/>
      <x:c r="O205" s="549"/>
      <x:c r="P205" s="549" t="str">
        <x:f>IF(COUNT(N205:O205)=0,"",SUM(N205:O205))</x:f>
      </x:c>
      <x:c r="Q205" s="65" t="str">
        <x:v>https://www.fotmob.com/matches/x/x#5163729；https://www.livescore.mobi/football/finland/ykkosliiga/fc-ktp-vs-pk-35-helsinki/1732637/；查询时间：2026-07-18 19:02（北京时间）</x:v>
      </x:c>
      <x:c r="R205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06" ht="38" customHeight="1">
      <x:c r="A206" s="65" t="str">
        <x:f>IF(B206="","",TEXT(B206,"yyyy-mm-dd")&amp;"|"&amp;D206&amp;"|"&amp;E206)</x:f>
        <x:v>2026-07-18|中文名待确认（Grindavik）|中文名待确认（IR Reykjavik）</x:v>
      </x:c>
      <x:c r="B206" s="66" t="n">
        <x:v>46221.916666666664</x:v>
      </x:c>
      <x:c r="C206" s="65" t="str">
        <x:v>规范中文名待确认（Iceland - 1. Deild）</x:v>
      </x:c>
      <x:c r="D206" s="65" t="str">
        <x:v>中文名待确认（Grindavik）</x:v>
      </x:c>
      <x:c r="E206" s="65" t="str">
        <x:v>中文名待确认（IR Reykjavik）</x:v>
      </x:c>
      <x:c r="F206" s="65" t="str">
        <x:v>无可靠让球盘/只观察｜现有证据不足以形成可执行让球倾向</x:v>
      </x:c>
      <x:c r="G206" s="65" t="str">
        <x:v>无可靠大小球盘/只观察｜现有证据不足以形成可执行总进球倾向</x:v>
      </x:c>
      <x:c r="H206" s="65" t="str">
        <x:v>待确认首发、伤停、双方近5场与主客拆分、亚洲让球/大小球初盘及当前水位；任一市场欧赔&lt;1.80/港水&lt;0.80不进；未满足全部触发条件不进、不加仓</x:v>
      </x:c>
      <x:c r="I206" s="66" t="n">
        <x:v>46221.793217592596</x:v>
      </x:c>
      <x:c r="J206" s="65" t="str">
        <x:v>需复核</x:v>
      </x:c>
      <x:c r="K206" s="65"/>
      <x:c r="L206" s="65"/>
      <x:c r="M206" s="65"/>
      <x:c r="N206" s="549"/>
      <x:c r="O206" s="549"/>
      <x:c r="P206" s="549" t="str">
        <x:f>IF(COUNT(N206:O206)=0,"",SUM(N206:O206))</x:f>
      </x:c>
      <x:c r="Q206" s="65" t="str">
        <x:v>https://www.livescore.mobi/football/iceland/1-deild/grindavik-vs-ir-reykjavik/1750760/；https://www.fotmob.com/matches/x/x#5225813；查询时间：2026-07-18 19:02（北京时间）</x:v>
      </x:c>
      <x:c r="R20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07" ht="38" customHeight="1">
      <x:c r="A207" s="65" t="str">
        <x:f>IF(B207="","",TEXT(B207,"yyyy-mm-dd")&amp;"|"&amp;D207&amp;"|"&amp;E207)</x:f>
        <x:v>2026-07-18|中文名待确认（Grotta）|中文名待确认（Aegir）</x:v>
      </x:c>
      <x:c r="B207" s="66" t="n">
        <x:v>46221.916666666664</x:v>
      </x:c>
      <x:c r="C207" s="65" t="str">
        <x:v>规范中文名待确认（Iceland - 1. Deild）</x:v>
      </x:c>
      <x:c r="D207" s="65" t="str">
        <x:v>中文名待确认（Grotta）</x:v>
      </x:c>
      <x:c r="E207" s="65" t="str">
        <x:v>中文名待确认（Aegir）</x:v>
      </x:c>
      <x:c r="F207" s="65" t="str">
        <x:v>无可靠让球盘/只观察｜现有证据不足以形成可执行让球倾向</x:v>
      </x:c>
      <x:c r="G207" s="65" t="str">
        <x:v>无可靠大小球盘/只观察｜现有证据不足以形成可执行总进球倾向</x:v>
      </x:c>
      <x:c r="H207" s="65" t="str">
        <x:v>待确认首发、伤停、双方近5场与主客拆分、亚洲让球/大小球初盘及当前水位；任一市场欧赔&lt;1.80/港水&lt;0.80不进；未满足全部触发条件不进、不加仓</x:v>
      </x:c>
      <x:c r="I207" s="66" t="n">
        <x:v>46221.793217592596</x:v>
      </x:c>
      <x:c r="J207" s="65" t="str">
        <x:v>需复核</x:v>
      </x:c>
      <x:c r="K207" s="65"/>
      <x:c r="L207" s="65"/>
      <x:c r="M207" s="65"/>
      <x:c r="N207" s="549"/>
      <x:c r="O207" s="549"/>
      <x:c r="P207" s="549" t="str">
        <x:f>IF(COUNT(N207:O207)=0,"",SUM(N207:O207))</x:f>
      </x:c>
      <x:c r="Q207" s="65" t="str">
        <x:v>https://www.livescore.mobi/football/iceland/1-deild/grotta-vs-aegir/1750748/；https://www.fotmob.com/matches/x/x#5225814；查询时间：2026-07-18 19:02（北京时间）</x:v>
      </x:c>
      <x:c r="R207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08" ht="38" customHeight="1">
      <x:c r="A208" s="65" t="str">
        <x:f>IF(B208="","",TEXT(B208,"yyyy-mm-dd")&amp;"|"&amp;D208&amp;"|"&amp;E208)</x:f>
        <x:v>2026-07-18|中文名待确认（Hamilton Academical）|拉茨流浪者（Raith Rovers）</x:v>
      </x:c>
      <x:c r="B208" s="66" t="n">
        <x:v>46221.916666666664</x:v>
      </x:c>
      <x:c r="C208" s="65" t="str">
        <x:v>规范中文名待确认（Scotland - Scottish League Cup: Group H）</x:v>
      </x:c>
      <x:c r="D208" s="65" t="str">
        <x:v>中文名待确认（Hamilton Academical）</x:v>
      </x:c>
      <x:c r="E208" s="65" t="str">
        <x:v>拉茨流浪者（Raith Rovers）</x:v>
      </x:c>
      <x:c r="F208" s="65" t="str">
        <x:v>无可靠让球盘/只观察｜现有证据不足以形成可执行让球倾向</x:v>
      </x:c>
      <x:c r="G208" s="65" t="str">
        <x:v>无可靠大小球盘/只观察｜现有证据不足以形成可执行总进球倾向</x:v>
      </x:c>
      <x:c r="H208" s="65" t="str">
        <x:v>待确认首发、伤停、双方近5场与主客拆分、亚洲让球/大小球初盘及当前水位；任一市场欧赔&lt;1.80/港水&lt;0.80不进；未满足全部触发条件不进、不加仓</x:v>
      </x:c>
      <x:c r="I208" s="66" t="n">
        <x:v>46221.793217592596</x:v>
      </x:c>
      <x:c r="J208" s="65" t="str">
        <x:v>需复核</x:v>
      </x:c>
      <x:c r="K208" s="65"/>
      <x:c r="L208" s="65"/>
      <x:c r="M208" s="65"/>
      <x:c r="N208" s="549"/>
      <x:c r="O208" s="549"/>
      <x:c r="P208" s="549" t="str">
        <x:f>IF(COUNT(N208:O208)=0,"",SUM(N208:O208))</x:f>
      </x:c>
      <x:c r="Q208" s="65" t="str">
        <x:v>https://www.livescore.mobi/football/scotland/league-cup-group-h/hamilton-academical-vs-raith-rovers/1786718/；https://www.fotmob.com/matches/x/x#5763486；https://www.espn.com/soccer/match/_/gameId/401874219/raith-rovers-hamilton-academical；查询时间：2026-07-18 19:02（北京时间）</x:v>
      </x:c>
      <x:c r="R208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WLLWL、客队LWW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09" ht="38" customHeight="1">
      <x:c r="A209" s="65" t="str">
        <x:f>IF(B209="","",TEXT(B209,"yyyy-mm-dd")&amp;"|"&amp;D209&amp;"|"&amp;E209)</x:f>
        <x:v>2026-07-18|中文名待确认（IK Start）|中文名待确认（Rosenborg）</x:v>
      </x:c>
      <x:c r="B209" s="66" t="n">
        <x:v>46221.916666666664</x:v>
      </x:c>
      <x:c r="C209" s="65" t="str">
        <x:v>挪威超级联赛（Eliteserien）</x:v>
      </x:c>
      <x:c r="D209" s="65" t="str">
        <x:v>中文名待确认（IK Start）</x:v>
      </x:c>
      <x:c r="E209" s="65" t="str">
        <x:v>中文名待确认（Rosenborg）</x:v>
      </x:c>
      <x:c r="F209" s="65" t="str">
        <x:v>无可靠让球盘/只观察｜现有证据不足以形成可执行让球倾向</x:v>
      </x:c>
      <x:c r="G209" s="65" t="str">
        <x:v>无可靠大小球盘/只观察｜现有证据不足以形成可执行总进球倾向</x:v>
      </x:c>
      <x:c r="H209" s="65" t="str">
        <x:v>待确认首发、伤停、双方近5场与主客拆分、亚洲让球/大小球初盘及当前水位；任一市场欧赔&lt;1.80/港水&lt;0.80不进；未满足全部触发条件不进、不加仓</x:v>
      </x:c>
      <x:c r="I209" s="66" t="n">
        <x:v>46221.793217592596</x:v>
      </x:c>
      <x:c r="J209" s="65" t="str">
        <x:v>需复核</x:v>
      </x:c>
      <x:c r="K209" s="65"/>
      <x:c r="L209" s="65"/>
      <x:c r="M209" s="65"/>
      <x:c r="N209" s="549"/>
      <x:c r="O209" s="549"/>
      <x:c r="P209" s="549" t="str">
        <x:f>IF(COUNT(N209:O209)=0,"",SUM(N209:O209))</x:f>
      </x:c>
      <x:c r="Q209" s="65" t="str">
        <x:v>https://www.livescore.mobi/football/norway/eliteserien/ik-start-vs-rosenborg/1709207/；https://www.espn.com/soccer/match/_/gameId/401843386/rosenborg-ik-start；https://www.fotmob.com/matches/x/x#5104947；查询时间：2026-07-18 19:02（北京时间）</x:v>
      </x:c>
      <x:c r="R209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WLL、客队WDL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0" ht="38" customHeight="1">
      <x:c r="A210" s="65" t="str">
        <x:f>IF(B210="","",TEXT(B210,"yyyy-mm-dd")&amp;"|"&amp;D210&amp;"|"&amp;E210)</x:f>
        <x:v>2026-07-18|中文名待确认（KFA）|中文名待确认（Selfoss）</x:v>
      </x:c>
      <x:c r="B210" s="66" t="n">
        <x:v>46221.916666666664</x:v>
      </x:c>
      <x:c r="C210" s="65" t="str">
        <x:v>规范中文名待确认（ISL - 2. Deild）</x:v>
      </x:c>
      <x:c r="D210" s="65" t="str">
        <x:v>中文名待确认（KFA）</x:v>
      </x:c>
      <x:c r="E210" s="65" t="str">
        <x:v>中文名待确认（Selfoss）</x:v>
      </x:c>
      <x:c r="F210" s="65" t="str">
        <x:v>无可靠让球盘/只观察｜现有证据不足以形成可执行让球倾向</x:v>
      </x:c>
      <x:c r="G210" s="65" t="str">
        <x:v>无可靠大小球盘/只观察｜现有证据不足以形成可执行总进球倾向</x:v>
      </x:c>
      <x:c r="H210" s="65" t="str">
        <x:v>待确认首发、伤停、双方近5场与主客拆分、亚洲让球/大小球初盘及当前水位；任一市场欧赔&lt;1.80/港水&lt;0.80不进；未满足全部触发条件不进、不加仓</x:v>
      </x:c>
      <x:c r="I210" s="66" t="n">
        <x:v>46221.793217592596</x:v>
      </x:c>
      <x:c r="J210" s="65" t="str">
        <x:v>需复核</x:v>
      </x:c>
      <x:c r="K210" s="65"/>
      <x:c r="L210" s="65"/>
      <x:c r="M210" s="65"/>
      <x:c r="N210" s="549"/>
      <x:c r="O210" s="549"/>
      <x:c r="P210" s="549" t="str">
        <x:f>IF(COUNT(N210:O210)=0,"",SUM(N210:O210))</x:f>
      </x:c>
      <x:c r="Q210" s="65" t="str">
        <x:v>https://www.fotmob.com/matches/x/x#5225940；https://www.livescore.mobi/football/iceland/2-deild/kfa-vs-umf-selfoss/1751018/；查询时间：2026-07-18 19:02（北京时间）</x:v>
      </x:c>
      <x:c r="R210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1" ht="38" customHeight="1">
      <x:c r="A211" s="65" t="str">
        <x:f>IF(B211="","",TEXT(B211,"yyyy-mm-dd")&amp;"|"&amp;D211&amp;"|"&amp;E211)</x:f>
        <x:v>2026-07-18|中文名待确认（Kristiansund）|萨普斯堡08（Sarpsborg 08）</x:v>
      </x:c>
      <x:c r="B211" s="66" t="n">
        <x:v>46221.916666666664</x:v>
      </x:c>
      <x:c r="C211" s="65" t="str">
        <x:v>规范中文名待确认（NOR - Eliteserien）</x:v>
      </x:c>
      <x:c r="D211" s="65" t="str">
        <x:v>中文名待确认（Kristiansund）</x:v>
      </x:c>
      <x:c r="E211" s="65" t="str">
        <x:v>萨普斯堡08（Sarpsborg 08）</x:v>
      </x:c>
      <x:c r="F211" s="65" t="str">
        <x:v>无可靠让球盘/只观察｜现有证据不足以形成可执行让球倾向</x:v>
      </x:c>
      <x:c r="G211" s="65" t="str">
        <x:v>无可靠大小球盘/只观察｜现有证据不足以形成可执行总进球倾向</x:v>
      </x:c>
      <x:c r="H211" s="65" t="str">
        <x:v>待确认首发、伤停、双方近5场与主客拆分、亚洲让球/大小球初盘及当前水位；任一市场欧赔&lt;1.80/港水&lt;0.80不进；未满足全部触发条件不进、不加仓</x:v>
      </x:c>
      <x:c r="I211" s="66" t="n">
        <x:v>46221.793217592596</x:v>
      </x:c>
      <x:c r="J211" s="65" t="str">
        <x:v>需复核</x:v>
      </x:c>
      <x:c r="K211" s="65"/>
      <x:c r="L211" s="65"/>
      <x:c r="M211" s="65"/>
      <x:c r="N211" s="549"/>
      <x:c r="O211" s="549"/>
      <x:c r="P211" s="549" t="str">
        <x:f>IF(COUNT(N211:O211)=0,"",SUM(N211:O211))</x:f>
      </x:c>
      <x:c r="Q211" s="65" t="str">
        <x:v>https://www.fotmob.com/matches/x/x#5104951；https://www.livescore.mobi/football/norway/eliteserien/kristiansund-bk-vs-sarpsborg-08/1709208/；https://www.espn.com/soccer/match/_/gameId/401843389/sarpsborg-fk-kristiansund-bk；查询时间：2026-07-18 19:02（北京时间）</x:v>
      </x:c>
      <x:c r="R211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LLLWL、客队WWW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2" ht="38" customHeight="1">
      <x:c r="A212" s="65" t="str">
        <x:f>IF(B212="","",TEXT(B212,"yyyy-mm-dd")&amp;"|"&amp;D212&amp;"|"&amp;E212)</x:f>
        <x:v>2026-07-18|中文名待确认（Lillestroem）|中文名待确认（KFUM Oslo）</x:v>
      </x:c>
      <x:c r="B212" s="66" t="n">
        <x:v>46221.916666666664</x:v>
      </x:c>
      <x:c r="C212" s="65" t="str">
        <x:v>挪威超级联赛（Eliteserien）</x:v>
      </x:c>
      <x:c r="D212" s="65" t="str">
        <x:v>中文名待确认（Lillestroem）</x:v>
      </x:c>
      <x:c r="E212" s="65" t="str">
        <x:v>中文名待确认（KFUM Oslo）</x:v>
      </x:c>
      <x:c r="F212" s="65" t="str">
        <x:v>无可靠让球盘/只观察｜现有证据不足以形成可执行让球倾向</x:v>
      </x:c>
      <x:c r="G212" s="65" t="str">
        <x:v>无可靠大小球盘/只观察｜现有证据不足以形成可执行总进球倾向</x:v>
      </x:c>
      <x:c r="H212" s="65" t="str">
        <x:v>待确认首发、伤停、双方近5场与主客拆分、亚洲让球/大小球初盘及当前水位；任一市场欧赔&lt;1.80/港水&lt;0.80不进；未满足全部触发条件不进、不加仓</x:v>
      </x:c>
      <x:c r="I212" s="66" t="n">
        <x:v>46221.793217592596</x:v>
      </x:c>
      <x:c r="J212" s="65" t="str">
        <x:v>需复核</x:v>
      </x:c>
      <x:c r="K212" s="65"/>
      <x:c r="L212" s="65"/>
      <x:c r="M212" s="65"/>
      <x:c r="N212" s="549"/>
      <x:c r="O212" s="549"/>
      <x:c r="P212" s="549" t="str">
        <x:f>IF(COUNT(N212:O212)=0,"",SUM(N212:O212))</x:f>
      </x:c>
      <x:c r="Q212" s="65" t="str">
        <x:v>https://www.livescore.mobi/football/norway/eliteserien/lillestroem-vs-kfum-oslo/1709206/；https://www.espn.com/soccer/match/_/gameId/401843388/kfum-oslo-lillestrom；https://www.fotmob.com/matches/x/x#5104949；查询时间：2026-07-18 19:02（北京时间）</x:v>
      </x:c>
      <x:c r="R212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LLWL、客队LDWL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3" ht="38" customHeight="1">
      <x:c r="A213" s="65" t="str">
        <x:f>IF(B213="","",TEXT(B213,"yyyy-mm-dd")&amp;"|"&amp;D213&amp;"|"&amp;E213)</x:f>
        <x:v>2026-07-18|中文名待确认（Linlithgow Rose）|中文名待确认（Inverness CT）</x:v>
      </x:c>
      <x:c r="B213" s="66" t="n">
        <x:v>46221.916666666664</x:v>
      </x:c>
      <x:c r="C213" s="65" t="str">
        <x:v>规范中文名待确认（Scotland - Scottish League Cup: Group F）</x:v>
      </x:c>
      <x:c r="D213" s="65" t="str">
        <x:v>中文名待确认（Linlithgow Rose）</x:v>
      </x:c>
      <x:c r="E213" s="65" t="str">
        <x:v>中文名待确认（Inverness CT）</x:v>
      </x:c>
      <x:c r="F213" s="65" t="str">
        <x:v>无可靠让球盘/只观察｜现有证据不足以形成可执行让球倾向</x:v>
      </x:c>
      <x:c r="G213" s="65" t="str">
        <x:v>无可靠大小球盘/只观察｜现有证据不足以形成可执行总进球倾向</x:v>
      </x:c>
      <x:c r="H213" s="65" t="str">
        <x:v>待确认首发、伤停、双方近5场与主客拆分、亚洲让球/大小球初盘及当前水位；任一市场欧赔&lt;1.80/港水&lt;0.80不进；未满足全部触发条件不进、不加仓</x:v>
      </x:c>
      <x:c r="I213" s="66" t="n">
        <x:v>46221.793217592596</x:v>
      </x:c>
      <x:c r="J213" s="65" t="str">
        <x:v>需复核</x:v>
      </x:c>
      <x:c r="K213" s="65"/>
      <x:c r="L213" s="65"/>
      <x:c r="M213" s="65"/>
      <x:c r="N213" s="549"/>
      <x:c r="O213" s="549"/>
      <x:c r="P213" s="549" t="str">
        <x:f>IF(COUNT(N213:O213)=0,"",SUM(N213:O213))</x:f>
      </x:c>
      <x:c r="Q213" s="65" t="str">
        <x:v>https://www.livescore.mobi/football/scotland/league-cup-group-f/linlithgow-rose-vs-inverness-ct/1786686/；https://www.fotmob.com/matches/x/x#5763417；https://www.espn.com/soccer/match/_/gameId/401874234/inverness-caledonian-thistle-linlithgow-rose；查询时间：2026-07-18 19:02（北京时间）</x:v>
      </x:c>
      <x:c r="R213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LWLWW、客队WLW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4" ht="38" customHeight="1">
      <x:c r="A214" s="65" t="str">
        <x:f>IF(B214="","",TEXT(B214,"yyyy-mm-dd")&amp;"|"&amp;D214&amp;"|"&amp;E214)</x:f>
        <x:v>2026-07-18|利文斯顿（Livingston）|帕尔蒂克蓟（Partick Thistle）</x:v>
      </x:c>
      <x:c r="B214" s="66" t="n">
        <x:v>46221.916666666664</x:v>
      </x:c>
      <x:c r="C214" s="65" t="str">
        <x:v>规范中文名待确认（Scotland - Scottish League Cup: Group E）</x:v>
      </x:c>
      <x:c r="D214" s="65" t="str">
        <x:v>利文斯顿（Livingston）</x:v>
      </x:c>
      <x:c r="E214" s="65" t="str">
        <x:v>帕尔蒂克蓟（Partick Thistle）</x:v>
      </x:c>
      <x:c r="F214" s="65" t="str">
        <x:v>无可靠让球盘/只观察｜现有证据不足以形成可执行让球倾向</x:v>
      </x:c>
      <x:c r="G214" s="65" t="str">
        <x:v>无可靠大小球盘/只观察｜现有证据不足以形成可执行总进球倾向</x:v>
      </x:c>
      <x:c r="H214" s="65" t="str">
        <x:v>待确认首发、伤停、双方近5场与主客拆分、亚洲让球/大小球初盘及当前水位；任一市场欧赔&lt;1.80/港水&lt;0.80不进；未满足全部触发条件不进、不加仓</x:v>
      </x:c>
      <x:c r="I214" s="66" t="n">
        <x:v>46221.793217592596</x:v>
      </x:c>
      <x:c r="J214" s="65" t="str">
        <x:v>需复核</x:v>
      </x:c>
      <x:c r="K214" s="65"/>
      <x:c r="L214" s="65"/>
      <x:c r="M214" s="65"/>
      <x:c r="N214" s="549"/>
      <x:c r="O214" s="549"/>
      <x:c r="P214" s="549" t="str">
        <x:f>IF(COUNT(N214:O214)=0,"",SUM(N214:O214))</x:f>
      </x:c>
      <x:c r="Q214" s="65" t="str">
        <x:v>https://www.livescore.mobi/football/scotland/league-cup-group-e/livingston-vs-partick-thistle/1786657/；https://www.fotmob.com/matches/x/x#5763209；https://www.espn.com/soccer/match/_/gameId/401874184/partick-thistle-livingston；查询时间：2026-07-18 19:02（北京时间）</x:v>
      </x:c>
      <x:c r="R214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WLDLD、客队WWLD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5" ht="38" customHeight="1">
      <x:c r="A215" s="65" t="str">
        <x:f>IF(B215="","",TEXT(B215,"yyyy-mm-dd")&amp;"|"&amp;D215&amp;"|"&amp;E215)</x:f>
        <x:v>2026-07-18|中文名待确认（Lokomotiv）|中文名待确认（Rubin）</x:v>
      </x:c>
      <x:c r="B215" s="66" t="n">
        <x:v>46221.916666666664</x:v>
      </x:c>
      <x:c r="C215" s="65" t="str">
        <x:v>国际俱乐部友谊赛</x:v>
      </x:c>
      <x:c r="D215" s="65" t="str">
        <x:v>中文名待确认（Lokomotiv）</x:v>
      </x:c>
      <x:c r="E215" s="65" t="str">
        <x:v>中文名待确认（Rubin）</x:v>
      </x:c>
      <x:c r="F215" s="65" t="str">
        <x:v>无可靠让球盘/只观察｜现有证据不足以形成可执行让球倾向</x:v>
      </x:c>
      <x:c r="G215" s="65" t="str">
        <x:v>无可靠大小球盘/只观察｜现有证据不足以形成可执行总进球倾向</x:v>
      </x:c>
      <x:c r="H215" s="65" t="str">
        <x:v>待确认首发、伤停、双方近5场与主客拆分、亚洲让球/大小球初盘及当前水位；任一市场欧赔&lt;1.80/港水&lt;0.80不进；未满足全部触发条件不进、不加仓</x:v>
      </x:c>
      <x:c r="I215" s="66" t="n">
        <x:v>46221.793217592596</x:v>
      </x:c>
      <x:c r="J215" s="65" t="str">
        <x:v>需复核</x:v>
      </x:c>
      <x:c r="K215" s="65"/>
      <x:c r="L215" s="65"/>
      <x:c r="M215" s="65"/>
      <x:c r="N215" s="549"/>
      <x:c r="O215" s="549"/>
      <x:c r="P215" s="549" t="str">
        <x:f>IF(COUNT(N215:O215)=0,"",SUM(N215:O215))</x:f>
      </x:c>
      <x:c r="Q215" s="65" t="str">
        <x:v>https://www.fotmob.com/matches/x/x#5842035；https://www.livescore.mobi/football/club-friendlies/club-friendlies-2026/lokomotiv-moscow-vs-rubin-kazan/1821850/；查询时间：2026-07-18 19:02（北京时间）</x:v>
      </x:c>
      <x:c r="R215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6" ht="38" customHeight="1">
      <x:c r="A216" s="65" t="str">
        <x:f>IF(B216="","",TEXT(B216,"yyyy-mm-dd")&amp;"|"&amp;D216&amp;"|"&amp;E216)</x:f>
        <x:v>2026-07-18|中文名待确认（Longridge Town）|布莱克本流浪者（Blackburn Rovers）</x:v>
      </x:c>
      <x:c r="B216" s="66" t="n">
        <x:v>46221.916666666664</x:v>
      </x:c>
      <x:c r="C216" s="65" t="str">
        <x:v>国际俱乐部友谊赛</x:v>
      </x:c>
      <x:c r="D216" s="65" t="str">
        <x:v>中文名待确认（Longridge Town）</x:v>
      </x:c>
      <x:c r="E216" s="65" t="str">
        <x:v>布莱克本流浪者（Blackburn Rovers）</x:v>
      </x:c>
      <x:c r="F216" s="65" t="str">
        <x:v>无可靠让球盘/只观察｜现有证据不足以形成可执行让球倾向</x:v>
      </x:c>
      <x:c r="G216" s="65" t="str">
        <x:v>无可靠大小球盘/只观察｜现有证据不足以形成可执行总进球倾向</x:v>
      </x:c>
      <x:c r="H216" s="65" t="str">
        <x:v>待确认首发、伤停、双方近5场与主客拆分、亚洲让球/大小球初盘及当前水位；任一市场欧赔&lt;1.80/港水&lt;0.80不进；未满足全部触发条件不进、不加仓</x:v>
      </x:c>
      <x:c r="I216" s="66" t="n">
        <x:v>46221.793217592596</x:v>
      </x:c>
      <x:c r="J216" s="65" t="str">
        <x:v>需复核</x:v>
      </x:c>
      <x:c r="K216" s="65"/>
      <x:c r="L216" s="65"/>
      <x:c r="M216" s="65"/>
      <x:c r="N216" s="549"/>
      <x:c r="O216" s="549"/>
      <x:c r="P216" s="549" t="str">
        <x:f>IF(COUNT(N216:O216)=0,"",SUM(N216:O216))</x:f>
      </x:c>
      <x:c r="Q216" s="65" t="str">
        <x:v>https://www.livescore.mobi/football/club-friendlies/club-friendlies-2026/longridge-town-vs-blackburn-rovers/1836835/；查询时间：2026-07-18 19:02（北京时间）</x:v>
      </x:c>
      <x:c r="R216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17" ht="38" customHeight="1">
      <x:c r="A217" s="65" t="str">
        <x:f>IF(B217="","",TEXT(B217,"yyyy-mm-dd")&amp;"|"&amp;D217&amp;"|"&amp;E217)</x:f>
        <x:v>2026-07-18|中文名待确认（Narva Trans）|中文名待确认（Parnu JK Vaprus）</x:v>
      </x:c>
      <x:c r="B217" s="66" t="n">
        <x:v>46221.916666666664</x:v>
      </x:c>
      <x:c r="C217" s="65" t="str">
        <x:v>爱沙尼亚甲级联赛</x:v>
      </x:c>
      <x:c r="D217" s="65" t="str">
        <x:v>中文名待确认（Narva Trans）</x:v>
      </x:c>
      <x:c r="E217" s="65" t="str">
        <x:v>中文名待确认（Parnu JK Vaprus）</x:v>
      </x:c>
      <x:c r="F217" s="65" t="str">
        <x:v>无可靠让球盘/只观察｜现有证据不足以形成可执行让球倾向</x:v>
      </x:c>
      <x:c r="G217" s="65" t="str">
        <x:v>无可靠大小球盘/只观察｜现有证据不足以形成可执行总进球倾向</x:v>
      </x:c>
      <x:c r="H217" s="65" t="str">
        <x:v>待确认首发、伤停、双方近5场与主客拆分、亚洲让球/大小球初盘及当前水位；任一市场欧赔&lt;1.80/港水&lt;0.80不进；未满足全部触发条件不进、不加仓</x:v>
      </x:c>
      <x:c r="I217" s="66" t="n">
        <x:v>46221.793217592596</x:v>
      </x:c>
      <x:c r="J217" s="65" t="str">
        <x:v>需复核</x:v>
      </x:c>
      <x:c r="K217" s="65"/>
      <x:c r="L217" s="65"/>
      <x:c r="M217" s="65"/>
      <x:c r="N217" s="549"/>
      <x:c r="O217" s="549"/>
      <x:c r="P217" s="549" t="str">
        <x:f>IF(COUNT(N217:O217)=0,"",SUM(N217:O217))</x:f>
      </x:c>
      <x:c r="Q217" s="65" t="str">
        <x:v>https://www.livescore.mobi/football/estonia/meistriliiga/narva-trans-vs-parnu-jk-vaprus/1733032/；https://www.fotmob.com/matches/x/x#1000007918；查询时间：2026-07-18 19:02（北京时间）</x:v>
      </x:c>
      <x:c r="R217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8" ht="38" customHeight="1">
      <x:c r="A218" s="65" t="str">
        <x:f>IF(B218="","",TEXT(B218,"yyyy-mm-dd")&amp;"|"&amp;D218&amp;"|"&amp;E218)</x:f>
        <x:v>2026-07-18|中文名待确认（Notts County）|诺丁汉森林（Nottingham Forest）</x:v>
      </x:c>
      <x:c r="B218" s="66" t="n">
        <x:v>46221.916666666664</x:v>
      </x:c>
      <x:c r="C218" s="65" t="str">
        <x:v>国际俱乐部友谊赛</x:v>
      </x:c>
      <x:c r="D218" s="65" t="str">
        <x:v>中文名待确认（Notts County）</x:v>
      </x:c>
      <x:c r="E218" s="65" t="str">
        <x:v>诺丁汉森林（Nottingham Forest）</x:v>
      </x:c>
      <x:c r="F218" s="65" t="str">
        <x:v>无可靠让球盘/只观察｜现有证据不足以形成可执行让球倾向</x:v>
      </x:c>
      <x:c r="G218" s="65" t="str">
        <x:v>无可靠大小球盘/只观察｜现有证据不足以形成可执行总进球倾向</x:v>
      </x:c>
      <x:c r="H218" s="65" t="str">
        <x:v>待确认首发、伤停、双方近5场与主客拆分、亚洲让球/大小球初盘及当前水位；任一市场欧赔&lt;1.80/港水&lt;0.80不进；未满足全部触发条件不进、不加仓</x:v>
      </x:c>
      <x:c r="I218" s="66" t="n">
        <x:v>46221.793217592596</x:v>
      </x:c>
      <x:c r="J218" s="65" t="str">
        <x:v>需复核</x:v>
      </x:c>
      <x:c r="K218" s="65"/>
      <x:c r="L218" s="65"/>
      <x:c r="M218" s="65"/>
      <x:c r="N218" s="549"/>
      <x:c r="O218" s="549"/>
      <x:c r="P218" s="549" t="str">
        <x:f>IF(COUNT(N218:O218)=0,"",SUM(N218:O218))</x:f>
      </x:c>
      <x:c r="Q218" s="65" t="str">
        <x:v>https://www.livescore.mobi/football/club-friendlies/featured-club-friendlies/notts-county-vs-nottingham-forest/1821980/；https://www.fotmob.com/matches/x/x#5899092；查询时间：2026-07-18 19:02（北京时间）</x:v>
      </x:c>
      <x:c r="R218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19" ht="38" customHeight="1">
      <x:c r="A219" s="65" t="str">
        <x:f>IF(B219="","",TEXT(B219,"yyyy-mm-dd")&amp;"|"&amp;D219&amp;"|"&amp;E219)</x:f>
        <x:v>2026-07-18|中文名待确认（Ross County）|克莱德（Clyde）</x:v>
      </x:c>
      <x:c r="B219" s="66" t="n">
        <x:v>46221.916666666664</x:v>
      </x:c>
      <x:c r="C219" s="65" t="str">
        <x:v>规范中文名待确认（Scotland - Scottish League Cup: Group D）</x:v>
      </x:c>
      <x:c r="D219" s="65" t="str">
        <x:v>中文名待确认（Ross County）</x:v>
      </x:c>
      <x:c r="E219" s="65" t="str">
        <x:v>克莱德（Clyde）</x:v>
      </x:c>
      <x:c r="F219" s="65" t="str">
        <x:v>无可靠让球盘/只观察｜现有证据不足以形成可执行让球倾向</x:v>
      </x:c>
      <x:c r="G219" s="65" t="str">
        <x:v>无可靠大小球盘/只观察｜现有证据不足以形成可执行总进球倾向</x:v>
      </x:c>
      <x:c r="H219" s="65" t="str">
        <x:v>待确认首发、伤停、双方近5场与主客拆分、亚洲让球/大小球初盘及当前水位；任一市场欧赔&lt;1.80/港水&lt;0.80不进；未满足全部触发条件不进、不加仓</x:v>
      </x:c>
      <x:c r="I219" s="66" t="n">
        <x:v>46221.793217592596</x:v>
      </x:c>
      <x:c r="J219" s="65" t="str">
        <x:v>需复核</x:v>
      </x:c>
      <x:c r="K219" s="65"/>
      <x:c r="L219" s="65"/>
      <x:c r="M219" s="65"/>
      <x:c r="N219" s="549"/>
      <x:c r="O219" s="549"/>
      <x:c r="P219" s="549" t="str">
        <x:f>IF(COUNT(N219:O219)=0,"",SUM(N219:O219))</x:f>
      </x:c>
      <x:c r="Q219" s="65" t="str">
        <x:v>https://www.livescore.mobi/football/scotland/league-cup-group-d/ross-county-vs-clyde/1786669/；https://www.fotmob.com/matches/x/x#5762752；https://www.espn.com/soccer/match/_/gameId/401874258/clyde-ross-county；查询时间：2026-07-18 19:02（北京时间）</x:v>
      </x:c>
      <x:c r="R219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WLWWL、客队WL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20" ht="38" customHeight="1">
      <x:c r="A220" s="65" t="str">
        <x:f>IF(B220="","",TEXT(B220,"yyyy-mm-dd")&amp;"|"&amp;D220&amp;"|"&amp;E220)</x:f>
        <x:v>2026-07-18|赛那乔其（SJK）|库奥皮奥（KuPS）</x:v>
      </x:c>
      <x:c r="B220" s="66" t="n">
        <x:v>46221.916666666664</x:v>
      </x:c>
      <x:c r="C220" s="65" t="str">
        <x:v>规范中文名待确认（FIN - Veikkausliiga）</x:v>
      </x:c>
      <x:c r="D220" s="65" t="str">
        <x:v>赛那乔其（SJK）</x:v>
      </x:c>
      <x:c r="E220" s="65" t="str">
        <x:v>库奥皮奥（KuPS）</x:v>
      </x:c>
      <x:c r="F220" s="65" t="str">
        <x:v>无可靠让球盘/只观察｜现有证据不足以形成可执行让球倾向</x:v>
      </x:c>
      <x:c r="G220" s="65" t="str">
        <x:v>无可靠大小球盘/只观察｜现有证据不足以形成可执行总进球倾向</x:v>
      </x:c>
      <x:c r="H220" s="65" t="str">
        <x:v>待确认首发、伤停、双方近5场与主客拆分、亚洲让球/大小球初盘及当前水位；任一市场欧赔&lt;1.80/港水&lt;0.80不进；未满足全部触发条件不进、不加仓</x:v>
      </x:c>
      <x:c r="I220" s="66" t="n">
        <x:v>46221.793217592596</x:v>
      </x:c>
      <x:c r="J220" s="65" t="str">
        <x:v>需复核</x:v>
      </x:c>
      <x:c r="K220" s="65"/>
      <x:c r="L220" s="65"/>
      <x:c r="M220" s="65"/>
      <x:c r="N220" s="549"/>
      <x:c r="O220" s="549"/>
      <x:c r="P220" s="549" t="str">
        <x:f>IF(COUNT(N220:O220)=0,"",SUM(N220:O220))</x:f>
      </x:c>
      <x:c r="Q220" s="65" t="str">
        <x:v>https://www.fotmob.com/matches/x/x#5147599；https://www.livescore.mobi/football/finland/veikkausliiga/sjk-j-vs-kups/1727762/；查询时间：2026-07-18 19:02（北京时间）</x:v>
      </x:c>
      <x:c r="R220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21" ht="38" customHeight="1">
      <x:c r="A221" s="65" t="str">
        <x:f>IF(B221="","",TEXT(B221,"yyyy-mm-dd")&amp;"|"&amp;D221&amp;"|"&amp;E221)</x:f>
        <x:v>2026-07-18|中文名待确认（Salzburg）|中文名待确认（Mamelodi Sundowns FC）</x:v>
      </x:c>
      <x:c r="B221" s="66" t="n">
        <x:v>46221.916666666664</x:v>
      </x:c>
      <x:c r="C221" s="65" t="str">
        <x:v>国际俱乐部友谊赛</x:v>
      </x:c>
      <x:c r="D221" s="65" t="str">
        <x:v>中文名待确认（Salzburg）</x:v>
      </x:c>
      <x:c r="E221" s="65" t="str">
        <x:v>中文名待确认（Mamelodi Sundowns FC）</x:v>
      </x:c>
      <x:c r="F221" s="65" t="str">
        <x:v>无可靠让球盘/只观察｜现有证据不足以形成可执行让球倾向</x:v>
      </x:c>
      <x:c r="G221" s="65" t="str">
        <x:v>无可靠大小球盘/只观察｜现有证据不足以形成可执行总进球倾向</x:v>
      </x:c>
      <x:c r="H221" s="65" t="str">
        <x:v>待确认首发、伤停、双方近5场与主客拆分、亚洲让球/大小球初盘及当前水位；任一市场欧赔&lt;1.80/港水&lt;0.80不进；未满足全部触发条件不进、不加仓</x:v>
      </x:c>
      <x:c r="I221" s="66" t="n">
        <x:v>46221.793217592596</x:v>
      </x:c>
      <x:c r="J221" s="65" t="str">
        <x:v>需复核</x:v>
      </x:c>
      <x:c r="K221" s="65"/>
      <x:c r="L221" s="65"/>
      <x:c r="M221" s="65"/>
      <x:c r="N221" s="549"/>
      <x:c r="O221" s="549"/>
      <x:c r="P221" s="549" t="str">
        <x:f>IF(COUNT(N221:O221)=0,"",SUM(N221:O221))</x:f>
      </x:c>
      <x:c r="Q221" s="65" t="str">
        <x:v>https://www.fotmob.com/matches/x/x#5903710；查询时间：2026-07-18 19:02（北京时间）</x:v>
      </x:c>
      <x:c r="R221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22" ht="38" customHeight="1">
      <x:c r="A222" s="65" t="str">
        <x:f>IF(B222="","",TEXT(B222,"yyyy-mm-dd")&amp;"|"&amp;D222&amp;"|"&amp;E222)</x:f>
        <x:v>2026-07-18|沙姆洛克流浪（Shamrock Rovers）|中文名待确认（Treaty United (W)）</x:v>
      </x:c>
      <x:c r="B222" s="66" t="n">
        <x:v>46221.916666666664</x:v>
      </x:c>
      <x:c r="C222" s="65" t="str">
        <x:v>规范中文名待确认（IRL - Women's Premier Division）</x:v>
      </x:c>
      <x:c r="D222" s="65" t="str">
        <x:v>沙姆洛克流浪（Shamrock Rovers）</x:v>
      </x:c>
      <x:c r="E222" s="65" t="str">
        <x:v>中文名待确认（Treaty United (W)）</x:v>
      </x:c>
      <x:c r="F222" s="65" t="str">
        <x:v>无可靠让球盘/只观察｜现有证据不足以形成可执行让球倾向</x:v>
      </x:c>
      <x:c r="G222" s="65" t="str">
        <x:v>无可靠大小球盘/只观察｜现有证据不足以形成可执行总进球倾向</x:v>
      </x:c>
      <x:c r="H222" s="65" t="str">
        <x:v>待确认首发、伤停、双方近5场与主客拆分、亚洲让球/大小球初盘及当前水位；任一市场欧赔&lt;1.80/港水&lt;0.80不进；未满足全部触发条件不进、不加仓</x:v>
      </x:c>
      <x:c r="I222" s="66" t="n">
        <x:v>46221.793217592596</x:v>
      </x:c>
      <x:c r="J222" s="65" t="str">
        <x:v>需复核</x:v>
      </x:c>
      <x:c r="K222" s="65"/>
      <x:c r="L222" s="65"/>
      <x:c r="M222" s="65"/>
      <x:c r="N222" s="549"/>
      <x:c r="O222" s="549"/>
      <x:c r="P222" s="549" t="str">
        <x:f>IF(COUNT(N222:O222)=0,"",SUM(N222:O222))</x:f>
      </x:c>
      <x:c r="Q222" s="65" t="str">
        <x:v>https://www.fotmob.com/matches/x/x#5101060；https://www.livescore.mobi/football/ireland/womens-national-league/shamrock-rovers-w-vs-treaty-united-w/1719715/；查询时间：2026-07-18 19:02（北京时间）</x:v>
      </x:c>
      <x:c r="R222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23" ht="38" customHeight="1">
      <x:c r="A223" s="65" t="str">
        <x:f>IF(B223="","",TEXT(B223,"yyyy-mm-dd")&amp;"|"&amp;D223&amp;"|"&amp;E223)</x:f>
        <x:v>2026-07-18|中文名待确认（Southend United）|西汉姆联（West Ham United）</x:v>
      </x:c>
      <x:c r="B223" s="66" t="n">
        <x:v>46221.916666666664</x:v>
      </x:c>
      <x:c r="C223" s="65" t="str">
        <x:v>国际俱乐部友谊赛</x:v>
      </x:c>
      <x:c r="D223" s="65" t="str">
        <x:v>中文名待确认（Southend United）</x:v>
      </x:c>
      <x:c r="E223" s="65" t="str">
        <x:v>西汉姆联（West Ham United）</x:v>
      </x:c>
      <x:c r="F223" s="65" t="str">
        <x:v>无可靠让球盘/只观察｜现有证据不足以形成可执行让球倾向</x:v>
      </x:c>
      <x:c r="G223" s="65" t="str">
        <x:v>无可靠大小球盘/只观察｜现有证据不足以形成可执行总进球倾向</x:v>
      </x:c>
      <x:c r="H223" s="65" t="str">
        <x:v>待确认首发、伤停、双方近5场与主客拆分、亚洲让球/大小球初盘及当前水位；任一市场欧赔&lt;1.80/港水&lt;0.80不进；未满足全部触发条件不进、不加仓</x:v>
      </x:c>
      <x:c r="I223" s="66" t="n">
        <x:v>46221.793217592596</x:v>
      </x:c>
      <x:c r="J223" s="65" t="str">
        <x:v>需复核</x:v>
      </x:c>
      <x:c r="K223" s="65"/>
      <x:c r="L223" s="65"/>
      <x:c r="M223" s="65"/>
      <x:c r="N223" s="549"/>
      <x:c r="O223" s="549"/>
      <x:c r="P223" s="549" t="str">
        <x:f>IF(COUNT(N223:O223)=0,"",SUM(N223:O223))</x:f>
      </x:c>
      <x:c r="Q223" s="65" t="str">
        <x:v>https://www.livescore.mobi/football/club-friendlies/club-friendlies-2026/southend-united-vs-west-ham-united/1836833/；查询时间：2026-07-18 19:02（北京时间）</x:v>
      </x:c>
      <x:c r="R223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24" ht="38" customHeight="1">
      <x:c r="A224" s="65" t="str">
        <x:f>IF(B224="","",TEXT(B224,"yyyy-mm-dd")&amp;"|"&amp;D224&amp;"|"&amp;E224)</x:f>
        <x:v>2026-07-18|中文名待确认（St Johnstone）|摩顿（Greenock Morton）</x:v>
      </x:c>
      <x:c r="B224" s="66" t="n">
        <x:v>46221.916666666664</x:v>
      </x:c>
      <x:c r="C224" s="65" t="str">
        <x:v>规范中文名待确认（Group Stage）</x:v>
      </x:c>
      <x:c r="D224" s="65" t="str">
        <x:v>中文名待确认（St Johnstone）</x:v>
      </x:c>
      <x:c r="E224" s="65" t="str">
        <x:v>摩顿（Greenock Morton）</x:v>
      </x:c>
      <x:c r="F224" s="65" t="str">
        <x:v>无可靠让球盘/只观察｜现有证据不足以形成可执行让球倾向</x:v>
      </x:c>
      <x:c r="G224" s="65" t="str">
        <x:v>无可靠大小球盘/只观察｜现有证据不足以形成可执行总进球倾向</x:v>
      </x:c>
      <x:c r="H224" s="65" t="str">
        <x:v>待确认首发、伤停、双方近5场与主客拆分、亚洲让球/大小球初盘及当前水位；任一市场欧赔&lt;1.80/港水&lt;0.80不进；未满足全部触发条件不进、不加仓</x:v>
      </x:c>
      <x:c r="I224" s="66" t="n">
        <x:v>46221.793217592596</x:v>
      </x:c>
      <x:c r="J224" s="65" t="str">
        <x:v>需复核</x:v>
      </x:c>
      <x:c r="K224" s="65"/>
      <x:c r="L224" s="65"/>
      <x:c r="M224" s="65"/>
      <x:c r="N224" s="549"/>
      <x:c r="O224" s="549"/>
      <x:c r="P224" s="549" t="str">
        <x:f>IF(COUNT(N224:O224)=0,"",SUM(N224:O224))</x:f>
      </x:c>
      <x:c r="Q224" s="65" t="str">
        <x:v>https://www.espn.com/soccer/match/_/gameId/401874253/greenock-morton-st-johnstone；https://www.livescore.mobi/football/scotland/league-cup-group-f/st-johnstone-vs-greenock-morton/1786689/；https://www.fotmob.com/matches/x/x#5763418；查询时间：2026-07-18 19:02（北京时间）</x:v>
      </x:c>
      <x:c r="R224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WWW、客队LLD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25" ht="38" customHeight="1">
      <x:c r="A225" s="65" t="str">
        <x:f>IF(B225="","",TEXT(B225,"yyyy-mm-dd")&amp;"|"&amp;D225&amp;"|"&amp;E225)</x:f>
        <x:v>2026-07-18|斯特灵阿尔比恩（Stirling Albion）|蒙特罗斯（Montrose）</x:v>
      </x:c>
      <x:c r="B225" s="66" t="n">
        <x:v>46221.916666666664</x:v>
      </x:c>
      <x:c r="C225" s="65" t="str">
        <x:v>规范中文名待确认（Scotland - Scottish League Cup: Group B）</x:v>
      </x:c>
      <x:c r="D225" s="65" t="str">
        <x:v>斯特灵阿尔比恩（Stirling Albion）</x:v>
      </x:c>
      <x:c r="E225" s="65" t="str">
        <x:v>蒙特罗斯（Montrose）</x:v>
      </x:c>
      <x:c r="F225" s="65" t="str">
        <x:v>无可靠让球盘/只观察｜现有证据不足以形成可执行让球倾向</x:v>
      </x:c>
      <x:c r="G225" s="65" t="str">
        <x:v>无可靠大小球盘/只观察｜现有证据不足以形成可执行总进球倾向</x:v>
      </x:c>
      <x:c r="H225" s="65" t="str">
        <x:v>待确认首发、伤停、双方近5场与主客拆分、亚洲让球/大小球初盘及当前水位；任一市场欧赔&lt;1.80/港水&lt;0.80不进；未满足全部触发条件不进、不加仓</x:v>
      </x:c>
      <x:c r="I225" s="66" t="n">
        <x:v>46221.793217592596</x:v>
      </x:c>
      <x:c r="J225" s="65" t="str">
        <x:v>需复核</x:v>
      </x:c>
      <x:c r="K225" s="65"/>
      <x:c r="L225" s="65"/>
      <x:c r="M225" s="65"/>
      <x:c r="N225" s="549"/>
      <x:c r="O225" s="549"/>
      <x:c r="P225" s="549" t="str">
        <x:f>IF(COUNT(N225:O225)=0,"",SUM(N225:O225))</x:f>
      </x:c>
      <x:c r="Q225" s="65" t="str">
        <x:v>https://www.livescore.mobi/football/scotland/league-cup-group-b/stirling-albion-vs-montrose/1786679/；https://www.fotmob.com/matches/x/x#5762586；https://www.espn.com/soccer/match/_/gameId/401874221/montrose-stirling-albion；查询时间：2026-07-18 19:02（北京时间）</x:v>
      </x:c>
      <x:c r="R225" s="65" t="str">
        <x:v>证据卡：杯赛/淘汰赛背景，赛制与晋级动机重要；具体轮次已按赛事名称核对，仍需临场阵容确认。比赛身份与北京时间由3类来源核对。阵容：未公布/未检索到可靠确认首发，伤停、停赛、轮换、阵型及替代者待确认。近期/主客：ESPN最近赛果序列：主队WLLWL、客队WL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26" ht="38" customHeight="1">
      <x:c r="A226" s="65" t="str">
        <x:f>IF(B226="","",TEXT(B226,"yyyy-mm-dd")&amp;"|"&amp;D226&amp;"|"&amp;E226)</x:f>
        <x:v>2026-07-18|中文名待确认（Uruguay Montevideo）|河床（River Plate）</x:v>
      </x:c>
      <x:c r="B226" s="66" t="n">
        <x:v>46221.916666666664</x:v>
      </x:c>
      <x:c r="C226" s="65" t="str">
        <x:v>规范中文名待确认（Uruguay - Segunda División）</x:v>
      </x:c>
      <x:c r="D226" s="65" t="str">
        <x:v>中文名待确认（Uruguay Montevideo）</x:v>
      </x:c>
      <x:c r="E226" s="65" t="str">
        <x:v>河床（River Plate）</x:v>
      </x:c>
      <x:c r="F226" s="65" t="str">
        <x:v>无可靠让球盘/只观察｜现有证据不足以形成可执行让球倾向</x:v>
      </x:c>
      <x:c r="G226" s="65" t="str">
        <x:v>无可靠大小球盘/只观察｜现有证据不足以形成可执行总进球倾向</x:v>
      </x:c>
      <x:c r="H226" s="65" t="str">
        <x:v>待确认首发、伤停、双方近5场与主客拆分、亚洲让球/大小球初盘及当前水位；任一市场欧赔&lt;1.80/港水&lt;0.80不进；未满足全部触发条件不进、不加仓</x:v>
      </x:c>
      <x:c r="I226" s="66" t="n">
        <x:v>46221.793217592596</x:v>
      </x:c>
      <x:c r="J226" s="65" t="str">
        <x:v>需复核</x:v>
      </x:c>
      <x:c r="K226" s="65"/>
      <x:c r="L226" s="65"/>
      <x:c r="M226" s="65"/>
      <x:c r="N226" s="549"/>
      <x:c r="O226" s="549"/>
      <x:c r="P226" s="549" t="str">
        <x:f>IF(COUNT(N226:O226)=0,"",SUM(N226:O226))</x:f>
      </x:c>
      <x:c r="Q226" s="65" t="str">
        <x:v>https://www.livescore.mobi/football/uruguay/segunda-division/uruguay-montevideo-vs-river-plate/1820690/；https://www.fotmob.com/matches/x/x#5904125；查询时间：2026-07-18 19:02（北京时间）</x:v>
      </x:c>
      <x:c r="R22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27" ht="38" customHeight="1">
      <x:c r="A227" s="65" t="str">
        <x:f>IF(B227="","",TEXT(B227,"yyyy-mm-dd")&amp;"|"&amp;D227&amp;"|"&amp;E227)</x:f>
        <x:v>2026-07-18|中文名待确认（VJS）|中文名待确认（Tampere United）</x:v>
      </x:c>
      <x:c r="B227" s="66" t="n">
        <x:v>46221.916666666664</x:v>
      </x:c>
      <x:c r="C227" s="65" t="str">
        <x:v>规范中文名待确认（Finland - Ykkonen）</x:v>
      </x:c>
      <x:c r="D227" s="65" t="str">
        <x:v>中文名待确认（VJS）</x:v>
      </x:c>
      <x:c r="E227" s="65" t="str">
        <x:v>中文名待确认（Tampere United）</x:v>
      </x:c>
      <x:c r="F227" s="65" t="str">
        <x:v>无可靠让球盘/只观察｜现有证据不足以形成可执行让球倾向</x:v>
      </x:c>
      <x:c r="G227" s="65" t="str">
        <x:v>无可靠大小球盘/只观察｜现有证据不足以形成可执行总进球倾向</x:v>
      </x:c>
      <x:c r="H227" s="65" t="str">
        <x:v>待确认首发、伤停、双方近5场与主客拆分、亚洲让球/大小球初盘及当前水位；任一市场欧赔&lt;1.80/港水&lt;0.80不进；未满足全部触发条件不进、不加仓</x:v>
      </x:c>
      <x:c r="I227" s="66" t="n">
        <x:v>46221.793217592596</x:v>
      </x:c>
      <x:c r="J227" s="65" t="str">
        <x:v>需复核</x:v>
      </x:c>
      <x:c r="K227" s="65"/>
      <x:c r="L227" s="65"/>
      <x:c r="M227" s="65"/>
      <x:c r="N227" s="549"/>
      <x:c r="O227" s="549"/>
      <x:c r="P227" s="549" t="str">
        <x:f>IF(COUNT(N227:O227)=0,"",SUM(N227:O227))</x:f>
      </x:c>
      <x:c r="Q227" s="65" t="str">
        <x:v>https://www.livescore.mobi/football/finland/ykkonen/vjs-vs-tampere-united/1732789/；https://www.fotmob.com/matches/x/x#5164010；查询时间：2026-07-18 19:02（北京时间）</x:v>
      </x:c>
      <x:c r="R227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28" ht="38" customHeight="1">
      <x:c r="A228" s="65" t="str">
        <x:f>IF(B228="","",TEXT(B228,"yyyy-mm-dd")&amp;"|"&amp;D228&amp;"|"&amp;E228)</x:f>
        <x:v>2026-07-18|中文名待确认（Waterford）|中文名待确认（Peamount United W）</x:v>
      </x:c>
      <x:c r="B228" s="66" t="n">
        <x:v>46221.916666666664</x:v>
      </x:c>
      <x:c r="C228" s="65" t="str">
        <x:v>规范中文名待确认（Ireland - Women's Premier Division）</x:v>
      </x:c>
      <x:c r="D228" s="65" t="str">
        <x:v>中文名待确认（Waterford）</x:v>
      </x:c>
      <x:c r="E228" s="65" t="str">
        <x:v>中文名待确认（Peamount United W）</x:v>
      </x:c>
      <x:c r="F228" s="65" t="str">
        <x:v>无可靠让球盘/只观察｜现有证据不足以形成可执行让球倾向</x:v>
      </x:c>
      <x:c r="G228" s="65" t="str">
        <x:v>无可靠大小球盘/只观察｜现有证据不足以形成可执行总进球倾向</x:v>
      </x:c>
      <x:c r="H228" s="65" t="str">
        <x:v>待确认首发、伤停、双方近5场与主客拆分、亚洲让球/大小球初盘及当前水位；任一市场欧赔&lt;1.80/港水&lt;0.80不进；未满足全部触发条件不进、不加仓</x:v>
      </x:c>
      <x:c r="I228" s="66" t="n">
        <x:v>46221.793217592596</x:v>
      </x:c>
      <x:c r="J228" s="65" t="str">
        <x:v>需复核</x:v>
      </x:c>
      <x:c r="K228" s="65"/>
      <x:c r="L228" s="65"/>
      <x:c r="M228" s="65"/>
      <x:c r="N228" s="549"/>
      <x:c r="O228" s="549"/>
      <x:c r="P228" s="549" t="str">
        <x:f>IF(COUNT(N228:O228)=0,"",SUM(N228:O228))</x:f>
      </x:c>
      <x:c r="Q228" s="65" t="str">
        <x:v>https://www.livescore.mobi/football/ireland/womens-national-league/waterford-vs-peamount-united-w/1719713/；https://www.fotmob.com/matches/x/x#5101058；查询时间：2026-07-18 19:02（北京时间）</x:v>
      </x:c>
      <x:c r="R228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29" ht="38" customHeight="1">
      <x:c r="A229" s="65" t="str">
        <x:f>IF(B229="","",TEXT(B229,"yyyy-mm-dd")&amp;"|"&amp;D229&amp;"|"&amp;E229)</x:f>
        <x:v>2026-07-18|中文名待确认（Westerlo）|中文名待确认（Eupen）</x:v>
      </x:c>
      <x:c r="B229" s="66" t="n">
        <x:v>46221.916666666664</x:v>
      </x:c>
      <x:c r="C229" s="65" t="str">
        <x:v>国际俱乐部友谊赛</x:v>
      </x:c>
      <x:c r="D229" s="65" t="str">
        <x:v>中文名待确认（Westerlo）</x:v>
      </x:c>
      <x:c r="E229" s="65" t="str">
        <x:v>中文名待确认（Eupen）</x:v>
      </x:c>
      <x:c r="F229" s="65" t="str">
        <x:v>无可靠让球盘/只观察｜现有证据不足以形成可执行让球倾向</x:v>
      </x:c>
      <x:c r="G229" s="65" t="str">
        <x:v>无可靠大小球盘/只观察｜现有证据不足以形成可执行总进球倾向</x:v>
      </x:c>
      <x:c r="H229" s="65" t="str">
        <x:v>待确认首发、伤停、双方近5场与主客拆分、亚洲让球/大小球初盘及当前水位；任一市场欧赔&lt;1.80/港水&lt;0.80不进；未满足全部触发条件不进、不加仓</x:v>
      </x:c>
      <x:c r="I229" s="66" t="n">
        <x:v>46221.793217592596</x:v>
      </x:c>
      <x:c r="J229" s="65" t="str">
        <x:v>需复核</x:v>
      </x:c>
      <x:c r="K229" s="65"/>
      <x:c r="L229" s="65"/>
      <x:c r="M229" s="65"/>
      <x:c r="N229" s="549"/>
      <x:c r="O229" s="549"/>
      <x:c r="P229" s="549" t="str">
        <x:f>IF(COUNT(N229:O229)=0,"",SUM(N229:O229))</x:f>
      </x:c>
      <x:c r="Q229" s="65" t="str">
        <x:v>https://www.livescore.mobi/football/club-friendlies/club-friendlies-2026/westerlo-vs-eupen/1836832/；查询时间：2026-07-18 19:02（北京时间）</x:v>
      </x:c>
      <x:c r="R229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30" ht="38" customHeight="1">
      <x:c r="A230" s="65" t="str">
        <x:f>IF(B230="","",TEXT(B230,"yyyy-mm-dd")&amp;"|"&amp;D230&amp;"|"&amp;E230)</x:f>
        <x:v>2026-07-18|中文名待确认（York City）|桑德兰（Sunderland AFC）</x:v>
      </x:c>
      <x:c r="B230" s="66" t="n">
        <x:v>46221.916666666664</x:v>
      </x:c>
      <x:c r="C230" s="65" t="str">
        <x:v>国际俱乐部友谊赛</x:v>
      </x:c>
      <x:c r="D230" s="65" t="str">
        <x:v>中文名待确认（York City）</x:v>
      </x:c>
      <x:c r="E230" s="65" t="str">
        <x:v>桑德兰（Sunderland AFC）</x:v>
      </x:c>
      <x:c r="F230" s="65" t="str">
        <x:v>无可靠让球盘/只观察｜现有证据不足以形成可执行让球倾向</x:v>
      </x:c>
      <x:c r="G230" s="65" t="str">
        <x:v>无可靠大小球盘/只观察｜现有证据不足以形成可执行总进球倾向</x:v>
      </x:c>
      <x:c r="H230" s="65" t="str">
        <x:v>待确认首发、伤停、双方近5场与主客拆分、亚洲让球/大小球初盘及当前水位；任一市场欧赔&lt;1.80/港水&lt;0.80不进；未满足全部触发条件不进、不加仓</x:v>
      </x:c>
      <x:c r="I230" s="66" t="n">
        <x:v>46221.793217592596</x:v>
      </x:c>
      <x:c r="J230" s="65" t="str">
        <x:v>需复核</x:v>
      </x:c>
      <x:c r="K230" s="65"/>
      <x:c r="L230" s="65"/>
      <x:c r="M230" s="65"/>
      <x:c r="N230" s="549"/>
      <x:c r="O230" s="549"/>
      <x:c r="P230" s="549" t="str">
        <x:f>IF(COUNT(N230:O230)=0,"",SUM(N230:O230))</x:f>
      </x:c>
      <x:c r="Q230" s="65" t="str">
        <x:v>https://www.livescore.mobi/football/club-friendlies/club-friendlies-2026/york-city-vs-sunderland/1821957/；https://www.fotmob.com/matches/x/x#5898845；查询时间：2026-07-18 19:02（北京时间）</x:v>
      </x:c>
      <x:c r="R230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31" ht="38" customHeight="1">
      <x:c r="A231" s="65" t="str">
        <x:f>IF(B231="","",TEXT(B231,"yyyy-mm-dd")&amp;"|"&amp;D231&amp;"|"&amp;E231)</x:f>
        <x:v>2026-07-18|阿贾克斯（Ajax）|中文名待确认（Olympiacos）</x:v>
      </x:c>
      <x:c r="B231" s="66" t="n">
        <x:v>46221.895833333336</x:v>
      </x:c>
      <x:c r="C231" s="65" t="str">
        <x:v>国际俱乐部友谊赛</x:v>
      </x:c>
      <x:c r="D231" s="65" t="str">
        <x:v>阿贾克斯（Ajax）</x:v>
      </x:c>
      <x:c r="E231" s="65" t="str">
        <x:v>中文名待确认（Olympiacos）</x:v>
      </x:c>
      <x:c r="F231" s="65" t="str">
        <x:v>无可靠让球盘/只观察｜现有证据不足以形成可执行让球倾向</x:v>
      </x:c>
      <x:c r="G231" s="65" t="str">
        <x:v>无可靠大小球盘/只观察｜现有证据不足以形成可执行总进球倾向</x:v>
      </x:c>
      <x:c r="H231" s="65" t="str">
        <x:v>待确认首发、伤停、双方近5场与主客拆分、亚洲让球/大小球初盘及当前水位；任一市场欧赔&lt;1.80/港水&lt;0.80不进；未满足全部触发条件不进、不加仓</x:v>
      </x:c>
      <x:c r="I231" s="66" t="n">
        <x:v>46221.793217592596</x:v>
      </x:c>
      <x:c r="J231" s="65" t="str">
        <x:v>需复核</x:v>
      </x:c>
      <x:c r="K231" s="65"/>
      <x:c r="L231" s="65"/>
      <x:c r="M231" s="65"/>
      <x:c r="N231" s="549"/>
      <x:c r="O231" s="549"/>
      <x:c r="P231" s="549" t="str">
        <x:f>IF(COUNT(N231:O231)=0,"",SUM(N231:O231))</x:f>
      </x:c>
      <x:c r="Q231" s="65" t="str">
        <x:v>https://www.livescore.mobi/football/club-friendlies/featured-club-friendlies/ajax-vs-olympiacos/1821861/；https://www.fotmob.com/matches/x/x#5847095；https://www.espn.com/soccer/match/_/gameId/401886544/olympiacos-ajax-amsterdam；查询时间：2026-07-18 19:02（北京时间）</x:v>
      </x:c>
      <x:c r="R231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ESPN最近赛果序列：主队WWDLD、客队DW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32" ht="38" customHeight="1">
      <x:c r="A232" s="65" t="str">
        <x:f>IF(B232="","",TEXT(B232,"yyyy-mm-dd")&amp;"|"&amp;D232&amp;"|"&amp;E232)</x:f>
        <x:v>2026-07-18|中文名待确认（Basel）|尤文图斯（Juventus）</x:v>
      </x:c>
      <x:c r="B232" s="66" t="n">
        <x:v>46221.895833333336</x:v>
      </x:c>
      <x:c r="C232" s="65" t="str">
        <x:v>国际俱乐部友谊赛</x:v>
      </x:c>
      <x:c r="D232" s="65" t="str">
        <x:v>中文名待确认（Basel）</x:v>
      </x:c>
      <x:c r="E232" s="65" t="str">
        <x:v>尤文图斯（Juventus）</x:v>
      </x:c>
      <x:c r="F232" s="65" t="str">
        <x:v>无可靠让球盘/只观察｜现有证据不足以形成可执行让球倾向</x:v>
      </x:c>
      <x:c r="G232" s="65" t="str">
        <x:v>无可靠大小球盘/只观察｜现有证据不足以形成可执行总进球倾向</x:v>
      </x:c>
      <x:c r="H232" s="65" t="str">
        <x:v>待确认首发、伤停、双方近5场与主客拆分、亚洲让球/大小球初盘及当前水位；任一市场欧赔&lt;1.80/港水&lt;0.80不进；未满足全部触发条件不进、不加仓</x:v>
      </x:c>
      <x:c r="I232" s="66" t="n">
        <x:v>46221.793217592596</x:v>
      </x:c>
      <x:c r="J232" s="65" t="str">
        <x:v>需复核</x:v>
      </x:c>
      <x:c r="K232" s="65"/>
      <x:c r="L232" s="65"/>
      <x:c r="M232" s="65"/>
      <x:c r="N232" s="549"/>
      <x:c r="O232" s="549"/>
      <x:c r="P232" s="549" t="str">
        <x:f>IF(COUNT(N232:O232)=0,"",SUM(N232:O232))</x:f>
      </x:c>
      <x:c r="Q232" s="65" t="str">
        <x:v>https://www.livescore.mobi/football/club-friendlies/featured-club-friendlies/basel-vs-juventus/1821778/；https://www.fotmob.com/matches/x/x#5769579；https://www.espn.com/soccer/match/_/gameId/401886543/juventus-fc-basel；查询时间：2026-07-18 19:02（北京时间）</x:v>
      </x:c>
      <x:c r="R232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ESPN最近赛果序列：主队LLLLW、客队DLWD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33" ht="38" customHeight="1">
      <x:c r="A233" s="65" t="str">
        <x:f>IF(B233="","",TEXT(B233,"yyyy-mm-dd")&amp;"|"&amp;D233&amp;"|"&amp;E233)</x:f>
        <x:v>2026-07-18|特温特（FC Twente）|中文名待确认（Gent）</x:v>
      </x:c>
      <x:c r="B233" s="66" t="n">
        <x:v>46221.895833333336</x:v>
      </x:c>
      <x:c r="C233" s="65" t="str">
        <x:v>国际俱乐部友谊赛</x:v>
      </x:c>
      <x:c r="D233" s="65" t="str">
        <x:v>特温特（FC Twente）</x:v>
      </x:c>
      <x:c r="E233" s="65" t="str">
        <x:v>中文名待确认（Gent）</x:v>
      </x:c>
      <x:c r="F233" s="65" t="str">
        <x:v>无可靠让球盘/只观察｜现有证据不足以形成可执行让球倾向</x:v>
      </x:c>
      <x:c r="G233" s="65" t="str">
        <x:v>无可靠大小球盘/只观察｜现有证据不足以形成可执行总进球倾向</x:v>
      </x:c>
      <x:c r="H233" s="65" t="str">
        <x:v>待确认首发、伤停、双方近5场与主客拆分、亚洲让球/大小球初盘及当前水位；任一市场欧赔&lt;1.80/港水&lt;0.80不进；未满足全部触发条件不进、不加仓</x:v>
      </x:c>
      <x:c r="I233" s="66" t="n">
        <x:v>46221.793217592596</x:v>
      </x:c>
      <x:c r="J233" s="65" t="str">
        <x:v>需复核</x:v>
      </x:c>
      <x:c r="K233" s="65"/>
      <x:c r="L233" s="65"/>
      <x:c r="M233" s="65"/>
      <x:c r="N233" s="549"/>
      <x:c r="O233" s="549"/>
      <x:c r="P233" s="549" t="str">
        <x:f>IF(COUNT(N233:O233)=0,"",SUM(N233:O233))</x:f>
      </x:c>
      <x:c r="Q233" s="65" t="str">
        <x:v>https://www.livescore.mobi/football/club-friendlies/club-friendlies-2026/fc-twente-vs-gent/1836813/；查询时间：2026-07-18 19:02（北京时间）</x:v>
      </x:c>
      <x:c r="R233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34" ht="38" customHeight="1">
      <x:c r="A234" s="65" t="str">
        <x:f>IF(B234="","",TEXT(B234,"yyyy-mm-dd")&amp;"|"&amp;D234&amp;"|"&amp;E234)</x:f>
        <x:v>2026-07-18|中文名待确认（Freiberg）|中文名待确认（Hoffenheim）</x:v>
      </x:c>
      <x:c r="B234" s="66" t="n">
        <x:v>46221.895833333336</x:v>
      </x:c>
      <x:c r="C234" s="65" t="str">
        <x:v>国际俱乐部友谊赛</x:v>
      </x:c>
      <x:c r="D234" s="65" t="str">
        <x:v>中文名待确认（Freiberg）</x:v>
      </x:c>
      <x:c r="E234" s="65" t="str">
        <x:v>中文名待确认（Hoffenheim）</x:v>
      </x:c>
      <x:c r="F234" s="65" t="str">
        <x:v>无可靠让球盘/只观察｜现有证据不足以形成可执行让球倾向</x:v>
      </x:c>
      <x:c r="G234" s="65" t="str">
        <x:v>无可靠大小球盘/只观察｜现有证据不足以形成可执行总进球倾向</x:v>
      </x:c>
      <x:c r="H234" s="65" t="str">
        <x:v>待确认首发、伤停、双方近5场与主客拆分、亚洲让球/大小球初盘及当前水位；任一市场欧赔&lt;1.80/港水&lt;0.80不进；未满足全部触发条件不进、不加仓</x:v>
      </x:c>
      <x:c r="I234" s="66" t="n">
        <x:v>46221.793217592596</x:v>
      </x:c>
      <x:c r="J234" s="65" t="str">
        <x:v>需复核</x:v>
      </x:c>
      <x:c r="K234" s="65"/>
      <x:c r="L234" s="65"/>
      <x:c r="M234" s="65"/>
      <x:c r="N234" s="549"/>
      <x:c r="O234" s="549"/>
      <x:c r="P234" s="549" t="str">
        <x:f>IF(COUNT(N234:O234)=0,"",SUM(N234:O234))</x:f>
      </x:c>
      <x:c r="Q234" s="65" t="str">
        <x:v>https://www.livescore.mobi/football/club-friendlies/club-friendlies-2026/freiberg-vs-hoffenheim/1822125/；https://www.fotmob.com/matches/x/x#5900630；查询时间：2026-07-18 19:02（北京时间）</x:v>
      </x:c>
      <x:c r="R234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35" ht="38" customHeight="1">
      <x:c r="A235" s="65" t="str">
        <x:f>IF(B235="","",TEXT(B235,"yyyy-mm-dd")&amp;"|"&amp;D235&amp;"|"&amp;E235)</x:f>
        <x:v>2026-07-18|中文名待确认（LASK）|杜塞尔多夫（Fortuna Düsseldorf）</x:v>
      </x:c>
      <x:c r="B235" s="66" t="n">
        <x:v>46221.895833333336</x:v>
      </x:c>
      <x:c r="C235" s="65" t="str">
        <x:v>国际俱乐部友谊赛</x:v>
      </x:c>
      <x:c r="D235" s="65" t="str">
        <x:v>中文名待确认（LASK）</x:v>
      </x:c>
      <x:c r="E235" s="65" t="str">
        <x:v>杜塞尔多夫（Fortuna Düsseldorf）</x:v>
      </x:c>
      <x:c r="F235" s="65" t="str">
        <x:v>无可靠让球盘/只观察｜现有证据不足以形成可执行让球倾向</x:v>
      </x:c>
      <x:c r="G235" s="65" t="str">
        <x:v>无可靠大小球盘/只观察｜现有证据不足以形成可执行总进球倾向</x:v>
      </x:c>
      <x:c r="H235" s="65" t="str">
        <x:v>待确认首发、伤停、双方近5场与主客拆分、亚洲让球/大小球初盘及当前水位；任一市场欧赔&lt;1.80/港水&lt;0.80不进；未满足全部触发条件不进、不加仓</x:v>
      </x:c>
      <x:c r="I235" s="66" t="n">
        <x:v>46221.793217592596</x:v>
      </x:c>
      <x:c r="J235" s="65" t="str">
        <x:v>需复核</x:v>
      </x:c>
      <x:c r="K235" s="65"/>
      <x:c r="L235" s="65"/>
      <x:c r="M235" s="65"/>
      <x:c r="N235" s="549"/>
      <x:c r="O235" s="549"/>
      <x:c r="P235" s="549" t="str">
        <x:f>IF(COUNT(N235:O235)=0,"",SUM(N235:O235))</x:f>
      </x:c>
      <x:c r="Q235" s="65" t="str">
        <x:v>https://www.livescore.mobi/football/club-friendlies/club-friendlies-2026/lask-vs-fortuna-dusseldorf/1821747/；查询时间：2026-07-18 19:02（北京时间）</x:v>
      </x:c>
      <x:c r="R23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36" ht="38" customHeight="1">
      <x:c r="A236" s="65" t="str">
        <x:f>IF(B236="","",TEXT(B236,"yyyy-mm-dd")&amp;"|"&amp;D236&amp;"|"&amp;E236)</x:f>
        <x:v>2026-07-18|中文名待确认（Sportfreunde Baumberg）|勒沃库森（Bayer Leverkusen）</x:v>
      </x:c>
      <x:c r="B236" s="66" t="n">
        <x:v>46221.895833333336</x:v>
      </x:c>
      <x:c r="C236" s="65" t="str">
        <x:v>国际俱乐部友谊赛</x:v>
      </x:c>
      <x:c r="D236" s="65" t="str">
        <x:v>中文名待确认（Sportfreunde Baumberg）</x:v>
      </x:c>
      <x:c r="E236" s="65" t="str">
        <x:v>勒沃库森（Bayer Leverkusen）</x:v>
      </x:c>
      <x:c r="F236" s="65" t="str">
        <x:v>无可靠让球盘/只观察｜现有证据不足以形成可执行让球倾向</x:v>
      </x:c>
      <x:c r="G236" s="65" t="str">
        <x:v>无可靠大小球盘/只观察｜现有证据不足以形成可执行总进球倾向</x:v>
      </x:c>
      <x:c r="H236" s="65" t="str">
        <x:v>待确认首发、伤停、双方近5场与主客拆分、亚洲让球/大小球初盘及当前水位；任一市场欧赔&lt;1.80/港水&lt;0.80不进；未满足全部触发条件不进、不加仓</x:v>
      </x:c>
      <x:c r="I236" s="66" t="n">
        <x:v>46221.793217592596</x:v>
      </x:c>
      <x:c r="J236" s="65" t="str">
        <x:v>需复核</x:v>
      </x:c>
      <x:c r="K236" s="65"/>
      <x:c r="L236" s="65"/>
      <x:c r="M236" s="65"/>
      <x:c r="N236" s="549"/>
      <x:c r="O236" s="549"/>
      <x:c r="P236" s="549" t="str">
        <x:f>IF(COUNT(N236:O236)=0,"",SUM(N236:O236))</x:f>
      </x:c>
      <x:c r="Q236" s="65" t="str">
        <x:v>https://www.livescore.mobi/football/club-friendlies/featured-club-friendlies/sportfreunde-baumberg-vs-bayer-leverkusen/1821695/；https://www.fotmob.com/matches/x/x#5765416；查询时间：2026-07-18 19:02（北京时间）</x:v>
      </x:c>
      <x:c r="R236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37" ht="38" customHeight="1">
      <x:c r="A237" s="65" t="str">
        <x:f>IF(B237="","",TEXT(B237,"yyyy-mm-dd")&amp;"|"&amp;D237&amp;"|"&amp;E237)</x:f>
        <x:v>2026-07-18|中文名待确认（Sportfreunde Lotte）|皇家贝蒂斯（Real Betis）</x:v>
      </x:c>
      <x:c r="B237" s="66" t="n">
        <x:v>46221.895833333336</x:v>
      </x:c>
      <x:c r="C237" s="65" t="str">
        <x:v>国际俱乐部友谊赛</x:v>
      </x:c>
      <x:c r="D237" s="65" t="str">
        <x:v>中文名待确认（Sportfreunde Lotte）</x:v>
      </x:c>
      <x:c r="E237" s="65" t="str">
        <x:v>皇家贝蒂斯（Real Betis）</x:v>
      </x:c>
      <x:c r="F237" s="65" t="str">
        <x:v>无可靠让球盘/只观察｜现有证据不足以形成可执行让球倾向</x:v>
      </x:c>
      <x:c r="G237" s="65" t="str">
        <x:v>无可靠大小球盘/只观察｜现有证据不足以形成可执行总进球倾向</x:v>
      </x:c>
      <x:c r="H237" s="65" t="str">
        <x:v>待确认首发、伤停、双方近5场与主客拆分、亚洲让球/大小球初盘及当前水位；任一市场欧赔&lt;1.80/港水&lt;0.80不进；未满足全部触发条件不进、不加仓</x:v>
      </x:c>
      <x:c r="I237" s="66" t="n">
        <x:v>46221.793217592596</x:v>
      </x:c>
      <x:c r="J237" s="65" t="str">
        <x:v>需复核</x:v>
      </x:c>
      <x:c r="K237" s="65"/>
      <x:c r="L237" s="65"/>
      <x:c r="M237" s="65"/>
      <x:c r="N237" s="549"/>
      <x:c r="O237" s="549"/>
      <x:c r="P237" s="549" t="str">
        <x:f>IF(COUNT(N237:O237)=0,"",SUM(N237:O237))</x:f>
      </x:c>
      <x:c r="Q237" s="65" t="str">
        <x:v>https://www.livescore.mobi/football/club-friendlies/club-friendlies-2026/sportfreunde-lotte-vs-real-betis/1822061/；https://www.fotmob.com/matches/x/x#5900321；查询时间：2026-07-18 19:02（北京时间）</x:v>
      </x:c>
      <x:c r="R237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38" ht="38" customHeight="1">
      <x:c r="A238" s="65" t="str">
        <x:f>IF(B238="","",TEXT(B238,"yyyy-mm-dd")&amp;"|"&amp;D238&amp;"|"&amp;E238)</x:f>
        <x:v>2026-07-18|中文名待确认（TSV Hartberg）|中文名待确认（First Vienna FC）</x:v>
      </x:c>
      <x:c r="B238" s="66" t="n">
        <x:v>46221.895833333336</x:v>
      </x:c>
      <x:c r="C238" s="65" t="str">
        <x:v>国际俱乐部友谊赛</x:v>
      </x:c>
      <x:c r="D238" s="65" t="str">
        <x:v>中文名待确认（TSV Hartberg）</x:v>
      </x:c>
      <x:c r="E238" s="65" t="str">
        <x:v>中文名待确认（First Vienna FC）</x:v>
      </x:c>
      <x:c r="F238" s="65" t="str">
        <x:v>无可靠让球盘/只观察｜现有证据不足以形成可执行让球倾向</x:v>
      </x:c>
      <x:c r="G238" s="65" t="str">
        <x:v>无可靠大小球盘/只观察｜现有证据不足以形成可执行总进球倾向</x:v>
      </x:c>
      <x:c r="H238" s="65" t="str">
        <x:v>待确认首发、伤停、双方近5场与主客拆分、亚洲让球/大小球初盘及当前水位；任一市场欧赔&lt;1.80/港水&lt;0.80不进；未满足全部触发条件不进、不加仓</x:v>
      </x:c>
      <x:c r="I238" s="66" t="n">
        <x:v>46221.793217592596</x:v>
      </x:c>
      <x:c r="J238" s="65" t="str">
        <x:v>需复核</x:v>
      </x:c>
      <x:c r="K238" s="65"/>
      <x:c r="L238" s="65"/>
      <x:c r="M238" s="65"/>
      <x:c r="N238" s="549"/>
      <x:c r="O238" s="549"/>
      <x:c r="P238" s="549" t="str">
        <x:f>IF(COUNT(N238:O238)=0,"",SUM(N238:O238))</x:f>
      </x:c>
      <x:c r="Q238" s="65" t="str">
        <x:v>https://www.livescore.mobi/football/club-friendlies/club-friendlies-2026/tsv-hartberg-vs-first-vienna-fc/1821889/；查询时间：2026-07-18 19:02（北京时间）</x:v>
      </x:c>
      <x:c r="R238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39" ht="38" customHeight="1">
      <x:c r="A239" s="65" t="str">
        <x:f>IF(B239="","",TEXT(B239,"yyyy-mm-dd")&amp;"|"&amp;D239&amp;"|"&amp;E239)</x:f>
        <x:v>2026-07-18|中文名待确认（Young Boys）|中文名待确认（Etoile Carouge）</x:v>
      </x:c>
      <x:c r="B239" s="66" t="n">
        <x:v>46221.895833333336</x:v>
      </x:c>
      <x:c r="C239" s="65" t="str">
        <x:v>国际俱乐部友谊赛</x:v>
      </x:c>
      <x:c r="D239" s="65" t="str">
        <x:v>中文名待确认（Young Boys）</x:v>
      </x:c>
      <x:c r="E239" s="65" t="str">
        <x:v>中文名待确认（Etoile Carouge）</x:v>
      </x:c>
      <x:c r="F239" s="65" t="str">
        <x:v>无可靠让球盘/只观察｜现有证据不足以形成可执行让球倾向</x:v>
      </x:c>
      <x:c r="G239" s="65" t="str">
        <x:v>无可靠大小球盘/只观察｜现有证据不足以形成可执行总进球倾向</x:v>
      </x:c>
      <x:c r="H239" s="65" t="str">
        <x:v>待确认首发、伤停、双方近5场与主客拆分、亚洲让球/大小球初盘及当前水位；任一市场欧赔&lt;1.80/港水&lt;0.80不进；未满足全部触发条件不进、不加仓</x:v>
      </x:c>
      <x:c r="I239" s="66" t="n">
        <x:v>46221.793217592596</x:v>
      </x:c>
      <x:c r="J239" s="65" t="str">
        <x:v>需复核</x:v>
      </x:c>
      <x:c r="K239" s="65"/>
      <x:c r="L239" s="65"/>
      <x:c r="M239" s="65"/>
      <x:c r="N239" s="549"/>
      <x:c r="O239" s="549"/>
      <x:c r="P239" s="549" t="str">
        <x:f>IF(COUNT(N239:O239)=0,"",SUM(N239:O239))</x:f>
      </x:c>
      <x:c r="Q239" s="65" t="str">
        <x:v>https://www.livescore.mobi/football/club-friendlies/club-friendlies-2026/young-boys-vs-etoile-carouge/1832893/；https://www.fotmob.com/matches/x/x#5924852；查询时间：2026-07-18 19:02（北京时间）</x:v>
      </x:c>
      <x:c r="R239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40" ht="38" customHeight="1">
      <x:c r="A240" s="65" t="str">
        <x:f>IF(B240="","",TEXT(B240,"yyyy-mm-dd")&amp;"|"&amp;D240&amp;"|"&amp;E240)</x:f>
        <x:v>2026-07-18|索尔纳（AIK）|哥德堡盖斯（GAIS）</x:v>
      </x:c>
      <x:c r="B240" s="66" t="n">
        <x:v>46221.875</x:v>
      </x:c>
      <x:c r="C240" s="65" t="str">
        <x:v>瑞典超级联赛（Allsvenskan）</x:v>
      </x:c>
      <x:c r="D240" s="65" t="str">
        <x:v>索尔纳（AIK）</x:v>
      </x:c>
      <x:c r="E240" s="65" t="str">
        <x:v>哥德堡盖斯（GAIS）</x:v>
      </x:c>
      <x:c r="F240" s="65" t="str">
        <x:v>无可靠让球盘/只观察｜现有证据不足以形成可执行让球倾向</x:v>
      </x:c>
      <x:c r="G240" s="65" t="str">
        <x:v>无可靠大小球盘/只观察｜现有证据不足以形成可执行总进球倾向</x:v>
      </x:c>
      <x:c r="H240" s="65" t="str">
        <x:v>待确认首发、伤停、双方近5场与主客拆分、亚洲让球/大小球初盘及当前水位；任一市场欧赔&lt;1.80/港水&lt;0.80不进；未满足全部触发条件不进、不加仓</x:v>
      </x:c>
      <x:c r="I240" s="66" t="n">
        <x:v>46221.793217592596</x:v>
      </x:c>
      <x:c r="J240" s="65" t="str">
        <x:v>需复核</x:v>
      </x:c>
      <x:c r="K240" s="65"/>
      <x:c r="L240" s="65"/>
      <x:c r="M240" s="65"/>
      <x:c r="N240" s="549"/>
      <x:c r="O240" s="549"/>
      <x:c r="P240" s="549" t="str">
        <x:f>IF(COUNT(N240:O240)=0,"",SUM(N240:O240))</x:f>
      </x:c>
      <x:c r="Q240" s="65" t="str">
        <x:v>https://www.livescore.mobi/football/sweden/allsvenskan/aik-vs-gais/1710363/；https://www.fotmob.com/matches/x/x#5107533；https://www.espn.com/soccer/match/_/gameId/401842754/gais-aik；查询时间：2026-07-18 19:02（北京时间）</x:v>
      </x:c>
      <x:c r="R240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ESPN最近赛果序列：主队WWLWD、客队WDW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41" ht="38" customHeight="1">
      <x:c r="A241" s="65" t="str">
        <x:f>IF(B241="","",TEXT(B241,"yyyy-mm-dd")&amp;"|"&amp;D241&amp;"|"&amp;E241)</x:f>
        <x:v>2026-07-18|中文名待确认（Bangor Celtic）|中文名待确认（College Corinthians）</x:v>
      </x:c>
      <x:c r="B241" s="66" t="n">
        <x:v>46221.875</x:v>
      </x:c>
      <x:c r="C241" s="65" t="str">
        <x:v>爱尔兰足协杯</x:v>
      </x:c>
      <x:c r="D241" s="65" t="str">
        <x:v>中文名待确认（Bangor Celtic）</x:v>
      </x:c>
      <x:c r="E241" s="65" t="str">
        <x:v>中文名待确认（College Corinthians）</x:v>
      </x:c>
      <x:c r="F241" s="65" t="str">
        <x:v>无可靠让球盘/只观察｜现有证据不足以形成可执行让球倾向</x:v>
      </x:c>
      <x:c r="G241" s="65" t="str">
        <x:v>无可靠大小球盘/只观察｜现有证据不足以形成可执行总进球倾向</x:v>
      </x:c>
      <x:c r="H241" s="65" t="str">
        <x:v>待确认首发、伤停、双方近5场与主客拆分、亚洲让球/大小球初盘及当前水位；任一市场欧赔&lt;1.80/港水&lt;0.80不进；未满足全部触发条件不进、不加仓</x:v>
      </x:c>
      <x:c r="I241" s="66" t="n">
        <x:v>46221.793217592596</x:v>
      </x:c>
      <x:c r="J241" s="65" t="str">
        <x:v>需复核</x:v>
      </x:c>
      <x:c r="K241" s="65"/>
      <x:c r="L241" s="65"/>
      <x:c r="M241" s="65"/>
      <x:c r="N241" s="549"/>
      <x:c r="O241" s="549"/>
      <x:c r="P241" s="549" t="str">
        <x:f>IF(COUNT(N241:O241)=0,"",SUM(N241:O241))</x:f>
      </x:c>
      <x:c r="Q241" s="65" t="str">
        <x:v>https://www.livescore.mobi/football/ireland/fai-cup/bangor-celtic-vs-college-corinthians/1784344/；https://www.fotmob.com/matches/x/x#5740725；查询时间：2026-07-18 19:02（北京时间）</x:v>
      </x:c>
      <x:c r="R241" s="65" t="str">
        <x:v>证据卡：杯赛/淘汰赛背景，赛制与晋级动机重要；具体轮次已按赛事名称核对，仍需临场阵容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42" ht="38" customHeight="1">
      <x:c r="A242" s="65" t="str">
        <x:f>IF(B242="","",TEXT(B242,"yyyy-mm-dd")&amp;"|"&amp;D242&amp;"|"&amp;E242)</x:f>
        <x:v>2026-07-18|亚松森瓜拉尼（Guaraní）|中文名待确认（Independiente CG）</x:v>
      </x:c>
      <x:c r="B242" s="66" t="n">
        <x:v>46221.875</x:v>
      </x:c>
      <x:c r="C242" s="65" t="str">
        <x:v>巴拉圭乙级联赛</x:v>
      </x:c>
      <x:c r="D242" s="65" t="str">
        <x:v>亚松森瓜拉尼（Guaraní）</x:v>
      </x:c>
      <x:c r="E242" s="65" t="str">
        <x:v>中文名待确认（Independiente CG）</x:v>
      </x:c>
      <x:c r="F242" s="65" t="str">
        <x:v>无可靠让球盘/只观察｜现有证据不足以形成可执行让球倾向</x:v>
      </x:c>
      <x:c r="G242" s="65" t="str">
        <x:v>无可靠大小球盘/只观察｜现有证据不足以形成可执行总进球倾向</x:v>
      </x:c>
      <x:c r="H242" s="65" t="str">
        <x:v>待确认首发、伤停、双方近5场与主客拆分、亚洲让球/大小球初盘及当前水位；任一市场欧赔&lt;1.80/港水&lt;0.80不进；未满足全部触发条件不进、不加仓</x:v>
      </x:c>
      <x:c r="I242" s="66" t="n">
        <x:v>46221.793217592596</x:v>
      </x:c>
      <x:c r="J242" s="65" t="str">
        <x:v>需复核</x:v>
      </x:c>
      <x:c r="K242" s="65"/>
      <x:c r="L242" s="65"/>
      <x:c r="M242" s="65"/>
      <x:c r="N242" s="549"/>
      <x:c r="O242" s="549"/>
      <x:c r="P242" s="549" t="str">
        <x:f>IF(COUNT(N242:O242)=0,"",SUM(N242:O242))</x:f>
      </x:c>
      <x:c r="Q242" s="65" t="str">
        <x:v>https://www.livescore.mobi/football/paraguay/division-intermedia/club-guarani-vs-independiente-cg/1825974/；查询时间：2026-07-18 19:02（北京时间）</x:v>
      </x:c>
      <x:c r="R242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43" ht="38" customHeight="1">
      <x:c r="A243" s="65" t="str">
        <x:f>IF(B243="","",TEXT(B243,"yyyy-mm-dd")&amp;"|"&amp;D243&amp;"|"&amp;E243)</x:f>
        <x:v>2026-07-18|邓迪（Dundee）|埃弗顿（Everton）</x:v>
      </x:c>
      <x:c r="B243" s="66" t="n">
        <x:v>46221.875</x:v>
      </x:c>
      <x:c r="C243" s="65" t="str">
        <x:v>国际俱乐部友谊赛</x:v>
      </x:c>
      <x:c r="D243" s="65" t="str">
        <x:v>邓迪（Dundee）</x:v>
      </x:c>
      <x:c r="E243" s="65" t="str">
        <x:v>埃弗顿（Everton）</x:v>
      </x:c>
      <x:c r="F243" s="65" t="str">
        <x:v>无可靠让球盘/只观察｜现有证据不足以形成可执行让球倾向</x:v>
      </x:c>
      <x:c r="G243" s="65" t="str">
        <x:v>无可靠大小球盘/只观察｜现有证据不足以形成可执行总进球倾向</x:v>
      </x:c>
      <x:c r="H243" s="65" t="str">
        <x:v>待确认首发、伤停、双方近5场与主客拆分、亚洲让球/大小球初盘及当前水位；任一市场欧赔&lt;1.80/港水&lt;0.80不进；未满足全部触发条件不进、不加仓</x:v>
      </x:c>
      <x:c r="I243" s="66" t="n">
        <x:v>46221.793217592596</x:v>
      </x:c>
      <x:c r="J243" s="65" t="str">
        <x:v>需复核</x:v>
      </x:c>
      <x:c r="K243" s="65"/>
      <x:c r="L243" s="65"/>
      <x:c r="M243" s="65"/>
      <x:c r="N243" s="549"/>
      <x:c r="O243" s="549"/>
      <x:c r="P243" s="549" t="str">
        <x:f>IF(COUNT(N243:O243)=0,"",SUM(N243:O243))</x:f>
      </x:c>
      <x:c r="Q243" s="65" t="str">
        <x:v>https://www.livescore.mobi/football/club-friendlies/club-friendlies-2026/dundee-fc-vs-everton/1821874/；https://www.fotmob.com/matches/x/x#5853428；查询时间：2026-07-18 19:02（北京时间）</x:v>
      </x:c>
      <x:c r="R243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44" ht="38" customHeight="1">
      <x:c r="A244" s="65" t="str">
        <x:f>IF(B244="","",TEXT(B244,"yyyy-mm-dd")&amp;"|"&amp;D244&amp;"|"&amp;E244)</x:f>
        <x:v>2026-07-18|艾克纳斯IF（EIF）|中文名待确认（JaePS）</x:v>
      </x:c>
      <x:c r="B244" s="66" t="n">
        <x:v>46221.875</x:v>
      </x:c>
      <x:c r="C244" s="65" t="str">
        <x:v>芬兰足球甲级联赛（Ykkösliiga，芬兰第二级别）</x:v>
      </x:c>
      <x:c r="D244" s="65" t="str">
        <x:v>艾克纳斯IF（EIF）</x:v>
      </x:c>
      <x:c r="E244" s="65" t="str">
        <x:v>中文名待确认（JaePS）</x:v>
      </x:c>
      <x:c r="F244" s="65" t="str">
        <x:v>无可靠让球盘/只观察｜现有证据不足以形成可执行让球倾向</x:v>
      </x:c>
      <x:c r="G244" s="65" t="str">
        <x:v>无可靠大小球盘/只观察｜现有证据不足以形成可执行总进球倾向</x:v>
      </x:c>
      <x:c r="H244" s="65" t="str">
        <x:v>待确认首发、伤停、双方近5场与主客拆分、亚洲让球/大小球初盘及当前水位；任一市场欧赔&lt;1.80/港水&lt;0.80不进；未满足全部触发条件不进、不加仓</x:v>
      </x:c>
      <x:c r="I244" s="66" t="n">
        <x:v>46221.793217592596</x:v>
      </x:c>
      <x:c r="J244" s="65" t="str">
        <x:v>需复核</x:v>
      </x:c>
      <x:c r="K244" s="65"/>
      <x:c r="L244" s="65"/>
      <x:c r="M244" s="65"/>
      <x:c r="N244" s="549"/>
      <x:c r="O244" s="549"/>
      <x:c r="P244" s="549" t="str">
        <x:f>IF(COUNT(N244:O244)=0,"",SUM(N244:O244))</x:f>
      </x:c>
      <x:c r="Q244" s="65" t="str">
        <x:v>https://www.livescore.mobi/football/finland/ykkosliiga/eif-vs-jaeps/1732638/；https://www.fotmob.com/matches/x/x#5163728；查询时间：2026-07-18 19:02（北京时间）</x:v>
      </x:c>
      <x:c r="R24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45" ht="38" customHeight="1">
      <x:c r="A245" s="65" t="str">
        <x:f>IF(B245="","",TEXT(B245,"yyyy-mm-dd")&amp;"|"&amp;D245&amp;"|"&amp;E245)</x:f>
        <x:v>2026-07-18|中文名待确认（FC Kyzylzhar Petropavlovsk）|中文名待确认（Tobol Kostanay）</x:v>
      </x:c>
      <x:c r="B245" s="66" t="n">
        <x:v>46221.875</x:v>
      </x:c>
      <x:c r="C245" s="65" t="str">
        <x:v>规范中文名待确认（Kazakhstan - Premier League）</x:v>
      </x:c>
      <x:c r="D245" s="65" t="str">
        <x:v>中文名待确认（FC Kyzylzhar Petropavlovsk）</x:v>
      </x:c>
      <x:c r="E245" s="65" t="str">
        <x:v>中文名待确认（Tobol Kostanay）</x:v>
      </x:c>
      <x:c r="F245" s="65" t="str">
        <x:v>无可靠让球盘/只观察｜现有证据不足以形成可执行让球倾向</x:v>
      </x:c>
      <x:c r="G245" s="65" t="str">
        <x:v>无可靠大小球盘/只观察｜现有证据不足以形成可执行总进球倾向</x:v>
      </x:c>
      <x:c r="H245" s="65" t="str">
        <x:v>待确认首发、伤停、双方近5场与主客拆分、亚洲让球/大小球初盘及当前水位；任一市场欧赔&lt;1.80/港水&lt;0.80不进；未满足全部触发条件不进、不加仓</x:v>
      </x:c>
      <x:c r="I245" s="66" t="n">
        <x:v>46221.793217592596</x:v>
      </x:c>
      <x:c r="J245" s="65" t="str">
        <x:v>需复核</x:v>
      </x:c>
      <x:c r="K245" s="65"/>
      <x:c r="L245" s="65"/>
      <x:c r="M245" s="65"/>
      <x:c r="N245" s="549"/>
      <x:c r="O245" s="549"/>
      <x:c r="P245" s="549" t="str">
        <x:f>IF(COUNT(N245:O245)=0,"",SUM(N245:O245))</x:f>
      </x:c>
      <x:c r="Q245" s="65" t="str">
        <x:v>https://www.livescore.mobi/football/kazakhstan/premier-league/fc-kyzylzhar-petropavlovsk-vs-tobol-kostanay/1744657/；https://www.fotmob.com/matches/x/x#5204181；查询时间：2026-07-18 19:02（北京时间）</x:v>
      </x:c>
      <x:c r="R245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46" ht="38" customHeight="1">
      <x:c r="A246" s="65" t="str">
        <x:f>IF(B246="","",TEXT(B246,"yyyy-mm-dd")&amp;"|"&amp;D246&amp;"|"&amp;E246)</x:f>
        <x:v>2026-07-18|中文名待确认（FC Verden 04）|云达不莱梅（Werder Bremen）</x:v>
      </x:c>
      <x:c r="B246" s="66" t="n">
        <x:v>46221.875</x:v>
      </x:c>
      <x:c r="C246" s="65" t="str">
        <x:v>国际俱乐部友谊赛</x:v>
      </x:c>
      <x:c r="D246" s="65" t="str">
        <x:v>中文名待确认（FC Verden 04）</x:v>
      </x:c>
      <x:c r="E246" s="65" t="str">
        <x:v>云达不莱梅（Werder Bremen）</x:v>
      </x:c>
      <x:c r="F246" s="65" t="str">
        <x:v>无可靠让球盘/只观察｜现有证据不足以形成可执行让球倾向</x:v>
      </x:c>
      <x:c r="G246" s="65" t="str">
        <x:v>无可靠大小球盘/只观察｜现有证据不足以形成可执行总进球倾向</x:v>
      </x:c>
      <x:c r="H246" s="65" t="str">
        <x:v>待确认首发、伤停、双方近5场与主客拆分、亚洲让球/大小球初盘及当前水位；任一市场欧赔&lt;1.80/港水&lt;0.80不进；未满足全部触发条件不进、不加仓</x:v>
      </x:c>
      <x:c r="I246" s="66" t="n">
        <x:v>46221.793217592596</x:v>
      </x:c>
      <x:c r="J246" s="65" t="str">
        <x:v>需复核</x:v>
      </x:c>
      <x:c r="K246" s="65"/>
      <x:c r="L246" s="65"/>
      <x:c r="M246" s="65"/>
      <x:c r="N246" s="549"/>
      <x:c r="O246" s="549"/>
      <x:c r="P246" s="549" t="str">
        <x:f>IF(COUNT(N246:O246)=0,"",SUM(N246:O246))</x:f>
      </x:c>
      <x:c r="Q246" s="65" t="str">
        <x:v>https://www.livescore.mobi/football/club-friendlies/club-friendlies-2026/fc-verden-04-vs-werder-bremen/1821714/；https://www.fotmob.com/matches/x/x#5765876；查询时间：2026-07-18 19:02（北京时间）</x:v>
      </x:c>
      <x:c r="R246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47" ht="38" customHeight="1">
      <x:c r="A247" s="65" t="str">
        <x:f>IF(B247="","",TEXT(B247,"yyyy-mm-dd")&amp;"|"&amp;D247&amp;"|"&amp;E247)</x:f>
        <x:v>2026-07-18|中文名待确认（FV 04 Wurzburg）|中文名待确认（Jahn Regensburg II）</x:v>
      </x:c>
      <x:c r="B247" s="66" t="n">
        <x:v>46221.875</x:v>
      </x:c>
      <x:c r="C247" s="65" t="str">
        <x:v>规范中文名待确认（Germany - Oberliga: Bayern North）</x:v>
      </x:c>
      <x:c r="D247" s="65" t="str">
        <x:v>中文名待确认（FV 04 Wurzburg）</x:v>
      </x:c>
      <x:c r="E247" s="65" t="str">
        <x:v>中文名待确认（Jahn Regensburg II）</x:v>
      </x:c>
      <x:c r="F247" s="65" t="str">
        <x:v>无可靠让球盘/只观察｜现有证据不足以形成可执行让球倾向</x:v>
      </x:c>
      <x:c r="G247" s="65" t="str">
        <x:v>无可靠大小球盘/只观察｜现有证据不足以形成可执行总进球倾向</x:v>
      </x:c>
      <x:c r="H247" s="65" t="str">
        <x:v>待确认首发、伤停、双方近5场与主客拆分、亚洲让球/大小球初盘及当前水位；任一市场欧赔&lt;1.80/港水&lt;0.80不进；未满足全部触发条件不进、不加仓</x:v>
      </x:c>
      <x:c r="I247" s="66" t="n">
        <x:v>46221.793217592596</x:v>
      </x:c>
      <x:c r="J247" s="65" t="str">
        <x:v>需复核</x:v>
      </x:c>
      <x:c r="K247" s="65"/>
      <x:c r="L247" s="65"/>
      <x:c r="M247" s="65"/>
      <x:c r="N247" s="549"/>
      <x:c r="O247" s="549"/>
      <x:c r="P247" s="549" t="str">
        <x:f>IF(COUNT(N247:O247)=0,"",SUM(N247:O247))</x:f>
      </x:c>
      <x:c r="Q247" s="65" t="str">
        <x:v>https://www.livescore.mobi/football/germany/oberliga-bayern-north/fv-04-wurzburg-vs-jahn-regensburg-ii/1828162/；查询时间：2026-07-18 19:02（北京时间）</x:v>
      </x:c>
      <x:c r="R247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48" ht="38" customHeight="1">
      <x:c r="A248" s="65" t="str">
        <x:f>IF(B248="","",TEXT(B248,"yyyy-mm-dd")&amp;"|"&amp;D248&amp;"|"&amp;E248)</x:f>
        <x:v>2026-07-18|福尔柯克（Falkirk）|中文名待确认（Genk）</x:v>
      </x:c>
      <x:c r="B248" s="66" t="n">
        <x:v>46221.875</x:v>
      </x:c>
      <x:c r="C248" s="65" t="str">
        <x:v>国际俱乐部友谊赛</x:v>
      </x:c>
      <x:c r="D248" s="65" t="str">
        <x:v>福尔柯克（Falkirk）</x:v>
      </x:c>
      <x:c r="E248" s="65" t="str">
        <x:v>中文名待确认（Genk）</x:v>
      </x:c>
      <x:c r="F248" s="65" t="str">
        <x:v>无可靠让球盘/只观察｜现有证据不足以形成可执行让球倾向</x:v>
      </x:c>
      <x:c r="G248" s="65" t="str">
        <x:v>无可靠大小球盘/只观察｜现有证据不足以形成可执行总进球倾向</x:v>
      </x:c>
      <x:c r="H248" s="65" t="str">
        <x:v>待确认首发、伤停、双方近5场与主客拆分、亚洲让球/大小球初盘及当前水位；任一市场欧赔&lt;1.80/港水&lt;0.80不进；未满足全部触发条件不进、不加仓</x:v>
      </x:c>
      <x:c r="I248" s="66" t="n">
        <x:v>46221.793217592596</x:v>
      </x:c>
      <x:c r="J248" s="65" t="str">
        <x:v>需复核</x:v>
      </x:c>
      <x:c r="K248" s="65"/>
      <x:c r="L248" s="65"/>
      <x:c r="M248" s="65"/>
      <x:c r="N248" s="549"/>
      <x:c r="O248" s="549"/>
      <x:c r="P248" s="549" t="str">
        <x:f>IF(COUNT(N248:O248)=0,"",SUM(N248:O248))</x:f>
      </x:c>
      <x:c r="Q248" s="65" t="str">
        <x:v>https://www.livescore.mobi/football/club-friendlies/club-friendlies-2026/falkirk-vs-genk/1822122/；查询时间：2026-07-18 19:02（北京时间）</x:v>
      </x:c>
      <x:c r="R248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49" ht="38" customHeight="1">
      <x:c r="A249" s="65" t="str">
        <x:f>IF(B249="","",TEXT(B249,"yyyy-mm-dd")&amp;"|"&amp;D249&amp;"|"&amp;E249)</x:f>
        <x:v>2026-07-18|中文名待确认（Lausanne）|中文名待确认（Yverdon）</x:v>
      </x:c>
      <x:c r="B249" s="66" t="n">
        <x:v>46221.875</x:v>
      </x:c>
      <x:c r="C249" s="65" t="str">
        <x:v>国际俱乐部友谊赛</x:v>
      </x:c>
      <x:c r="D249" s="65" t="str">
        <x:v>中文名待确认（Lausanne）</x:v>
      </x:c>
      <x:c r="E249" s="65" t="str">
        <x:v>中文名待确认（Yverdon）</x:v>
      </x:c>
      <x:c r="F249" s="65" t="str">
        <x:v>无可靠让球盘/只观察｜现有证据不足以形成可执行让球倾向</x:v>
      </x:c>
      <x:c r="G249" s="65" t="str">
        <x:v>无可靠大小球盘/只观察｜现有证据不足以形成可执行总进球倾向</x:v>
      </x:c>
      <x:c r="H249" s="65" t="str">
        <x:v>待确认首发、伤停、双方近5场与主客拆分、亚洲让球/大小球初盘及当前水位；任一市场欧赔&lt;1.80/港水&lt;0.80不进；未满足全部触发条件不进、不加仓</x:v>
      </x:c>
      <x:c r="I249" s="66" t="n">
        <x:v>46221.793217592596</x:v>
      </x:c>
      <x:c r="J249" s="65" t="str">
        <x:v>需复核</x:v>
      </x:c>
      <x:c r="K249" s="65"/>
      <x:c r="L249" s="65"/>
      <x:c r="M249" s="65"/>
      <x:c r="N249" s="549"/>
      <x:c r="O249" s="549"/>
      <x:c r="P249" s="549" t="str">
        <x:f>IF(COUNT(N249:O249)=0,"",SUM(N249:O249))</x:f>
      </x:c>
      <x:c r="Q249" s="65" t="str">
        <x:v>https://www.livescore.mobi/football/club-friendlies/club-friendlies-2026/lausanne-vs-yverdon/1832890/；查询时间：2026-07-18 19:02（北京时间）</x:v>
      </x:c>
      <x:c r="R249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50" ht="38" customHeight="1">
      <x:c r="A250" s="65" t="str">
        <x:f>IF(B250="","",TEXT(B250,"yyyy-mm-dd")&amp;"|"&amp;D250&amp;"|"&amp;E250)</x:f>
        <x:v>2026-07-18|布雷达（NAC Breda）|SBV精英（Excelsior）</x:v>
      </x:c>
      <x:c r="B250" s="66" t="n">
        <x:v>46221.875</x:v>
      </x:c>
      <x:c r="C250" s="65" t="str">
        <x:v>国际俱乐部友谊赛</x:v>
      </x:c>
      <x:c r="D250" s="65" t="str">
        <x:v>布雷达（NAC Breda）</x:v>
      </x:c>
      <x:c r="E250" s="65" t="str">
        <x:v>SBV精英（Excelsior）</x:v>
      </x:c>
      <x:c r="F250" s="65" t="str">
        <x:v>无可靠让球盘/只观察｜现有证据不足以形成可执行让球倾向</x:v>
      </x:c>
      <x:c r="G250" s="65" t="str">
        <x:v>无可靠大小球盘/只观察｜现有证据不足以形成可执行总进球倾向</x:v>
      </x:c>
      <x:c r="H250" s="65" t="str">
        <x:v>待确认首发、伤停、双方近5场与主客拆分、亚洲让球/大小球初盘及当前水位；任一市场欧赔&lt;1.80/港水&lt;0.80不进；未满足全部触发条件不进、不加仓</x:v>
      </x:c>
      <x:c r="I250" s="66" t="n">
        <x:v>46221.793217592596</x:v>
      </x:c>
      <x:c r="J250" s="65" t="str">
        <x:v>需复核</x:v>
      </x:c>
      <x:c r="K250" s="65"/>
      <x:c r="L250" s="65"/>
      <x:c r="M250" s="65"/>
      <x:c r="N250" s="549"/>
      <x:c r="O250" s="549"/>
      <x:c r="P250" s="549" t="str">
        <x:f>IF(COUNT(N250:O250)=0,"",SUM(N250:O250))</x:f>
      </x:c>
      <x:c r="Q250" s="65" t="str">
        <x:v>https://www.livescore.mobi/football/club-friendlies/club-friendlies-2026/nac-breda-vs-excelsior/1822100/；https://www.fotmob.com/matches/x/x#5900531；查询时间：2026-07-18 19:02（北京时间）</x:v>
      </x:c>
      <x:c r="R250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51" ht="38" customHeight="1">
      <x:c r="A251" s="65" t="str">
        <x:f>IF(B251="","",TEXT(B251,"yyyy-mm-dd")&amp;"|"&amp;D251&amp;"|"&amp;E251)</x:f>
        <x:v>2026-07-18|中文名待确认（Northampton）|考文垂(Coventry)</x:v>
      </x:c>
      <x:c r="B251" s="66" t="n">
        <x:v>46221.875</x:v>
      </x:c>
      <x:c r="C251" s="65" t="str">
        <x:v>国际俱乐部友谊赛</x:v>
      </x:c>
      <x:c r="D251" s="65" t="str">
        <x:v>中文名待确认（Northampton）</x:v>
      </x:c>
      <x:c r="E251" s="65" t="str">
        <x:v>考文垂(Coventry)</x:v>
      </x:c>
      <x:c r="F251" s="65" t="str">
        <x:v>无可靠让球盘/只观察｜现有证据不足以形成可执行让球倾向</x:v>
      </x:c>
      <x:c r="G251" s="65" t="str">
        <x:v>无可靠大小球盘/只观察｜现有证据不足以形成可执行总进球倾向</x:v>
      </x:c>
      <x:c r="H251" s="65" t="str">
        <x:v>待确认首发、伤停、双方近5场与主客拆分、亚洲让球/大小球初盘及当前水位；任一市场欧赔&lt;1.80/港水&lt;0.80不进；未满足全部触发条件不进、不加仓</x:v>
      </x:c>
      <x:c r="I251" s="66" t="n">
        <x:v>46221.793217592596</x:v>
      </x:c>
      <x:c r="J251" s="65" t="str">
        <x:v>需复核</x:v>
      </x:c>
      <x:c r="K251" s="65"/>
      <x:c r="L251" s="65"/>
      <x:c r="M251" s="65"/>
      <x:c r="N251" s="549"/>
      <x:c r="O251" s="549"/>
      <x:c r="P251" s="549" t="str">
        <x:f>IF(COUNT(N251:O251)=0,"",SUM(N251:O251))</x:f>
      </x:c>
      <x:c r="Q251" s="65" t="str">
        <x:v>https://www.fotmob.com/matches/x/x#5739315；https://www.livescore.mobi/football/club-friendlies/club-friendlies-2026/northampton-town-vs-coventry-city/1821674/；查询时间：2026-07-18 19:02（北京时间）</x:v>
      </x:c>
      <x:c r="R251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52" ht="38" customHeight="1">
      <x:c r="A252" s="65" t="str">
        <x:f>IF(B252="","",TEXT(B252,"yyyy-mm-dd")&amp;"|"&amp;D252&amp;"|"&amp;E252)</x:f>
        <x:v>2026-07-18|中文名待确认（Oestersunds FK）|中文名待确认（Landskrona BoIS）</x:v>
      </x:c>
      <x:c r="B252" s="66" t="n">
        <x:v>46221.875</x:v>
      </x:c>
      <x:c r="C252" s="65" t="str">
        <x:v>规范中文名待确认（Sweden - Superettan）</x:v>
      </x:c>
      <x:c r="D252" s="65" t="str">
        <x:v>中文名待确认（Oestersunds FK）</x:v>
      </x:c>
      <x:c r="E252" s="65" t="str">
        <x:v>中文名待确认（Landskrona BoIS）</x:v>
      </x:c>
      <x:c r="F252" s="65" t="str">
        <x:v>无可靠让球盘/只观察｜现有证据不足以形成可执行让球倾向</x:v>
      </x:c>
      <x:c r="G252" s="65" t="str">
        <x:v>无可靠大小球盘/只观察｜现有证据不足以形成可执行总进球倾向</x:v>
      </x:c>
      <x:c r="H252" s="65" t="str">
        <x:v>待确认首发、伤停、双方近5场与主客拆分、亚洲让球/大小球初盘及当前水位；任一市场欧赔&lt;1.80/港水&lt;0.80不进；未满足全部触发条件不进、不加仓</x:v>
      </x:c>
      <x:c r="I252" s="66" t="n">
        <x:v>46221.793217592596</x:v>
      </x:c>
      <x:c r="J252" s="65" t="str">
        <x:v>需复核</x:v>
      </x:c>
      <x:c r="K252" s="65"/>
      <x:c r="L252" s="65"/>
      <x:c r="M252" s="65"/>
      <x:c r="N252" s="549"/>
      <x:c r="O252" s="549"/>
      <x:c r="P252" s="549" t="str">
        <x:f>IF(COUNT(N252:O252)=0,"",SUM(N252:O252))</x:f>
      </x:c>
      <x:c r="Q252" s="65" t="str">
        <x:v>https://www.livescore.mobi/football/sweden/superettan/oestersunds-fk-vs-landskrona-bois/1718299/；https://www.fotmob.com/matches/x/x#5125563；查询时间：2026-07-18 19:02（北京时间）</x:v>
      </x:c>
      <x:c r="R252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53" ht="38" customHeight="1">
      <x:c r="A253" s="65" t="str">
        <x:f>IF(B253="","",TEXT(B253,"yyyy-mm-dd")&amp;"|"&amp;D253&amp;"|"&amp;E253)</x:f>
        <x:v>2026-07-18|中文名待确认（PEC Zwolle）|中文名待确认（Cercle Brugge）</x:v>
      </x:c>
      <x:c r="B253" s="66" t="n">
        <x:v>46221.875</x:v>
      </x:c>
      <x:c r="C253" s="65" t="str">
        <x:v>国际俱乐部友谊赛</x:v>
      </x:c>
      <x:c r="D253" s="65" t="str">
        <x:v>中文名待确认（PEC Zwolle）</x:v>
      </x:c>
      <x:c r="E253" s="65" t="str">
        <x:v>中文名待确认（Cercle Brugge）</x:v>
      </x:c>
      <x:c r="F253" s="65" t="str">
        <x:v>无可靠让球盘/只观察｜现有证据不足以形成可执行让球倾向</x:v>
      </x:c>
      <x:c r="G253" s="65" t="str">
        <x:v>无可靠大小球盘/只观察｜现有证据不足以形成可执行总进球倾向</x:v>
      </x:c>
      <x:c r="H253" s="65" t="str">
        <x:v>待确认首发、伤停、双方近5场与主客拆分、亚洲让球/大小球初盘及当前水位；任一市场欧赔&lt;1.80/港水&lt;0.80不进；未满足全部触发条件不进、不加仓</x:v>
      </x:c>
      <x:c r="I253" s="66" t="n">
        <x:v>46221.793217592596</x:v>
      </x:c>
      <x:c r="J253" s="65" t="str">
        <x:v>需复核</x:v>
      </x:c>
      <x:c r="K253" s="65"/>
      <x:c r="L253" s="65"/>
      <x:c r="M253" s="65"/>
      <x:c r="N253" s="549"/>
      <x:c r="O253" s="549"/>
      <x:c r="P253" s="549" t="str">
        <x:f>IF(COUNT(N253:O253)=0,"",SUM(N253:O253))</x:f>
      </x:c>
      <x:c r="Q253" s="65" t="str">
        <x:v>https://www.livescore.mobi/football/club-friendlies/club-friendlies-2026/pec-zwolle-vs-cercle-brugge/1822162/；https://www.fotmob.com/matches/x/x#5900846；查询时间：2026-07-18 19:02（北京时间）</x:v>
      </x:c>
      <x:c r="R253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54" ht="38" customHeight="1">
      <x:c r="A254" s="65" t="str">
        <x:f>IF(B254="","",TEXT(B254,"yyyy-mm-dd")&amp;"|"&amp;D254&amp;"|"&amp;E254)</x:f>
        <x:v>2026-07-18|中文名待确认（PK Keski-Uusimaa）|中文名待确认（OLS）</x:v>
      </x:c>
      <x:c r="B254" s="66" t="n">
        <x:v>46221.875</x:v>
      </x:c>
      <x:c r="C254" s="65" t="str">
        <x:v>规范中文名待确认（Finland - Ykkonen）</x:v>
      </x:c>
      <x:c r="D254" s="65" t="str">
        <x:v>中文名待确认（PK Keski-Uusimaa）</x:v>
      </x:c>
      <x:c r="E254" s="65" t="str">
        <x:v>中文名待确认（OLS）</x:v>
      </x:c>
      <x:c r="F254" s="65" t="str">
        <x:v>无可靠让球盘/只观察｜现有证据不足以形成可执行让球倾向</x:v>
      </x:c>
      <x:c r="G254" s="65" t="str">
        <x:v>无可靠大小球盘/只观察｜现有证据不足以形成可执行总进球倾向</x:v>
      </x:c>
      <x:c r="H254" s="65" t="str">
        <x:v>待确认首发、伤停、双方近5场与主客拆分、亚洲让球/大小球初盘及当前水位；任一市场欧赔&lt;1.80/港水&lt;0.80不进；未满足全部触发条件不进、不加仓</x:v>
      </x:c>
      <x:c r="I254" s="66" t="n">
        <x:v>46221.793217592596</x:v>
      </x:c>
      <x:c r="J254" s="65" t="str">
        <x:v>需复核</x:v>
      </x:c>
      <x:c r="K254" s="65"/>
      <x:c r="L254" s="65"/>
      <x:c r="M254" s="65"/>
      <x:c r="N254" s="549"/>
      <x:c r="O254" s="549"/>
      <x:c r="P254" s="549" t="str">
        <x:f>IF(COUNT(N254:O254)=0,"",SUM(N254:O254))</x:f>
      </x:c>
      <x:c r="Q254" s="65" t="str">
        <x:v>https://www.livescore.mobi/football/finland/ykkonen/pk-keski-uusimaa-vs-ols/1732785/；https://www.fotmob.com/matches/x/x#5164008；查询时间：2026-07-18 19:02（北京时间）</x:v>
      </x:c>
      <x:c r="R25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55" ht="38" customHeight="1">
      <x:c r="A255" s="65" t="str">
        <x:f>IF(B255="","",TEXT(B255,"yyyy-mm-dd")&amp;"|"&amp;D255&amp;"|"&amp;E255)</x:f>
        <x:v>2026-07-18|中文名待确认（TPV）|中文名待确认（KuPS Akatemia）</x:v>
      </x:c>
      <x:c r="B255" s="66" t="n">
        <x:v>46221.875</x:v>
      </x:c>
      <x:c r="C255" s="65" t="str">
        <x:v>规范中文名待确认（FIN - Ykkonen）</x:v>
      </x:c>
      <x:c r="D255" s="65" t="str">
        <x:v>中文名待确认（TPV）</x:v>
      </x:c>
      <x:c r="E255" s="65" t="str">
        <x:v>中文名待确认（KuPS Akatemia）</x:v>
      </x:c>
      <x:c r="F255" s="65" t="str">
        <x:v>无可靠让球盘/只观察｜现有证据不足以形成可执行让球倾向</x:v>
      </x:c>
      <x:c r="G255" s="65" t="str">
        <x:v>无可靠大小球盘/只观察｜现有证据不足以形成可执行总进球倾向</x:v>
      </x:c>
      <x:c r="H255" s="65" t="str">
        <x:v>待确认首发、伤停、双方近5场与主客拆分、亚洲让球/大小球初盘及当前水位；任一市场欧赔&lt;1.80/港水&lt;0.80不进；未满足全部触发条件不进、不加仓</x:v>
      </x:c>
      <x:c r="I255" s="66" t="n">
        <x:v>46221.793217592596</x:v>
      </x:c>
      <x:c r="J255" s="65" t="str">
        <x:v>需复核</x:v>
      </x:c>
      <x:c r="K255" s="65"/>
      <x:c r="L255" s="65"/>
      <x:c r="M255" s="65"/>
      <x:c r="N255" s="549"/>
      <x:c r="O255" s="549"/>
      <x:c r="P255" s="549" t="str">
        <x:f>IF(COUNT(N255:O255)=0,"",SUM(N255:O255))</x:f>
      </x:c>
      <x:c r="Q255" s="65" t="str">
        <x:v>https://www.fotmob.com/matches/x/x#5164007；https://www.livescore.mobi/football/finland/ykkonen/tpv-tampere-vs-kups-akatemia/1732786/；查询时间：2026-07-18 19:02（北京时间）</x:v>
      </x:c>
      <x:c r="R255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56" ht="38" customHeight="1">
      <x:c r="A256" s="65" t="str">
        <x:f>IF(B256="","",TEXT(B256,"yyyy-mm-dd")&amp;"|"&amp;D256&amp;"|"&amp;E256)</x:f>
        <x:v>2026-07-18|中文名待确认（Zhenis）|中文名待确认（Ulytau）</x:v>
      </x:c>
      <x:c r="B256" s="66" t="n">
        <x:v>46221.875</x:v>
      </x:c>
      <x:c r="C256" s="65" t="str">
        <x:v>规范中文名待确认（Kazakhstan - Premier League）</x:v>
      </x:c>
      <x:c r="D256" s="65" t="str">
        <x:v>中文名待确认（Zhenis）</x:v>
      </x:c>
      <x:c r="E256" s="65" t="str">
        <x:v>中文名待确认（Ulytau）</x:v>
      </x:c>
      <x:c r="F256" s="65" t="str">
        <x:v>无可靠让球盘/只观察｜现有证据不足以形成可执行让球倾向</x:v>
      </x:c>
      <x:c r="G256" s="65" t="str">
        <x:v>无可靠大小球盘/只观察｜现有证据不足以形成可执行总进球倾向</x:v>
      </x:c>
      <x:c r="H256" s="65" t="str">
        <x:v>待确认首发、伤停、双方近5场与主客拆分、亚洲让球/大小球初盘及当前水位；任一市场欧赔&lt;1.80/港水&lt;0.80不进；未满足全部触发条件不进、不加仓</x:v>
      </x:c>
      <x:c r="I256" s="66" t="n">
        <x:v>46221.793217592596</x:v>
      </x:c>
      <x:c r="J256" s="65" t="str">
        <x:v>需复核</x:v>
      </x:c>
      <x:c r="K256" s="65"/>
      <x:c r="L256" s="65"/>
      <x:c r="M256" s="65"/>
      <x:c r="N256" s="549"/>
      <x:c r="O256" s="549"/>
      <x:c r="P256" s="549" t="str">
        <x:f>IF(COUNT(N256:O256)=0,"",SUM(N256:O256))</x:f>
      </x:c>
      <x:c r="Q256" s="65" t="str">
        <x:v>https://www.livescore.mobi/football/kazakhstan/premier-league/zhenis-vs-ulytau/1744659/；https://www.fotmob.com/matches/x/x#5204184；查询时间：2026-07-18 19:02（北京时间）</x:v>
      </x:c>
      <x:c r="R256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57" ht="38" customHeight="1">
      <x:c r="A257" s="65" t="str">
        <x:f>IF(B257="","",TEXT(B257,"yyyy-mm-dd")&amp;"|"&amp;D257&amp;"|"&amp;E257)</x:f>
        <x:v>2026-07-18|中文名待确认（Luzern）|中文名待确认（St.Truiden）</x:v>
      </x:c>
      <x:c r="B257" s="66" t="n">
        <x:v>46221.854166666664</x:v>
      </x:c>
      <x:c r="C257" s="65" t="str">
        <x:v>国际俱乐部友谊赛</x:v>
      </x:c>
      <x:c r="D257" s="65" t="str">
        <x:v>中文名待确认（Luzern）</x:v>
      </x:c>
      <x:c r="E257" s="65" t="str">
        <x:v>中文名待确认（St.Truiden）</x:v>
      </x:c>
      <x:c r="F257" s="65" t="str">
        <x:v>无可靠让球盘/只观察｜现有证据不足以形成可执行让球倾向</x:v>
      </x:c>
      <x:c r="G257" s="65" t="str">
        <x:v>无可靠大小球盘/只观察｜现有证据不足以形成可执行总进球倾向</x:v>
      </x:c>
      <x:c r="H257" s="65" t="str">
        <x:v>待确认首发、伤停、双方近5场与主客拆分、亚洲让球/大小球初盘及当前水位；任一市场欧赔&lt;1.80/港水&lt;0.80不进；未满足全部触发条件不进、不加仓</x:v>
      </x:c>
      <x:c r="I257" s="66" t="n">
        <x:v>46221.793217592596</x:v>
      </x:c>
      <x:c r="J257" s="65" t="str">
        <x:v>需复核</x:v>
      </x:c>
      <x:c r="K257" s="65"/>
      <x:c r="L257" s="65"/>
      <x:c r="M257" s="65"/>
      <x:c r="N257" s="549"/>
      <x:c r="O257" s="549"/>
      <x:c r="P257" s="549" t="str">
        <x:f>IF(COUNT(N257:O257)=0,"",SUM(N257:O257))</x:f>
      </x:c>
      <x:c r="Q257" s="65" t="str">
        <x:v>https://www.livescore.mobi/football/club-friendlies/club-friendlies-2026/luzern-vs-sttruiden/1821805/；查询时间：2026-07-18 19:02（北京时间）</x:v>
      </x:c>
      <x:c r="R257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58" ht="38" customHeight="1">
      <x:c r="A258" s="65" t="str">
        <x:f>IF(B258="","",TEXT(B258,"yyyy-mm-dd")&amp;"|"&amp;D258&amp;"|"&amp;E258)</x:f>
        <x:v>2026-07-18|中文名待确认（1. FC Saarbrücken）|中文名待确认（SV Sandhausen）</x:v>
      </x:c>
      <x:c r="B258" s="66" t="n">
        <x:v>46221.833333333336</x:v>
      </x:c>
      <x:c r="C258" s="65" t="str">
        <x:v>国际俱乐部友谊赛</x:v>
      </x:c>
      <x:c r="D258" s="65" t="str">
        <x:v>中文名待确认（1. FC Saarbrücken）</x:v>
      </x:c>
      <x:c r="E258" s="65" t="str">
        <x:v>中文名待确认（SV Sandhausen）</x:v>
      </x:c>
      <x:c r="F258" s="65" t="str">
        <x:v>无可靠让球盘/只观察｜现有证据不足以形成可执行让球倾向</x:v>
      </x:c>
      <x:c r="G258" s="65" t="str">
        <x:v>无可靠大小球盘/只观察｜现有证据不足以形成可执行总进球倾向</x:v>
      </x:c>
      <x:c r="H258" s="65" t="str">
        <x:v>待确认首发、伤停、双方近5场与主客拆分、亚洲让球/大小球初盘及当前水位；任一市场欧赔&lt;1.80/港水&lt;0.80不进；未满足全部触发条件不进、不加仓</x:v>
      </x:c>
      <x:c r="I258" s="66" t="n">
        <x:v>46221.793217592596</x:v>
      </x:c>
      <x:c r="J258" s="65" t="str">
        <x:v>需复核</x:v>
      </x:c>
      <x:c r="K258" s="65"/>
      <x:c r="L258" s="65"/>
      <x:c r="M258" s="65"/>
      <x:c r="N258" s="549"/>
      <x:c r="O258" s="549"/>
      <x:c r="P258" s="549" t="str">
        <x:f>IF(COUNT(N258:O258)=0,"",SUM(N258:O258))</x:f>
      </x:c>
      <x:c r="Q258" s="65" t="str">
        <x:v>https://www.365scores.com/football/match/4767858；查询时间：2026-07-18 19:02（北京时间）</x:v>
      </x:c>
      <x:c r="R258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59" ht="38" customHeight="1">
      <x:c r="A259" s="65" t="str">
        <x:f>IF(B259="","",TEXT(B259,"yyyy-mm-dd")&amp;"|"&amp;D259&amp;"|"&amp;E259)</x:f>
        <x:v>2026-07-18|中文名待确认（ASV Cham）|中文名待确认（SpVgg Bayern Hof）</x:v>
      </x:c>
      <x:c r="B259" s="66" t="n">
        <x:v>46221.833333333336</x:v>
      </x:c>
      <x:c r="C259" s="65" t="str">
        <x:v>规范中文名待确认（Germany - Oberliga: Bayern North）</x:v>
      </x:c>
      <x:c r="D259" s="65" t="str">
        <x:v>中文名待确认（ASV Cham）</x:v>
      </x:c>
      <x:c r="E259" s="65" t="str">
        <x:v>中文名待确认（SpVgg Bayern Hof）</x:v>
      </x:c>
      <x:c r="F259" s="65" t="str">
        <x:v>无可靠让球盘/只观察｜现有证据不足以形成可执行让球倾向</x:v>
      </x:c>
      <x:c r="G259" s="65" t="str">
        <x:v>无可靠大小球盘/只观察｜现有证据不足以形成可执行总进球倾向</x:v>
      </x:c>
      <x:c r="H259" s="65" t="str">
        <x:v>待确认首发、伤停、双方近5场与主客拆分、亚洲让球/大小球初盘及当前水位；任一市场欧赔&lt;1.80/港水&lt;0.80不进；未满足全部触发条件不进、不加仓</x:v>
      </x:c>
      <x:c r="I259" s="66" t="n">
        <x:v>46221.793217592596</x:v>
      </x:c>
      <x:c r="J259" s="65" t="str">
        <x:v>需复核</x:v>
      </x:c>
      <x:c r="K259" s="65"/>
      <x:c r="L259" s="65"/>
      <x:c r="M259" s="65"/>
      <x:c r="N259" s="549"/>
      <x:c r="O259" s="549"/>
      <x:c r="P259" s="549" t="str">
        <x:f>IF(COUNT(N259:O259)=0,"",SUM(N259:O259))</x:f>
      </x:c>
      <x:c r="Q259" s="65" t="str">
        <x:v>https://www.livescore.mobi/football/germany/oberliga-bayern-north/asv-cham-vs-spvgg-bayern-hof/1828155/；查询时间：2026-07-18 19:02（北京时间）</x:v>
      </x:c>
      <x:c r="R259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0" ht="38" customHeight="1">
      <x:c r="A260" s="65" t="str">
        <x:f>IF(B260="","",TEXT(B260,"yyyy-mm-dd")&amp;"|"&amp;D260&amp;"|"&amp;E260)</x:f>
        <x:v>2026-07-18|中文名待确认（Barnet）|中文名待确认（Luton）</x:v>
      </x:c>
      <x:c r="B260" s="66" t="n">
        <x:v>46221.833333333336</x:v>
      </x:c>
      <x:c r="C260" s="65" t="str">
        <x:v>国际俱乐部友谊赛</x:v>
      </x:c>
      <x:c r="D260" s="65" t="str">
        <x:v>中文名待确认（Barnet）</x:v>
      </x:c>
      <x:c r="E260" s="65" t="str">
        <x:v>中文名待确认（Luton）</x:v>
      </x:c>
      <x:c r="F260" s="65" t="str">
        <x:v>无可靠让球盘/只观察｜现有证据不足以形成可执行让球倾向</x:v>
      </x:c>
      <x:c r="G260" s="65" t="str">
        <x:v>无可靠大小球盘/只观察｜现有证据不足以形成可执行总进球倾向</x:v>
      </x:c>
      <x:c r="H260" s="65" t="str">
        <x:v>待确认首发、伤停、双方近5场与主客拆分、亚洲让球/大小球初盘及当前水位；任一市场欧赔&lt;1.80/港水&lt;0.80不进；未满足全部触发条件不进、不加仓</x:v>
      </x:c>
      <x:c r="I260" s="66" t="n">
        <x:v>46221.793217592596</x:v>
      </x:c>
      <x:c r="J260" s="65" t="str">
        <x:v>需复核</x:v>
      </x:c>
      <x:c r="K260" s="65"/>
      <x:c r="L260" s="65"/>
      <x:c r="M260" s="65"/>
      <x:c r="N260" s="549"/>
      <x:c r="O260" s="549"/>
      <x:c r="P260" s="549" t="str">
        <x:f>IF(COUNT(N260:O260)=0,"",SUM(N260:O260))</x:f>
      </x:c>
      <x:c r="Q260" s="65" t="str">
        <x:v>https://www.365scores.com/football/match/4767871；查询时间：2026-07-18 19:02（北京时间）</x:v>
      </x:c>
      <x:c r="R260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1" ht="38" customHeight="1">
      <x:c r="A261" s="65" t="str">
        <x:f>IF(B261="","",TEXT(B261,"yyyy-mm-dd")&amp;"|"&amp;D261&amp;"|"&amp;E261)</x:f>
        <x:v>2026-07-18|中文名待确认（Basford United）|中文名待确认（Gainsborough）</x:v>
      </x:c>
      <x:c r="B261" s="66" t="n">
        <x:v>46221.833333333336</x:v>
      </x:c>
      <x:c r="C261" s="65" t="str">
        <x:v>国际俱乐部友谊赛</x:v>
      </x:c>
      <x:c r="D261" s="65" t="str">
        <x:v>中文名待确认（Basford United）</x:v>
      </x:c>
      <x:c r="E261" s="65" t="str">
        <x:v>中文名待确认（Gainsborough）</x:v>
      </x:c>
      <x:c r="F261" s="65" t="str">
        <x:v>无可靠让球盘/只观察｜现有证据不足以形成可执行让球倾向</x:v>
      </x:c>
      <x:c r="G261" s="65" t="str">
        <x:v>无可靠大小球盘/只观察｜现有证据不足以形成可执行总进球倾向</x:v>
      </x:c>
      <x:c r="H261" s="65" t="str">
        <x:v>待确认首发、伤停、双方近5场与主客拆分、亚洲让球/大小球初盘及当前水位；任一市场欧赔&lt;1.80/港水&lt;0.80不进；未满足全部触发条件不进、不加仓</x:v>
      </x:c>
      <x:c r="I261" s="66" t="n">
        <x:v>46221.793217592596</x:v>
      </x:c>
      <x:c r="J261" s="65" t="str">
        <x:v>需复核</x:v>
      </x:c>
      <x:c r="K261" s="65"/>
      <x:c r="L261" s="65"/>
      <x:c r="M261" s="65"/>
      <x:c r="N261" s="549"/>
      <x:c r="O261" s="549"/>
      <x:c r="P261" s="549" t="str">
        <x:f>IF(COUNT(N261:O261)=0,"",SUM(N261:O261))</x:f>
      </x:c>
      <x:c r="Q261" s="65" t="str">
        <x:v>https://www.365scores.com/football/match/4771601；查询时间：2026-07-18 19:02（北京时间）</x:v>
      </x:c>
      <x:c r="R261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2" ht="38" customHeight="1">
      <x:c r="A262" s="65" t="str">
        <x:f>IF(B262="","",TEXT(B262,"yyyy-mm-dd")&amp;"|"&amp;D262&amp;"|"&amp;E262)</x:f>
        <x:v>2026-07-18|中文名待确认（Berkhamsted）|中文名待确认（Real Bedford）</x:v>
      </x:c>
      <x:c r="B262" s="66" t="n">
        <x:v>46221.833333333336</x:v>
      </x:c>
      <x:c r="C262" s="65" t="str">
        <x:v>国际俱乐部友谊赛</x:v>
      </x:c>
      <x:c r="D262" s="65" t="str">
        <x:v>中文名待确认（Berkhamsted）</x:v>
      </x:c>
      <x:c r="E262" s="65" t="str">
        <x:v>中文名待确认（Real Bedford）</x:v>
      </x:c>
      <x:c r="F262" s="65" t="str">
        <x:v>无可靠让球盘/只观察｜现有证据不足以形成可执行让球倾向</x:v>
      </x:c>
      <x:c r="G262" s="65" t="str">
        <x:v>无可靠大小球盘/只观察｜现有证据不足以形成可执行总进球倾向</x:v>
      </x:c>
      <x:c r="H262" s="65" t="str">
        <x:v>待确认首发、伤停、双方近5场与主客拆分、亚洲让球/大小球初盘及当前水位；任一市场欧赔&lt;1.80/港水&lt;0.80不进；未满足全部触发条件不进、不加仓</x:v>
      </x:c>
      <x:c r="I262" s="66" t="n">
        <x:v>46221.793217592596</x:v>
      </x:c>
      <x:c r="J262" s="65" t="str">
        <x:v>需复核</x:v>
      </x:c>
      <x:c r="K262" s="65"/>
      <x:c r="L262" s="65"/>
      <x:c r="M262" s="65"/>
      <x:c r="N262" s="549"/>
      <x:c r="O262" s="549"/>
      <x:c r="P262" s="549" t="str">
        <x:f>IF(COUNT(N262:O262)=0,"",SUM(N262:O262))</x:f>
      </x:c>
      <x:c r="Q262" s="65" t="str">
        <x:v>https://www.365scores.com/football/match/4778593；查询时间：2026-07-18 19:02（北京时间）</x:v>
      </x:c>
      <x:c r="R262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3" ht="38" customHeight="1">
      <x:c r="A263" s="65" t="str">
        <x:f>IF(B263="","",TEXT(B263,"yyyy-mm-dd")&amp;"|"&amp;D263&amp;"|"&amp;E263)</x:f>
        <x:v>2026-07-18|中文名待确认（Bonner SC）|中文名待确认（MSV Duisburg）</x:v>
      </x:c>
      <x:c r="B263" s="66" t="n">
        <x:v>46221.833333333336</x:v>
      </x:c>
      <x:c r="C263" s="65" t="str">
        <x:v>国际俱乐部友谊赛</x:v>
      </x:c>
      <x:c r="D263" s="65" t="str">
        <x:v>中文名待确认（Bonner SC）</x:v>
      </x:c>
      <x:c r="E263" s="65" t="str">
        <x:v>中文名待确认（MSV Duisburg）</x:v>
      </x:c>
      <x:c r="F263" s="65" t="str">
        <x:v>无可靠让球盘/只观察｜现有证据不足以形成可执行让球倾向</x:v>
      </x:c>
      <x:c r="G263" s="65" t="str">
        <x:v>无可靠大小球盘/只观察｜现有证据不足以形成可执行总进球倾向</x:v>
      </x:c>
      <x:c r="H263" s="65" t="str">
        <x:v>待确认首发、伤停、双方近5场与主客拆分、亚洲让球/大小球初盘及当前水位；任一市场欧赔&lt;1.80/港水&lt;0.80不进；未满足全部触发条件不进、不加仓</x:v>
      </x:c>
      <x:c r="I263" s="66" t="n">
        <x:v>46221.793217592596</x:v>
      </x:c>
      <x:c r="J263" s="65" t="str">
        <x:v>需复核</x:v>
      </x:c>
      <x:c r="K263" s="65"/>
      <x:c r="L263" s="65"/>
      <x:c r="M263" s="65"/>
      <x:c r="N263" s="549"/>
      <x:c r="O263" s="549"/>
      <x:c r="P263" s="549" t="str">
        <x:f>IF(COUNT(N263:O263)=0,"",SUM(N263:O263))</x:f>
      </x:c>
      <x:c r="Q263" s="65" t="str">
        <x:v>https://www.365scores.com/football/match/4767873；查询时间：2026-07-18 19:02（北京时间）</x:v>
      </x:c>
      <x:c r="R263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4" ht="38" customHeight="1">
      <x:c r="A264" s="65" t="str">
        <x:f>IF(B264="","",TEXT(B264,"yyyy-mm-dd")&amp;"|"&amp;D264&amp;"|"&amp;E264)</x:f>
        <x:v>2026-07-18|中文名待确认（Burton Albion）|莱斯特城（Leicester City）</x:v>
      </x:c>
      <x:c r="B264" s="66" t="n">
        <x:v>46221.833333333336</x:v>
      </x:c>
      <x:c r="C264" s="65" t="str">
        <x:v>国际俱乐部友谊赛</x:v>
      </x:c>
      <x:c r="D264" s="65" t="str">
        <x:v>中文名待确认（Burton Albion）</x:v>
      </x:c>
      <x:c r="E264" s="65" t="str">
        <x:v>莱斯特城（Leicester City）</x:v>
      </x:c>
      <x:c r="F264" s="65" t="str">
        <x:v>无可靠让球盘/只观察｜现有证据不足以形成可执行让球倾向</x:v>
      </x:c>
      <x:c r="G264" s="65" t="str">
        <x:v>无可靠大小球盘/只观察｜现有证据不足以形成可执行总进球倾向</x:v>
      </x:c>
      <x:c r="H264" s="65" t="str">
        <x:v>待确认首发、伤停、双方近5场与主客拆分、亚洲让球/大小球初盘及当前水位；任一市场欧赔&lt;1.80/港水&lt;0.80不进；未满足全部触发条件不进、不加仓</x:v>
      </x:c>
      <x:c r="I264" s="66" t="n">
        <x:v>46221.793217592596</x:v>
      </x:c>
      <x:c r="J264" s="65" t="str">
        <x:v>需复核</x:v>
      </x:c>
      <x:c r="K264" s="65"/>
      <x:c r="L264" s="65"/>
      <x:c r="M264" s="65"/>
      <x:c r="N264" s="549"/>
      <x:c r="O264" s="549"/>
      <x:c r="P264" s="549" t="str">
        <x:f>IF(COUNT(N264:O264)=0,"",SUM(N264:O264))</x:f>
      </x:c>
      <x:c r="Q264" s="65" t="str">
        <x:v>https://www.365scores.com/football/match/4771617；查询时间：2026-07-18 19:02（北京时间）</x:v>
      </x:c>
      <x:c r="R264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5" ht="38" customHeight="1">
      <x:c r="A265" s="65" t="str">
        <x:f>IF(B265="","",TEXT(B265,"yyyy-mm-dd")&amp;"|"&amp;D265&amp;"|"&amp;E265)</x:f>
        <x:v>2026-07-18|中文名待确认（Chemnitzer FC）|菲尔特（Greuther Fürth）</x:v>
      </x:c>
      <x:c r="B265" s="66" t="n">
        <x:v>46221.833333333336</x:v>
      </x:c>
      <x:c r="C265" s="65" t="str">
        <x:v>国际俱乐部友谊赛</x:v>
      </x:c>
      <x:c r="D265" s="65" t="str">
        <x:v>中文名待确认（Chemnitzer FC）</x:v>
      </x:c>
      <x:c r="E265" s="65" t="str">
        <x:v>菲尔特（Greuther Fürth）</x:v>
      </x:c>
      <x:c r="F265" s="65" t="str">
        <x:v>无可靠让球盘/只观察｜现有证据不足以形成可执行让球倾向</x:v>
      </x:c>
      <x:c r="G265" s="65" t="str">
        <x:v>无可靠大小球盘/只观察｜现有证据不足以形成可执行总进球倾向</x:v>
      </x:c>
      <x:c r="H265" s="65" t="str">
        <x:v>待确认首发、伤停、双方近5场与主客拆分、亚洲让球/大小球初盘及当前水位；任一市场欧赔&lt;1.80/港水&lt;0.80不进；未满足全部触发条件不进、不加仓</x:v>
      </x:c>
      <x:c r="I265" s="66" t="n">
        <x:v>46221.793217592596</x:v>
      </x:c>
      <x:c r="J265" s="65" t="str">
        <x:v>需复核</x:v>
      </x:c>
      <x:c r="K265" s="65"/>
      <x:c r="L265" s="65"/>
      <x:c r="M265" s="65"/>
      <x:c r="N265" s="549"/>
      <x:c r="O265" s="549"/>
      <x:c r="P265" s="549" t="str">
        <x:f>IF(COUNT(N265:O265)=0,"",SUM(N265:O265))</x:f>
      </x:c>
      <x:c r="Q265" s="65" t="str">
        <x:v>https://www.365scores.com/football/match/4767866；查询时间：2026-07-18 19:02（北京时间）</x:v>
      </x:c>
      <x:c r="R26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6" ht="38" customHeight="1">
      <x:c r="A266" s="65" t="str">
        <x:f>IF(B266="","",TEXT(B266,"yyyy-mm-dd")&amp;"|"&amp;D266&amp;"|"&amp;E266)</x:f>
        <x:v>2026-07-18|中文名待确认（Dingnan United）|中文名待确认（Ningbo FC）</x:v>
      </x:c>
      <x:c r="B266" s="66" t="n">
        <x:v>46221.833333333336</x:v>
      </x:c>
      <x:c r="C266" s="65" t="str">
        <x:v>规范中文名待确认（League One）</x:v>
      </x:c>
      <x:c r="D266" s="65" t="str">
        <x:v>中文名待确认（Dingnan United）</x:v>
      </x:c>
      <x:c r="E266" s="65" t="str">
        <x:v>中文名待确认（Ningbo FC）</x:v>
      </x:c>
      <x:c r="F266" s="65" t="str">
        <x:v>无可靠让球盘/只观察｜现有证据不足以形成可执行让球倾向</x:v>
      </x:c>
      <x:c r="G266" s="65" t="str">
        <x:v>无可靠大小球盘/只观察｜现有证据不足以形成可执行总进球倾向</x:v>
      </x:c>
      <x:c r="H266" s="65" t="str">
        <x:v>待确认首发、伤停、双方近5场与主客拆分、亚洲让球/大小球初盘及当前水位；任一市场欧赔&lt;1.80/港水&lt;0.80不进；未满足全部触发条件不进、不加仓</x:v>
      </x:c>
      <x:c r="I266" s="66" t="n">
        <x:v>46221.793217592596</x:v>
      </x:c>
      <x:c r="J266" s="65" t="str">
        <x:v>需复核</x:v>
      </x:c>
      <x:c r="K266" s="65"/>
      <x:c r="L266" s="65"/>
      <x:c r="M266" s="65"/>
      <x:c r="N266" s="549"/>
      <x:c r="O266" s="549"/>
      <x:c r="P266" s="549" t="str">
        <x:f>IF(COUNT(N266:O266)=0,"",SUM(N266:O266))</x:f>
      </x:c>
      <x:c r="Q266" s="65" t="str">
        <x:v>https://www.365scores.com/football/match/4680098；https://www.fotmob.com/matches/x/x#5207166；https://www.livescore.mobi/football/china/china-league-one/jiangxi-dingnan-united-vs-ningbo-professional/1747150/；查询时间：2026-07-18 19:02（北京时间）</x:v>
      </x:c>
      <x:c r="R266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67" ht="38" customHeight="1">
      <x:c r="A267" s="65" t="str">
        <x:f>IF(B267="","",TEXT(B267,"yyyy-mm-dd")&amp;"|"&amp;D267&amp;"|"&amp;E267)</x:f>
        <x:v>2026-07-18|中文名待确认（Diriyah）|中文名待确认（Trelleborgs FF）</x:v>
      </x:c>
      <x:c r="B267" s="66" t="n">
        <x:v>46221.833333333336</x:v>
      </x:c>
      <x:c r="C267" s="65" t="str">
        <x:v>国际俱乐部友谊赛</x:v>
      </x:c>
      <x:c r="D267" s="65" t="str">
        <x:v>中文名待确认（Diriyah）</x:v>
      </x:c>
      <x:c r="E267" s="65" t="str">
        <x:v>中文名待确认（Trelleborgs FF）</x:v>
      </x:c>
      <x:c r="F267" s="65" t="str">
        <x:v>无可靠让球盘/只观察｜现有证据不足以形成可执行让球倾向</x:v>
      </x:c>
      <x:c r="G267" s="65" t="str">
        <x:v>无可靠大小球盘/只观察｜现有证据不足以形成可执行总进球倾向</x:v>
      </x:c>
      <x:c r="H267" s="65" t="str">
        <x:v>待确认首发、伤停、双方近5场与主客拆分、亚洲让球/大小球初盘及当前水位；任一市场欧赔&lt;1.80/港水&lt;0.80不进；未满足全部触发条件不进、不加仓</x:v>
      </x:c>
      <x:c r="I267" s="66" t="n">
        <x:v>46221.793217592596</x:v>
      </x:c>
      <x:c r="J267" s="65" t="str">
        <x:v>需复核</x:v>
      </x:c>
      <x:c r="K267" s="65"/>
      <x:c r="L267" s="65"/>
      <x:c r="M267" s="65"/>
      <x:c r="N267" s="549"/>
      <x:c r="O267" s="549"/>
      <x:c r="P267" s="549" t="str">
        <x:f>IF(COUNT(N267:O267)=0,"",SUM(N267:O267))</x:f>
      </x:c>
      <x:c r="Q267" s="65" t="str">
        <x:v>https://www.365scores.com/football/match/4769628；查询时间：2026-07-18 19:02（北京时间）</x:v>
      </x:c>
      <x:c r="R267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8" ht="38" customHeight="1">
      <x:c r="A268" s="65" t="str">
        <x:f>IF(B268="","",TEXT(B268,"yyyy-mm-dd")&amp;"|"&amp;D268&amp;"|"&amp;E268)</x:f>
        <x:v>2026-07-18|中文名待确认（Eint Braunschweig II）|中文名待确认（SV Babelsberg 03）</x:v>
      </x:c>
      <x:c r="B268" s="66" t="n">
        <x:v>46221.833333333336</x:v>
      </x:c>
      <x:c r="C268" s="65" t="str">
        <x:v>国际俱乐部友谊赛</x:v>
      </x:c>
      <x:c r="D268" s="65" t="str">
        <x:v>中文名待确认（Eint Braunschweig II）</x:v>
      </x:c>
      <x:c r="E268" s="65" t="str">
        <x:v>中文名待确认（SV Babelsberg 03）</x:v>
      </x:c>
      <x:c r="F268" s="65" t="str">
        <x:v>无可靠让球盘/只观察｜现有证据不足以形成可执行让球倾向</x:v>
      </x:c>
      <x:c r="G268" s="65" t="str">
        <x:v>无可靠大小球盘/只观察｜现有证据不足以形成可执行总进球倾向</x:v>
      </x:c>
      <x:c r="H268" s="65" t="str">
        <x:v>待确认首发、伤停、双方近5场与主客拆分、亚洲让球/大小球初盘及当前水位；任一市场欧赔&lt;1.80/港水&lt;0.80不进；未满足全部触发条件不进、不加仓</x:v>
      </x:c>
      <x:c r="I268" s="66" t="n">
        <x:v>46221.793217592596</x:v>
      </x:c>
      <x:c r="J268" s="65" t="str">
        <x:v>需复核</x:v>
      </x:c>
      <x:c r="K268" s="65"/>
      <x:c r="L268" s="65"/>
      <x:c r="M268" s="65"/>
      <x:c r="N268" s="549"/>
      <x:c r="O268" s="549"/>
      <x:c r="P268" s="549" t="str">
        <x:f>IF(COUNT(N268:O268)=0,"",SUM(N268:O268))</x:f>
      </x:c>
      <x:c r="Q268" s="65" t="str">
        <x:v>https://www.365scores.com/football/match/4767857；查询时间：2026-07-18 19:02（北京时间）</x:v>
      </x:c>
      <x:c r="R268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69" ht="38" customHeight="1">
      <x:c r="A269" s="65" t="str">
        <x:f>IF(B269="","",TEXT(B269,"yyyy-mm-dd")&amp;"|"&amp;D269&amp;"|"&amp;E269)</x:f>
        <x:v>2026-07-18|中文名待确认（F91 Dudelange）|中文名待确认（Hostert）</x:v>
      </x:c>
      <x:c r="B269" s="66" t="n">
        <x:v>46221.833333333336</x:v>
      </x:c>
      <x:c r="C269" s="65" t="str">
        <x:v>国际俱乐部友谊赛</x:v>
      </x:c>
      <x:c r="D269" s="65" t="str">
        <x:v>中文名待确认（F91 Dudelange）</x:v>
      </x:c>
      <x:c r="E269" s="65" t="str">
        <x:v>中文名待确认（Hostert）</x:v>
      </x:c>
      <x:c r="F269" s="65" t="str">
        <x:v>无可靠让球盘/只观察｜现有证据不足以形成可执行让球倾向</x:v>
      </x:c>
      <x:c r="G269" s="65" t="str">
        <x:v>无可靠大小球盘/只观察｜现有证据不足以形成可执行总进球倾向</x:v>
      </x:c>
      <x:c r="H269" s="65" t="str">
        <x:v>待确认首发、伤停、双方近5场与主客拆分、亚洲让球/大小球初盘及当前水位；任一市场欧赔&lt;1.80/港水&lt;0.80不进；未满足全部触发条件不进、不加仓</x:v>
      </x:c>
      <x:c r="I269" s="66" t="n">
        <x:v>46221.793217592596</x:v>
      </x:c>
      <x:c r="J269" s="65" t="str">
        <x:v>需复核</x:v>
      </x:c>
      <x:c r="K269" s="65"/>
      <x:c r="L269" s="65"/>
      <x:c r="M269" s="65"/>
      <x:c r="N269" s="549"/>
      <x:c r="O269" s="549"/>
      <x:c r="P269" s="549" t="str">
        <x:f>IF(COUNT(N269:O269)=0,"",SUM(N269:O269))</x:f>
      </x:c>
      <x:c r="Q269" s="65" t="str">
        <x:v>https://www.365scores.com/football/match/4771618；查询时间：2026-07-18 19:02（北京时间）</x:v>
      </x:c>
      <x:c r="R269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70" ht="38" customHeight="1">
      <x:c r="A270" s="65" t="str">
        <x:f>IF(B270="","",TEXT(B270,"yyyy-mm-dd")&amp;"|"&amp;D270&amp;"|"&amp;E270)</x:f>
        <x:v>2026-07-18|中文名待确认（FC Groningen）|中文名待确认（AEK Athens）</x:v>
      </x:c>
      <x:c r="B270" s="66" t="n">
        <x:v>46221.833333333336</x:v>
      </x:c>
      <x:c r="C270" s="65" t="str">
        <x:v>国际俱乐部友谊赛</x:v>
      </x:c>
      <x:c r="D270" s="65" t="str">
        <x:v>中文名待确认（FC Groningen）</x:v>
      </x:c>
      <x:c r="E270" s="65" t="str">
        <x:v>中文名待确认（AEK Athens）</x:v>
      </x:c>
      <x:c r="F270" s="65" t="str">
        <x:v>无可靠让球盘/只观察｜现有证据不足以形成可执行让球倾向</x:v>
      </x:c>
      <x:c r="G270" s="65" t="str">
        <x:v>无可靠大小球盘/只观察｜现有证据不足以形成可执行总进球倾向</x:v>
      </x:c>
      <x:c r="H270" s="65" t="str">
        <x:v>待确认首发、伤停、双方近5场与主客拆分、亚洲让球/大小球初盘及当前水位；任一市场欧赔&lt;1.80/港水&lt;0.80不进；未满足全部触发条件不进、不加仓</x:v>
      </x:c>
      <x:c r="I270" s="66" t="n">
        <x:v>46221.793217592596</x:v>
      </x:c>
      <x:c r="J270" s="65" t="str">
        <x:v>需复核</x:v>
      </x:c>
      <x:c r="K270" s="65"/>
      <x:c r="L270" s="65"/>
      <x:c r="M270" s="65"/>
      <x:c r="N270" s="549"/>
      <x:c r="O270" s="549"/>
      <x:c r="P270" s="549" t="str">
        <x:f>IF(COUNT(N270:O270)=0,"",SUM(N270:O270))</x:f>
      </x:c>
      <x:c r="Q270" s="65" t="str">
        <x:v>https://www.livescore.mobi/football/club-friendlies/club-friendlies-2026/fc-groningen-vs-aek-athens/1836812/；https://www.fotmob.com/matches/x/x#5944527；https://www.365scores.com/football/match/4767870；查询时间：2026-07-18 19:02（北京时间）</x:v>
      </x:c>
      <x:c r="R270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365Scores仅取得1X2：1 3.45（初始3.45）/X 3.5（初始3.5）/2 1.5（初始1.5）；不换算为亚洲让球盘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71" ht="38" customHeight="1">
      <x:c r="A271" s="65" t="str">
        <x:f>IF(B271="","",TEXT(B271,"yyyy-mm-dd")&amp;"|"&amp;D271&amp;"|"&amp;E271)</x:f>
        <x:v>2026-07-18|中文名待确认（FC Gutersloh）|中文名待确认（VFB Oldenburg）</x:v>
      </x:c>
      <x:c r="B271" s="66" t="n">
        <x:v>46221.833333333336</x:v>
      </x:c>
      <x:c r="C271" s="65" t="str">
        <x:v>国际俱乐部友谊赛</x:v>
      </x:c>
      <x:c r="D271" s="65" t="str">
        <x:v>中文名待确认（FC Gutersloh）</x:v>
      </x:c>
      <x:c r="E271" s="65" t="str">
        <x:v>中文名待确认（VFB Oldenburg）</x:v>
      </x:c>
      <x:c r="F271" s="65" t="str">
        <x:v>无可靠让球盘/只观察｜现有证据不足以形成可执行让球倾向</x:v>
      </x:c>
      <x:c r="G271" s="65" t="str">
        <x:v>无可靠大小球盘/只观察｜现有证据不足以形成可执行总进球倾向</x:v>
      </x:c>
      <x:c r="H271" s="65" t="str">
        <x:v>待确认首发、伤停、双方近5场与主客拆分、亚洲让球/大小球初盘及当前水位；任一市场欧赔&lt;1.80/港水&lt;0.80不进；未满足全部触发条件不进、不加仓</x:v>
      </x:c>
      <x:c r="I271" s="66" t="n">
        <x:v>46221.793217592596</x:v>
      </x:c>
      <x:c r="J271" s="65" t="str">
        <x:v>需复核</x:v>
      </x:c>
      <x:c r="K271" s="65"/>
      <x:c r="L271" s="65"/>
      <x:c r="M271" s="65"/>
      <x:c r="N271" s="549"/>
      <x:c r="O271" s="549"/>
      <x:c r="P271" s="549" t="str">
        <x:f>IF(COUNT(N271:O271)=0,"",SUM(N271:O271))</x:f>
      </x:c>
      <x:c r="Q271" s="65" t="str">
        <x:v>https://www.365scores.com/football/match/4767868；查询时间：2026-07-18 19:02（北京时间）</x:v>
      </x:c>
      <x:c r="R271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72" ht="38" customHeight="1">
      <x:c r="A272" s="65" t="str">
        <x:f>IF(B272="","",TEXT(B272,"yyyy-mm-dd")&amp;"|"&amp;D272&amp;"|"&amp;E272)</x:f>
        <x:v>2026-07-18|中文名待确认（FC Kreuzlingen）|中文名待确认（Fc Uzwil）</x:v>
      </x:c>
      <x:c r="B272" s="66" t="n">
        <x:v>46221.833333333336</x:v>
      </x:c>
      <x:c r="C272" s="65" t="str">
        <x:v>国际俱乐部友谊赛</x:v>
      </x:c>
      <x:c r="D272" s="65" t="str">
        <x:v>中文名待确认（FC Kreuzlingen）</x:v>
      </x:c>
      <x:c r="E272" s="65" t="str">
        <x:v>中文名待确认（Fc Uzwil）</x:v>
      </x:c>
      <x:c r="F272" s="65" t="str">
        <x:v>无可靠让球盘/只观察｜现有证据不足以形成可执行让球倾向</x:v>
      </x:c>
      <x:c r="G272" s="65" t="str">
        <x:v>无可靠大小球盘/只观察｜现有证据不足以形成可执行总进球倾向</x:v>
      </x:c>
      <x:c r="H272" s="65" t="str">
        <x:v>待确认首发、伤停、双方近5场与主客拆分、亚洲让球/大小球初盘及当前水位；任一市场欧赔&lt;1.80/港水&lt;0.80不进；未满足全部触发条件不进、不加仓</x:v>
      </x:c>
      <x:c r="I272" s="66" t="n">
        <x:v>46221.793217592596</x:v>
      </x:c>
      <x:c r="J272" s="65" t="str">
        <x:v>需复核</x:v>
      </x:c>
      <x:c r="K272" s="65"/>
      <x:c r="L272" s="65"/>
      <x:c r="M272" s="65"/>
      <x:c r="N272" s="549"/>
      <x:c r="O272" s="549"/>
      <x:c r="P272" s="549" t="str">
        <x:f>IF(COUNT(N272:O272)=0,"",SUM(N272:O272))</x:f>
      </x:c>
      <x:c r="Q272" s="65" t="str">
        <x:v>https://www.365scores.com/football/match/4771619；查询时间：2026-07-18 19:02（北京时间）</x:v>
      </x:c>
      <x:c r="R272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73" ht="38" customHeight="1">
      <x:c r="A273" s="65" t="str">
        <x:f>IF(B273="","",TEXT(B273,"yyyy-mm-dd")&amp;"|"&amp;D273&amp;"|"&amp;E273)</x:f>
        <x:v>2026-07-18|中文名待确认（FC Liefering）|中文名待确认（Wehen）</x:v>
      </x:c>
      <x:c r="B273" s="66" t="n">
        <x:v>46221.833333333336</x:v>
      </x:c>
      <x:c r="C273" s="65" t="str">
        <x:v>国际俱乐部友谊赛</x:v>
      </x:c>
      <x:c r="D273" s="65" t="str">
        <x:v>中文名待确认（FC Liefering）</x:v>
      </x:c>
      <x:c r="E273" s="65" t="str">
        <x:v>中文名待确认（Wehen）</x:v>
      </x:c>
      <x:c r="F273" s="65" t="str">
        <x:v>无可靠让球盘/只观察｜现有证据不足以形成可执行让球倾向</x:v>
      </x:c>
      <x:c r="G273" s="65" t="str">
        <x:v>无可靠大小球盘/只观察｜现有证据不足以形成可执行总进球倾向</x:v>
      </x:c>
      <x:c r="H273" s="65" t="str">
        <x:v>待确认首发、伤停、双方近5场与主客拆分、亚洲让球/大小球初盘及当前水位；任一市场欧赔&lt;1.80/港水&lt;0.80不进；未满足全部触发条件不进、不加仓</x:v>
      </x:c>
      <x:c r="I273" s="66" t="n">
        <x:v>46221.793217592596</x:v>
      </x:c>
      <x:c r="J273" s="65" t="str">
        <x:v>需复核</x:v>
      </x:c>
      <x:c r="K273" s="65"/>
      <x:c r="L273" s="65"/>
      <x:c r="M273" s="65"/>
      <x:c r="N273" s="549"/>
      <x:c r="O273" s="549"/>
      <x:c r="P273" s="549" t="str">
        <x:f>IF(COUNT(N273:O273)=0,"",SUM(N273:O273))</x:f>
      </x:c>
      <x:c r="Q273" s="65" t="str">
        <x:v>https://www.365scores.com/football/match/4767846；查询时间：2026-07-18 19:02（北京时间）</x:v>
      </x:c>
      <x:c r="R273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74" ht="38" customHeight="1">
      <x:c r="A274" s="65" t="str">
        <x:f>IF(B274="","",TEXT(B274,"yyyy-mm-dd")&amp;"|"&amp;D274&amp;"|"&amp;E274)</x:f>
        <x:v>2026-07-18|中文名待确认（FC Memmingen）|中文名待确认（FV Ravensburg）</x:v>
      </x:c>
      <x:c r="B274" s="66" t="n">
        <x:v>46221.833333333336</x:v>
      </x:c>
      <x:c r="C274" s="65" t="str">
        <x:v>国际俱乐部友谊赛</x:v>
      </x:c>
      <x:c r="D274" s="65" t="str">
        <x:v>中文名待确认（FC Memmingen）</x:v>
      </x:c>
      <x:c r="E274" s="65" t="str">
        <x:v>中文名待确认（FV Ravensburg）</x:v>
      </x:c>
      <x:c r="F274" s="65" t="str">
        <x:v>无可靠让球盘/只观察｜现有证据不足以形成可执行让球倾向</x:v>
      </x:c>
      <x:c r="G274" s="65" t="str">
        <x:v>无可靠大小球盘/只观察｜现有证据不足以形成可执行总进球倾向</x:v>
      </x:c>
      <x:c r="H274" s="65" t="str">
        <x:v>待确认首发、伤停、双方近5场与主客拆分、亚洲让球/大小球初盘及当前水位；任一市场欧赔&lt;1.80/港水&lt;0.80不进；未满足全部触发条件不进、不加仓</x:v>
      </x:c>
      <x:c r="I274" s="66" t="n">
        <x:v>46221.793217592596</x:v>
      </x:c>
      <x:c r="J274" s="65" t="str">
        <x:v>需复核</x:v>
      </x:c>
      <x:c r="K274" s="65"/>
      <x:c r="L274" s="65"/>
      <x:c r="M274" s="65"/>
      <x:c r="N274" s="549"/>
      <x:c r="O274" s="549"/>
      <x:c r="P274" s="549" t="str">
        <x:f>IF(COUNT(N274:O274)=0,"",SUM(N274:O274))</x:f>
      </x:c>
      <x:c r="Q274" s="65" t="str">
        <x:v>https://www.365scores.com/football/match/4767852；查询时间：2026-07-18 19:02（北京时间）</x:v>
      </x:c>
      <x:c r="R274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75" ht="38" customHeight="1">
      <x:c r="A275" s="65" t="str">
        <x:f>IF(B275="","",TEXT(B275,"yyyy-mm-dd")&amp;"|"&amp;D275&amp;"|"&amp;E275)</x:f>
        <x:v>2026-07-18|沙尔克04（FC Schalke 04）|中文名待确认（Steinbach Haiger）</x:v>
      </x:c>
      <x:c r="B275" s="66" t="n">
        <x:v>46221.833333333336</x:v>
      </x:c>
      <x:c r="C275" s="65" t="str">
        <x:v>国际俱乐部友谊赛</x:v>
      </x:c>
      <x:c r="D275" s="65" t="str">
        <x:v>沙尔克04（FC Schalke 04）</x:v>
      </x:c>
      <x:c r="E275" s="65" t="str">
        <x:v>中文名待确认（Steinbach Haiger）</x:v>
      </x:c>
      <x:c r="F275" s="65" t="str">
        <x:v>无可靠让球盘/只观察｜现有证据不足以形成可执行让球倾向</x:v>
      </x:c>
      <x:c r="G275" s="65" t="str">
        <x:v>无可靠大小球盘/只观察｜现有证据不足以形成可执行总进球倾向</x:v>
      </x:c>
      <x:c r="H275" s="65" t="str">
        <x:v>待确认首发、伤停、双方近5场与主客拆分、亚洲让球/大小球初盘及当前水位；任一市场欧赔&lt;1.80/港水&lt;0.80不进；未满足全部触发条件不进、不加仓</x:v>
      </x:c>
      <x:c r="I275" s="66" t="n">
        <x:v>46221.793217592596</x:v>
      </x:c>
      <x:c r="J275" s="65" t="str">
        <x:v>需复核</x:v>
      </x:c>
      <x:c r="K275" s="65"/>
      <x:c r="L275" s="65"/>
      <x:c r="M275" s="65"/>
      <x:c r="N275" s="549"/>
      <x:c r="O275" s="549"/>
      <x:c r="P275" s="549" t="str">
        <x:f>IF(COUNT(N275:O275)=0,"",SUM(N275:O275))</x:f>
      </x:c>
      <x:c r="Q275" s="65" t="str">
        <x:v>https://www.365scores.com/football/match/4767863；查询时间：2026-07-18 19:02（北京时间）</x:v>
      </x:c>
      <x:c r="R27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76" ht="38" customHeight="1">
      <x:c r="A276" s="65" t="str">
        <x:f>IF(B276="","",TEXT(B276,"yyyy-mm-dd")&amp;"|"&amp;D276&amp;"|"&amp;E276)</x:f>
        <x:v>2026-07-18|中文名待确认（FC Wil 1900）|中文名待确认（SC Brühl）</x:v>
      </x:c>
      <x:c r="B276" s="66" t="n">
        <x:v>46221.833333333336</x:v>
      </x:c>
      <x:c r="C276" s="65" t="str">
        <x:v>国际俱乐部友谊赛</x:v>
      </x:c>
      <x:c r="D276" s="65" t="str">
        <x:v>中文名待确认（FC Wil 1900）</x:v>
      </x:c>
      <x:c r="E276" s="65" t="str">
        <x:v>中文名待确认（SC Brühl）</x:v>
      </x:c>
      <x:c r="F276" s="65" t="str">
        <x:v>无可靠让球盘/只观察｜现有证据不足以形成可执行让球倾向</x:v>
      </x:c>
      <x:c r="G276" s="65" t="str">
        <x:v>无可靠大小球盘/只观察｜现有证据不足以形成可执行总进球倾向</x:v>
      </x:c>
      <x:c r="H276" s="65" t="str">
        <x:v>待确认首发、伤停、双方近5场与主客拆分、亚洲让球/大小球初盘及当前水位；任一市场欧赔&lt;1.80/港水&lt;0.80不进；未满足全部触发条件不进、不加仓</x:v>
      </x:c>
      <x:c r="I276" s="66" t="n">
        <x:v>46221.793217592596</x:v>
      </x:c>
      <x:c r="J276" s="65" t="str">
        <x:v>需复核</x:v>
      </x:c>
      <x:c r="K276" s="65"/>
      <x:c r="L276" s="65"/>
      <x:c r="M276" s="65"/>
      <x:c r="N276" s="549"/>
      <x:c r="O276" s="549"/>
      <x:c r="P276" s="549" t="str">
        <x:f>IF(COUNT(N276:O276)=0,"",SUM(N276:O276))</x:f>
      </x:c>
      <x:c r="Q276" s="65" t="str">
        <x:v>https://www.365scores.com/football/match/4767950；查询时间：2026-07-18 19:02（北京时间）</x:v>
      </x:c>
      <x:c r="R276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77" ht="38" customHeight="1">
      <x:c r="A277" s="65" t="str">
        <x:f>IF(B277="","",TEXT(B277,"yyyy-mm-dd")&amp;"|"&amp;D277&amp;"|"&amp;E277)</x:f>
        <x:v>2026-07-18|中文名待确认（FC Zürich）|菲尔特（Greuther Fürth）</x:v>
      </x:c>
      <x:c r="B277" s="66" t="n">
        <x:v>46221.833333333336</x:v>
      </x:c>
      <x:c r="C277" s="65" t="str">
        <x:v>国际俱乐部友谊赛</x:v>
      </x:c>
      <x:c r="D277" s="65" t="str">
        <x:v>中文名待确认（FC Zürich）</x:v>
      </x:c>
      <x:c r="E277" s="65" t="str">
        <x:v>菲尔特（Greuther Fürth）</x:v>
      </x:c>
      <x:c r="F277" s="65" t="str">
        <x:v>无可靠让球盘/只观察｜现有证据不足以形成可执行让球倾向</x:v>
      </x:c>
      <x:c r="G277" s="65" t="str">
        <x:v>无可靠大小球盘/只观察｜现有证据不足以形成可执行总进球倾向</x:v>
      </x:c>
      <x:c r="H277" s="65" t="str">
        <x:v>待确认首发、伤停、双方近5场与主客拆分、亚洲让球/大小球初盘及当前水位；任一市场欧赔&lt;1.80/港水&lt;0.80不进；未满足全部触发条件不进、不加仓</x:v>
      </x:c>
      <x:c r="I277" s="66" t="n">
        <x:v>46221.793217592596</x:v>
      </x:c>
      <x:c r="J277" s="65" t="str">
        <x:v>需复核</x:v>
      </x:c>
      <x:c r="K277" s="65"/>
      <x:c r="L277" s="65"/>
      <x:c r="M277" s="65"/>
      <x:c r="N277" s="549"/>
      <x:c r="O277" s="549"/>
      <x:c r="P277" s="549" t="str">
        <x:f>IF(COUNT(N277:O277)=0,"",SUM(N277:O277))</x:f>
      </x:c>
      <x:c r="Q277" s="65" t="str">
        <x:v>https://www.365scores.com/football/match/4767872；https://www.livescore.mobi/football/club-friendlies/club-friendlies-2026/greuther-furth-vs-fc-zurich/1832891/；https://www.fotmob.com/matches/x/x#5924854；查询时间：2026-07-18 19:02（北京时间）</x:v>
      </x:c>
      <x:c r="R277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365Scores仅取得1X2：1 2.6（初始2.6）/X 3.0（初始3.0）/2 1.85（初始1.85）；不换算为亚洲让球盘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78" ht="38" customHeight="1">
      <x:c r="A278" s="65" t="str">
        <x:f>IF(B278="","",TEXT(B278,"yyyy-mm-dd")&amp;"|"&amp;D278&amp;"|"&amp;E278)</x:f>
        <x:v>2026-07-18|赫尔辛基（HJK）|VPS瓦萨</x:v>
      </x:c>
      <x:c r="B278" s="66" t="n">
        <x:v>46221.833333333336</x:v>
      </x:c>
      <x:c r="C278" s="65" t="str">
        <x:v>规范中文名待确认（FIN - Veikkausliiga）</x:v>
      </x:c>
      <x:c r="D278" s="65" t="str">
        <x:v>赫尔辛基（HJK）</x:v>
      </x:c>
      <x:c r="E278" s="65" t="str">
        <x:v>VPS瓦萨</x:v>
      </x:c>
      <x:c r="F278" s="65" t="str">
        <x:v>无可靠让球盘/只观察｜现有证据不足以形成可执行让球倾向</x:v>
      </x:c>
      <x:c r="G278" s="65" t="str">
        <x:v>无可靠大小球盘/只观察｜现有证据不足以形成可执行总进球倾向</x:v>
      </x:c>
      <x:c r="H278" s="65" t="str">
        <x:v>待确认首发、伤停、双方近5场与主客拆分、亚洲让球/大小球初盘及当前水位；任一市场欧赔&lt;1.80/港水&lt;0.80不进；未满足全部触发条件不进、不加仓</x:v>
      </x:c>
      <x:c r="I278" s="66" t="n">
        <x:v>46221.793217592596</x:v>
      </x:c>
      <x:c r="J278" s="65" t="str">
        <x:v>需复核</x:v>
      </x:c>
      <x:c r="K278" s="65"/>
      <x:c r="L278" s="65"/>
      <x:c r="M278" s="65"/>
      <x:c r="N278" s="549"/>
      <x:c r="O278" s="549"/>
      <x:c r="P278" s="549" t="str">
        <x:f>IF(COUNT(N278:O278)=0,"",SUM(N278:O278))</x:f>
      </x:c>
      <x:c r="Q278" s="65" t="str">
        <x:v>https://www.fotmob.com/matches/x/x#5147597；https://www.livescore.mobi/football/finland/veikkausliiga/hjk-helsinki-vs-vps/1727760/；查询时间：2026-07-18 19:02（北京时间）</x:v>
      </x:c>
      <x:c r="R278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79" ht="38" customHeight="1">
      <x:c r="A279" s="65" t="str">
        <x:f>IF(B279="","",TEXT(B279,"yyyy-mm-dd")&amp;"|"&amp;D279&amp;"|"&amp;E279)</x:f>
        <x:v>2026-07-18|中文名待确认（HJK Helsinki）|VPS瓦萨（Vaasa PS）</x:v>
      </x:c>
      <x:c r="B279" s="66" t="n">
        <x:v>46221.833333333336</x:v>
      </x:c>
      <x:c r="C279" s="65" t="str">
        <x:v>规范中文名待确认（Veikkausliiga）</x:v>
      </x:c>
      <x:c r="D279" s="65" t="str">
        <x:v>中文名待确认（HJK Helsinki）</x:v>
      </x:c>
      <x:c r="E279" s="65" t="str">
        <x:v>VPS瓦萨（Vaasa PS）</x:v>
      </x:c>
      <x:c r="F279" s="65" t="str">
        <x:v>无可靠让球盘/只观察｜现有证据不足以形成可执行让球倾向</x:v>
      </x:c>
      <x:c r="G279" s="65" t="str">
        <x:v>无可靠大小球盘/只观察｜现有证据不足以形成可执行总进球倾向</x:v>
      </x:c>
      <x:c r="H279" s="65" t="str">
        <x:v>待确认首发、伤停、双方近5场与主客拆分、亚洲让球/大小球初盘及当前水位；任一市场欧赔&lt;1.80/港水&lt;0.80不进；未满足全部触发条件不进、不加仓</x:v>
      </x:c>
      <x:c r="I279" s="66" t="n">
        <x:v>46221.793217592596</x:v>
      </x:c>
      <x:c r="J279" s="65" t="str">
        <x:v>需复核</x:v>
      </x:c>
      <x:c r="K279" s="65"/>
      <x:c r="L279" s="65"/>
      <x:c r="M279" s="65"/>
      <x:c r="N279" s="549"/>
      <x:c r="O279" s="549"/>
      <x:c r="P279" s="549" t="str">
        <x:f>IF(COUNT(N279:O279)=0,"",SUM(N279:O279))</x:f>
      </x:c>
      <x:c r="Q279" s="65" t="str">
        <x:v>https://www.365scores.com/football/match/4636784；查询时间：2026-07-18 19:02（北京时间）</x:v>
      </x:c>
      <x:c r="R279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365Scores仅取得1X2：1 1.8（初始1.7）/X 3.0（初始3.15）/2 2.75（初始2.9）；不换算为亚洲让球盘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80" ht="38" customHeight="1">
      <x:c r="A280" s="65" t="str">
        <x:f>IF(B280="","",TEXT(B280,"yyyy-mm-dd")&amp;"|"&amp;D280&amp;"|"&amp;E280)</x:f>
        <x:v>2026-07-18|中文名待确认（Ham-kam）|中文名待确认（Tromso）</x:v>
      </x:c>
      <x:c r="B280" s="66" t="n">
        <x:v>46221.833333333336</x:v>
      </x:c>
      <x:c r="C280" s="65" t="str">
        <x:v>规范中文名待确认（Eliteserien）</x:v>
      </x:c>
      <x:c r="D280" s="65" t="str">
        <x:v>中文名待确认（Ham-kam）</x:v>
      </x:c>
      <x:c r="E280" s="65" t="str">
        <x:v>中文名待确认（Tromso）</x:v>
      </x:c>
      <x:c r="F280" s="65" t="str">
        <x:v>无可靠让球盘/只观察｜现有证据不足以形成可执行让球倾向</x:v>
      </x:c>
      <x:c r="G280" s="65" t="str">
        <x:v>无可靠大小球盘/只观察｜现有证据不足以形成可执行总进球倾向</x:v>
      </x:c>
      <x:c r="H280" s="65" t="str">
        <x:v>待确认首发、伤停、双方近5场与主客拆分、亚洲让球/大小球初盘及当前水位；任一市场欧赔&lt;1.80/港水&lt;0.80不进；未满足全部触发条件不进、不加仓</x:v>
      </x:c>
      <x:c r="I280" s="66" t="n">
        <x:v>46221.793217592596</x:v>
      </x:c>
      <x:c r="J280" s="65" t="str">
        <x:v>需复核</x:v>
      </x:c>
      <x:c r="K280" s="65"/>
      <x:c r="L280" s="65"/>
      <x:c r="M280" s="65"/>
      <x:c r="N280" s="549"/>
      <x:c r="O280" s="549"/>
      <x:c r="P280" s="549" t="str">
        <x:f>IF(COUNT(N280:O280)=0,"",SUM(N280:O280))</x:f>
      </x:c>
      <x:c r="Q280" s="65" t="str">
        <x:v>https://www.365scores.com/football/match/4637335；https://www.livescore.mobi/football/norway/eliteserien/hamkam-vs-tromsoe/1709209/；https://www.fotmob.com/matches/x/x#5104950；https://www.espn.com/soccer/match/_/gameId/401843383/tromso-hamarkameratene；查询时间：2026-07-18 19:02（北京时间）</x:v>
      </x:c>
      <x:c r="R280" s="65" t="str">
        <x:v>证据卡：正式联赛背景，积分动机通常成立；具体排名、保级/争冠形势未取得完整可审计表格。比赛身份与北京时间由4类来源核对。阵容：未公布/未检索到可靠确认首发，伤停、停赛、轮换、阵型及替代者待确认。近期/主客：ESPN最近赛果序列：主队DDWLW、客队WD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365Scores仅取得1X2：1 3.1（初始2.85）/X 2.85（初始2.7）/2 1.75（初始1.85）；不换算为亚洲让球盘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81" ht="38" customHeight="1">
      <x:c r="A281" s="65" t="str">
        <x:f>IF(B281="","",TEXT(B281,"yyyy-mm-dd")&amp;"|"&amp;D281&amp;"|"&amp;E281)</x:f>
        <x:v>2026-07-18|中文名待确认（Hibernian）|中文名待确认（Broendby IF）</x:v>
      </x:c>
      <x:c r="B281" s="66" t="n">
        <x:v>46221.833333333336</x:v>
      </x:c>
      <x:c r="C281" s="65" t="str">
        <x:v>国际俱乐部友谊赛</x:v>
      </x:c>
      <x:c r="D281" s="65" t="str">
        <x:v>中文名待确认（Hibernian）</x:v>
      </x:c>
      <x:c r="E281" s="65" t="str">
        <x:v>中文名待确认（Broendby IF）</x:v>
      </x:c>
      <x:c r="F281" s="65" t="str">
        <x:v>无可靠让球盘/只观察｜现有证据不足以形成可执行让球倾向</x:v>
      </x:c>
      <x:c r="G281" s="65" t="str">
        <x:v>无可靠大小球盘/只观察｜现有证据不足以形成可执行总进球倾向</x:v>
      </x:c>
      <x:c r="H281" s="65" t="str">
        <x:v>待确认首发、伤停、双方近5场与主客拆分、亚洲让球/大小球初盘及当前水位；任一市场欧赔&lt;1.80/港水&lt;0.80不进；未满足全部触发条件不进、不加仓</x:v>
      </x:c>
      <x:c r="I281" s="66" t="n">
        <x:v>46221.793217592596</x:v>
      </x:c>
      <x:c r="J281" s="65" t="str">
        <x:v>需复核</x:v>
      </x:c>
      <x:c r="K281" s="65"/>
      <x:c r="L281" s="65"/>
      <x:c r="M281" s="65"/>
      <x:c r="N281" s="549"/>
      <x:c r="O281" s="549"/>
      <x:c r="P281" s="549" t="str">
        <x:f>IF(COUNT(N281:O281)=0,"",SUM(N281:O281))</x:f>
      </x:c>
      <x:c r="Q281" s="65" t="str">
        <x:v>https://www.livescore.mobi/football/club-friendlies/club-friendlies-2026/hibernian-vs-broendby-if/1821683/；https://www.fotmob.com/matches/x/x#5747556；https://www.365scores.com/football/match/4767776；查询时间：2026-07-18 19:02（北京时间）</x:v>
      </x:c>
      <x:c r="R281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82" ht="38" customHeight="1">
      <x:c r="A282" s="65" t="str">
        <x:f>IF(B282="","",TEXT(B282,"yyyy-mm-dd")&amp;"|"&amp;D282&amp;"|"&amp;E282)</x:f>
        <x:v>2026-07-18|中文名待确认（Ingolstadt II）|中文名待确认（Stadeln）</x:v>
      </x:c>
      <x:c r="B282" s="66" t="n">
        <x:v>46221.833333333336</x:v>
      </x:c>
      <x:c r="C282" s="65" t="str">
        <x:v>规范中文名待确认（Germany - Oberliga: Bayern North）</x:v>
      </x:c>
      <x:c r="D282" s="65" t="str">
        <x:v>中文名待确认（Ingolstadt II）</x:v>
      </x:c>
      <x:c r="E282" s="65" t="str">
        <x:v>中文名待确认（Stadeln）</x:v>
      </x:c>
      <x:c r="F282" s="65" t="str">
        <x:v>无可靠让球盘/只观察｜现有证据不足以形成可执行让球倾向</x:v>
      </x:c>
      <x:c r="G282" s="65" t="str">
        <x:v>无可靠大小球盘/只观察｜现有证据不足以形成可执行总进球倾向</x:v>
      </x:c>
      <x:c r="H282" s="65" t="str">
        <x:v>待确认首发、伤停、双方近5场与主客拆分、亚洲让球/大小球初盘及当前水位；任一市场欧赔&lt;1.80/港水&lt;0.80不进；未满足全部触发条件不进、不加仓</x:v>
      </x:c>
      <x:c r="I282" s="66" t="n">
        <x:v>46221.793217592596</x:v>
      </x:c>
      <x:c r="J282" s="65" t="str">
        <x:v>需复核</x:v>
      </x:c>
      <x:c r="K282" s="65"/>
      <x:c r="L282" s="65"/>
      <x:c r="M282" s="65"/>
      <x:c r="N282" s="549"/>
      <x:c r="O282" s="549"/>
      <x:c r="P282" s="549" t="str">
        <x:f>IF(COUNT(N282:O282)=0,"",SUM(N282:O282))</x:f>
      </x:c>
      <x:c r="Q282" s="65" t="str">
        <x:v>https://www.livescore.mobi/football/germany/oberliga-bayern-north/ingolstadt-ii-vs-stadeln/1828156/；查询时间：2026-07-18 19:02（北京时间）</x:v>
      </x:c>
      <x:c r="R282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83" ht="38" customHeight="1">
      <x:c r="A283" s="65" t="str">
        <x:f>IF(B283="","",TEXT(B283,"yyyy-mm-dd")&amp;"|"&amp;D283&amp;"|"&amp;E283)</x:f>
        <x:v>2026-07-18|中文名待确认（Kickers Emden）|中文名待确认（SV Rödinghausen）</x:v>
      </x:c>
      <x:c r="B283" s="66" t="n">
        <x:v>46221.833333333336</x:v>
      </x:c>
      <x:c r="C283" s="65" t="str">
        <x:v>国际俱乐部友谊赛</x:v>
      </x:c>
      <x:c r="D283" s="65" t="str">
        <x:v>中文名待确认（Kickers Emden）</x:v>
      </x:c>
      <x:c r="E283" s="65" t="str">
        <x:v>中文名待确认（SV Rödinghausen）</x:v>
      </x:c>
      <x:c r="F283" s="65" t="str">
        <x:v>无可靠让球盘/只观察｜现有证据不足以形成可执行让球倾向</x:v>
      </x:c>
      <x:c r="G283" s="65" t="str">
        <x:v>无可靠大小球盘/只观察｜现有证据不足以形成可执行总进球倾向</x:v>
      </x:c>
      <x:c r="H283" s="65" t="str">
        <x:v>待确认首发、伤停、双方近5场与主客拆分、亚洲让球/大小球初盘及当前水位；任一市场欧赔&lt;1.80/港水&lt;0.80不进；未满足全部触发条件不进、不加仓</x:v>
      </x:c>
      <x:c r="I283" s="66" t="n">
        <x:v>46221.793217592596</x:v>
      </x:c>
      <x:c r="J283" s="65" t="str">
        <x:v>需复核</x:v>
      </x:c>
      <x:c r="K283" s="65"/>
      <x:c r="L283" s="65"/>
      <x:c r="M283" s="65"/>
      <x:c r="N283" s="549"/>
      <x:c r="O283" s="549"/>
      <x:c r="P283" s="549" t="str">
        <x:f>IF(COUNT(N283:O283)=0,"",SUM(N283:O283))</x:f>
      </x:c>
      <x:c r="Q283" s="65" t="str">
        <x:v>https://www.365scores.com/football/match/4767874；查询时间：2026-07-18 19:02（北京时间）</x:v>
      </x:c>
      <x:c r="R283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84" ht="38" customHeight="1">
      <x:c r="A284" s="65" t="str">
        <x:f>IF(B284="","",TEXT(B284,"yyyy-mm-dd")&amp;"|"&amp;D284&amp;"|"&amp;E284)</x:f>
        <x:v>2026-07-18|库奥皮奥（KuPS）|中文名待确认（Åland United (W)）</x:v>
      </x:c>
      <x:c r="B284" s="66" t="n">
        <x:v>46221.833333333336</x:v>
      </x:c>
      <x:c r="C284" s="65" t="str">
        <x:v>规范中文名待确认（FIN - Kansallinen Liiga）</x:v>
      </x:c>
      <x:c r="D284" s="65" t="str">
        <x:v>库奥皮奥（KuPS）</x:v>
      </x:c>
      <x:c r="E284" s="65" t="str">
        <x:v>中文名待确认（Åland United (W)）</x:v>
      </x:c>
      <x:c r="F284" s="65" t="str">
        <x:v>无可靠让球盘/只观察｜现有证据不足以形成可执行让球倾向</x:v>
      </x:c>
      <x:c r="G284" s="65" t="str">
        <x:v>无可靠大小球盘/只观察｜现有证据不足以形成可执行总进球倾向</x:v>
      </x:c>
      <x:c r="H284" s="65" t="str">
        <x:v>待确认首发、伤停、双方近5场与主客拆分、亚洲让球/大小球初盘及当前水位；任一市场欧赔&lt;1.80/港水&lt;0.80不进；未满足全部触发条件不进、不加仓</x:v>
      </x:c>
      <x:c r="I284" s="66" t="n">
        <x:v>46221.793217592596</x:v>
      </x:c>
      <x:c r="J284" s="65" t="str">
        <x:v>需复核</x:v>
      </x:c>
      <x:c r="K284" s="65"/>
      <x:c r="L284" s="65"/>
      <x:c r="M284" s="65"/>
      <x:c r="N284" s="549"/>
      <x:c r="O284" s="549"/>
      <x:c r="P284" s="549" t="str">
        <x:f>IF(COUNT(N284:O284)=0,"",SUM(N284:O284))</x:f>
      </x:c>
      <x:c r="Q284" s="65" t="str">
        <x:v>https://www.fotmob.com/matches/x/x#5234921；https://www.livescore.mobi/football/finland/kansallinen-liiga-women/kups-w-vs-aaland-united-w/1751987/；查询时间：2026-07-18 19:02（北京时间）</x:v>
      </x:c>
      <x:c r="R284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85" ht="38" customHeight="1">
      <x:c r="A285" s="65" t="str">
        <x:f>IF(B285="","",TEXT(B285,"yyyy-mm-dd")&amp;"|"&amp;D285&amp;"|"&amp;E285)</x:f>
        <x:v>2026-07-18|中文名待确认（Le Mans）|中文名待确认（La Roche VF）</x:v>
      </x:c>
      <x:c r="B285" s="66" t="n">
        <x:v>46221.833333333336</x:v>
      </x:c>
      <x:c r="C285" s="65" t="str">
        <x:v>国际俱乐部友谊赛</x:v>
      </x:c>
      <x:c r="D285" s="65" t="str">
        <x:v>中文名待确认（Le Mans）</x:v>
      </x:c>
      <x:c r="E285" s="65" t="str">
        <x:v>中文名待确认（La Roche VF）</x:v>
      </x:c>
      <x:c r="F285" s="65" t="str">
        <x:v>无可靠让球盘/只观察｜现有证据不足以形成可执行让球倾向</x:v>
      </x:c>
      <x:c r="G285" s="65" t="str">
        <x:v>无可靠大小球盘/只观察｜现有证据不足以形成可执行总进球倾向</x:v>
      </x:c>
      <x:c r="H285" s="65" t="str">
        <x:v>待确认首发、伤停、双方近5场与主客拆分、亚洲让球/大小球初盘及当前水位；任一市场欧赔&lt;1.80/港水&lt;0.80不进；未满足全部触发条件不进、不加仓</x:v>
      </x:c>
      <x:c r="I285" s="66" t="n">
        <x:v>46221.793217592596</x:v>
      </x:c>
      <x:c r="J285" s="65" t="str">
        <x:v>需复核</x:v>
      </x:c>
      <x:c r="K285" s="65"/>
      <x:c r="L285" s="65"/>
      <x:c r="M285" s="65"/>
      <x:c r="N285" s="549"/>
      <x:c r="O285" s="549"/>
      <x:c r="P285" s="549" t="str">
        <x:f>IF(COUNT(N285:O285)=0,"",SUM(N285:O285))</x:f>
      </x:c>
      <x:c r="Q285" s="65" t="str">
        <x:v>https://www.livescore.mobi/football/club-friendlies/club-friendlies-2026/le-mans-vs-la-roche-vf/1821998/；查询时间：2026-07-18 19:02（北京时间）</x:v>
      </x:c>
      <x:c r="R28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86" ht="38" customHeight="1">
      <x:c r="A286" s="65" t="str">
        <x:f>IF(B286="","",TEXT(B286,"yyyy-mm-dd")&amp;"|"&amp;D286&amp;"|"&amp;E286)</x:f>
        <x:v>2026-07-18|中文名待确认（Meppen）|中文名待确认（Sparta Rotterdam）</x:v>
      </x:c>
      <x:c r="B286" s="66" t="n">
        <x:v>46221.833333333336</x:v>
      </x:c>
      <x:c r="C286" s="65" t="str">
        <x:v>国际俱乐部友谊赛</x:v>
      </x:c>
      <x:c r="D286" s="65" t="str">
        <x:v>中文名待确认（Meppen）</x:v>
      </x:c>
      <x:c r="E286" s="65" t="str">
        <x:v>中文名待确认（Sparta Rotterdam）</x:v>
      </x:c>
      <x:c r="F286" s="65" t="str">
        <x:v>无可靠让球盘/只观察｜现有证据不足以形成可执行让球倾向</x:v>
      </x:c>
      <x:c r="G286" s="65" t="str">
        <x:v>无可靠大小球盘/只观察｜现有证据不足以形成可执行总进球倾向</x:v>
      </x:c>
      <x:c r="H286" s="65" t="str">
        <x:v>待确认首发、伤停、双方近5场与主客拆分、亚洲让球/大小球初盘及当前水位；任一市场欧赔&lt;1.80/港水&lt;0.80不进；未满足全部触发条件不进、不加仓</x:v>
      </x:c>
      <x:c r="I286" s="66" t="n">
        <x:v>46221.793217592596</x:v>
      </x:c>
      <x:c r="J286" s="65" t="str">
        <x:v>需复核</x:v>
      </x:c>
      <x:c r="K286" s="65"/>
      <x:c r="L286" s="65"/>
      <x:c r="M286" s="65"/>
      <x:c r="N286" s="549"/>
      <x:c r="O286" s="549"/>
      <x:c r="P286" s="549" t="str">
        <x:f>IF(COUNT(N286:O286)=0,"",SUM(N286:O286))</x:f>
      </x:c>
      <x:c r="Q286" s="65" t="str">
        <x:v>https://www.livescore.mobi/football/club-friendlies/club-friendlies-2026/meppen-vs-sparta-rotterdam/1822160/；https://www.fotmob.com/matches/x/x#5900830；查询时间：2026-07-18 19:02（北京时间）</x:v>
      </x:c>
      <x:c r="R286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87" ht="38" customHeight="1">
      <x:c r="A287" s="65" t="str">
        <x:f>IF(B287="","",TEXT(B287,"yyyy-mm-dd")&amp;"|"&amp;D287&amp;"|"&amp;E287)</x:f>
        <x:v>2026-07-18|中文名待确认（Mönchengladbach II）|中文名待确认（SC Fortuna Koln）</x:v>
      </x:c>
      <x:c r="B287" s="66" t="n">
        <x:v>46221.833333333336</x:v>
      </x:c>
      <x:c r="C287" s="65" t="str">
        <x:v>国际俱乐部友谊赛</x:v>
      </x:c>
      <x:c r="D287" s="65" t="str">
        <x:v>中文名待确认（Mönchengladbach II）</x:v>
      </x:c>
      <x:c r="E287" s="65" t="str">
        <x:v>中文名待确认（SC Fortuna Koln）</x:v>
      </x:c>
      <x:c r="F287" s="65" t="str">
        <x:v>无可靠让球盘/只观察｜现有证据不足以形成可执行让球倾向</x:v>
      </x:c>
      <x:c r="G287" s="65" t="str">
        <x:v>无可靠大小球盘/只观察｜现有证据不足以形成可执行总进球倾向</x:v>
      </x:c>
      <x:c r="H287" s="65" t="str">
        <x:v>待确认首发、伤停、双方近5场与主客拆分、亚洲让球/大小球初盘及当前水位；任一市场欧赔&lt;1.80/港水&lt;0.80不进；未满足全部触发条件不进、不加仓</x:v>
      </x:c>
      <x:c r="I287" s="66" t="n">
        <x:v>46221.793217592596</x:v>
      </x:c>
      <x:c r="J287" s="65" t="str">
        <x:v>需复核</x:v>
      </x:c>
      <x:c r="K287" s="65"/>
      <x:c r="L287" s="65"/>
      <x:c r="M287" s="65"/>
      <x:c r="N287" s="549"/>
      <x:c r="O287" s="549"/>
      <x:c r="P287" s="549" t="str">
        <x:f>IF(COUNT(N287:O287)=0,"",SUM(N287:O287))</x:f>
      </x:c>
      <x:c r="Q287" s="65" t="str">
        <x:v>https://www.365scores.com/football/match/4767859；查询时间：2026-07-18 19:02（北京时间）</x:v>
      </x:c>
      <x:c r="R287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88" ht="38" customHeight="1">
      <x:c r="A288" s="65" t="str">
        <x:f>IF(B288="","",TEXT(B288,"yyyy-mm-dd")&amp;"|"&amp;D288&amp;"|"&amp;E288)</x:f>
        <x:v>2026-07-18|中文名待确认（N.E.C. Nijmegen）|中文名待确认（Al Feiha）</x:v>
      </x:c>
      <x:c r="B288" s="66" t="n">
        <x:v>46221.833333333336</x:v>
      </x:c>
      <x:c r="C288" s="65" t="str">
        <x:v>国际俱乐部友谊赛</x:v>
      </x:c>
      <x:c r="D288" s="65" t="str">
        <x:v>中文名待确认（N.E.C. Nijmegen）</x:v>
      </x:c>
      <x:c r="E288" s="65" t="str">
        <x:v>中文名待确认（Al Feiha）</x:v>
      </x:c>
      <x:c r="F288" s="65" t="str">
        <x:v>无可靠让球盘/只观察｜现有证据不足以形成可执行让球倾向</x:v>
      </x:c>
      <x:c r="G288" s="65" t="str">
        <x:v>无可靠大小球盘/只观察｜现有证据不足以形成可执行总进球倾向</x:v>
      </x:c>
      <x:c r="H288" s="65" t="str">
        <x:v>待确认首发、伤停、双方近5场与主客拆分、亚洲让球/大小球初盘及当前水位；任一市场欧赔&lt;1.80/港水&lt;0.80不进；未满足全部触发条件不进、不加仓</x:v>
      </x:c>
      <x:c r="I288" s="66" t="n">
        <x:v>46221.793217592596</x:v>
      </x:c>
      <x:c r="J288" s="65" t="str">
        <x:v>需复核</x:v>
      </x:c>
      <x:c r="K288" s="65"/>
      <x:c r="L288" s="65"/>
      <x:c r="M288" s="65"/>
      <x:c r="N288" s="549"/>
      <x:c r="O288" s="549"/>
      <x:c r="P288" s="549" t="str">
        <x:f>IF(COUNT(N288:O288)=0,"",SUM(N288:O288))</x:f>
      </x:c>
      <x:c r="Q288" s="65" t="str">
        <x:v>https://www.365scores.com/football/match/4771607；https://www.livescore.mobi/football/club-friendlies/club-friendlies-2026/nec-nijmegen-vs-al-feiha/1822095/；https://www.fotmob.com/matches/x/x#5900558；查询时间：2026-07-18 19:02（北京时间）</x:v>
      </x:c>
      <x:c r="R288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89" ht="38" customHeight="1">
      <x:c r="A289" s="65" t="str">
        <x:f>IF(B289="","",TEXT(B289,"yyyy-mm-dd")&amp;"|"&amp;D289&amp;"|"&amp;E289)</x:f>
        <x:v>2026-07-18|中文名待确认（Newcastle）|中文名待确认（Darlington）</x:v>
      </x:c>
      <x:c r="B289" s="66" t="n">
        <x:v>46221.833333333336</x:v>
      </x:c>
      <x:c r="C289" s="65" t="str">
        <x:v>国际俱乐部友谊赛</x:v>
      </x:c>
      <x:c r="D289" s="65" t="str">
        <x:v>中文名待确认（Newcastle）</x:v>
      </x:c>
      <x:c r="E289" s="65" t="str">
        <x:v>中文名待确认（Darlington）</x:v>
      </x:c>
      <x:c r="F289" s="65" t="str">
        <x:v>无可靠让球盘/只观察｜现有证据不足以形成可执行让球倾向</x:v>
      </x:c>
      <x:c r="G289" s="65" t="str">
        <x:v>无可靠大小球盘/只观察｜现有证据不足以形成可执行总进球倾向</x:v>
      </x:c>
      <x:c r="H289" s="65" t="str">
        <x:v>待确认首发、伤停、双方近5场与主客拆分、亚洲让球/大小球初盘及当前水位；任一市场欧赔&lt;1.80/港水&lt;0.80不进；未满足全部触发条件不进、不加仓</x:v>
      </x:c>
      <x:c r="I289" s="66" t="n">
        <x:v>46221.793217592596</x:v>
      </x:c>
      <x:c r="J289" s="65" t="str">
        <x:v>需复核</x:v>
      </x:c>
      <x:c r="K289" s="65"/>
      <x:c r="L289" s="65"/>
      <x:c r="M289" s="65"/>
      <x:c r="N289" s="549"/>
      <x:c r="O289" s="549"/>
      <x:c r="P289" s="549" t="str">
        <x:f>IF(COUNT(N289:O289)=0,"",SUM(N289:O289))</x:f>
      </x:c>
      <x:c r="Q289" s="65" t="str">
        <x:v>https://www.fotmob.com/matches/x/x#5898823；https://www.livescore.mobi/football/club-friendlies/featured-club-friendlies/newcastle-united-vs-darlington/1821956/；查询时间：2026-07-18 19:02（北京时间）</x:v>
      </x:c>
      <x:c r="R289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90" ht="38" customHeight="1">
      <x:c r="A290" s="65" t="str">
        <x:f>IF(B290="","",TEXT(B290,"yyyy-mm-dd")&amp;"|"&amp;D290&amp;"|"&amp;E290)</x:f>
        <x:v>2026-07-18|中文名待确认（Nyiregyhaza）|中文名待确认（Bukovyna）</x:v>
      </x:c>
      <x:c r="B290" s="66" t="n">
        <x:v>46221.833333333336</x:v>
      </x:c>
      <x:c r="C290" s="65" t="str">
        <x:v>国际俱乐部友谊赛</x:v>
      </x:c>
      <x:c r="D290" s="65" t="str">
        <x:v>中文名待确认（Nyiregyhaza）</x:v>
      </x:c>
      <x:c r="E290" s="65" t="str">
        <x:v>中文名待确认（Bukovyna）</x:v>
      </x:c>
      <x:c r="F290" s="65" t="str">
        <x:v>无可靠让球盘/只观察｜现有证据不足以形成可执行让球倾向</x:v>
      </x:c>
      <x:c r="G290" s="65" t="str">
        <x:v>无可靠大小球盘/只观察｜现有证据不足以形成可执行总进球倾向</x:v>
      </x:c>
      <x:c r="H290" s="65" t="str">
        <x:v>待确认首发、伤停、双方近5场与主客拆分、亚洲让球/大小球初盘及当前水位；任一市场欧赔&lt;1.80/港水&lt;0.80不进；未满足全部触发条件不进、不加仓</x:v>
      </x:c>
      <x:c r="I290" s="66" t="n">
        <x:v>46221.793217592596</x:v>
      </x:c>
      <x:c r="J290" s="65" t="str">
        <x:v>需复核</x:v>
      </x:c>
      <x:c r="K290" s="65"/>
      <x:c r="L290" s="65"/>
      <x:c r="M290" s="65"/>
      <x:c r="N290" s="549"/>
      <x:c r="O290" s="549"/>
      <x:c r="P290" s="549" t="str">
        <x:f>IF(COUNT(N290:O290)=0,"",SUM(N290:O290))</x:f>
      </x:c>
      <x:c r="Q290" s="65" t="str">
        <x:v>https://www.365scores.com/football/match/4767923；查询时间：2026-07-18 19:02（北京时间）</x:v>
      </x:c>
      <x:c r="R290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91" ht="38" customHeight="1">
      <x:c r="A291" s="65" t="str">
        <x:f>IF(B291="","",TEXT(B291,"yyyy-mm-dd")&amp;"|"&amp;D291&amp;"|"&amp;E291)</x:f>
        <x:v>2026-07-18|中文名待确认（Okzhetpes）|中文名待确认（Jetisu）</x:v>
      </x:c>
      <x:c r="B291" s="66" t="n">
        <x:v>46221.833333333336</x:v>
      </x:c>
      <x:c r="C291" s="65" t="str">
        <x:v>规范中文名待确认（Premier League）</x:v>
      </x:c>
      <x:c r="D291" s="65" t="str">
        <x:v>中文名待确认（Okzhetpes）</x:v>
      </x:c>
      <x:c r="E291" s="65" t="str">
        <x:v>中文名待确认（Jetisu）</x:v>
      </x:c>
      <x:c r="F291" s="65" t="str">
        <x:v>无可靠让球盘/只观察｜现有证据不足以形成可执行让球倾向</x:v>
      </x:c>
      <x:c r="G291" s="65" t="str">
        <x:v>无可靠大小球盘/只观察｜现有证据不足以形成可执行总进球倾向</x:v>
      </x:c>
      <x:c r="H291" s="65" t="str">
        <x:v>待确认首发、伤停、双方近5场与主客拆分、亚洲让球/大小球初盘及当前水位；任一市场欧赔&lt;1.80/港水&lt;0.80不进；未满足全部触发条件不进、不加仓</x:v>
      </x:c>
      <x:c r="I291" s="66" t="n">
        <x:v>46221.793217592596</x:v>
      </x:c>
      <x:c r="J291" s="65" t="str">
        <x:v>需复核</x:v>
      </x:c>
      <x:c r="K291" s="65"/>
      <x:c r="L291" s="65"/>
      <x:c r="M291" s="65"/>
      <x:c r="N291" s="549"/>
      <x:c r="O291" s="549"/>
      <x:c r="P291" s="549" t="str">
        <x:f>IF(COUNT(N291:O291)=0,"",SUM(N291:O291))</x:f>
      </x:c>
      <x:c r="Q291" s="65" t="str">
        <x:v>https://www.365scores.com/football/match/4677972；查询时间：2026-07-18 19:02（北京时间）</x:v>
      </x:c>
      <x:c r="R291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365Scores仅取得1X2：1 1.65（初始1.5）/X 2.9（初始3.2）/2 3.3（初始3.7）；不换算为亚洲让球盘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92" ht="38" customHeight="1">
      <x:c r="A292" s="65" t="str">
        <x:f>IF(B292="","",TEXT(B292,"yyyy-mm-dd")&amp;"|"&amp;D292&amp;"|"&amp;E292)</x:f>
        <x:v>2026-07-18|中文名待确认（Okzhetpes Kokshetau）|中文名待确认（Zhetysu Taldykorgan）</x:v>
      </x:c>
      <x:c r="B292" s="66" t="n">
        <x:v>46221.833333333336</x:v>
      </x:c>
      <x:c r="C292" s="65" t="str">
        <x:v>规范中文名待确认（Kazakhstan - Premier League）</x:v>
      </x:c>
      <x:c r="D292" s="65" t="str">
        <x:v>中文名待确认（Okzhetpes Kokshetau）</x:v>
      </x:c>
      <x:c r="E292" s="65" t="str">
        <x:v>中文名待确认（Zhetysu Taldykorgan）</x:v>
      </x:c>
      <x:c r="F292" s="65" t="str">
        <x:v>无可靠让球盘/只观察｜现有证据不足以形成可执行让球倾向</x:v>
      </x:c>
      <x:c r="G292" s="65" t="str">
        <x:v>无可靠大小球盘/只观察｜现有证据不足以形成可执行总进球倾向</x:v>
      </x:c>
      <x:c r="H292" s="65" t="str">
        <x:v>待确认首发、伤停、双方近5场与主客拆分、亚洲让球/大小球初盘及当前水位；任一市场欧赔&lt;1.80/港水&lt;0.80不进；未满足全部触发条件不进、不加仓</x:v>
      </x:c>
      <x:c r="I292" s="66" t="n">
        <x:v>46221.793217592596</x:v>
      </x:c>
      <x:c r="J292" s="65" t="str">
        <x:v>需复核</x:v>
      </x:c>
      <x:c r="K292" s="65"/>
      <x:c r="L292" s="65"/>
      <x:c r="M292" s="65"/>
      <x:c r="N292" s="549"/>
      <x:c r="O292" s="549"/>
      <x:c r="P292" s="549" t="str">
        <x:f>IF(COUNT(N292:O292)=0,"",SUM(N292:O292))</x:f>
      </x:c>
      <x:c r="Q292" s="65" t="str">
        <x:v>https://www.livescore.mobi/football/kazakhstan/premier-league/okzhetpes-kokshetau-vs-zhetysu-taldykorgan/1744654/；https://www.fotmob.com/matches/x/x#5204182；查询时间：2026-07-18 19:02（北京时间）</x:v>
      </x:c>
      <x:c r="R292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93" ht="38" customHeight="1">
      <x:c r="A293" s="65" t="str">
        <x:f>IF(B293="","",TEXT(B293,"yyyy-mm-dd")&amp;"|"&amp;D293&amp;"|"&amp;E293)</x:f>
        <x:v>2026-07-18|亚松森奥林匹亚（Olimpia）|中文名待确认（Sportivo 2 de Mayo (W)）</x:v>
      </x:c>
      <x:c r="B293" s="66" t="n">
        <x:v>46221.833333333336</x:v>
      </x:c>
      <x:c r="C293" s="65" t="str">
        <x:v>规范中文名待确认（Championship (W)）</x:v>
      </x:c>
      <x:c r="D293" s="65" t="str">
        <x:v>亚松森奥林匹亚（Olimpia）</x:v>
      </x:c>
      <x:c r="E293" s="65" t="str">
        <x:v>中文名待确认（Sportivo 2 de Mayo (W)）</x:v>
      </x:c>
      <x:c r="F293" s="65" t="str">
        <x:v>无可靠让球盘/只观察｜现有证据不足以形成可执行让球倾向</x:v>
      </x:c>
      <x:c r="G293" s="65" t="str">
        <x:v>无可靠大小球盘/只观察｜现有证据不足以形成可执行总进球倾向</x:v>
      </x:c>
      <x:c r="H293" s="65" t="str">
        <x:v>待确认首发、伤停、双方近5场与主客拆分、亚洲让球/大小球初盘及当前水位；任一市场欧赔&lt;1.80/港水&lt;0.80不进；未满足全部触发条件不进、不加仓</x:v>
      </x:c>
      <x:c r="I293" s="66" t="n">
        <x:v>46221.793217592596</x:v>
      </x:c>
      <x:c r="J293" s="65" t="str">
        <x:v>需复核</x:v>
      </x:c>
      <x:c r="K293" s="65"/>
      <x:c r="L293" s="65"/>
      <x:c r="M293" s="65"/>
      <x:c r="N293" s="549"/>
      <x:c r="O293" s="549"/>
      <x:c r="P293" s="549" t="str">
        <x:f>IF(COUNT(N293:O293)=0,"",SUM(N293:O293))</x:f>
      </x:c>
      <x:c r="Q293" s="65" t="str">
        <x:v>https://www.365scores.com/football/match/4776360；查询时间：2026-07-18 19:02（北京时间）</x:v>
      </x:c>
      <x:c r="R293" s="65" t="str">
        <x:v>证据卡：正式联赛背景，积分动机通常成立；具体排名、保级/争冠形势未取得完整可审计表格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94" ht="38" customHeight="1">
      <x:c r="A294" s="65" t="str">
        <x:f>IF(B294="","",TEXT(B294,"yyyy-mm-dd")&amp;"|"&amp;D294&amp;"|"&amp;E294)</x:f>
        <x:v>2026-07-18|中文名待确认（Paris FC）|中文名待确认（Reims）</x:v>
      </x:c>
      <x:c r="B294" s="66" t="n">
        <x:v>46221.833333333336</x:v>
      </x:c>
      <x:c r="C294" s="65" t="str">
        <x:v>国际俱乐部友谊赛</x:v>
      </x:c>
      <x:c r="D294" s="65" t="str">
        <x:v>中文名待确认（Paris FC）</x:v>
      </x:c>
      <x:c r="E294" s="65" t="str">
        <x:v>中文名待确认（Reims）</x:v>
      </x:c>
      <x:c r="F294" s="65" t="str">
        <x:v>无可靠让球盘/只观察｜现有证据不足以形成可执行让球倾向</x:v>
      </x:c>
      <x:c r="G294" s="65" t="str">
        <x:v>无可靠大小球盘/只观察｜现有证据不足以形成可执行总进球倾向</x:v>
      </x:c>
      <x:c r="H294" s="65" t="str">
        <x:v>待确认首发、伤停、双方近5场与主客拆分、亚洲让球/大小球初盘及当前水位；任一市场欧赔&lt;1.80/港水&lt;0.80不进；未满足全部触发条件不进、不加仓</x:v>
      </x:c>
      <x:c r="I294" s="66" t="n">
        <x:v>46221.793217592596</x:v>
      </x:c>
      <x:c r="J294" s="65" t="str">
        <x:v>需复核</x:v>
      </x:c>
      <x:c r="K294" s="65"/>
      <x:c r="L294" s="65"/>
      <x:c r="M294" s="65"/>
      <x:c r="N294" s="549"/>
      <x:c r="O294" s="549"/>
      <x:c r="P294" s="549" t="str">
        <x:f>IF(COUNT(N294:O294)=0,"",SUM(N294:O294))</x:f>
      </x:c>
      <x:c r="Q294" s="65" t="str">
        <x:v>https://www.livescore.mobi/football/club-friendlies/club-friendlies-2026/paris-fc-vs-reims/1822018/；https://www.fotmob.com/matches/x/x#5900267；查询时间：2026-07-18 19:02（北京时间）</x:v>
      </x:c>
      <x:c r="R294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95" ht="38" customHeight="1">
      <x:c r="A295" s="65" t="str">
        <x:f>IF(B295="","",TEXT(B295,"yyyy-mm-dd")&amp;"|"&amp;D295&amp;"|"&amp;E295)</x:f>
        <x:v>2026-07-18|中文名待确认（RKC Waalwijk）|中文名待确认（Aachen）</x:v>
      </x:c>
      <x:c r="B295" s="66" t="n">
        <x:v>46221.833333333336</x:v>
      </x:c>
      <x:c r="C295" s="65" t="str">
        <x:v>国际俱乐部友谊赛</x:v>
      </x:c>
      <x:c r="D295" s="65" t="str">
        <x:v>中文名待确认（RKC Waalwijk）</x:v>
      </x:c>
      <x:c r="E295" s="65" t="str">
        <x:v>中文名待确认（Aachen）</x:v>
      </x:c>
      <x:c r="F295" s="65" t="str">
        <x:v>无可靠让球盘/只观察｜现有证据不足以形成可执行让球倾向</x:v>
      </x:c>
      <x:c r="G295" s="65" t="str">
        <x:v>无可靠大小球盘/只观察｜现有证据不足以形成可执行总进球倾向</x:v>
      </x:c>
      <x:c r="H295" s="65" t="str">
        <x:v>待确认首发、伤停、双方近5场与主客拆分、亚洲让球/大小球初盘及当前水位；任一市场欧赔&lt;1.80/港水&lt;0.80不进；未满足全部触发条件不进、不加仓</x:v>
      </x:c>
      <x:c r="I295" s="66" t="n">
        <x:v>46221.793217592596</x:v>
      </x:c>
      <x:c r="J295" s="65" t="str">
        <x:v>需复核</x:v>
      </x:c>
      <x:c r="K295" s="65"/>
      <x:c r="L295" s="65"/>
      <x:c r="M295" s="65"/>
      <x:c r="N295" s="549"/>
      <x:c r="O295" s="549"/>
      <x:c r="P295" s="549" t="str">
        <x:f>IF(COUNT(N295:O295)=0,"",SUM(N295:O295))</x:f>
      </x:c>
      <x:c r="Q295" s="65" t="str">
        <x:v>https://www.365scores.com/football/match/4769425；查询时间：2026-07-18 19:02（北京时间）</x:v>
      </x:c>
      <x:c r="R29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96" ht="38" customHeight="1">
      <x:c r="A296" s="65" t="str">
        <x:f>IF(B296="","",TEXT(B296,"yyyy-mm-dd")&amp;"|"&amp;D296&amp;"|"&amp;E296)</x:f>
        <x:v>2026-07-18|中文名待确认（Schermbeck 2020）|中文名待确认（Bocholt）</x:v>
      </x:c>
      <x:c r="B296" s="66" t="n">
        <x:v>46221.833333333336</x:v>
      </x:c>
      <x:c r="C296" s="65" t="str">
        <x:v>国际俱乐部友谊赛</x:v>
      </x:c>
      <x:c r="D296" s="65" t="str">
        <x:v>中文名待确认（Schermbeck 2020）</x:v>
      </x:c>
      <x:c r="E296" s="65" t="str">
        <x:v>中文名待确认（Bocholt）</x:v>
      </x:c>
      <x:c r="F296" s="65" t="str">
        <x:v>无可靠让球盘/只观察｜现有证据不足以形成可执行让球倾向</x:v>
      </x:c>
      <x:c r="G296" s="65" t="str">
        <x:v>无可靠大小球盘/只观察｜现有证据不足以形成可执行总进球倾向</x:v>
      </x:c>
      <x:c r="H296" s="65" t="str">
        <x:v>待确认首发、伤停、双方近5场与主客拆分、亚洲让球/大小球初盘及当前水位；任一市场欧赔&lt;1.80/港水&lt;0.80不进；未满足全部触发条件不进、不加仓</x:v>
      </x:c>
      <x:c r="I296" s="66" t="n">
        <x:v>46221.793217592596</x:v>
      </x:c>
      <x:c r="J296" s="65" t="str">
        <x:v>需复核</x:v>
      </x:c>
      <x:c r="K296" s="65"/>
      <x:c r="L296" s="65"/>
      <x:c r="M296" s="65"/>
      <x:c r="N296" s="549"/>
      <x:c r="O296" s="549"/>
      <x:c r="P296" s="549" t="str">
        <x:f>IF(COUNT(N296:O296)=0,"",SUM(N296:O296))</x:f>
      </x:c>
      <x:c r="Q296" s="65" t="str">
        <x:v>https://www.365scores.com/football/match/4771610；查询时间：2026-07-18 19:02（北京时间）</x:v>
      </x:c>
      <x:c r="R296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97" ht="38" customHeight="1">
      <x:c r="A297" s="65" t="str">
        <x:f>IF(B297="","",TEXT(B297,"yyyy-mm-dd")&amp;"|"&amp;D297&amp;"|"&amp;E297)</x:f>
        <x:v>2026-07-18|中文名待确认（Sheffield Wed）|中文名待确认（Preston）</x:v>
      </x:c>
      <x:c r="B297" s="66" t="n">
        <x:v>46221.833333333336</x:v>
      </x:c>
      <x:c r="C297" s="65" t="str">
        <x:v>国际俱乐部友谊赛</x:v>
      </x:c>
      <x:c r="D297" s="65" t="str">
        <x:v>中文名待确认（Sheffield Wed）</x:v>
      </x:c>
      <x:c r="E297" s="65" t="str">
        <x:v>中文名待确认（Preston）</x:v>
      </x:c>
      <x:c r="F297" s="65" t="str">
        <x:v>无可靠让球盘/只观察｜现有证据不足以形成可执行让球倾向</x:v>
      </x:c>
      <x:c r="G297" s="65" t="str">
        <x:v>无可靠大小球盘/只观察｜现有证据不足以形成可执行总进球倾向</x:v>
      </x:c>
      <x:c r="H297" s="65" t="str">
        <x:v>待确认首发、伤停、双方近5场与主客拆分、亚洲让球/大小球初盘及当前水位；任一市场欧赔&lt;1.80/港水&lt;0.80不进；未满足全部触发条件不进、不加仓</x:v>
      </x:c>
      <x:c r="I297" s="66" t="n">
        <x:v>46221.793217592596</x:v>
      </x:c>
      <x:c r="J297" s="65" t="str">
        <x:v>需复核</x:v>
      </x:c>
      <x:c r="K297" s="65"/>
      <x:c r="L297" s="65"/>
      <x:c r="M297" s="65"/>
      <x:c r="N297" s="549"/>
      <x:c r="O297" s="549"/>
      <x:c r="P297" s="549" t="str">
        <x:f>IF(COUNT(N297:O297)=0,"",SUM(N297:O297))</x:f>
      </x:c>
      <x:c r="Q297" s="65" t="str">
        <x:v>https://www.365scores.com/football/match/4767948；https://www.livescore.mobi/football/club-friendlies/club-friendlies-2026/sheffield-wednesday-vs-preston-north-end/1836815/；查询时间：2026-07-18 19:02（北京时间）</x:v>
      </x:c>
      <x:c r="R297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298" ht="38" customHeight="1">
      <x:c r="A298" s="65" t="str">
        <x:f>IF(B298="","",TEXT(B298,"yyyy-mm-dd")&amp;"|"&amp;D298&amp;"|"&amp;E298)</x:f>
        <x:v>2026-07-18|中文名待确认（Sonnenhof Großaspach）|中文名待确认（Hoffenheim II）</x:v>
      </x:c>
      <x:c r="B298" s="66" t="n">
        <x:v>46221.833333333336</x:v>
      </x:c>
      <x:c r="C298" s="65" t="str">
        <x:v>国际俱乐部友谊赛</x:v>
      </x:c>
      <x:c r="D298" s="65" t="str">
        <x:v>中文名待确认（Sonnenhof Großaspach）</x:v>
      </x:c>
      <x:c r="E298" s="65" t="str">
        <x:v>中文名待确认（Hoffenheim II）</x:v>
      </x:c>
      <x:c r="F298" s="65" t="str">
        <x:v>无可靠让球盘/只观察｜现有证据不足以形成可执行让球倾向</x:v>
      </x:c>
      <x:c r="G298" s="65" t="str">
        <x:v>无可靠大小球盘/只观察｜现有证据不足以形成可执行总进球倾向</x:v>
      </x:c>
      <x:c r="H298" s="65" t="str">
        <x:v>待确认首发、伤停、双方近5场与主客拆分、亚洲让球/大小球初盘及当前水位；任一市场欧赔&lt;1.80/港水&lt;0.80不进；未满足全部触发条件不进、不加仓</x:v>
      </x:c>
      <x:c r="I298" s="66" t="n">
        <x:v>46221.793217592596</x:v>
      </x:c>
      <x:c r="J298" s="65" t="str">
        <x:v>需复核</x:v>
      </x:c>
      <x:c r="K298" s="65"/>
      <x:c r="L298" s="65"/>
      <x:c r="M298" s="65"/>
      <x:c r="N298" s="549"/>
      <x:c r="O298" s="549"/>
      <x:c r="P298" s="549" t="str">
        <x:f>IF(COUNT(N298:O298)=0,"",SUM(N298:O298))</x:f>
      </x:c>
      <x:c r="Q298" s="65" t="str">
        <x:v>https://www.365scores.com/football/match/4767869；查询时间：2026-07-18 19:02（北京时间）</x:v>
      </x:c>
      <x:c r="R298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299" ht="38" customHeight="1">
      <x:c r="A299" s="65" t="str">
        <x:f>IF(B299="","",TEXT(B299,"yyyy-mm-dd")&amp;"|"&amp;D299&amp;"|"&amp;E299)</x:f>
        <x:v>2026-07-18|中文名待确认（Stal Rzeszow）|中文名待确认（Rukh Lviv）</x:v>
      </x:c>
      <x:c r="B299" s="66" t="n">
        <x:v>46221.833333333336</x:v>
      </x:c>
      <x:c r="C299" s="65" t="str">
        <x:v>国际俱乐部友谊赛</x:v>
      </x:c>
      <x:c r="D299" s="65" t="str">
        <x:v>中文名待确认（Stal Rzeszow）</x:v>
      </x:c>
      <x:c r="E299" s="65" t="str">
        <x:v>中文名待确认（Rukh Lviv）</x:v>
      </x:c>
      <x:c r="F299" s="65" t="str">
        <x:v>无可靠让球盘/只观察｜现有证据不足以形成可执行让球倾向</x:v>
      </x:c>
      <x:c r="G299" s="65" t="str">
        <x:v>无可靠大小球盘/只观察｜现有证据不足以形成可执行总进球倾向</x:v>
      </x:c>
      <x:c r="H299" s="65" t="str">
        <x:v>待确认首发、伤停、双方近5场与主客拆分、亚洲让球/大小球初盘及当前水位；任一市场欧赔&lt;1.80/港水&lt;0.80不进；未满足全部触发条件不进、不加仓</x:v>
      </x:c>
      <x:c r="I299" s="66" t="n">
        <x:v>46221.793217592596</x:v>
      </x:c>
      <x:c r="J299" s="65" t="str">
        <x:v>需复核</x:v>
      </x:c>
      <x:c r="K299" s="65"/>
      <x:c r="L299" s="65"/>
      <x:c r="M299" s="65"/>
      <x:c r="N299" s="549"/>
      <x:c r="O299" s="549"/>
      <x:c r="P299" s="549" t="str">
        <x:f>IF(COUNT(N299:O299)=0,"",SUM(N299:O299))</x:f>
      </x:c>
      <x:c r="Q299" s="65" t="str">
        <x:v>https://www.365scores.com/football/match/4767921；查询时间：2026-07-18 19:02（北京时间）</x:v>
      </x:c>
      <x:c r="R299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00" ht="38" customHeight="1">
      <x:c r="A300" s="65" t="str">
        <x:f>IF(B300="","",TEXT(B300,"yyyy-mm-dd")&amp;"|"&amp;D300&amp;"|"&amp;E300)</x:f>
        <x:v>2026-07-18|中文名待确认（Stirling University）|中文名待确认（Nairn County）</x:v>
      </x:c>
      <x:c r="B300" s="66" t="n">
        <x:v>46221.833333333336</x:v>
      </x:c>
      <x:c r="C300" s="65" t="str">
        <x:v>国际俱乐部友谊赛</x:v>
      </x:c>
      <x:c r="D300" s="65" t="str">
        <x:v>中文名待确认（Stirling University）</x:v>
      </x:c>
      <x:c r="E300" s="65" t="str">
        <x:v>中文名待确认（Nairn County）</x:v>
      </x:c>
      <x:c r="F300" s="65" t="str">
        <x:v>无可靠让球盘/只观察｜现有证据不足以形成可执行让球倾向</x:v>
      </x:c>
      <x:c r="G300" s="65" t="str">
        <x:v>无可靠大小球盘/只观察｜现有证据不足以形成可执行总进球倾向</x:v>
      </x:c>
      <x:c r="H300" s="65" t="str">
        <x:v>待确认首发、伤停、双方近5场与主客拆分、亚洲让球/大小球初盘及当前水位；任一市场欧赔&lt;1.80/港水&lt;0.80不进；未满足全部触发条件不进、不加仓</x:v>
      </x:c>
      <x:c r="I300" s="66" t="n">
        <x:v>46221.793217592596</x:v>
      </x:c>
      <x:c r="J300" s="65" t="str">
        <x:v>需复核</x:v>
      </x:c>
      <x:c r="K300" s="65"/>
      <x:c r="L300" s="65"/>
      <x:c r="M300" s="65"/>
      <x:c r="N300" s="549"/>
      <x:c r="O300" s="549"/>
      <x:c r="P300" s="549" t="str">
        <x:f>IF(COUNT(N300:O300)=0,"",SUM(N300:O300))</x:f>
      </x:c>
      <x:c r="Q300" s="65" t="str">
        <x:v>https://www.365scores.com/football/match/4771616；查询时间：2026-07-18 19:02（北京时间）</x:v>
      </x:c>
      <x:c r="R300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01" ht="38" customHeight="1">
      <x:c r="A301" s="65" t="str">
        <x:f>IF(B301="","",TEXT(B301,"yyyy-mm-dd")&amp;"|"&amp;D301&amp;"|"&amp;E301)</x:f>
        <x:v>2026-07-18|中文名待确认（VSG Altglienicke）|莱比锡红牛（RB Leipzig）</x:v>
      </x:c>
      <x:c r="B301" s="66" t="n">
        <x:v>46221.833333333336</x:v>
      </x:c>
      <x:c r="C301" s="65" t="str">
        <x:v>国际俱乐部友谊赛</x:v>
      </x:c>
      <x:c r="D301" s="65" t="str">
        <x:v>中文名待确认（VSG Altglienicke）</x:v>
      </x:c>
      <x:c r="E301" s="65" t="str">
        <x:v>莱比锡红牛（RB Leipzig）</x:v>
      </x:c>
      <x:c r="F301" s="65" t="str">
        <x:v>无可靠让球盘/只观察｜现有证据不足以形成可执行让球倾向</x:v>
      </x:c>
      <x:c r="G301" s="65" t="str">
        <x:v>无可靠大小球盘/只观察｜现有证据不足以形成可执行总进球倾向</x:v>
      </x:c>
      <x:c r="H301" s="65" t="str">
        <x:v>待确认首发、伤停、双方近5场与主客拆分、亚洲让球/大小球初盘及当前水位；任一市场欧赔&lt;1.80/港水&lt;0.80不进；未满足全部触发条件不进、不加仓</x:v>
      </x:c>
      <x:c r="I301" s="66" t="n">
        <x:v>46221.793217592596</x:v>
      </x:c>
      <x:c r="J301" s="65" t="str">
        <x:v>需复核</x:v>
      </x:c>
      <x:c r="K301" s="65"/>
      <x:c r="L301" s="65"/>
      <x:c r="M301" s="65"/>
      <x:c r="N301" s="549"/>
      <x:c r="O301" s="549"/>
      <x:c r="P301" s="549" t="str">
        <x:f>IF(COUNT(N301:O301)=0,"",SUM(N301:O301))</x:f>
      </x:c>
      <x:c r="Q301" s="65" t="str">
        <x:v>https://www.livescore.mobi/football/club-friendlies/club-friendlies-2026/vsg-altglienicke-vs-rb-leipzig/1822119/；https://www.fotmob.com/matches/x/x#5900629；https://www.365scores.com/football/match/4771600；查询时间：2026-07-18 19:02（北京时间）</x:v>
      </x:c>
      <x:c r="R301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02" ht="38" customHeight="1">
      <x:c r="A302" s="65" t="str">
        <x:f>IF(B302="","",TEXT(B302,"yyyy-mm-dd")&amp;"|"&amp;D302&amp;"|"&amp;E302)</x:f>
        <x:v>2026-07-18|中文名待确认（Vejle）|中文名待确认（Hvidovre）</x:v>
      </x:c>
      <x:c r="B302" s="66" t="n">
        <x:v>46221.833333333336</x:v>
      </x:c>
      <x:c r="C302" s="65" t="str">
        <x:v>国际俱乐部友谊赛</x:v>
      </x:c>
      <x:c r="D302" s="65" t="str">
        <x:v>中文名待确认（Vejle）</x:v>
      </x:c>
      <x:c r="E302" s="65" t="str">
        <x:v>中文名待确认（Hvidovre）</x:v>
      </x:c>
      <x:c r="F302" s="65" t="str">
        <x:v>无可靠让球盘/只观察｜现有证据不足以形成可执行让球倾向</x:v>
      </x:c>
      <x:c r="G302" s="65" t="str">
        <x:v>无可靠大小球盘/只观察｜现有证据不足以形成可执行总进球倾向</x:v>
      </x:c>
      <x:c r="H302" s="65" t="str">
        <x:v>待确认首发、伤停、双方近5场与主客拆分、亚洲让球/大小球初盘及当前水位；任一市场欧赔&lt;1.80/港水&lt;0.80不进；未满足全部触发条件不进、不加仓</x:v>
      </x:c>
      <x:c r="I302" s="66" t="n">
        <x:v>46221.793217592596</x:v>
      </x:c>
      <x:c r="J302" s="65" t="str">
        <x:v>需复核</x:v>
      </x:c>
      <x:c r="K302" s="65"/>
      <x:c r="L302" s="65"/>
      <x:c r="M302" s="65"/>
      <x:c r="N302" s="549"/>
      <x:c r="O302" s="549"/>
      <x:c r="P302" s="549" t="str">
        <x:f>IF(COUNT(N302:O302)=0,"",SUM(N302:O302))</x:f>
      </x:c>
      <x:c r="Q302" s="65" t="str">
        <x:v>https://www.365scores.com/football/match/4767942；查询时间：2026-07-18 19:02（北京时间）</x:v>
      </x:c>
      <x:c r="R302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03" ht="38" customHeight="1">
      <x:c r="A303" s="65" t="str">
        <x:f>IF(B303="","",TEXT(B303,"yyyy-mm-dd")&amp;"|"&amp;D303&amp;"|"&amp;E303)</x:f>
        <x:v>2026-07-18|中文名待确认（Vendsyssel FF）|霍森斯（AC Horsens）</x:v>
      </x:c>
      <x:c r="B303" s="66" t="n">
        <x:v>46221.833333333336</x:v>
      </x:c>
      <x:c r="C303" s="65" t="str">
        <x:v>国际俱乐部友谊赛</x:v>
      </x:c>
      <x:c r="D303" s="65" t="str">
        <x:v>中文名待确认（Vendsyssel FF）</x:v>
      </x:c>
      <x:c r="E303" s="65" t="str">
        <x:v>霍森斯（AC Horsens）</x:v>
      </x:c>
      <x:c r="F303" s="65" t="str">
        <x:v>无可靠让球盘/只观察｜现有证据不足以形成可执行让球倾向</x:v>
      </x:c>
      <x:c r="G303" s="65" t="str">
        <x:v>无可靠大小球盘/只观察｜现有证据不足以形成可执行总进球倾向</x:v>
      </x:c>
      <x:c r="H303" s="65" t="str">
        <x:v>待确认首发、伤停、双方近5场与主客拆分、亚洲让球/大小球初盘及当前水位；任一市场欧赔&lt;1.80/港水&lt;0.80不进；未满足全部触发条件不进、不加仓</x:v>
      </x:c>
      <x:c r="I303" s="66" t="n">
        <x:v>46221.793217592596</x:v>
      </x:c>
      <x:c r="J303" s="65" t="str">
        <x:v>需复核</x:v>
      </x:c>
      <x:c r="K303" s="65"/>
      <x:c r="L303" s="65"/>
      <x:c r="M303" s="65"/>
      <x:c r="N303" s="549"/>
      <x:c r="O303" s="549"/>
      <x:c r="P303" s="549" t="str">
        <x:f>IF(COUNT(N303:O303)=0,"",SUM(N303:O303))</x:f>
      </x:c>
      <x:c r="Q303" s="65" t="str">
        <x:v>https://www.livescore.mobi/football/club-friendlies/club-friendlies-2026/vendsyssel-ff-vs-ac-horsens/1822195/；https://www.fotmob.com/matches/x/x#5904500；https://www.365scores.com/football/match/4767853；查询时间：2026-07-18 19:02（北京时间）</x:v>
      </x:c>
      <x:c r="R303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04" ht="38" customHeight="1">
      <x:c r="A304" s="65" t="str">
        <x:f>IF(B304="","",TEXT(B304,"yyyy-mm-dd")&amp;"|"&amp;D304&amp;"|"&amp;E304)</x:f>
        <x:v>2026-07-18|中文名待确认（Vietnam）|中文名待确认（Myanmar）</x:v>
      </x:c>
      <x:c r="B304" s="66" t="n">
        <x:v>46221.833333333336</x:v>
      </x:c>
      <x:c r="C304" s="65" t="str">
        <x:v>规范中文名待确认（International Friendlies - Friendlies）</x:v>
      </x:c>
      <x:c r="D304" s="65" t="str">
        <x:v>中文名待确认（Vietnam）</x:v>
      </x:c>
      <x:c r="E304" s="65" t="str">
        <x:v>中文名待确认（Myanmar）</x:v>
      </x:c>
      <x:c r="F304" s="65" t="str">
        <x:v>无可靠让球盘/只观察｜现有证据不足以形成可执行让球倾向</x:v>
      </x:c>
      <x:c r="G304" s="65" t="str">
        <x:v>无可靠大小球盘/只观察｜现有证据不足以形成可执行总进球倾向</x:v>
      </x:c>
      <x:c r="H304" s="65" t="str">
        <x:v>待确认首发、伤停、双方近5场与主客拆分、亚洲让球/大小球初盘及当前水位；任一市场欧赔&lt;1.80/港水&lt;0.80不进；未满足全部触发条件不进、不加仓</x:v>
      </x:c>
      <x:c r="I304" s="66" t="n">
        <x:v>46221.793217592596</x:v>
      </x:c>
      <x:c r="J304" s="65" t="str">
        <x:v>需复核</x:v>
      </x:c>
      <x:c r="K304" s="65"/>
      <x:c r="L304" s="65"/>
      <x:c r="M304" s="65"/>
      <x:c r="N304" s="549"/>
      <x:c r="O304" s="549"/>
      <x:c r="P304" s="549" t="str">
        <x:f>IF(COUNT(N304:O304)=0,"",SUM(N304:O304))</x:f>
      </x:c>
      <x:c r="Q304" s="65" t="str">
        <x:v>https://www.livescore.mobi/football/international-friendlies/friendlies/vietnam-vs-myanmar/1832892/；https://www.fotmob.com/matches/x/x#5924775；https://www.365scores.com/football/match/4778592；查询时间：2026-07-18 19:02（北京时间）</x:v>
      </x:c>
      <x:c r="R304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05" ht="38" customHeight="1">
      <x:c r="A305" s="65" t="str">
        <x:f>IF(B305="","",TEXT(B305,"yyyy-mm-dd")&amp;"|"&amp;D305&amp;"|"&amp;E305)</x:f>
        <x:v>2026-07-18|中文名待确认（Wigan）|中文名待确认（Port Vale）</x:v>
      </x:c>
      <x:c r="B305" s="66" t="n">
        <x:v>46221.833333333336</x:v>
      </x:c>
      <x:c r="C305" s="65" t="str">
        <x:v>国际俱乐部友谊赛</x:v>
      </x:c>
      <x:c r="D305" s="65" t="str">
        <x:v>中文名待确认（Wigan）</x:v>
      </x:c>
      <x:c r="E305" s="65" t="str">
        <x:v>中文名待确认（Port Vale）</x:v>
      </x:c>
      <x:c r="F305" s="65" t="str">
        <x:v>无可靠让球盘/只观察｜现有证据不足以形成可执行让球倾向</x:v>
      </x:c>
      <x:c r="G305" s="65" t="str">
        <x:v>无可靠大小球盘/只观察｜现有证据不足以形成可执行总进球倾向</x:v>
      </x:c>
      <x:c r="H305" s="65" t="str">
        <x:v>待确认首发、伤停、双方近5场与主客拆分、亚洲让球/大小球初盘及当前水位；任一市场欧赔&lt;1.80/港水&lt;0.80不进；未满足全部触发条件不进、不加仓</x:v>
      </x:c>
      <x:c r="I305" s="66" t="n">
        <x:v>46221.793217592596</x:v>
      </x:c>
      <x:c r="J305" s="65" t="str">
        <x:v>需复核</x:v>
      </x:c>
      <x:c r="K305" s="65"/>
      <x:c r="L305" s="65"/>
      <x:c r="M305" s="65"/>
      <x:c r="N305" s="549"/>
      <x:c r="O305" s="549"/>
      <x:c r="P305" s="549" t="str">
        <x:f>IF(COUNT(N305:O305)=0,"",SUM(N305:O305))</x:f>
      </x:c>
      <x:c r="Q305" s="65" t="str">
        <x:v>https://www.365scores.com/football/match/4767865；查询时间：2026-07-18 19:02（北京时间）</x:v>
      </x:c>
      <x:c r="R30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06" ht="38" customHeight="1">
      <x:c r="A306" s="65" t="str">
        <x:f>IF(B306="","",TEXT(B306,"yyyy-mm-dd")&amp;"|"&amp;D306&amp;"|"&amp;E306)</x:f>
        <x:v>2026-07-18|中文名待确认（Wolfsburg）|中文名待确认（SC Verl）</x:v>
      </x:c>
      <x:c r="B306" s="66" t="n">
        <x:v>46221.833333333336</x:v>
      </x:c>
      <x:c r="C306" s="65" t="str">
        <x:v>国际俱乐部友谊赛</x:v>
      </x:c>
      <x:c r="D306" s="65" t="str">
        <x:v>中文名待确认（Wolfsburg）</x:v>
      </x:c>
      <x:c r="E306" s="65" t="str">
        <x:v>中文名待确认（SC Verl）</x:v>
      </x:c>
      <x:c r="F306" s="65" t="str">
        <x:v>无可靠让球盘/只观察｜现有证据不足以形成可执行让球倾向</x:v>
      </x:c>
      <x:c r="G306" s="65" t="str">
        <x:v>无可靠大小球盘/只观察｜现有证据不足以形成可执行总进球倾向</x:v>
      </x:c>
      <x:c r="H306" s="65" t="str">
        <x:v>待确认首发、伤停、双方近5场与主客拆分、亚洲让球/大小球初盘及当前水位；任一市场欧赔&lt;1.80/港水&lt;0.80不进；未满足全部触发条件不进、不加仓</x:v>
      </x:c>
      <x:c r="I306" s="66" t="n">
        <x:v>46221.793217592596</x:v>
      </x:c>
      <x:c r="J306" s="65" t="str">
        <x:v>需复核</x:v>
      </x:c>
      <x:c r="K306" s="65"/>
      <x:c r="L306" s="65"/>
      <x:c r="M306" s="65"/>
      <x:c r="N306" s="549"/>
      <x:c r="O306" s="549"/>
      <x:c r="P306" s="549" t="str">
        <x:f>IF(COUNT(N306:O306)=0,"",SUM(N306:O306))</x:f>
      </x:c>
      <x:c r="Q306" s="65" t="str">
        <x:v>https://www.365scores.com/football/match/4767860；查询时间：2026-07-18 19:02（北京时间）</x:v>
      </x:c>
      <x:c r="R306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07" ht="38" customHeight="1">
      <x:c r="A307" s="65" t="str">
        <x:f>IF(B307="","",TEXT(B307,"yyyy-mm-dd")&amp;"|"&amp;D307&amp;"|"&amp;E307)</x:f>
        <x:v>2026-07-18|中文名待确认（Wuhan Three Towns）|中文名待确认（Shenzhen Peng City）</x:v>
      </x:c>
      <x:c r="B307" s="66" t="n">
        <x:v>46221.833333333336</x:v>
      </x:c>
      <x:c r="C307" s="65" t="str">
        <x:v>超级联赛（国家待确认）</x:v>
      </x:c>
      <x:c r="D307" s="65" t="str">
        <x:v>中文名待确认（Wuhan Three Towns）</x:v>
      </x:c>
      <x:c r="E307" s="65" t="str">
        <x:v>中文名待确认（Shenzhen Peng City）</x:v>
      </x:c>
      <x:c r="F307" s="65" t="str">
        <x:v>无可靠让球盘/只观察｜现有证据不足以形成可执行让球倾向</x:v>
      </x:c>
      <x:c r="G307" s="65" t="str">
        <x:v>无可靠大小球盘/只观察｜现有证据不足以形成可执行总进球倾向</x:v>
      </x:c>
      <x:c r="H307" s="65" t="str">
        <x:v>待确认首发、伤停、双方近5场与主客拆分、亚洲让球/大小球初盘及当前水位；任一市场欧赔&lt;1.80/港水&lt;0.80不进；未满足全部触发条件不进、不加仓</x:v>
      </x:c>
      <x:c r="I307" s="66" t="n">
        <x:v>46221.793217592596</x:v>
      </x:c>
      <x:c r="J307" s="65" t="str">
        <x:v>需复核</x:v>
      </x:c>
      <x:c r="K307" s="65"/>
      <x:c r="L307" s="65"/>
      <x:c r="M307" s="65"/>
      <x:c r="N307" s="549"/>
      <x:c r="O307" s="549"/>
      <x:c r="P307" s="549" t="str">
        <x:f>IF(COUNT(N307:O307)=0,"",SUM(N307:O307))</x:f>
      </x:c>
      <x:c r="Q307" s="65" t="str">
        <x:v>https://www.livescore.mobi/football/china/super-league/wuhan-three-towns-vs-shenzhen-peng-city/1739805/；https://www.fotmob.com/matches/x/x#5186556；https://www.365scores.com/football/match/4673340；https://www.espn.com/soccer/match/_/gameId/401861428/shenzhen-xinpengcheng-wuhan-three-towns；查询时间：2026-07-18 19:02（北京时间）</x:v>
      </x:c>
      <x:c r="R307" s="65" t="str">
        <x:v>证据卡：正式联赛背景，积分动机通常成立；具体排名、保级/争冠形势未取得完整可审计表格。比赛身份与北京时间由4类来源核对。阵容：未公布/未检索到可靠确认首发，伤停、停赛、轮换、阵型及替代者待确认。近期/主客：ESPN最近赛果序列：主队LLDDD、客队WLLW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365Scores仅取得1X2：1 2.05（初始1.85）/X 2.9（初始2.9）/2 2.4（初始2.75）；不换算为亚洲让球盘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08" ht="38" customHeight="1">
      <x:c r="A308" s="65" t="str">
        <x:f>IF(B308="","",TEXT(B308,"yyyy-mm-dd")&amp;"|"&amp;D308&amp;"|"&amp;E308)</x:f>
        <x:v>2026-07-18|中文名待确认（Wuppertal）|中文名待确认（M'gladbach）</x:v>
      </x:c>
      <x:c r="B308" s="66" t="n">
        <x:v>46221.833333333336</x:v>
      </x:c>
      <x:c r="C308" s="65" t="str">
        <x:v>国际俱乐部友谊赛</x:v>
      </x:c>
      <x:c r="D308" s="65" t="str">
        <x:v>中文名待确认（Wuppertal）</x:v>
      </x:c>
      <x:c r="E308" s="65" t="str">
        <x:v>中文名待确认（M'gladbach）</x:v>
      </x:c>
      <x:c r="F308" s="65" t="str">
        <x:v>无可靠让球盘/只观察｜现有证据不足以形成可执行让球倾向</x:v>
      </x:c>
      <x:c r="G308" s="65" t="str">
        <x:v>无可靠大小球盘/只观察｜现有证据不足以形成可执行总进球倾向</x:v>
      </x:c>
      <x:c r="H308" s="65" t="str">
        <x:v>待确认首发、伤停、双方近5场与主客拆分、亚洲让球/大小球初盘及当前水位；任一市场欧赔&lt;1.80/港水&lt;0.80不进；未满足全部触发条件不进、不加仓</x:v>
      </x:c>
      <x:c r="I308" s="66" t="n">
        <x:v>46221.793217592596</x:v>
      </x:c>
      <x:c r="J308" s="65" t="str">
        <x:v>需复核</x:v>
      </x:c>
      <x:c r="K308" s="65"/>
      <x:c r="L308" s="65"/>
      <x:c r="M308" s="65"/>
      <x:c r="N308" s="549"/>
      <x:c r="O308" s="549"/>
      <x:c r="P308" s="549" t="str">
        <x:f>IF(COUNT(N308:O308)=0,"",SUM(N308:O308))</x:f>
      </x:c>
      <x:c r="Q308" s="65" t="str">
        <x:v>https://www.fotmob.com/matches/x/x#5765424；https://www.livescore.mobi/football/club-friendlies/club-friendlies-2026/wuppertaler-sv-vs-borussia-mgladbach/1821694/；https://www.365scores.com/football/match/4767862；查询时间：2026-07-18 19:02（北京时间）</x:v>
      </x:c>
      <x:c r="R308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09" ht="38" customHeight="1">
      <x:c r="A309" s="65" t="str">
        <x:f>IF(B309="","",TEXT(B309,"yyyy-mm-dd")&amp;"|"&amp;D309&amp;"|"&amp;E309)</x:f>
        <x:v>2026-07-18|大连英博（Dalian Yingbo FC）|中文名待确认（Shandong Taishan）</x:v>
      </x:c>
      <x:c r="B309" s="66" t="n">
        <x:v>46221.81597222222</x:v>
      </x:c>
      <x:c r="C309" s="65" t="str">
        <x:v>规范中文名待确认（CHN - Super League）</x:v>
      </x:c>
      <x:c r="D309" s="65" t="str">
        <x:v>大连英博（Dalian Yingbo FC）</x:v>
      </x:c>
      <x:c r="E309" s="65" t="str">
        <x:v>中文名待确认（Shandong Taishan）</x:v>
      </x:c>
      <x:c r="F309" s="65" t="str">
        <x:v>无可靠让球盘/只观察｜现有证据不足以形成可执行让球倾向</x:v>
      </x:c>
      <x:c r="G309" s="65" t="str">
        <x:v>无可靠大小球盘/只观察｜现有证据不足以形成可执行总进球倾向</x:v>
      </x:c>
      <x:c r="H309" s="65" t="str">
        <x:v>待确认首发、伤停、双方近5场与主客拆分、亚洲让球/大小球初盘及当前水位；任一市场欧赔&lt;1.80/港水&lt;0.80不进；未满足全部触发条件不进、不加仓</x:v>
      </x:c>
      <x:c r="I309" s="66" t="n">
        <x:v>46221.793217592596</x:v>
      </x:c>
      <x:c r="J309" s="65" t="str">
        <x:v>需复核</x:v>
      </x:c>
      <x:c r="K309" s="65"/>
      <x:c r="L309" s="65"/>
      <x:c r="M309" s="65"/>
      <x:c r="N309" s="549"/>
      <x:c r="O309" s="549"/>
      <x:c r="P309" s="549" t="str">
        <x:f>IF(COUNT(N309:O309)=0,"",SUM(N309:O309))</x:f>
      </x:c>
      <x:c r="Q309" s="65" t="str">
        <x:v>https://www.fotmob.com/matches/x/x#5186554；https://www.espn.com/soccer/match/_/gameId/401861426/shandong-taishan-dalian-yingbo；https://www.365scores.com/football/match/4673341；https://www.livescore.mobi/football/china/super-league/dalian-yingbo-fc-vs-shandong-taishan/1739800/；查询时间：2026-07-18 19:02（北京时间）</x:v>
      </x:c>
      <x:c r="R309" s="65" t="str">
        <x:v>证据卡：正式联赛背景，积分动机通常成立；具体排名、保级/争冠形势未取得完整可审计表格。比赛身份与北京时间由4类来源核对。阵容：未公布/未检索到可靠确认首发，伤停、停赛、轮换、阵型及替代者待确认。近期/主客：ESPN最近赛果序列：主队WLLWD、客队WLWLD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10" ht="38" customHeight="1">
      <x:c r="A310" s="65" t="str">
        <x:f>IF(B310="","",TEXT(B310,"yyyy-mm-dd")&amp;"|"&amp;D310&amp;"|"&amp;E310)</x:f>
        <x:v>2026-07-18|上海申花（Shanghai Shenhua）|天津津门虎（Tianjin Jinmen Tiger）</x:v>
      </x:c>
      <x:c r="B310" s="66" t="n">
        <x:v>46221.81597222222</x:v>
      </x:c>
      <x:c r="C310" s="65" t="str">
        <x:v>超级联赛（国家待确认）</x:v>
      </x:c>
      <x:c r="D310" s="65" t="str">
        <x:v>上海申花（Shanghai Shenhua）</x:v>
      </x:c>
      <x:c r="E310" s="65" t="str">
        <x:v>天津津门虎（Tianjin Jinmen Tiger）</x:v>
      </x:c>
      <x:c r="F310" s="65" t="str">
        <x:v>无可靠让球盘/只观察｜现有证据不足以形成可执行让球倾向</x:v>
      </x:c>
      <x:c r="G310" s="65" t="str">
        <x:v>无可靠大小球盘/只观察｜现有证据不足以形成可执行总进球倾向</x:v>
      </x:c>
      <x:c r="H310" s="65" t="str">
        <x:v>待确认首发、伤停、双方近5场与主客拆分、亚洲让球/大小球初盘及当前水位；任一市场欧赔&lt;1.80/港水&lt;0.80不进；未满足全部触发条件不进、不加仓</x:v>
      </x:c>
      <x:c r="I310" s="66" t="n">
        <x:v>46221.793217592596</x:v>
      </x:c>
      <x:c r="J310" s="65" t="str">
        <x:v>需复核</x:v>
      </x:c>
      <x:c r="K310" s="65"/>
      <x:c r="L310" s="65"/>
      <x:c r="M310" s="65"/>
      <x:c r="N310" s="549"/>
      <x:c r="O310" s="549"/>
      <x:c r="P310" s="549" t="str">
        <x:f>IF(COUNT(N310:O310)=0,"",SUM(N310:O310))</x:f>
      </x:c>
      <x:c r="Q310" s="65" t="str">
        <x:v>https://www.livescore.mobi/football/china/super-league/shanghai-shenhua-vs-tianjin-jinmen-tiger/1739810/；https://www.fotmob.com/matches/x/x#5186555；https://www.espn.com/soccer/match/_/gameId/401861427/tianjin-jinmen-tiger-shanghai-shenhua；https://www.365scores.com/football/match/4673342；查询时间：2026-07-18 19:02（北京时间）</x:v>
      </x:c>
      <x:c r="R310" s="65" t="str">
        <x:v>证据卡：正式联赛背景，积分动机通常成立；具体排名、保级/争冠形势未取得完整可审计表格。比赛身份与北京时间由4类来源核对。阵容：未公布/未检索到可靠确认首发，伤停、停赛、轮换、阵型及替代者待确认。近期/主客：ESPN最近赛果序列：主队WWDLD、客队WLWD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365Scores仅取得1X2：1 1.3（初始1.3）/X 3.7（初始3.65）/2 4.5（初始4.7）；不换算为亚洲让球盘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11" ht="38" customHeight="1">
      <x:c r="A311" s="65" t="str">
        <x:f>IF(B311="","",TEXT(B311,"yyyy-mm-dd")&amp;"|"&amp;D311&amp;"|"&amp;E311)</x:f>
        <x:v>2026-07-18|水晶宫（Crystal Palace）|斯文登（Swindon）</x:v>
      </x:c>
      <x:c r="B311" s="66" t="n">
        <x:v>46221.8125</x:v>
      </x:c>
      <x:c r="C311" s="65" t="str">
        <x:v>国际俱乐部友谊赛</x:v>
      </x:c>
      <x:c r="D311" s="65" t="str">
        <x:v>水晶宫（Crystal Palace）</x:v>
      </x:c>
      <x:c r="E311" s="65" t="str">
        <x:v>斯文登（Swindon）</x:v>
      </x:c>
      <x:c r="F311" s="65" t="str">
        <x:v>无可靠让球盘/只观察｜现有证据不足以形成可执行让球倾向</x:v>
      </x:c>
      <x:c r="G311" s="65" t="str">
        <x:v>无可靠大小球盘/只观察｜现有证据不足以形成可执行总进球倾向</x:v>
      </x:c>
      <x:c r="H311" s="65" t="str">
        <x:v>待确认首发、伤停、双方近5场与主客拆分、亚洲让球/大小球初盘及当前水位；任一市场欧赔&lt;1.80/港水&lt;0.80不进；未满足全部触发条件不进、不加仓</x:v>
      </x:c>
      <x:c r="I311" s="66" t="n">
        <x:v>46221.793217592596</x:v>
      </x:c>
      <x:c r="J311" s="65" t="str">
        <x:v>需复核</x:v>
      </x:c>
      <x:c r="K311" s="65"/>
      <x:c r="L311" s="65"/>
      <x:c r="M311" s="65"/>
      <x:c r="N311" s="549"/>
      <x:c r="O311" s="549"/>
      <x:c r="P311" s="549" t="str">
        <x:f>IF(COUNT(N311:O311)=0,"",SUM(N311:O311))</x:f>
      </x:c>
      <x:c r="Q311" s="65" t="str">
        <x:v>https://www.fotmob.com/matches/x/x#5898863；https://www.365scores.com/football/match/4767875；https://www.livescore.mobi/football/club-friendlies/club-friendlies-2026/crystal-palace-vs-swindon-town/1821960/；https://www.espn.com/soccer/match/_/gameId/401891721/swindon-town-crystal-palace；查询时间：2026-07-18 19:02（北京时间）</x:v>
      </x:c>
      <x:c r="R311" s="65" t="str">
        <x:v>证据卡：俱乐部热身赛，轮换、试阵和比赛强度波动显著，战意需球队消息确认。比赛身份与北京时间由4类来源核对。阵容：未公布/未检索到可靠确认首发，伤停、停赛、轮换、阵型及替代者待确认。近期/主客：ESPN最近赛果序列：主队WLDLD、客队LLDLW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12" ht="38" customHeight="1">
      <x:c r="A312" s="65" t="str">
        <x:f>IF(B312="","",TEXT(B312,"yyyy-mm-dd")&amp;"|"&amp;D312&amp;"|"&amp;E312)</x:f>
        <x:v>2026-07-18|中文名待确认（Guangxi Hengchen）|中文名待确认（Shaanxi Union）</x:v>
      </x:c>
      <x:c r="B312" s="66" t="n">
        <x:v>46221.8125</x:v>
      </x:c>
      <x:c r="C312" s="65" t="str">
        <x:v>甲级联赛（国家待确认）</x:v>
      </x:c>
      <x:c r="D312" s="65" t="str">
        <x:v>中文名待确认（Guangxi Hengchen）</x:v>
      </x:c>
      <x:c r="E312" s="65" t="str">
        <x:v>中文名待确认（Shaanxi Union）</x:v>
      </x:c>
      <x:c r="F312" s="65" t="str">
        <x:v>无可靠让球盘/只观察｜现有证据不足以形成可执行让球倾向</x:v>
      </x:c>
      <x:c r="G312" s="65" t="str">
        <x:v>无可靠大小球盘/只观察｜现有证据不足以形成可执行总进球倾向</x:v>
      </x:c>
      <x:c r="H312" s="65" t="str">
        <x:v>待确认首发、伤停、双方近5场与主客拆分、亚洲让球/大小球初盘及当前水位；任一市场欧赔&lt;1.80/港水&lt;0.80不进；未满足全部触发条件不进、不加仓</x:v>
      </x:c>
      <x:c r="I312" s="66" t="n">
        <x:v>46221.793217592596</x:v>
      </x:c>
      <x:c r="J312" s="65" t="str">
        <x:v>需复核</x:v>
      </x:c>
      <x:c r="K312" s="65"/>
      <x:c r="L312" s="65"/>
      <x:c r="M312" s="65"/>
      <x:c r="N312" s="549"/>
      <x:c r="O312" s="549"/>
      <x:c r="P312" s="549" t="str">
        <x:f>IF(COUNT(N312:O312)=0,"",SUM(N312:O312))</x:f>
      </x:c>
      <x:c r="Q312" s="65" t="str">
        <x:v>https://www.livescore.mobi/football/china/china-league-one/guangxi-hengchen-vs-shaanxi-union/1747148/；https://www.fotmob.com/matches/x/x#5207163；https://www.365scores.com/football/match/4727820；查询时间：2026-07-18 19:02（北京时间）</x:v>
      </x:c>
      <x:c r="R312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13" ht="38" customHeight="1">
      <x:c r="A313" s="65" t="str">
        <x:f>IF(B313="","",TEXT(B313,"yyyy-mm-dd")&amp;"|"&amp;D313&amp;"|"&amp;E313)</x:f>
        <x:v>2026-07-18|中文名待确认（Meizhou Hakka）|中文名待确认（Dalian K'un City）</x:v>
      </x:c>
      <x:c r="B313" s="66" t="n">
        <x:v>46221.8125</x:v>
      </x:c>
      <x:c r="C313" s="65" t="str">
        <x:v>中国足球甲级联赛</x:v>
      </x:c>
      <x:c r="D313" s="65" t="str">
        <x:v>中文名待确认（Meizhou Hakka）</x:v>
      </x:c>
      <x:c r="E313" s="65" t="str">
        <x:v>中文名待确认（Dalian K'un City）</x:v>
      </x:c>
      <x:c r="F313" s="65" t="str">
        <x:v>无可靠让球盘/只观察｜现有证据不足以形成可执行让球倾向</x:v>
      </x:c>
      <x:c r="G313" s="65" t="str">
        <x:v>无可靠大小球盘/只观察｜现有证据不足以形成可执行总进球倾向</x:v>
      </x:c>
      <x:c r="H313" s="65" t="str">
        <x:v>待确认首发、伤停、双方近5场与主客拆分、亚洲让球/大小球初盘及当前水位；任一市场欧赔&lt;1.80/港水&lt;0.80不进；未满足全部触发条件不进、不加仓</x:v>
      </x:c>
      <x:c r="I313" s="66" t="n">
        <x:v>46221.793217592596</x:v>
      </x:c>
      <x:c r="J313" s="65" t="str">
        <x:v>需复核</x:v>
      </x:c>
      <x:c r="K313" s="65"/>
      <x:c r="L313" s="65"/>
      <x:c r="M313" s="65"/>
      <x:c r="N313" s="549"/>
      <x:c r="O313" s="549"/>
      <x:c r="P313" s="549" t="str">
        <x:f>IF(COUNT(N313:O313)=0,"",SUM(N313:O313))</x:f>
      </x:c>
      <x:c r="Q313" s="65" t="str">
        <x:v>https://www.fotmob.com/matches/x/x#5207164；https://www.livescore.mobi/football/china/china-league-one/meizhou-hakka-vs-dalian-kuncheng-city/1747151/；https://www.365scores.com/football/match/4680099；查询时间：2026-07-18 19:02（北京时间）</x:v>
      </x:c>
      <x:c r="R313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365Scores仅取得1X2：1 2.3（初始2.15）/X 2.85（初始2.9）/2 2.15（初始2.3）；不换算为亚洲让球盘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14" ht="38" customHeight="1">
      <x:c r="A314" s="65" t="str">
        <x:f>IF(B314="","",TEXT(B314,"yyyy-mm-dd")&amp;"|"&amp;D314&amp;"|"&amp;E314)</x:f>
        <x:v>2026-07-18|中文名待确认（Nanjing City）|中文名待确认（Guangdong GZ-Power）</x:v>
      </x:c>
      <x:c r="B314" s="66" t="n">
        <x:v>46221.8125</x:v>
      </x:c>
      <x:c r="C314" s="65" t="str">
        <x:v>甲级联赛（国家待确认）</x:v>
      </x:c>
      <x:c r="D314" s="65" t="str">
        <x:v>中文名待确认（Nanjing City）</x:v>
      </x:c>
      <x:c r="E314" s="65" t="str">
        <x:v>中文名待确认（Guangdong GZ-Power）</x:v>
      </x:c>
      <x:c r="F314" s="65" t="str">
        <x:v>无可靠让球盘/只观察｜现有证据不足以形成可执行让球倾向</x:v>
      </x:c>
      <x:c r="G314" s="65" t="str">
        <x:v>无可靠大小球盘/只观察｜现有证据不足以形成可执行总进球倾向</x:v>
      </x:c>
      <x:c r="H314" s="65" t="str">
        <x:v>待确认首发、伤停、双方近5场与主客拆分、亚洲让球/大小球初盘及当前水位；任一市场欧赔&lt;1.80/港水&lt;0.80不进；未满足全部触发条件不进、不加仓</x:v>
      </x:c>
      <x:c r="I314" s="66" t="n">
        <x:v>46221.793217592596</x:v>
      </x:c>
      <x:c r="J314" s="65" t="str">
        <x:v>需复核</x:v>
      </x:c>
      <x:c r="K314" s="65"/>
      <x:c r="L314" s="65"/>
      <x:c r="M314" s="65"/>
      <x:c r="N314" s="549"/>
      <x:c r="O314" s="549"/>
      <x:c r="P314" s="549" t="str">
        <x:f>IF(COUNT(N314:O314)=0,"",SUM(N314:O314))</x:f>
      </x:c>
      <x:c r="Q314" s="65" t="str">
        <x:v>https://www.livescore.mobi/football/china/china-league-one/nanjing-city-vs-guangdong-gz-power/1747149/；https://www.365scores.com/football/match/4680100；https://www.fotmob.com/matches/x/x#5207165；查询时间：2026-07-18 19:02（北京时间）</x:v>
      </x:c>
      <x:c r="R314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365Scores仅取得1X2：1 3.0（初始2.45）/X 2.75（初始2.75）/2 1.8（初始2.1）；不换算为亚洲让球盘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15" ht="38" customHeight="1">
      <x:c r="A315" s="65" t="str">
        <x:f>IF(B315="","",TEXT(B315,"yyyy-mm-dd")&amp;"|"&amp;D315&amp;"|"&amp;E315)</x:f>
        <x:v>2026-07-18|中文名待确认（TOP Oss）|中文名待确认（Wattenscheid）</x:v>
      </x:c>
      <x:c r="B315" s="66" t="n">
        <x:v>46221.8125</x:v>
      </x:c>
      <x:c r="C315" s="65" t="str">
        <x:v>国际俱乐部友谊赛</x:v>
      </x:c>
      <x:c r="D315" s="65" t="str">
        <x:v>中文名待确认（TOP Oss）</x:v>
      </x:c>
      <x:c r="E315" s="65" t="str">
        <x:v>中文名待确认（Wattenscheid）</x:v>
      </x:c>
      <x:c r="F315" s="65" t="str">
        <x:v>无可靠让球盘/只观察｜现有证据不足以形成可执行让球倾向</x:v>
      </x:c>
      <x:c r="G315" s="65" t="str">
        <x:v>无可靠大小球盘/只观察｜现有证据不足以形成可执行总进球倾向</x:v>
      </x:c>
      <x:c r="H315" s="65" t="str">
        <x:v>待确认首发、伤停、双方近5场与主客拆分、亚洲让球/大小球初盘及当前水位；任一市场欧赔&lt;1.80/港水&lt;0.80不进；未满足全部触发条件不进、不加仓</x:v>
      </x:c>
      <x:c r="I315" s="66" t="n">
        <x:v>46221.793217592596</x:v>
      </x:c>
      <x:c r="J315" s="65" t="str">
        <x:v>需复核</x:v>
      </x:c>
      <x:c r="K315" s="65"/>
      <x:c r="L315" s="65"/>
      <x:c r="M315" s="65"/>
      <x:c r="N315" s="549"/>
      <x:c r="O315" s="549"/>
      <x:c r="P315" s="549" t="str">
        <x:f>IF(COUNT(N315:O315)=0,"",SUM(N315:O315))</x:f>
      </x:c>
      <x:c r="Q315" s="65" t="str">
        <x:v>https://www.365scores.com/football/match/4767876；查询时间：2026-07-18 19:02（北京时间）</x:v>
      </x:c>
      <x:c r="R31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16" ht="38" customHeight="1">
      <x:c r="A316" s="65" t="str">
        <x:f>IF(B316="","",TEXT(B316,"yyyy-mm-dd")&amp;"|"&amp;D316&amp;"|"&amp;E316)</x:f>
        <x:v>2026-07-18|梅赫伦（KV Mechelen）|中文名待确认（ADO Den Haag）</x:v>
      </x:c>
      <x:c r="B316" s="66" t="n">
        <x:v>46221.802083333336</x:v>
      </x:c>
      <x:c r="C316" s="65" t="str">
        <x:v>国际俱乐部友谊赛</x:v>
      </x:c>
      <x:c r="D316" s="65" t="str">
        <x:v>梅赫伦（KV Mechelen）</x:v>
      </x:c>
      <x:c r="E316" s="65" t="str">
        <x:v>中文名待确认（ADO Den Haag）</x:v>
      </x:c>
      <x:c r="F316" s="65" t="str">
        <x:v>无可靠让球盘/只观察｜现有证据不足以形成可执行让球倾向</x:v>
      </x:c>
      <x:c r="G316" s="65" t="str">
        <x:v>无可靠大小球盘/只观察｜现有证据不足以形成可执行总进球倾向</x:v>
      </x:c>
      <x:c r="H316" s="65" t="str">
        <x:v>待确认首发、伤停、双方近5场与主客拆分、亚洲让球/大小球初盘及当前水位；任一市场欧赔&lt;1.80/港水&lt;0.80不进；未满足全部触发条件不进、不加仓</x:v>
      </x:c>
      <x:c r="I316" s="66" t="n">
        <x:v>46221.793217592596</x:v>
      </x:c>
      <x:c r="J316" s="65" t="str">
        <x:v>需复核</x:v>
      </x:c>
      <x:c r="K316" s="65"/>
      <x:c r="L316" s="65"/>
      <x:c r="M316" s="65"/>
      <x:c r="N316" s="549"/>
      <x:c r="O316" s="549"/>
      <x:c r="P316" s="549" t="str">
        <x:f>IF(COUNT(N316:O316)=0,"",SUM(N316:O316))</x:f>
      </x:c>
      <x:c r="Q316" s="65" t="str">
        <x:v>https://www.livescore.mobi/football/club-friendlies/club-friendlies-2026/kv-mechelen-vs-ado-den-haag/1822101/；查询时间：2026-07-18 19:02（北京时间）</x:v>
      </x:c>
      <x:c r="R316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17" ht="38" customHeight="1">
      <x:c r="A317" s="65" t="str">
        <x:f>IF(B317="","",TEXT(B317,"yyyy-mm-dd")&amp;"|"&amp;D317&amp;"|"&amp;E317)</x:f>
        <x:v>2026-07-18|中文名待确认（Skierniewice）|中文名待确认（Kks Kalisz）</x:v>
      </x:c>
      <x:c r="B317" s="66" t="n">
        <x:v>46221.802083333336</x:v>
      </x:c>
      <x:c r="C317" s="65" t="str">
        <x:v>国际俱乐部友谊赛</x:v>
      </x:c>
      <x:c r="D317" s="65" t="str">
        <x:v>中文名待确认（Skierniewice）</x:v>
      </x:c>
      <x:c r="E317" s="65" t="str">
        <x:v>中文名待确认（Kks Kalisz）</x:v>
      </x:c>
      <x:c r="F317" s="65" t="str">
        <x:v>无可靠让球盘/只观察｜现有证据不足以形成可执行让球倾向</x:v>
      </x:c>
      <x:c r="G317" s="65" t="str">
        <x:v>无可靠大小球盘/只观察｜现有证据不足以形成可执行总进球倾向</x:v>
      </x:c>
      <x:c r="H317" s="65" t="str">
        <x:v>待确认首发、伤停、双方近5场与主客拆分、亚洲让球/大小球初盘及当前水位；任一市场欧赔&lt;1.80/港水&lt;0.80不进；未满足全部触发条件不进、不加仓</x:v>
      </x:c>
      <x:c r="I317" s="66" t="n">
        <x:v>46221.793217592596</x:v>
      </x:c>
      <x:c r="J317" s="65" t="str">
        <x:v>需复核</x:v>
      </x:c>
      <x:c r="K317" s="65"/>
      <x:c r="L317" s="65"/>
      <x:c r="M317" s="65"/>
      <x:c r="N317" s="549"/>
      <x:c r="O317" s="549"/>
      <x:c r="P317" s="549" t="str">
        <x:f>IF(COUNT(N317:O317)=0,"",SUM(N317:O317))</x:f>
      </x:c>
      <x:c r="Q317" s="65" t="str">
        <x:v>https://www.365scores.com/football/match/4767915；查询时间：2026-07-18 19:02（北京时间）</x:v>
      </x:c>
      <x:c r="R317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18" ht="38" customHeight="1">
      <x:c r="A318" s="65" t="str">
        <x:f>IF(B318="","",TEXT(B318,"yyyy-mm-dd")&amp;"|"&amp;D318&amp;"|"&amp;E318)</x:f>
        <x:v>2026-07-18|伯明翰（Birmingham）|波尔图（FC Porto）</x:v>
      </x:c>
      <x:c r="B318" s="66" t="n">
        <x:v>46221.791666666664</x:v>
      </x:c>
      <x:c r="C318" s="65" t="str">
        <x:v>国际俱乐部友谊赛</x:v>
      </x:c>
      <x:c r="D318" s="65" t="str">
        <x:v>伯明翰（Birmingham）</x:v>
      </x:c>
      <x:c r="E318" s="65" t="str">
        <x:v>波尔图（FC Porto）</x:v>
      </x:c>
      <x:c r="F318" s="65" t="str">
        <x:v>无可靠让球盘/只观察｜现有证据不足以形成可执行让球倾向</x:v>
      </x:c>
      <x:c r="G318" s="65" t="str">
        <x:v>无可靠大小球盘/只观察｜现有证据不足以形成可执行总进球倾向</x:v>
      </x:c>
      <x:c r="H318" s="65" t="str">
        <x:v>待确认首发、伤停、双方近5场与主客拆分、亚洲让球/大小球初盘及当前水位；任一市场欧赔&lt;1.80/港水&lt;0.80不进；未满足全部触发条件不进、不加仓</x:v>
      </x:c>
      <x:c r="I318" s="66" t="n">
        <x:v>46221.793217592596</x:v>
      </x:c>
      <x:c r="J318" s="65" t="str">
        <x:v>需复核</x:v>
      </x:c>
      <x:c r="K318" s="65"/>
      <x:c r="L318" s="65"/>
      <x:c r="M318" s="65"/>
      <x:c r="N318" s="549"/>
      <x:c r="O318" s="549"/>
      <x:c r="P318" s="549" t="str">
        <x:f>IF(COUNT(N318:O318)=0,"",SUM(N318:O318))</x:f>
      </x:c>
      <x:c r="Q318" s="65" t="str">
        <x:v>https://www.365scores.com/football/match/4773199；查询时间：2026-07-18 19:02（北京时间）</x:v>
      </x:c>
      <x:c r="R318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19" ht="38" customHeight="1">
      <x:c r="A319" s="65" t="str">
        <x:f>IF(B319="","",TEXT(B319,"yyyy-mm-dd")&amp;"|"&amp;D319&amp;"|"&amp;E319)</x:f>
        <x:v>2026-07-18|中文名待确认（Chatham Town）|中文名待确认（Margate FC）</x:v>
      </x:c>
      <x:c r="B319" s="66" t="n">
        <x:v>46221.791666666664</x:v>
      </x:c>
      <x:c r="C319" s="65" t="str">
        <x:v>国际俱乐部友谊赛</x:v>
      </x:c>
      <x:c r="D319" s="65" t="str">
        <x:v>中文名待确认（Chatham Town）</x:v>
      </x:c>
      <x:c r="E319" s="65" t="str">
        <x:v>中文名待确认（Margate FC）</x:v>
      </x:c>
      <x:c r="F319" s="65" t="str">
        <x:v>无可靠让球盘/只观察｜现有证据不足以形成可执行让球倾向</x:v>
      </x:c>
      <x:c r="G319" s="65" t="str">
        <x:v>无可靠大小球盘/只观察｜现有证据不足以形成可执行总进球倾向</x:v>
      </x:c>
      <x:c r="H319" s="65" t="str">
        <x:v>待确认首发、伤停、双方近5场与主客拆分、亚洲让球/大小球初盘及当前水位；任一市场欧赔&lt;1.80/港水&lt;0.80不进；未满足全部触发条件不进、不加仓</x:v>
      </x:c>
      <x:c r="I319" s="66" t="n">
        <x:v>46221.793217592596</x:v>
      </x:c>
      <x:c r="J319" s="65" t="str">
        <x:v>需复核</x:v>
      </x:c>
      <x:c r="K319" s="65"/>
      <x:c r="L319" s="65"/>
      <x:c r="M319" s="65"/>
      <x:c r="N319" s="549"/>
      <x:c r="O319" s="549"/>
      <x:c r="P319" s="549" t="str">
        <x:f>IF(COUNT(N319:O319)=0,"",SUM(N319:O319))</x:f>
      </x:c>
      <x:c r="Q319" s="65" t="str">
        <x:v>https://www.365scores.com/football/match/4771615；查询时间：2026-07-18 19:02（北京时间）</x:v>
      </x:c>
      <x:c r="R319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20" ht="38" customHeight="1">
      <x:c r="A320" s="65" t="str">
        <x:f>IF(B320="","",TEXT(B320,"yyyy-mm-dd")&amp;"|"&amp;D320&amp;"|"&amp;E320)</x:f>
        <x:v>2026-07-18|中文名待确认（Chesterfield）|中文名待确认（Boston United）</x:v>
      </x:c>
      <x:c r="B320" s="66" t="n">
        <x:v>46221.791666666664</x:v>
      </x:c>
      <x:c r="C320" s="65" t="str">
        <x:v>国际俱乐部友谊赛</x:v>
      </x:c>
      <x:c r="D320" s="65" t="str">
        <x:v>中文名待确认（Chesterfield）</x:v>
      </x:c>
      <x:c r="E320" s="65" t="str">
        <x:v>中文名待确认（Boston United）</x:v>
      </x:c>
      <x:c r="F320" s="65" t="str">
        <x:v>无可靠让球盘/只观察｜现有证据不足以形成可执行让球倾向</x:v>
      </x:c>
      <x:c r="G320" s="65" t="str">
        <x:v>无可靠大小球盘/只观察｜现有证据不足以形成可执行总进球倾向</x:v>
      </x:c>
      <x:c r="H320" s="65" t="str">
        <x:v>待确认首发、伤停、双方近5场与主客拆分、亚洲让球/大小球初盘及当前水位；任一市场欧赔&lt;1.80/港水&lt;0.80不进；未满足全部触发条件不进、不加仓</x:v>
      </x:c>
      <x:c r="I320" s="66" t="n">
        <x:v>46221.793217592596</x:v>
      </x:c>
      <x:c r="J320" s="65" t="str">
        <x:v>需复核</x:v>
      </x:c>
      <x:c r="K320" s="65"/>
      <x:c r="L320" s="65"/>
      <x:c r="M320" s="65"/>
      <x:c r="N320" s="549"/>
      <x:c r="O320" s="549"/>
      <x:c r="P320" s="549" t="str">
        <x:f>IF(COUNT(N320:O320)=0,"",SUM(N320:O320))</x:f>
      </x:c>
      <x:c r="Q320" s="65" t="str">
        <x:v>https://www.365scores.com/football/match/4777558；查询时间：2026-07-18 19:02（北京时间）</x:v>
      </x:c>
      <x:c r="R320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21" ht="38" customHeight="1">
      <x:c r="A321" s="65" t="str">
        <x:f>IF(B321="","",TEXT(B321,"yyyy-mm-dd")&amp;"|"&amp;D321&amp;"|"&amp;E321)</x:f>
        <x:v>2026-07-18|中文名待确认（Chongqing Tongliang Long）|中文名待确认（Zhejiang Professional）</x:v>
      </x:c>
      <x:c r="B321" s="66" t="n">
        <x:v>46221.791666666664</x:v>
      </x:c>
      <x:c r="C321" s="65" t="str">
        <x:v>规范中文名待确认（CHN - Super League）</x:v>
      </x:c>
      <x:c r="D321" s="65" t="str">
        <x:v>中文名待确认（Chongqing Tongliang Long）</x:v>
      </x:c>
      <x:c r="E321" s="65" t="str">
        <x:v>中文名待确认（Zhejiang Professional）</x:v>
      </x:c>
      <x:c r="F321" s="65" t="str">
        <x:v>无可靠让球盘/只观察｜现有证据不足以形成可执行让球倾向</x:v>
      </x:c>
      <x:c r="G321" s="65" t="str">
        <x:v>无可靠大小球盘/只观察｜现有证据不足以形成可执行总进球倾向</x:v>
      </x:c>
      <x:c r="H321" s="65" t="str">
        <x:v>待确认首发、伤停、双方近5场与主客拆分、亚洲让球/大小球初盘及当前水位；任一市场欧赔&lt;1.80/港水&lt;0.80不进；未满足全部触发条件不进、不加仓</x:v>
      </x:c>
      <x:c r="I321" s="66" t="n">
        <x:v>46221.793217592596</x:v>
      </x:c>
      <x:c r="J321" s="65" t="str">
        <x:v>需复核</x:v>
      </x:c>
      <x:c r="K321" s="65"/>
      <x:c r="L321" s="65"/>
      <x:c r="M321" s="65"/>
      <x:c r="N321" s="549"/>
      <x:c r="O321" s="549"/>
      <x:c r="P321" s="549" t="str">
        <x:f>IF(COUNT(N321:O321)=0,"",SUM(N321:O321))</x:f>
      </x:c>
      <x:c r="Q321" s="65" t="str">
        <x:v>https://www.fotmob.com/matches/x/x#5186552；https://www.espn.com/soccer/match/_/gameId/401861293；https://www.livescore.mobi/football/china/super-league/chongqing-tonglianglong-fc-vs-zhejiang-professional/1739799/；https://www.365scores.com/football/match/4677153；查询时间：2026-07-18 19:02（北京时间）</x:v>
      </x:c>
      <x:c r="R321" s="65" t="str">
        <x:v>证据卡：正式联赛背景，积分动机通常成立；具体排名、保级/争冠形势未取得完整可审计表格。比赛身份与北京时间由4类来源核对。阵容：未公布/未检索到可靠确认首发，伤停、停赛、轮换、阵型及替代者待确认。近期/主客：ESPN最近赛果序列：主队DLWLW、客队WLLWL（仅胜平负序列，未替代对手强弱与主客拆分）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22" ht="38" customHeight="1">
      <x:c r="A322" s="65" t="str">
        <x:f>IF(B322="","",TEXT(B322,"yyyy-mm-dd")&amp;"|"&amp;D322&amp;"|"&amp;E322)</x:f>
        <x:v>2026-07-18|中文名待确认（Cray Wanderers）|中文名待确认（Tonbridge Angels）</x:v>
      </x:c>
      <x:c r="B322" s="66" t="n">
        <x:v>46221.791666666664</x:v>
      </x:c>
      <x:c r="C322" s="65" t="str">
        <x:v>国际俱乐部友谊赛</x:v>
      </x:c>
      <x:c r="D322" s="65" t="str">
        <x:v>中文名待确认（Cray Wanderers）</x:v>
      </x:c>
      <x:c r="E322" s="65" t="str">
        <x:v>中文名待确认（Tonbridge Angels）</x:v>
      </x:c>
      <x:c r="F322" s="65" t="str">
        <x:v>无可靠让球盘/只观察｜现有证据不足以形成可执行让球倾向</x:v>
      </x:c>
      <x:c r="G322" s="65" t="str">
        <x:v>无可靠大小球盘/只观察｜现有证据不足以形成可执行总进球倾向</x:v>
      </x:c>
      <x:c r="H322" s="65" t="str">
        <x:v>待确认首发、伤停、双方近5场与主客拆分、亚洲让球/大小球初盘及当前水位；任一市场欧赔&lt;1.80/港水&lt;0.80不进；未满足全部触发条件不进、不加仓</x:v>
      </x:c>
      <x:c r="I322" s="66" t="n">
        <x:v>46221.793217592596</x:v>
      </x:c>
      <x:c r="J322" s="65" t="str">
        <x:v>需复核</x:v>
      </x:c>
      <x:c r="K322" s="65"/>
      <x:c r="L322" s="65"/>
      <x:c r="M322" s="65"/>
      <x:c r="N322" s="549"/>
      <x:c r="O322" s="549"/>
      <x:c r="P322" s="549" t="str">
        <x:f>IF(COUNT(N322:O322)=0,"",SUM(N322:O322))</x:f>
      </x:c>
      <x:c r="Q322" s="65" t="str">
        <x:v>https://www.365scores.com/football/match/4778586；查询时间：2026-07-18 19:02（北京时间）</x:v>
      </x:c>
      <x:c r="R322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23" ht="38" customHeight="1">
      <x:c r="A323" s="65" t="str">
        <x:f>IF(B323="","",TEXT(B323,"yyyy-mm-dd")&amp;"|"&amp;D323&amp;"|"&amp;E323)</x:f>
        <x:v>2026-07-18|中文名待确认（Esbjerg fB）|中文名待确认（FC Fredericia）</x:v>
      </x:c>
      <x:c r="B323" s="66" t="n">
        <x:v>46221.791666666664</x:v>
      </x:c>
      <x:c r="C323" s="65" t="str">
        <x:v>国际俱乐部友谊赛</x:v>
      </x:c>
      <x:c r="D323" s="65" t="str">
        <x:v>中文名待确认（Esbjerg fB）</x:v>
      </x:c>
      <x:c r="E323" s="65" t="str">
        <x:v>中文名待确认（FC Fredericia）</x:v>
      </x:c>
      <x:c r="F323" s="65" t="str">
        <x:v>无可靠让球盘/只观察｜现有证据不足以形成可执行让球倾向</x:v>
      </x:c>
      <x:c r="G323" s="65" t="str">
        <x:v>无可靠大小球盘/只观察｜现有证据不足以形成可执行总进球倾向</x:v>
      </x:c>
      <x:c r="H323" s="65" t="str">
        <x:v>待确认首发、伤停、双方近5场与主客拆分、亚洲让球/大小球初盘及当前水位；任一市场欧赔&lt;1.80/港水&lt;0.80不进；未满足全部触发条件不进、不加仓</x:v>
      </x:c>
      <x:c r="I323" s="66" t="n">
        <x:v>46221.793217592596</x:v>
      </x:c>
      <x:c r="J323" s="65" t="str">
        <x:v>需复核</x:v>
      </x:c>
      <x:c r="K323" s="65"/>
      <x:c r="L323" s="65"/>
      <x:c r="M323" s="65"/>
      <x:c r="N323" s="549"/>
      <x:c r="O323" s="549"/>
      <x:c r="P323" s="549" t="str">
        <x:f>IF(COUNT(N323:O323)=0,"",SUM(N323:O323))</x:f>
      </x:c>
      <x:c r="Q323" s="65" t="str">
        <x:v>https://www.365scores.com/football/match/4767878；查询时间：2026-07-18 19:02（北京时间）</x:v>
      </x:c>
      <x:c r="R323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24" ht="38" customHeight="1">
      <x:c r="A324" s="65" t="str">
        <x:f>IF(B324="","",TEXT(B324,"yyyy-mm-dd")&amp;"|"&amp;D324&amp;"|"&amp;E324)</x:f>
        <x:v>2026-07-18|特温特（FC Twente）|中文名待确认（Gent）</x:v>
      </x:c>
      <x:c r="B324" s="66" t="n">
        <x:v>46221.791666666664</x:v>
      </x:c>
      <x:c r="C324" s="65" t="str">
        <x:v>国际俱乐部友谊赛</x:v>
      </x:c>
      <x:c r="D324" s="65" t="str">
        <x:v>特温特（FC Twente）</x:v>
      </x:c>
      <x:c r="E324" s="65" t="str">
        <x:v>中文名待确认（Gent）</x:v>
      </x:c>
      <x:c r="F324" s="65" t="str">
        <x:v>无可靠让球盘/只观察｜现有证据不足以形成可执行让球倾向</x:v>
      </x:c>
      <x:c r="G324" s="65" t="str">
        <x:v>无可靠大小球盘/只观察｜现有证据不足以形成可执行总进球倾向</x:v>
      </x:c>
      <x:c r="H324" s="65" t="str">
        <x:v>待确认首发、伤停、双方近5场与主客拆分、亚洲让球/大小球初盘及当前水位；任一市场欧赔&lt;1.80/港水&lt;0.80不进；未满足全部触发条件不进、不加仓</x:v>
      </x:c>
      <x:c r="I324" s="66" t="n">
        <x:v>46221.793217592596</x:v>
      </x:c>
      <x:c r="J324" s="65" t="str">
        <x:v>需复核</x:v>
      </x:c>
      <x:c r="K324" s="65"/>
      <x:c r="L324" s="65"/>
      <x:c r="M324" s="65"/>
      <x:c r="N324" s="549"/>
      <x:c r="O324" s="549"/>
      <x:c r="P324" s="549" t="str">
        <x:f>IF(COUNT(N324:O324)=0,"",SUM(N324:O324))</x:f>
      </x:c>
      <x:c r="Q324" s="65" t="str">
        <x:v>https://www.livescore.mobi/football/club-friendlies/club-friendlies-2026/fc-twente-vs-gent/1836814/；https://www.365scores.com/football/match/4767839；查询时间：2026-07-18 19:02（北京时间）</x:v>
      </x:c>
      <x:c r="R324" s="65" t="str">
        <x:v>证据卡：俱乐部热身赛，轮换、试阵和比赛强度波动显著，战意需球队消息确认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25" ht="38" customHeight="1">
      <x:c r="A325" s="65" t="str">
        <x:f>IF(B325="","",TEXT(B325,"yyyy-mm-dd")&amp;"|"&amp;D325&amp;"|"&amp;E325)</x:f>
        <x:v>2026-07-18|中文名待确认（Grimsby）|卢甘斯克索尔亚（Zorya Luhansk）</x:v>
      </x:c>
      <x:c r="B325" s="66" t="n">
        <x:v>46221.791666666664</x:v>
      </x:c>
      <x:c r="C325" s="65" t="str">
        <x:v>国际俱乐部友谊赛</x:v>
      </x:c>
      <x:c r="D325" s="65" t="str">
        <x:v>中文名待确认（Grimsby）</x:v>
      </x:c>
      <x:c r="E325" s="65" t="str">
        <x:v>卢甘斯克索尔亚（Zorya Luhansk）</x:v>
      </x:c>
      <x:c r="F325" s="65" t="str">
        <x:v>无可靠让球盘/只观察｜现有证据不足以形成可执行让球倾向</x:v>
      </x:c>
      <x:c r="G325" s="65" t="str">
        <x:v>无可靠大小球盘/只观察｜现有证据不足以形成可执行总进球倾向</x:v>
      </x:c>
      <x:c r="H325" s="65" t="str">
        <x:v>待确认首发、伤停、双方近5场与主客拆分、亚洲让球/大小球初盘及当前水位；任一市场欧赔&lt;1.80/港水&lt;0.80不进；未满足全部触发条件不进、不加仓</x:v>
      </x:c>
      <x:c r="I325" s="66" t="n">
        <x:v>46221.793217592596</x:v>
      </x:c>
      <x:c r="J325" s="65" t="str">
        <x:v>需复核</x:v>
      </x:c>
      <x:c r="K325" s="65"/>
      <x:c r="L325" s="65"/>
      <x:c r="M325" s="65"/>
      <x:c r="N325" s="549"/>
      <x:c r="O325" s="549"/>
      <x:c r="P325" s="549" t="str">
        <x:f>IF(COUNT(N325:O325)=0,"",SUM(N325:O325))</x:f>
      </x:c>
      <x:c r="Q325" s="65" t="str">
        <x:v>https://www.365scores.com/football/match/4767889；查询时间：2026-07-18 19:02（北京时间）</x:v>
      </x:c>
      <x:c r="R325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26" ht="38" customHeight="1">
      <x:c r="A326" s="65" t="str">
        <x:f>IF(B326="","",TEXT(B326,"yyyy-mm-dd")&amp;"|"&amp;D326&amp;"|"&amp;E326)</x:f>
        <x:v>2026-07-18|汉诺威96（Hannover 96）|中文名待确认（SC Wiedenbrück）</x:v>
      </x:c>
      <x:c r="B326" s="66" t="n">
        <x:v>46221.791666666664</x:v>
      </x:c>
      <x:c r="C326" s="65" t="str">
        <x:v>国际俱乐部友谊赛</x:v>
      </x:c>
      <x:c r="D326" s="65" t="str">
        <x:v>汉诺威96（Hannover 96）</x:v>
      </x:c>
      <x:c r="E326" s="65" t="str">
        <x:v>中文名待确认（SC Wiedenbrück）</x:v>
      </x:c>
      <x:c r="F326" s="65" t="str">
        <x:v>无可靠让球盘/只观察｜现有证据不足以形成可执行让球倾向</x:v>
      </x:c>
      <x:c r="G326" s="65" t="str">
        <x:v>无可靠大小球盘/只观察｜现有证据不足以形成可执行总进球倾向</x:v>
      </x:c>
      <x:c r="H326" s="65" t="str">
        <x:v>待确认首发、伤停、双方近5场与主客拆分、亚洲让球/大小球初盘及当前水位；任一市场欧赔&lt;1.80/港水&lt;0.80不进；未满足全部触发条件不进、不加仓</x:v>
      </x:c>
      <x:c r="I326" s="66" t="n">
        <x:v>46221.793217592596</x:v>
      </x:c>
      <x:c r="J326" s="65" t="str">
        <x:v>需复核</x:v>
      </x:c>
      <x:c r="K326" s="65"/>
      <x:c r="L326" s="65"/>
      <x:c r="M326" s="65"/>
      <x:c r="N326" s="549"/>
      <x:c r="O326" s="549"/>
      <x:c r="P326" s="549" t="str">
        <x:f>IF(COUNT(N326:O326)=0,"",SUM(N326:O326))</x:f>
      </x:c>
      <x:c r="Q326" s="65" t="str">
        <x:v>https://www.365scores.com/football/match/4767877；查询时间：2026-07-18 19:02（北京时间）</x:v>
      </x:c>
      <x:c r="R326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27" ht="38" customHeight="1">
      <x:c r="A327" s="65" t="str">
        <x:f>IF(B327="","",TEXT(B327,"yyyy-mm-dd")&amp;"|"&amp;D327&amp;"|"&amp;E327)</x:f>
        <x:v>2026-07-18|中文名待确认（Hilleroed）|中文名待确认（Lyngby）</x:v>
      </x:c>
      <x:c r="B327" s="66" t="n">
        <x:v>46221.791666666664</x:v>
      </x:c>
      <x:c r="C327" s="65" t="str">
        <x:v>国际俱乐部友谊赛</x:v>
      </x:c>
      <x:c r="D327" s="65" t="str">
        <x:v>中文名待确认（Hilleroed）</x:v>
      </x:c>
      <x:c r="E327" s="65" t="str">
        <x:v>中文名待确认（Lyngby）</x:v>
      </x:c>
      <x:c r="F327" s="65" t="str">
        <x:v>无可靠让球盘/只观察｜现有证据不足以形成可执行让球倾向</x:v>
      </x:c>
      <x:c r="G327" s="65" t="str">
        <x:v>无可靠大小球盘/只观察｜现有证据不足以形成可执行总进球倾向</x:v>
      </x:c>
      <x:c r="H327" s="65" t="str">
        <x:v>待确认首发、伤停、双方近5场与主客拆分、亚洲让球/大小球初盘及当前水位；任一市场欧赔&lt;1.80/港水&lt;0.80不进；未满足全部触发条件不进、不加仓</x:v>
      </x:c>
      <x:c r="I327" s="66" t="n">
        <x:v>46221.793217592596</x:v>
      </x:c>
      <x:c r="J327" s="65" t="str">
        <x:v>需复核</x:v>
      </x:c>
      <x:c r="K327" s="65"/>
      <x:c r="L327" s="65"/>
      <x:c r="M327" s="65"/>
      <x:c r="N327" s="549"/>
      <x:c r="O327" s="549"/>
      <x:c r="P327" s="549" t="str">
        <x:f>IF(COUNT(N327:O327)=0,"",SUM(N327:O327))</x:f>
      </x:c>
      <x:c r="Q327" s="65" t="str">
        <x:v>https://www.livescore.mobi/football/club-friendlies/club-friendlies-2026/hilleroed-vs-lyngby/1821785/；https://www.fotmob.com/matches/x/x#5781322；https://www.365scores.com/football/match/4767883；查询时间：2026-07-18 19:02（北京时间）</x:v>
      </x:c>
      <x:c r="R327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28" ht="38" customHeight="1">
      <x:c r="A328" s="65" t="str">
        <x:f>IF(B328="","",TEXT(B328,"yyyy-mm-dd")&amp;"|"&amp;D328&amp;"|"&amp;E328)</x:f>
        <x:v>2026-07-18|中文名待确认（IK Oddevold）|中文名待确认（Varbergs BoIS）</x:v>
      </x:c>
      <x:c r="B328" s="66" t="n">
        <x:v>46221.791666666664</x:v>
      </x:c>
      <x:c r="C328" s="65" t="str">
        <x:v>规范中文名待确认（Superettan）</x:v>
      </x:c>
      <x:c r="D328" s="65" t="str">
        <x:v>中文名待确认（IK Oddevold）</x:v>
      </x:c>
      <x:c r="E328" s="65" t="str">
        <x:v>中文名待确认（Varbergs BoIS）</x:v>
      </x:c>
      <x:c r="F328" s="65" t="str">
        <x:v>无可靠让球盘/只观察｜现有证据不足以形成可执行让球倾向</x:v>
      </x:c>
      <x:c r="G328" s="65" t="str">
        <x:v>无可靠大小球盘/只观察｜现有证据不足以形成可执行总进球倾向</x:v>
      </x:c>
      <x:c r="H328" s="65" t="str">
        <x:v>待确认首发、伤停、双方近5场与主客拆分、亚洲让球/大小球初盘及当前水位；任一市场欧赔&lt;1.80/港水&lt;0.80不进；未满足全部触发条件不进、不加仓</x:v>
      </x:c>
      <x:c r="I328" s="66" t="n">
        <x:v>46221.793217592596</x:v>
      </x:c>
      <x:c r="J328" s="65" t="str">
        <x:v>需复核</x:v>
      </x:c>
      <x:c r="K328" s="65"/>
      <x:c r="L328" s="65"/>
      <x:c r="M328" s="65"/>
      <x:c r="N328" s="549"/>
      <x:c r="O328" s="549"/>
      <x:c r="P328" s="549" t="str">
        <x:f>IF(COUNT(N328:O328)=0,"",SUM(N328:O328))</x:f>
      </x:c>
      <x:c r="Q328" s="65" t="str">
        <x:v>https://www.365scores.com/football/match/4640772；https://www.livescore.mobi/football/sweden/superettan/ik-oddevold-vs-varbergs-bois-fc/1718297/；https://www.fotmob.com/matches/x/x#5125561；查询时间：2026-07-18 19:02（北京时间）</x:v>
      </x:c>
      <x:c r="R328" s="65" t="str">
        <x:v>证据卡：正式联赛背景，积分动机通常成立；具体排名、保级/争冠形势未取得完整可审计表格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29" ht="38" customHeight="1">
      <x:c r="A329" s="65" t="str">
        <x:f>IF(B329="","",TEXT(B329,"yyyy-mm-dd")&amp;"|"&amp;D329&amp;"|"&amp;E329)</x:f>
        <x:v>2026-07-18|埃尔维斯（Ilves）|格尼斯坦（IF Gnistan）</x:v>
      </x:c>
      <x:c r="B329" s="66" t="n">
        <x:v>46221.791666666664</x:v>
      </x:c>
      <x:c r="C329" s="65" t="str">
        <x:v>规范中文名待确认（FIN - Kansallinen Liiga）</x:v>
      </x:c>
      <x:c r="D329" s="65" t="str">
        <x:v>埃尔维斯（Ilves）</x:v>
      </x:c>
      <x:c r="E329" s="65" t="str">
        <x:v>格尼斯坦（IF Gnistan）</x:v>
      </x:c>
      <x:c r="F329" s="65" t="str">
        <x:v>无可靠让球盘/只观察｜现有证据不足以形成可执行让球倾向</x:v>
      </x:c>
      <x:c r="G329" s="65" t="str">
        <x:v>无可靠大小球盘/只观察｜现有证据不足以形成可执行总进球倾向</x:v>
      </x:c>
      <x:c r="H329" s="65" t="str">
        <x:v>待确认首发、伤停、双方近5场与主客拆分、亚洲让球/大小球初盘及当前水位；任一市场欧赔&lt;1.80/港水&lt;0.80不进；未满足全部触发条件不进、不加仓</x:v>
      </x:c>
      <x:c r="I329" s="66" t="n">
        <x:v>46221.793217592596</x:v>
      </x:c>
      <x:c r="J329" s="65" t="str">
        <x:v>需复核</x:v>
      </x:c>
      <x:c r="K329" s="65"/>
      <x:c r="L329" s="65"/>
      <x:c r="M329" s="65"/>
      <x:c r="N329" s="549"/>
      <x:c r="O329" s="549"/>
      <x:c r="P329" s="549" t="str">
        <x:f>IF(COUNT(N329:O329)=0,"",SUM(N329:O329))</x:f>
      </x:c>
      <x:c r="Q329" s="65" t="str">
        <x:v>https://www.fotmob.com/matches/x/x#5234920；https://www.livescore.mobi/football/finland/kansallinen-liiga-women/tampereen-ilves-w-vs-if-gnistan/1751988/；查询时间：2026-07-18 19:02（北京时间）</x:v>
      </x:c>
      <x:c r="R329" s="65" t="str">
        <x:v>证据卡：正式联赛背景，积分动机通常成立；具体排名、保级/争冠形势未取得完整可审计表格。比赛身份与北京时间由2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30" ht="38" customHeight="1">
      <x:c r="A330" s="65" t="str">
        <x:f>IF(B330="","",TEXT(B330,"yyyy-mm-dd")&amp;"|"&amp;D330&amp;"|"&amp;E330)</x:f>
        <x:v>2026-07-18|中文名待确认（Legia Warszawa）|中文名待确认（Pogoń Grodzisk）</x:v>
      </x:c>
      <x:c r="B330" s="66" t="n">
        <x:v>46221.791666666664</x:v>
      </x:c>
      <x:c r="C330" s="65" t="str">
        <x:v>国际俱乐部友谊赛</x:v>
      </x:c>
      <x:c r="D330" s="65" t="str">
        <x:v>中文名待确认（Legia Warszawa）</x:v>
      </x:c>
      <x:c r="E330" s="65" t="str">
        <x:v>中文名待确认（Pogoń Grodzisk）</x:v>
      </x:c>
      <x:c r="F330" s="65" t="str">
        <x:v>无可靠让球盘/只观察｜现有证据不足以形成可执行让球倾向</x:v>
      </x:c>
      <x:c r="G330" s="65" t="str">
        <x:v>无可靠大小球盘/只观察｜现有证据不足以形成可执行总进球倾向</x:v>
      </x:c>
      <x:c r="H330" s="65" t="str">
        <x:v>待确认首发、伤停、双方近5场与主客拆分、亚洲让球/大小球初盘及当前水位；任一市场欧赔&lt;1.80/港水&lt;0.80不进；未满足全部触发条件不进、不加仓</x:v>
      </x:c>
      <x:c r="I330" s="66" t="n">
        <x:v>46221.793217592596</x:v>
      </x:c>
      <x:c r="J330" s="65" t="str">
        <x:v>需复核</x:v>
      </x:c>
      <x:c r="K330" s="65"/>
      <x:c r="L330" s="65"/>
      <x:c r="M330" s="65"/>
      <x:c r="N330" s="549"/>
      <x:c r="O330" s="549"/>
      <x:c r="P330" s="549" t="str">
        <x:f>IF(COUNT(N330:O330)=0,"",SUM(N330:O330))</x:f>
      </x:c>
      <x:c r="Q330" s="65" t="str">
        <x:v>https://www.365scores.com/football/match/4767922；查询时间：2026-07-18 19:02（北京时间）</x:v>
      </x:c>
      <x:c r="R330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31" ht="38" customHeight="1">
      <x:c r="A331" s="65" t="str">
        <x:f>IF(B331="","",TEXT(B331,"yyyy-mm-dd")&amp;"|"&amp;D331&amp;"|"&amp;E331)</x:f>
        <x:v>2026-07-18|中文名待确认（Lommel）|前进之鹰（Go Ahead Eagles）</x:v>
      </x:c>
      <x:c r="B331" s="66" t="n">
        <x:v>46221.791666666664</x:v>
      </x:c>
      <x:c r="C331" s="65" t="str">
        <x:v>国际俱乐部友谊赛</x:v>
      </x:c>
      <x:c r="D331" s="65" t="str">
        <x:v>中文名待确认（Lommel）</x:v>
      </x:c>
      <x:c r="E331" s="65" t="str">
        <x:v>前进之鹰（Go Ahead Eagles）</x:v>
      </x:c>
      <x:c r="F331" s="65" t="str">
        <x:v>无可靠让球盘/只观察｜现有证据不足以形成可执行让球倾向</x:v>
      </x:c>
      <x:c r="G331" s="65" t="str">
        <x:v>无可靠大小球盘/只观察｜现有证据不足以形成可执行总进球倾向</x:v>
      </x:c>
      <x:c r="H331" s="65" t="str">
        <x:v>待确认首发、伤停、双方近5场与主客拆分、亚洲让球/大小球初盘及当前水位；任一市场欧赔&lt;1.80/港水&lt;0.80不进；未满足全部触发条件不进、不加仓</x:v>
      </x:c>
      <x:c r="I331" s="66" t="n">
        <x:v>46221.793217592596</x:v>
      </x:c>
      <x:c r="J331" s="65" t="str">
        <x:v>需复核</x:v>
      </x:c>
      <x:c r="K331" s="65"/>
      <x:c r="L331" s="65"/>
      <x:c r="M331" s="65"/>
      <x:c r="N331" s="549"/>
      <x:c r="O331" s="549"/>
      <x:c r="P331" s="549" t="str">
        <x:f>IF(COUNT(N331:O331)=0,"",SUM(N331:O331))</x:f>
      </x:c>
      <x:c r="Q331" s="65" t="str">
        <x:v>https://www.livescore.mobi/football/club-friendlies/club-friendlies-2026/lommel-vs-go-ahead-eagles/1822094/；https://www.fotmob.com/matches/x/x#5900539；https://www.365scores.com/football/match/4767882；查询时间：2026-07-18 19:02（北京时间）</x:v>
      </x:c>
      <x:c r="R331" s="65" t="str">
        <x:v>证据卡：俱乐部热身赛，轮换、试阵和比赛强度波动显著，战意需球队消息确认。比赛身份与北京时间由3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中低置信度，让球与大小球均独立降级为只观察；仍待阵容、状态拆分、亚洲双盘、水位及盘口变化节点确认。</x:v>
      </x:c>
    </x:row>
    <x:row r="332" ht="38" customHeight="1">
      <x:c r="A332" s="65" t="str">
        <x:f>IF(B332="","",TEXT(B332,"yyyy-mm-dd")&amp;"|"&amp;D332&amp;"|"&amp;E332)</x:f>
        <x:v>2026-07-18|中文名待确认（Naestved）|中文名待确认（HB Køge）</x:v>
      </x:c>
      <x:c r="B332" s="66" t="n">
        <x:v>46221.791666666664</x:v>
      </x:c>
      <x:c r="C332" s="65" t="str">
        <x:v>国际俱乐部友谊赛</x:v>
      </x:c>
      <x:c r="D332" s="65" t="str">
        <x:v>中文名待确认（Naestved）</x:v>
      </x:c>
      <x:c r="E332" s="65" t="str">
        <x:v>中文名待确认（HB Køge）</x:v>
      </x:c>
      <x:c r="F332" s="65" t="str">
        <x:v>无可靠让球盘/只观察｜现有证据不足以形成可执行让球倾向</x:v>
      </x:c>
      <x:c r="G332" s="65" t="str">
        <x:v>无可靠大小球盘/只观察｜现有证据不足以形成可执行总进球倾向</x:v>
      </x:c>
      <x:c r="H332" s="65" t="str">
        <x:v>待确认首发、伤停、双方近5场与主客拆分、亚洲让球/大小球初盘及当前水位；任一市场欧赔&lt;1.80/港水&lt;0.80不进；未满足全部触发条件不进、不加仓</x:v>
      </x:c>
      <x:c r="I332" s="66" t="n">
        <x:v>46221.793217592596</x:v>
      </x:c>
      <x:c r="J332" s="65" t="str">
        <x:v>需复核</x:v>
      </x:c>
      <x:c r="K332" s="65"/>
      <x:c r="L332" s="65"/>
      <x:c r="M332" s="65"/>
      <x:c r="N332" s="549"/>
      <x:c r="O332" s="549"/>
      <x:c r="P332" s="549" t="str">
        <x:f>IF(COUNT(N332:O332)=0,"",SUM(N332:O332))</x:f>
      </x:c>
      <x:c r="Q332" s="65" t="str">
        <x:v>https://www.365scores.com/football/match/4767879；查询时间：2026-07-18 19:02（北京时间）</x:v>
      </x:c>
      <x:c r="R332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33" ht="38" customHeight="1">
      <x:c r="A333" s="65" t="str">
        <x:f>IF(B333="","",TEXT(B333,"yyyy-mm-dd")&amp;"|"&amp;D333&amp;"|"&amp;E333)</x:f>
        <x:v>2026-07-18|中文名待确认（Stenungsunds）|中文名待确认（Utsiktens BK）</x:v>
      </x:c>
      <x:c r="B333" s="66" t="n">
        <x:v>46221.791666666664</x:v>
      </x:c>
      <x:c r="C333" s="65" t="str">
        <x:v>国际俱乐部友谊赛</x:v>
      </x:c>
      <x:c r="D333" s="65" t="str">
        <x:v>中文名待确认（Stenungsunds）</x:v>
      </x:c>
      <x:c r="E333" s="65" t="str">
        <x:v>中文名待确认（Utsiktens BK）</x:v>
      </x:c>
      <x:c r="F333" s="65" t="str">
        <x:v>无可靠让球盘/只观察｜现有证据不足以形成可执行让球倾向</x:v>
      </x:c>
      <x:c r="G333" s="65" t="str">
        <x:v>无可靠大小球盘/只观察｜现有证据不足以形成可执行总进球倾向</x:v>
      </x:c>
      <x:c r="H333" s="65" t="str">
        <x:v>待确认首发、伤停、双方近5场与主客拆分、亚洲让球/大小球初盘及当前水位；任一市场欧赔&lt;1.80/港水&lt;0.80不进；未满足全部触发条件不进、不加仓</x:v>
      </x:c>
      <x:c r="I333" s="66" t="n">
        <x:v>46221.793217592596</x:v>
      </x:c>
      <x:c r="J333" s="65" t="str">
        <x:v>需复核</x:v>
      </x:c>
      <x:c r="K333" s="65"/>
      <x:c r="L333" s="65"/>
      <x:c r="M333" s="65"/>
      <x:c r="N333" s="549"/>
      <x:c r="O333" s="549"/>
      <x:c r="P333" s="549" t="str">
        <x:f>IF(COUNT(N333:O333)=0,"",SUM(N333:O333))</x:f>
      </x:c>
      <x:c r="Q333" s="65" t="str">
        <x:v>https://www.365scores.com/football/match/4771614；查询时间：2026-07-18 19:02（北京时间）</x:v>
      </x:c>
      <x:c r="R333" s="65" t="str">
        <x:v>证据卡：俱乐部热身赛，轮换、试阵和比赛强度波动显著，战意需球队消息确认。比赛身份与北京时间由1类来源核对。阵容：未公布/未检索到可靠确认首发，伤停、停赛、轮换、阵型及替代者待确认。近期/主客：双方最近5场及对手强弱、主队主场/客队客场拆分未检索到完整可审计数据。交锋：未检索到同级别且阵容相近的可审计样本，不作强证据。战术：推进、压迫、转换、防空、定位球及领先/落后模式未检索到可靠逐队资料，不据此制造方向。盘口轨迹/价值：未取得可交叉核验的亚洲让球初盘/当前盘/水位及亚洲大小球主盘/水位。低于港水0.80（欧赔1.80）一律不进。反证①首发与轮换未知可显著改变强弱；反证②亚洲盘轨迹缺失、单源赛程或低级别样本偏差可推翻判断。结论：低置信度，让球与大小球均独立降级为只观察；仍待阵容、状态拆分、亚洲双盘、水位及盘口变化节点确认。</x:v>
      </x:c>
    </x:row>
    <x:row r="334" ht="38" customHeight="1">
      <x:c r="A334" s="65" t="str">
        <x:f>IF(B334="","",TEXT(B334,"yyyy-mm-dd")&amp;"|"&amp;D334&amp;"|"&amp;E334)</x:f>
        <x:v>2026-07-18|中文名待确认（Poprad）|中文名待确认（FC Lokomotiva Kosice）</x:v>
      </x:c>
      <x:c r="B334" s="66" t="n">
        <x:v>46221.790972222225</x:v>
      </x:c>
      <x:c r="C334" s="65" t="str">
        <x:v>国际俱乐部友谊赛</x:v>
      </x:c>
      <x:c r="D334" s="65" t="str">
        <x:v>中文名待确认（Poprad）</x:v>
      </x:c>
      <x:c r="E334" s="65" t="str">
        <x:v>中文名待确认（FC Lokomotiva Kosice）</x:v>
      </x:c>
      <x:c r="F334" s="65" t="str">
        <x:v>无可靠让球盘/只观察｜现有可审计资料不足以形成可靠让球倾向</x:v>
      </x:c>
      <x:c r="G334" s="65" t="str">
        <x:v>无可靠大小球盘/只观察｜未取得可交叉核验的总进球主盘与水位，无可靠大小球倾向</x:v>
      </x:c>
      <x:c r="H334" s="65" t="str">
        <x:v>待确认首发、双方近5场/主客拆分与可靠亚洲双盘；任一市场欧赔&lt;1.80/港水&lt;0.80不进；盘口未核验前不进、不加仓</x:v>
      </x:c>
      <x:c r="I334" s="66" t="n">
        <x:v>46220.82152777778</x:v>
      </x:c>
      <x:c r="J334" s="65" t="str">
        <x:v>需复核</x:v>
      </x:c>
      <x:c r="K334" s="65"/>
      <x:c r="L334" s="65"/>
      <x:c r="M334" s="65"/>
      <x:c r="N334" s="549"/>
      <x:c r="O334" s="549"/>
      <x:c r="P334" s="549" t="str">
        <x:f>IF(COUNT(N334:O334)=0,"",SUM(N334:O334))</x:f>
      </x:c>
      <x:c r="Q334" s="65" t="str">
        <x:v>赛程/状态来源｜https://www.365scores.com/football/tomorrows-matches；365Scores赛事ID 4771588；查询时间：2026-07-17 19:43（北京时间）</x:v>
      </x:c>
      <x:c r="R33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35" ht="38" customHeight="1">
      <x:c r="A335" s="65" t="str">
        <x:f>IF(B335="","",TEXT(B335,"yyyy-mm-dd")&amp;"|"&amp;D335&amp;"|"&amp;E335)</x:f>
        <x:v>2026-07-18|中文名待确认（Koln II）|中文名待确认（Dender）</x:v>
      </x:c>
      <x:c r="B335" s="66" t="n">
        <x:v>46221.790972222225</x:v>
      </x:c>
      <x:c r="C335" s="65" t="str">
        <x:v>国际俱乐部友谊赛</x:v>
      </x:c>
      <x:c r="D335" s="65" t="str">
        <x:v>中文名待确认（Koln II）</x:v>
      </x:c>
      <x:c r="E335" s="65" t="str">
        <x:v>中文名待确认（Dender）</x:v>
      </x:c>
      <x:c r="F335" s="65" t="str">
        <x:v>无可靠让球盘/只观察｜现有可审计资料不足以形成可靠让球倾向</x:v>
      </x:c>
      <x:c r="G335" s="65" t="str">
        <x:v>无可靠大小球盘/只观察｜未取得可交叉核验的总进球主盘与水位，无可靠大小球倾向</x:v>
      </x:c>
      <x:c r="H335" s="65" t="str">
        <x:v>待确认首发、双方近5场/主客拆分与可靠亚洲双盘；任一市场欧赔&lt;1.80/港水&lt;0.80不进；盘口未核验前不进、不加仓</x:v>
      </x:c>
      <x:c r="I335" s="66" t="n">
        <x:v>46220.82152777778</x:v>
      </x:c>
      <x:c r="J335" s="65" t="str">
        <x:v>需复核</x:v>
      </x:c>
      <x:c r="K335" s="65"/>
      <x:c r="L335" s="65"/>
      <x:c r="M335" s="65"/>
      <x:c r="N335" s="549"/>
      <x:c r="O335" s="549"/>
      <x:c r="P335" s="549" t="str">
        <x:f>IF(COUNT(N335:O335)=0,"",SUM(N335:O335))</x:f>
      </x:c>
      <x:c r="Q335" s="65" t="str">
        <x:v>赛程/状态来源｜https://www.365scores.com/football/tomorrows-matches；365Scores赛事ID 4767867；查询时间：2026-07-17 19:43（北京时间）</x:v>
      </x:c>
      <x:c r="R33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36" ht="38" customHeight="1">
      <x:c r="A336" s="65" t="str">
        <x:f>IF(B336="","",TEXT(B336,"yyyy-mm-dd")&amp;"|"&amp;D336&amp;"|"&amp;E336)</x:f>
        <x:v>2026-07-18|中文名待确认（Hapoel Haifa）|中文名待确认（Fk Vora）</x:v>
      </x:c>
      <x:c r="B336" s="66" t="n">
        <x:v>46221.790972222225</x:v>
      </x:c>
      <x:c r="C336" s="65" t="str">
        <x:v>国际俱乐部友谊赛</x:v>
      </x:c>
      <x:c r="D336" s="65" t="str">
        <x:v>中文名待确认（Hapoel Haifa）</x:v>
      </x:c>
      <x:c r="E336" s="65" t="str">
        <x:v>中文名待确认（Fk Vora）</x:v>
      </x:c>
      <x:c r="F336" s="65" t="str">
        <x:v>无可靠让球盘/只观察｜现有可审计资料不足以形成可靠让球倾向</x:v>
      </x:c>
      <x:c r="G336" s="65" t="str">
        <x:v>无可靠大小球盘/只观察｜未取得可交叉核验的总进球主盘与水位，无可靠大小球倾向</x:v>
      </x:c>
      <x:c r="H336" s="65" t="str">
        <x:v>待确认首发、双方近5场/主客拆分与可靠亚洲双盘；任一市场欧赔&lt;1.80/港水&lt;0.80不进；盘口未核验前不进、不加仓</x:v>
      </x:c>
      <x:c r="I336" s="66" t="n">
        <x:v>46220.82152777778</x:v>
      </x:c>
      <x:c r="J336" s="65" t="str">
        <x:v>需复核</x:v>
      </x:c>
      <x:c r="K336" s="65"/>
      <x:c r="L336" s="65"/>
      <x:c r="M336" s="65"/>
      <x:c r="N336" s="549"/>
      <x:c r="O336" s="549"/>
      <x:c r="P336" s="549" t="str">
        <x:f>IF(COUNT(N336:O336)=0,"",SUM(N336:O336))</x:f>
      </x:c>
      <x:c r="Q336" s="65" t="str">
        <x:v>赛程/状态来源｜https://www.365scores.com/football/tomorrows-matches；365Scores赛事ID 4775736；查询时间：2026-07-17 19:43（北京时间）</x:v>
      </x:c>
      <x:c r="R33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37" ht="38" customHeight="1">
      <x:c r="A337" s="65" t="str">
        <x:f>IF(B337="","",TEXT(B337,"yyyy-mm-dd")&amp;"|"&amp;D337&amp;"|"&amp;E337)</x:f>
        <x:v>2026-07-18|中文名待确认（Etar）|中文名待确认（Yantra Gabrovo）</x:v>
      </x:c>
      <x:c r="B337" s="66" t="n">
        <x:v>46221.790972222225</x:v>
      </x:c>
      <x:c r="C337" s="65" t="str">
        <x:v>国际俱乐部友谊赛</x:v>
      </x:c>
      <x:c r="D337" s="65" t="str">
        <x:v>中文名待确认（Etar）</x:v>
      </x:c>
      <x:c r="E337" s="65" t="str">
        <x:v>中文名待确认（Yantra Gabrovo）</x:v>
      </x:c>
      <x:c r="F337" s="65" t="str">
        <x:v>无可靠让球盘/只观察｜现有可审计资料不足以形成可靠让球倾向</x:v>
      </x:c>
      <x:c r="G337" s="65" t="str">
        <x:v>无可靠大小球盘/只观察｜未取得可交叉核验的总进球主盘与水位，无可靠大小球倾向</x:v>
      </x:c>
      <x:c r="H337" s="65" t="str">
        <x:v>待确认首发、双方近5场/主客拆分与可靠亚洲双盘；任一市场欧赔&lt;1.80/港水&lt;0.80不进；盘口未核验前不进、不加仓</x:v>
      </x:c>
      <x:c r="I337" s="66" t="n">
        <x:v>46220.82152777778</x:v>
      </x:c>
      <x:c r="J337" s="65" t="str">
        <x:v>需复核</x:v>
      </x:c>
      <x:c r="K337" s="65"/>
      <x:c r="L337" s="65"/>
      <x:c r="M337" s="65"/>
      <x:c r="N337" s="549"/>
      <x:c r="O337" s="549"/>
      <x:c r="P337" s="549" t="str">
        <x:f>IF(COUNT(N337:O337)=0,"",SUM(N337:O337))</x:f>
      </x:c>
      <x:c r="Q337" s="65" t="str">
        <x:v>赛程/状态来源｜https://www.365scores.com/football/tomorrows-matches；365Scores赛事ID 4771604；查询时间：2026-07-17 19:43（北京时间）</x:v>
      </x:c>
      <x:c r="R33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38" ht="38" customHeight="1">
      <x:c r="A338" s="65" t="str">
        <x:f>IF(B338="","",TEXT(B338,"yyyy-mm-dd")&amp;"|"&amp;D338&amp;"|"&amp;E338)</x:f>
        <x:v>2026-07-18|中文名待确认（University Azzurri FC）|中文名待确认（Port Darwin）</x:v>
      </x:c>
      <x:c r="B338" s="66" t="n">
        <x:v>46221.770833333336</x:v>
      </x:c>
      <x:c r="C338" s="65" t="str">
        <x:v>澳大利亚北区超级联赛</x:v>
      </x:c>
      <x:c r="D338" s="65" t="str">
        <x:v>中文名待确认（University Azzurri FC）</x:v>
      </x:c>
      <x:c r="E338" s="65" t="str">
        <x:v>中文名待确认（Port Darwin）</x:v>
      </x:c>
      <x:c r="F338" s="65" t="str">
        <x:v>无可靠让球盘/只观察｜现有可审计资料不足以形成可靠让球倾向</x:v>
      </x:c>
      <x:c r="G338" s="65" t="str">
        <x:v>无可靠大小球盘/只观察｜未取得可交叉核验的总进球主盘与水位，无可靠大小球倾向</x:v>
      </x:c>
      <x:c r="H338" s="65" t="str">
        <x:v>待确认首发、双方近5场/主客拆分与可靠亚洲双盘；任一市场欧赔&lt;1.80/港水&lt;0.80不进；盘口未核验前不进、不加仓</x:v>
      </x:c>
      <x:c r="I338" s="66" t="n">
        <x:v>46220.82152777778</x:v>
      </x:c>
      <x:c r="J338" s="65" t="str">
        <x:v>需复核</x:v>
      </x:c>
      <x:c r="K338" s="65"/>
      <x:c r="L338" s="65"/>
      <x:c r="M338" s="65"/>
      <x:c r="N338" s="549"/>
      <x:c r="O338" s="549"/>
      <x:c r="P338" s="549" t="str">
        <x:f>IF(COUNT(N338:O338)=0,"",SUM(N338:O338))</x:f>
      </x:c>
      <x:c r="Q338" s="65" t="str">
        <x:v>赛程/状态来源｜https://www.livescore.mobi/football/australia/northern/university-azzurri-fc-vs-port-darwin/1775417/；365Scores赛事ID —；查询时间：2026-07-17 19:43（北京时间）</x:v>
      </x:c>
      <x:c r="R33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39" ht="38" customHeight="1">
      <x:c r="A339" s="65" t="str">
        <x:f>IF(B339="","",TEXT(B339,"yyyy-mm-dd")&amp;"|"&amp;D339&amp;"|"&amp;E339)</x:f>
        <x:v>2026-07-18|水原FC（Suwon FC）|首尔衣恋（Seoul E-Land）</x:v>
      </x:c>
      <x:c r="B339" s="66" t="n">
        <x:v>46221.770833333336</x:v>
      </x:c>
      <x:c r="C339" s="65" t="str">
        <x:v>韩国K2联赛</x:v>
      </x:c>
      <x:c r="D339" s="65" t="str">
        <x:v>水原FC（Suwon FC）</x:v>
      </x:c>
      <x:c r="E339" s="65" t="str">
        <x:v>首尔衣恋（Seoul E-Land）</x:v>
      </x:c>
      <x:c r="F339" s="65" t="str">
        <x:v>无可靠让球盘/只观察｜胜负价格仅弱倾向客队侧，不换算让球盘口</x:v>
      </x:c>
      <x:c r="G339" s="65" t="str">
        <x:v>无可靠大小球盘/只观察｜未取得可交叉核验的总进球主盘与水位，无可靠大小球倾向</x:v>
      </x:c>
      <x:c r="H339" s="65" t="str">
        <x:v>待确认首发、双方近5场/主客拆分与可靠亚洲双盘；任一市场欧赔&lt;1.80/港水&lt;0.80不进；盘口未核验前不进、不加仓</x:v>
      </x:c>
      <x:c r="I339" s="66" t="n">
        <x:v>46220.82152777778</x:v>
      </x:c>
      <x:c r="J339" s="65" t="str">
        <x:v>需复核</x:v>
      </x:c>
      <x:c r="K339" s="65"/>
      <x:c r="L339" s="65"/>
      <x:c r="M339" s="65"/>
      <x:c r="N339" s="549"/>
      <x:c r="O339" s="549"/>
      <x:c r="P339" s="549" t="str">
        <x:f>IF(COUNT(N339:O339)=0,"",SUM(N339:O339))</x:f>
      </x:c>
      <x:c r="Q339" s="65" t="str">
        <x:v>赛程/状态来源｜https://www.365scores.com/football/tomorrows-matches；https://www.livescore.mobi/football/korea-republic/k-league-2/suwon-fc-vs-seoul-e-land-fc/1729306/；https://tipsterarea.com/match/suwon-fc-seoul-e-land-k-league-2-south-korea-935635；365Scores赛事ID 4657786；查询时间：2026-07-17 19:43（北京时间）</x:v>
      </x:c>
      <x:c r="R33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2.73/3.40/2.23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0" ht="38" customHeight="1">
      <x:c r="A340" s="65" t="str">
        <x:f>IF(B340="","",TEXT(B340,"yyyy-mm-dd")&amp;"|"&amp;D340&amp;"|"&amp;E340)</x:f>
        <x:v>2026-07-18|中文名待确认（Seongnam Ilhwa）|釜山偶像（Busan I Park）</x:v>
      </x:c>
      <x:c r="B340" s="66" t="n">
        <x:v>46221.770833333336</x:v>
      </x:c>
      <x:c r="C340" s="65" t="str">
        <x:v>韩国K2联赛</x:v>
      </x:c>
      <x:c r="D340" s="65" t="str">
        <x:v>中文名待确认（Seongnam Ilhwa）</x:v>
      </x:c>
      <x:c r="E340" s="65" t="str">
        <x:v>釜山偶像（Busan I Park）</x:v>
      </x:c>
      <x:c r="F340" s="65" t="str">
        <x:v>无可靠让球盘/只观察｜现有可审计资料不足以形成可靠让球倾向</x:v>
      </x:c>
      <x:c r="G340" s="65" t="str">
        <x:v>无可靠大小球盘/只观察｜未取得可交叉核验的总进球主盘与水位，无可靠大小球倾向</x:v>
      </x:c>
      <x:c r="H340" s="65" t="str">
        <x:v>待确认首发、双方近5场/主客拆分与可靠亚洲双盘；任一市场欧赔&lt;1.80/港水&lt;0.80不进；盘口未核验前不进、不加仓</x:v>
      </x:c>
      <x:c r="I340" s="66" t="n">
        <x:v>46220.82152777778</x:v>
      </x:c>
      <x:c r="J340" s="65" t="str">
        <x:v>需复核</x:v>
      </x:c>
      <x:c r="K340" s="65"/>
      <x:c r="L340" s="65"/>
      <x:c r="M340" s="65"/>
      <x:c r="N340" s="549"/>
      <x:c r="O340" s="549"/>
      <x:c r="P340" s="549" t="str">
        <x:f>IF(COUNT(N340:O340)=0,"",SUM(N340:O340))</x:f>
      </x:c>
      <x:c r="Q340" s="65" t="str">
        <x:v>赛程/状态来源｜https://www.365scores.com/football/tomorrows-matches；https://www.livescore.mobi/football/korea-republic/k-league-2/seongnam-fc-vs-busan-ipark/1729308/；365Scores赛事ID 4655825；查询时间：2026-07-17 19:43（北京时间）</x:v>
      </x:c>
      <x:c r="R34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1" ht="38" customHeight="1">
      <x:c r="A341" s="65" t="str">
        <x:f>IF(B341="","",TEXT(B341,"yyyy-mm-dd")&amp;"|"&amp;D341&amp;"|"&amp;E341)</x:f>
        <x:v>2026-07-18|中文名待确认（PSV Eindhoven）|中文名待确认（Union St. Gilloise）</x:v>
      </x:c>
      <x:c r="B341" s="66" t="n">
        <x:v>46221.770833333336</x:v>
      </x:c>
      <x:c r="C341" s="65" t="str">
        <x:v>国际俱乐部友谊赛</x:v>
      </x:c>
      <x:c r="D341" s="65" t="str">
        <x:v>中文名待确认（PSV Eindhoven）</x:v>
      </x:c>
      <x:c r="E341" s="65" t="str">
        <x:v>中文名待确认（Union St. Gilloise）</x:v>
      </x:c>
      <x:c r="F341" s="65" t="str">
        <x:v>无可靠让球盘/只观察｜现有可审计资料不足以形成可靠让球倾向</x:v>
      </x:c>
      <x:c r="G341" s="65" t="str">
        <x:v>无可靠大小球盘/只观察｜未取得可交叉核验的总进球主盘与水位，无可靠大小球倾向</x:v>
      </x:c>
      <x:c r="H341" s="65" t="str">
        <x:v>待确认首发、双方近5场/主客拆分与可靠亚洲双盘；任一市场欧赔&lt;1.80/港水&lt;0.80不进；盘口未核验前不进、不加仓</x:v>
      </x:c>
      <x:c r="I341" s="66" t="n">
        <x:v>46220.82152777778</x:v>
      </x:c>
      <x:c r="J341" s="65" t="str">
        <x:v>需复核</x:v>
      </x:c>
      <x:c r="K341" s="65"/>
      <x:c r="L341" s="65"/>
      <x:c r="M341" s="65"/>
      <x:c r="N341" s="549"/>
      <x:c r="O341" s="549"/>
      <x:c r="P341" s="549" t="str">
        <x:f>IF(COUNT(N341:O341)=0,"",SUM(N341:O341))</x:f>
      </x:c>
      <x:c r="Q341" s="65" t="str">
        <x:v>赛程/状态来源｜https://www.365scores.com/football/tomorrows-matches；https://www.livescore.mobi/football/club-friendlies/featured-club-friendlies/psv-eindhoven-vs-union-stgilloise/1822102/；https://global.espn.com/football/scoreboard/_/date/20260718；https://tipsterarea.com/match/psv-eindhoven-union-saint-gilloise-club-friendly-935507；365Scores赛事ID 4764858；查询时间：2026-07-17 19:43（北京时间）</x:v>
      </x:c>
      <x:c r="R34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2" ht="38" customHeight="1">
      <x:c r="A342" s="65" t="str">
        <x:f>IF(B342="","",TEXT(B342,"yyyy-mm-dd")&amp;"|"&amp;D342&amp;"|"&amp;E342)</x:f>
        <x:v>2026-07-18|全南天龙（Jeonnam Dragons）|忠南牙山（Chungnam Asan）</x:v>
      </x:c>
      <x:c r="B342" s="66" t="n">
        <x:v>46221.770833333336</x:v>
      </x:c>
      <x:c r="C342" s="65" t="str">
        <x:v>韩国K2联赛</x:v>
      </x:c>
      <x:c r="D342" s="65" t="str">
        <x:v>全南天龙（Jeonnam Dragons）</x:v>
      </x:c>
      <x:c r="E342" s="65" t="str">
        <x:v>忠南牙山（Chungnam Asan）</x:v>
      </x:c>
      <x:c r="F342" s="65" t="str">
        <x:v>无可靠让球盘/只观察｜胜负价格仅弱倾向客队侧，不换算让球盘口</x:v>
      </x:c>
      <x:c r="G342" s="65" t="str">
        <x:v>无可靠大小球盘/只观察｜未取得可交叉核验的总进球主盘与水位，无可靠大小球倾向</x:v>
      </x:c>
      <x:c r="H342" s="65" t="str">
        <x:v>待确认首发、双方近5场/主客拆分与可靠亚洲双盘；任一市场欧赔&lt;1.80/港水&lt;0.80不进；盘口未核验前不进、不加仓</x:v>
      </x:c>
      <x:c r="I342" s="66" t="n">
        <x:v>46220.82152777778</x:v>
      </x:c>
      <x:c r="J342" s="65" t="str">
        <x:v>需复核</x:v>
      </x:c>
      <x:c r="K342" s="65"/>
      <x:c r="L342" s="65"/>
      <x:c r="M342" s="65"/>
      <x:c r="N342" s="549"/>
      <x:c r="O342" s="549"/>
      <x:c r="P342" s="549" t="str">
        <x:f>IF(COUNT(N342:O342)=0,"",SUM(N342:O342))</x:f>
      </x:c>
      <x:c r="Q342" s="65" t="str">
        <x:v>赛程/状态来源｜https://www.livescore.mobi/football/korea-republic/k-league-2/jeonnam-dragons-vs-chungnam-asan-fc/1729309/；https://tipsterarea.com/match/jeonnam-dragons-chungnam-asan-k-league-2-south-korea-935633；365Scores赛事ID —；查询时间：2026-07-17 19:43（北京时间）</x:v>
      </x:c>
      <x:c r="R34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2.56/3.27/2.40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3" ht="38" customHeight="1">
      <x:c r="A343" s="65" t="str">
        <x:f>IF(B343="","",TEXT(B343,"yyyy-mm-dd")&amp;"|"&amp;D343&amp;"|"&amp;E343)</x:f>
        <x:v>2026-07-18|全南天龙（Jeonnam Dragons）|中文名待确认（Asan Mugunghwa FC）</x:v>
      </x:c>
      <x:c r="B343" s="66" t="n">
        <x:v>46221.770833333336</x:v>
      </x:c>
      <x:c r="C343" s="65" t="str">
        <x:v>韩国K2联赛</x:v>
      </x:c>
      <x:c r="D343" s="65" t="str">
        <x:v>全南天龙（Jeonnam Dragons）</x:v>
      </x:c>
      <x:c r="E343" s="65" t="str">
        <x:v>中文名待确认（Asan Mugunghwa FC）</x:v>
      </x:c>
      <x:c r="F343" s="65" t="str">
        <x:v>无可靠让球盘/只观察｜现有可审计资料不足以形成可靠让球倾向</x:v>
      </x:c>
      <x:c r="G343" s="65" t="str">
        <x:v>无可靠大小球盘/只观察｜未取得可交叉核验的总进球主盘与水位，无可靠大小球倾向</x:v>
      </x:c>
      <x:c r="H343" s="65" t="str">
        <x:v>待确认首发、双方近5场/主客拆分与可靠亚洲双盘；任一市场欧赔&lt;1.80/港水&lt;0.80不进；盘口未核验前不进、不加仓</x:v>
      </x:c>
      <x:c r="I343" s="66" t="n">
        <x:v>46220.82152777778</x:v>
      </x:c>
      <x:c r="J343" s="65" t="str">
        <x:v>需复核</x:v>
      </x:c>
      <x:c r="K343" s="65"/>
      <x:c r="L343" s="65"/>
      <x:c r="M343" s="65"/>
      <x:c r="N343" s="549"/>
      <x:c r="O343" s="549"/>
      <x:c r="P343" s="549" t="str">
        <x:f>IF(COUNT(N343:O343)=0,"",SUM(N343:O343))</x:f>
      </x:c>
      <x:c r="Q343" s="65" t="str">
        <x:v>赛程/状态来源｜https://www.365scores.com/football/tomorrows-matches；365Scores赛事ID 4655826；查询时间：2026-07-17 19:43（北京时间）</x:v>
      </x:c>
      <x:c r="R34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4" ht="38" customHeight="1">
      <x:c r="A344" s="65" t="str">
        <x:f>IF(B344="","",TEXT(B344,"yyyy-mm-dd")&amp;"|"&amp;D344&amp;"|"&amp;E344)</x:f>
        <x:v>2026-07-18|中文名待确认（Jeju United）|浦项制铁（Pohang Steelers）</x:v>
      </x:c>
      <x:c r="B344" s="66" t="n">
        <x:v>46221.770833333336</x:v>
      </x:c>
      <x:c r="C344" s="65" t="str">
        <x:v>韩国K联赛1（K League 1）</x:v>
      </x:c>
      <x:c r="D344" s="65" t="str">
        <x:v>中文名待确认（Jeju United）</x:v>
      </x:c>
      <x:c r="E344" s="65" t="str">
        <x:v>浦项制铁（Pohang Steelers）</x:v>
      </x:c>
      <x:c r="F344" s="65" t="str">
        <x:v>无可靠让球盘/只观察｜现有可审计资料不足以形成可靠让球倾向</x:v>
      </x:c>
      <x:c r="G344" s="65" t="str">
        <x:v>无可靠大小球盘/只观察｜未取得可交叉核验的总进球主盘与水位，无可靠大小球倾向</x:v>
      </x:c>
      <x:c r="H344" s="65" t="str">
        <x:v>待确认首发、双方近5场/主客拆分与可靠亚洲双盘；任一市场欧赔&lt;1.80/港水&lt;0.80不进；盘口未核验前不进、不加仓</x:v>
      </x:c>
      <x:c r="I344" s="66" t="n">
        <x:v>46220.82152777778</x:v>
      </x:c>
      <x:c r="J344" s="65" t="str">
        <x:v>需复核</x:v>
      </x:c>
      <x:c r="K344" s="65"/>
      <x:c r="L344" s="65"/>
      <x:c r="M344" s="65"/>
      <x:c r="N344" s="549"/>
      <x:c r="O344" s="549"/>
      <x:c r="P344" s="549" t="str">
        <x:f>IF(COUNT(N344:O344)=0,"",SUM(N344:O344))</x:f>
      </x:c>
      <x:c r="Q344" s="65" t="str">
        <x:v>赛程/状态来源｜https://www.365scores.com/football/tomorrows-matches；https://www.livescore.mobi/football/korea-republic/k-league-1/jeju-united-vs-pohang-steelers/1723657/；365Scores赛事ID 4652656；查询时间：2026-07-17 19:43（北京时间）</x:v>
      </x:c>
      <x:c r="R34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5" ht="38" customHeight="1">
      <x:c r="A345" s="65" t="str">
        <x:f>IF(B345="","",TEXT(B345,"yyyy-mm-dd")&amp;"|"&amp;D345&amp;"|"&amp;E345)</x:f>
        <x:v>2026-07-18|仁川联（Incheon United）|全北现代（Jeonbuk Hyundai Motors）</x:v>
      </x:c>
      <x:c r="B345" s="66" t="n">
        <x:v>46221.770833333336</x:v>
      </x:c>
      <x:c r="C345" s="65" t="str">
        <x:v>韩国K联赛1（K League 1）</x:v>
      </x:c>
      <x:c r="D345" s="65" t="str">
        <x:v>仁川联（Incheon United）</x:v>
      </x:c>
      <x:c r="E345" s="65" t="str">
        <x:v>全北现代（Jeonbuk Hyundai Motors）</x:v>
      </x:c>
      <x:c r="F345" s="65" t="str">
        <x:v>无可靠让球盘/只观察｜胜负价格仅弱倾向客队侧，不换算让球盘口</x:v>
      </x:c>
      <x:c r="G345" s="65" t="str">
        <x:v>无可靠大小球盘/只观察｜未取得可交叉核验的总进球主盘与水位，无可靠大小球倾向</x:v>
      </x:c>
      <x:c r="H345" s="65" t="str">
        <x:v>待确认首发、双方近5场/主客拆分与可靠亚洲双盘；任一市场欧赔&lt;1.80/港水&lt;0.80不进；盘口未核验前不进、不加仓</x:v>
      </x:c>
      <x:c r="I345" s="66" t="n">
        <x:v>46220.82152777778</x:v>
      </x:c>
      <x:c r="J345" s="65" t="str">
        <x:v>需复核</x:v>
      </x:c>
      <x:c r="K345" s="65"/>
      <x:c r="L345" s="65"/>
      <x:c r="M345" s="65"/>
      <x:c r="N345" s="549"/>
      <x:c r="O345" s="549"/>
      <x:c r="P345" s="549" t="str">
        <x:f>IF(COUNT(N345:O345)=0,"",SUM(N345:O345))</x:f>
      </x:c>
      <x:c r="Q345" s="65" t="str">
        <x:v>赛程/状态来源｜https://www.365scores.com/football/tomorrows-matches；https://www.livescore.mobi/football/korea-republic/k-league-1/incheon-united-vs-jeonbuk-fc/1723656/；https://tipsterarea.com/match/incheon-united-jeonbuk-hyundai-motors-k-league-1-south-korea-935538；365Scores赛事ID 4652657；查询时间：2026-07-17 19:43（北京时间）</x:v>
      </x:c>
      <x:c r="R34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3.12/3.15/2.27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6" ht="38" customHeight="1">
      <x:c r="A346" s="65" t="str">
        <x:f>IF(B346="","",TEXT(B346,"yyyy-mm-dd")&amp;"|"&amp;D346&amp;"|"&amp;E346)</x:f>
        <x:v>2026-07-18|金浦市民（Gimpo FC）|大邱FC（Daegu FC）</x:v>
      </x:c>
      <x:c r="B346" s="66" t="n">
        <x:v>46221.770833333336</x:v>
      </x:c>
      <x:c r="C346" s="65" t="str">
        <x:v>韩国K2联赛</x:v>
      </x:c>
      <x:c r="D346" s="65" t="str">
        <x:v>金浦市民（Gimpo FC）</x:v>
      </x:c>
      <x:c r="E346" s="65" t="str">
        <x:v>大邱FC（Daegu FC）</x:v>
      </x:c>
      <x:c r="F346" s="65" t="str">
        <x:v>无可靠让球盘/只观察｜胜负价格仅弱倾向客队侧，不换算让球盘口</x:v>
      </x:c>
      <x:c r="G346" s="65" t="str">
        <x:v>无可靠大小球盘/只观察｜未取得可交叉核验的总进球主盘与水位，无可靠大小球倾向</x:v>
      </x:c>
      <x:c r="H346" s="65" t="str">
        <x:v>待确认首发、双方近5场/主客拆分与可靠亚洲双盘；任一市场欧赔&lt;1.80/港水&lt;0.80不进；盘口未核验前不进、不加仓</x:v>
      </x:c>
      <x:c r="I346" s="66" t="n">
        <x:v>46220.82152777778</x:v>
      </x:c>
      <x:c r="J346" s="65" t="str">
        <x:v>需复核</x:v>
      </x:c>
      <x:c r="K346" s="65"/>
      <x:c r="L346" s="65"/>
      <x:c r="M346" s="65"/>
      <x:c r="N346" s="549"/>
      <x:c r="O346" s="549"/>
      <x:c r="P346" s="549" t="str">
        <x:f>IF(COUNT(N346:O346)=0,"",SUM(N346:O346))</x:f>
      </x:c>
      <x:c r="Q346" s="65" t="str">
        <x:v>赛程/状态来源｜https://www.365scores.com/football/tomorrows-matches；https://www.livescore.mobi/football/korea-republic/k-league-2/gimpo-fc-vs-daegu-fc/1729307/；https://tipsterarea.com/match/gimpo-fc-daegu-fc-k-league-2-south-korea-935632；365Scores赛事ID 4657787；查询时间：2026-07-17 19:43（北京时间）</x:v>
      </x:c>
      <x:c r="R34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2.83/3.28/2.20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7" ht="38" customHeight="1">
      <x:c r="A347" s="65" t="str">
        <x:f>IF(B347="","",TEXT(B347,"yyyy-mm-dd")&amp;"|"&amp;D347&amp;"|"&amp;E347)</x:f>
        <x:v>2026-07-18|江原FC（Gangwon FC）|中文名待确认（Gimcheon Sangmu FC）</x:v>
      </x:c>
      <x:c r="B347" s="66" t="n">
        <x:v>46221.770833333336</x:v>
      </x:c>
      <x:c r="C347" s="65" t="str">
        <x:v>韩国K联赛1（K League 1）</x:v>
      </x:c>
      <x:c r="D347" s="65" t="str">
        <x:v>江原FC（Gangwon FC）</x:v>
      </x:c>
      <x:c r="E347" s="65" t="str">
        <x:v>中文名待确认（Gimcheon Sangmu FC）</x:v>
      </x:c>
      <x:c r="F347" s="65" t="str">
        <x:v>无可靠让球盘/只观察｜胜负价格仅弱倾向主队侧，不换算让球盘口</x:v>
      </x:c>
      <x:c r="G347" s="65" t="str">
        <x:v>无可靠大小球盘/只观察｜未取得可交叉核验的总进球主盘与水位，无可靠大小球倾向</x:v>
      </x:c>
      <x:c r="H347" s="65" t="str">
        <x:v>待确认首发、双方近5场/主客拆分与可靠亚洲双盘；任一市场欧赔&lt;1.80/港水&lt;0.80不进；盘口未核验前不进、不加仓</x:v>
      </x:c>
      <x:c r="I347" s="66" t="n">
        <x:v>46220.82152777778</x:v>
      </x:c>
      <x:c r="J347" s="65" t="str">
        <x:v>需复核</x:v>
      </x:c>
      <x:c r="K347" s="65"/>
      <x:c r="L347" s="65"/>
      <x:c r="M347" s="65"/>
      <x:c r="N347" s="549"/>
      <x:c r="O347" s="549"/>
      <x:c r="P347" s="549" t="str">
        <x:f>IF(COUNT(N347:O347)=0,"",SUM(N347:O347))</x:f>
      </x:c>
      <x:c r="Q347" s="65" t="str">
        <x:v>赛程/状态来源｜https://www.365scores.com/football/tomorrows-matches；https://www.livescore.mobi/football/korea-republic/k-league-1/gangwon-fc-vs-gimcheon-sangmu/1723655/；https://tipsterarea.com/match/gangwon-fc-gimcheon-sangmu-k-league-1-south-korea-935537；365Scores赛事ID 4652658；查询时间：2026-07-17 19:43（北京时间）</x:v>
      </x:c>
      <x:c r="R34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1.81/3.43/4.17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8" ht="38" customHeight="1">
      <x:c r="A348" s="65" t="str">
        <x:f>IF(B348="","",TEXT(B348,"yyyy-mm-dd")&amp;"|"&amp;D348&amp;"|"&amp;E348)</x:f>
        <x:v>2026-07-18|中文名待确认（Daejeon Citizen）|蔚山HD（蔚山现代）（Ulsan HD）</x:v>
      </x:c>
      <x:c r="B348" s="66" t="n">
        <x:v>46221.770833333336</x:v>
      </x:c>
      <x:c r="C348" s="65" t="str">
        <x:v>韩国K联赛1（K League 1）</x:v>
      </x:c>
      <x:c r="D348" s="65" t="str">
        <x:v>中文名待确认（Daejeon Citizen）</x:v>
      </x:c>
      <x:c r="E348" s="65" t="str">
        <x:v>蔚山HD（蔚山现代）（Ulsan HD）</x:v>
      </x:c>
      <x:c r="F348" s="65" t="str">
        <x:v>无可靠让球盘/只观察｜胜负价格仅弱倾向主队侧，不换算让球盘口</x:v>
      </x:c>
      <x:c r="G348" s="65" t="str">
        <x:v>无可靠大小球盘/只观察｜未取得可交叉核验的总进球主盘与水位，无可靠大小球倾向</x:v>
      </x:c>
      <x:c r="H348" s="65" t="str">
        <x:v>待确认首发、双方近5场/主客拆分与可靠亚洲双盘；任一市场欧赔&lt;1.80/港水&lt;0.80不进；盘口未核验前不进、不加仓</x:v>
      </x:c>
      <x:c r="I348" s="66" t="n">
        <x:v>46220.82152777778</x:v>
      </x:c>
      <x:c r="J348" s="65" t="str">
        <x:v>需复核</x:v>
      </x:c>
      <x:c r="K348" s="65"/>
      <x:c r="L348" s="65"/>
      <x:c r="M348" s="65"/>
      <x:c r="N348" s="549"/>
      <x:c r="O348" s="549"/>
      <x:c r="P348" s="549" t="str">
        <x:f>IF(COUNT(N348:O348)=0,"",SUM(N348:O348))</x:f>
      </x:c>
      <x:c r="Q348" s="65" t="str">
        <x:v>赛程/状态来源｜https://www.365scores.com/football/tomorrows-matches；https://www.livescore.mobi/football/korea-republic/k-league-1/daejeon-citizen-vs-ulsan-hyundai/1723654/；https://tipsterarea.com/match/daejeon-hana-citizen-ulsan-hd-k-league-1-south-korea-935536；365Scores赛事ID 4652660；查询时间：2026-07-17 19:43（北京时间）</x:v>
      </x:c>
      <x:c r="R34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2.35/3.30/2.82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49" ht="38" customHeight="1">
      <x:c r="A349" s="65" t="str">
        <x:f>IF(B349="","",TEXT(B349,"yyyy-mm-dd")&amp;"|"&amp;D349&amp;"|"&amp;E349)</x:f>
        <x:v>2026-07-18|中文名待确认（FC Thisted）|中文名待确认（Holsterbo）</x:v>
      </x:c>
      <x:c r="B349" s="66" t="n">
        <x:v>46221.75</x:v>
      </x:c>
      <x:c r="C349" s="65" t="str">
        <x:v>国际俱乐部友谊赛</x:v>
      </x:c>
      <x:c r="D349" s="65" t="str">
        <x:v>中文名待确认（FC Thisted）</x:v>
      </x:c>
      <x:c r="E349" s="65" t="str">
        <x:v>中文名待确认（Holsterbo）</x:v>
      </x:c>
      <x:c r="F349" s="65" t="str">
        <x:v>无可靠让球盘/只观察｜现有可审计资料不足以形成可靠让球倾向</x:v>
      </x:c>
      <x:c r="G349" s="65" t="str">
        <x:v>无可靠大小球盘/只观察｜未取得可交叉核验的总进球主盘与水位，无可靠大小球倾向</x:v>
      </x:c>
      <x:c r="H349" s="65" t="str">
        <x:v>待确认首发、双方近5场/主客拆分与可靠亚洲双盘；任一市场欧赔&lt;1.80/港水&lt;0.80不进；盘口未核验前不进、不加仓</x:v>
      </x:c>
      <x:c r="I349" s="66" t="n">
        <x:v>46220.82152777778</x:v>
      </x:c>
      <x:c r="J349" s="65" t="str">
        <x:v>需复核</x:v>
      </x:c>
      <x:c r="K349" s="65"/>
      <x:c r="L349" s="65"/>
      <x:c r="M349" s="65"/>
      <x:c r="N349" s="549"/>
      <x:c r="O349" s="549"/>
      <x:c r="P349" s="549" t="str">
        <x:f>IF(COUNT(N349:O349)=0,"",SUM(N349:O349))</x:f>
      </x:c>
      <x:c r="Q349" s="65" t="str">
        <x:v>赛程/状态来源｜https://www.365scores.com/football/tomorrows-matches；365Scores赛事ID 4770011；查询时间：2026-07-17 19:43（北京时间）</x:v>
      </x:c>
      <x:c r="R34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0" ht="38" customHeight="1">
      <x:c r="A350" s="65" t="str">
        <x:f>IF(B350="","",TEXT(B350,"yyyy-mm-dd")&amp;"|"&amp;D350&amp;"|"&amp;E350)</x:f>
        <x:v>2026-07-18|中文名待确认（SV Ried）|中文名待确认（Mlada Boleslav）</x:v>
      </x:c>
      <x:c r="B350" s="66" t="n">
        <x:v>46221.75</x:v>
      </x:c>
      <x:c r="C350" s="65" t="str">
        <x:v>国际俱乐部友谊赛</x:v>
      </x:c>
      <x:c r="D350" s="65" t="str">
        <x:v>中文名待确认（SV Ried）</x:v>
      </x:c>
      <x:c r="E350" s="65" t="str">
        <x:v>中文名待确认（Mlada Boleslav）</x:v>
      </x:c>
      <x:c r="F350" s="65" t="str">
        <x:v>无可靠让球盘/只观察｜现有可审计资料不足以形成可靠让球倾向</x:v>
      </x:c>
      <x:c r="G350" s="65" t="str">
        <x:v>无可靠大小球盘/只观察｜未取得可交叉核验的总进球主盘与水位，无可靠大小球倾向</x:v>
      </x:c>
      <x:c r="H350" s="65" t="str">
        <x:v>待确认首发、双方近5场/主客拆分与可靠亚洲双盘；任一市场欧赔&lt;1.80/港水&lt;0.80不进；盘口未核验前不进、不加仓</x:v>
      </x:c>
      <x:c r="I350" s="66" t="n">
        <x:v>46220.82152777778</x:v>
      </x:c>
      <x:c r="J350" s="65" t="str">
        <x:v>需复核</x:v>
      </x:c>
      <x:c r="K350" s="65"/>
      <x:c r="L350" s="65"/>
      <x:c r="M350" s="65"/>
      <x:c r="N350" s="549"/>
      <x:c r="O350" s="549"/>
      <x:c r="P350" s="549" t="str">
        <x:f>IF(COUNT(N350:O350)=0,"",SUM(N350:O350))</x:f>
      </x:c>
      <x:c r="Q350" s="65" t="str">
        <x:v>赛程/状态来源｜https://www.livescore.mobi/football/club-friendlies/club-friendlies-2026/sv-ried-vs-mlada-boleslav/1821763/；365Scores赛事ID —；查询时间：2026-07-17 19:43（北京时间）</x:v>
      </x:c>
      <x:c r="R35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1" ht="38" customHeight="1">
      <x:c r="A351" s="65" t="str">
        <x:f>IF(B351="","",TEXT(B351,"yyyy-mm-dd")&amp;"|"&amp;D351&amp;"|"&amp;E351)</x:f>
        <x:v>2026-07-18|中文名待确认（Slask Wroclaw）|中文名待确认（Zlin）</x:v>
      </x:c>
      <x:c r="B351" s="66" t="n">
        <x:v>46221.75</x:v>
      </x:c>
      <x:c r="C351" s="65" t="str">
        <x:v>国际俱乐部友谊赛</x:v>
      </x:c>
      <x:c r="D351" s="65" t="str">
        <x:v>中文名待确认（Slask Wroclaw）</x:v>
      </x:c>
      <x:c r="E351" s="65" t="str">
        <x:v>中文名待确认（Zlin）</x:v>
      </x:c>
      <x:c r="F351" s="65" t="str">
        <x:v>无可靠让球盘/只观察｜现有可审计资料不足以形成可靠让球倾向</x:v>
      </x:c>
      <x:c r="G351" s="65" t="str">
        <x:v>无可靠大小球盘/只观察｜未取得可交叉核验的总进球主盘与水位，无可靠大小球倾向</x:v>
      </x:c>
      <x:c r="H351" s="65" t="str">
        <x:v>待确认首发、双方近5场/主客拆分与可靠亚洲双盘；任一市场欧赔&lt;1.80/港水&lt;0.80不进；盘口未核验前不进、不加仓</x:v>
      </x:c>
      <x:c r="I351" s="66" t="n">
        <x:v>46220.82152777778</x:v>
      </x:c>
      <x:c r="J351" s="65" t="str">
        <x:v>需复核</x:v>
      </x:c>
      <x:c r="K351" s="65"/>
      <x:c r="L351" s="65"/>
      <x:c r="M351" s="65"/>
      <x:c r="N351" s="549"/>
      <x:c r="O351" s="549"/>
      <x:c r="P351" s="549" t="str">
        <x:f>IF(COUNT(N351:O351)=0,"",SUM(N351:O351))</x:f>
      </x:c>
      <x:c r="Q351" s="65" t="str">
        <x:v>赛程/状态来源｜https://www.365scores.com/football/tomorrows-matches；365Scores赛事ID 4767861；查询时间：2026-07-17 19:43（北京时间）</x:v>
      </x:c>
      <x:c r="R35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2" ht="38" customHeight="1">
      <x:c r="A352" s="65" t="str">
        <x:f>IF(B352="","",TEXT(B352,"yyyy-mm-dd")&amp;"|"&amp;D352&amp;"|"&amp;E352)</x:f>
        <x:v>2026-07-18|中文名待确认（Radomiak Radom）|中文名待确认（Pogon Siedlce）</x:v>
      </x:c>
      <x:c r="B352" s="66" t="n">
        <x:v>46221.75</x:v>
      </x:c>
      <x:c r="C352" s="65" t="str">
        <x:v>国际俱乐部友谊赛</x:v>
      </x:c>
      <x:c r="D352" s="65" t="str">
        <x:v>中文名待确认（Radomiak Radom）</x:v>
      </x:c>
      <x:c r="E352" s="65" t="str">
        <x:v>中文名待确认（Pogon Siedlce）</x:v>
      </x:c>
      <x:c r="F352" s="65" t="str">
        <x:v>无可靠让球盘/只观察｜现有可审计资料不足以形成可靠让球倾向</x:v>
      </x:c>
      <x:c r="G352" s="65" t="str">
        <x:v>无可靠大小球盘/只观察｜未取得可交叉核验的总进球主盘与水位，无可靠大小球倾向</x:v>
      </x:c>
      <x:c r="H352" s="65" t="str">
        <x:v>待确认首发、双方近5场/主客拆分与可靠亚洲双盘；任一市场欧赔&lt;1.80/港水&lt;0.80不进；盘口未核验前不进、不加仓</x:v>
      </x:c>
      <x:c r="I352" s="66" t="n">
        <x:v>46220.82152777778</x:v>
      </x:c>
      <x:c r="J352" s="65" t="str">
        <x:v>需复核</x:v>
      </x:c>
      <x:c r="K352" s="65"/>
      <x:c r="L352" s="65"/>
      <x:c r="M352" s="65"/>
      <x:c r="N352" s="549"/>
      <x:c r="O352" s="549"/>
      <x:c r="P352" s="549" t="str">
        <x:f>IF(COUNT(N352:O352)=0,"",SUM(N352:O352))</x:f>
      </x:c>
      <x:c r="Q352" s="65" t="str">
        <x:v>赛程/状态来源｜https://www.365scores.com/football/tomorrows-matches；365Scores赛事ID 4767933；查询时间：2026-07-17 19:43（北京时间）</x:v>
      </x:c>
      <x:c r="R35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3" ht="38" customHeight="1">
      <x:c r="A353" s="65" t="str">
        <x:f>IF(B353="","",TEXT(B353,"yyyy-mm-dd")&amp;"|"&amp;D353&amp;"|"&amp;E353)</x:f>
        <x:v>2026-07-18|中文名待确认（Podbeskidzie）|中文名待确认（Termalica Nieciecza）</x:v>
      </x:c>
      <x:c r="B353" s="66" t="n">
        <x:v>46221.75</x:v>
      </x:c>
      <x:c r="C353" s="65" t="str">
        <x:v>国际俱乐部友谊赛</x:v>
      </x:c>
      <x:c r="D353" s="65" t="str">
        <x:v>中文名待确认（Podbeskidzie）</x:v>
      </x:c>
      <x:c r="E353" s="65" t="str">
        <x:v>中文名待确认（Termalica Nieciecza）</x:v>
      </x:c>
      <x:c r="F353" s="65" t="str">
        <x:v>无可靠让球盘/只观察｜现有可审计资料不足以形成可靠让球倾向</x:v>
      </x:c>
      <x:c r="G353" s="65" t="str">
        <x:v>无可靠大小球盘/只观察｜未取得可交叉核验的总进球主盘与水位，无可靠大小球倾向</x:v>
      </x:c>
      <x:c r="H353" s="65" t="str">
        <x:v>待确认首发、双方近5场/主客拆分与可靠亚洲双盘；任一市场欧赔&lt;1.80/港水&lt;0.80不进；盘口未核验前不进、不加仓</x:v>
      </x:c>
      <x:c r="I353" s="66" t="n">
        <x:v>46220.82152777778</x:v>
      </x:c>
      <x:c r="J353" s="65" t="str">
        <x:v>需复核</x:v>
      </x:c>
      <x:c r="K353" s="65"/>
      <x:c r="L353" s="65"/>
      <x:c r="M353" s="65"/>
      <x:c r="N353" s="549"/>
      <x:c r="O353" s="549"/>
      <x:c r="P353" s="549" t="str">
        <x:f>IF(COUNT(N353:O353)=0,"",SUM(N353:O353))</x:f>
      </x:c>
      <x:c r="Q353" s="65" t="str">
        <x:v>赛程/状态来源｜https://www.365scores.com/football/tomorrows-matches；365Scores赛事ID 4767938；查询时间：2026-07-17 19:43（北京时间）</x:v>
      </x:c>
      <x:c r="R35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4" ht="38" customHeight="1">
      <x:c r="A354" s="65" t="str">
        <x:f>IF(B354="","",TEXT(B354,"yyyy-mm-dd")&amp;"|"&amp;D354&amp;"|"&amp;E354)</x:f>
        <x:v>2026-07-18|中文名待确认（Phönix Lübeck）|中文名待确认（Greifswalder Fc）</x:v>
      </x:c>
      <x:c r="B354" s="66" t="n">
        <x:v>46221.75</x:v>
      </x:c>
      <x:c r="C354" s="65" t="str">
        <x:v>国际俱乐部友谊赛</x:v>
      </x:c>
      <x:c r="D354" s="65" t="str">
        <x:v>中文名待确认（Phönix Lübeck）</x:v>
      </x:c>
      <x:c r="E354" s="65" t="str">
        <x:v>中文名待确认（Greifswalder Fc）</x:v>
      </x:c>
      <x:c r="F354" s="65" t="str">
        <x:v>无可靠让球盘/只观察｜现有可审计资料不足以形成可靠让球倾向</x:v>
      </x:c>
      <x:c r="G354" s="65" t="str">
        <x:v>无可靠大小球盘/只观察｜未取得可交叉核验的总进球主盘与水位，无可靠大小球倾向</x:v>
      </x:c>
      <x:c r="H354" s="65" t="str">
        <x:v>待确认首发、双方近5场/主客拆分与可靠亚洲双盘；任一市场欧赔&lt;1.80/港水&lt;0.80不进；盘口未核验前不进、不加仓</x:v>
      </x:c>
      <x:c r="I354" s="66" t="n">
        <x:v>46220.82152777778</x:v>
      </x:c>
      <x:c r="J354" s="65" t="str">
        <x:v>需复核</x:v>
      </x:c>
      <x:c r="K354" s="65"/>
      <x:c r="L354" s="65"/>
      <x:c r="M354" s="65"/>
      <x:c r="N354" s="67"/>
      <x:c r="O354" s="67"/>
      <x:c r="P354" s="67" t="str">
        <x:f>IF(COUNT(N354:O354)=0,"",SUM(N354:O354))</x:f>
      </x:c>
      <x:c r="Q354" s="65" t="str">
        <x:v>赛程/状态来源｜https://www.365scores.com/football/tomorrows-matches；365Scores赛事ID 4773195；查询时间：2026-07-17 19:43（北京时间）</x:v>
      </x:c>
      <x:c r="R35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5" ht="38" customHeight="1">
      <x:c r="A355" s="65" t="str">
        <x:f>IF(B355="","",TEXT(B355,"yyyy-mm-dd")&amp;"|"&amp;D355&amp;"|"&amp;E355)</x:f>
        <x:v>2026-07-18|中文名待确认（Naesby）|中文名待确认（Skive）</x:v>
      </x:c>
      <x:c r="B355" s="66" t="n">
        <x:v>46221.75</x:v>
      </x:c>
      <x:c r="C355" s="65" t="str">
        <x:v>国际俱乐部友谊赛</x:v>
      </x:c>
      <x:c r="D355" s="65" t="str">
        <x:v>中文名待确认（Naesby）</x:v>
      </x:c>
      <x:c r="E355" s="65" t="str">
        <x:v>中文名待确认（Skive）</x:v>
      </x:c>
      <x:c r="F355" s="65" t="str">
        <x:v>无可靠让球盘/只观察｜现有可审计资料不足以形成可靠让球倾向</x:v>
      </x:c>
      <x:c r="G355" s="65" t="str">
        <x:v>无可靠大小球盘/只观察｜未取得可交叉核验的总进球主盘与水位，无可靠大小球倾向</x:v>
      </x:c>
      <x:c r="H355" s="65" t="str">
        <x:v>待确认首发、双方近5场/主客拆分与可靠亚洲双盘；任一市场欧赔&lt;1.80/港水&lt;0.80不进；盘口未核验前不进、不加仓</x:v>
      </x:c>
      <x:c r="I355" s="66" t="n">
        <x:v>46220.82152777778</x:v>
      </x:c>
      <x:c r="J355" s="65" t="str">
        <x:v>需复核</x:v>
      </x:c>
      <x:c r="K355" s="65"/>
      <x:c r="L355" s="65"/>
      <x:c r="M355" s="65"/>
      <x:c r="N355" s="67"/>
      <x:c r="O355" s="67"/>
      <x:c r="P355" s="67" t="str">
        <x:f>IF(COUNT(N355:O355)=0,"",SUM(N355:O355))</x:f>
      </x:c>
      <x:c r="Q355" s="65" t="str">
        <x:v>赛程/状态来源｜https://www.365scores.com/football/tomorrows-matches；365Scores赛事ID 4776270；查询时间：2026-07-17 19:43（北京时间）</x:v>
      </x:c>
      <x:c r="R35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6" ht="38" customHeight="1">
      <x:c r="A356" s="65" t="str">
        <x:f>IF(B356="","",TEXT(B356,"yyyy-mm-dd")&amp;"|"&amp;D356&amp;"|"&amp;E356)</x:f>
        <x:v>2026-07-18|中文名待确认（Lens）|中文名待确认（Boulogne）</x:v>
      </x:c>
      <x:c r="B356" s="66" t="n">
        <x:v>46221.75</x:v>
      </x:c>
      <x:c r="C356" s="65" t="str">
        <x:v>国际俱乐部友谊赛</x:v>
      </x:c>
      <x:c r="D356" s="65" t="str">
        <x:v>中文名待确认（Lens）</x:v>
      </x:c>
      <x:c r="E356" s="65" t="str">
        <x:v>中文名待确认（Boulogne）</x:v>
      </x:c>
      <x:c r="F356" s="65" t="str">
        <x:v>无可靠让球盘/只观察｜现有可审计资料不足以形成可靠让球倾向</x:v>
      </x:c>
      <x:c r="G356" s="65" t="str">
        <x:v>无可靠大小球盘/只观察｜未取得可交叉核验的总进球主盘与水位，无可靠大小球倾向</x:v>
      </x:c>
      <x:c r="H356" s="65" t="str">
        <x:v>待确认首发、双方近5场/主客拆分与可靠亚洲双盘；任一市场欧赔&lt;1.80/港水&lt;0.80不进；盘口未核验前不进、不加仓</x:v>
      </x:c>
      <x:c r="I356" s="66" t="n">
        <x:v>46220.82152777778</x:v>
      </x:c>
      <x:c r="J356" s="65" t="str">
        <x:v>需复核</x:v>
      </x:c>
      <x:c r="K356" s="65"/>
      <x:c r="L356" s="65"/>
      <x:c r="M356" s="65"/>
      <x:c r="N356" s="67"/>
      <x:c r="O356" s="67"/>
      <x:c r="P356" s="67" t="str">
        <x:f>IF(COUNT(N356:O356)=0,"",SUM(N356:O356))</x:f>
      </x:c>
      <x:c r="Q356" s="65" t="str">
        <x:v>赛程/状态来源｜https://www.365scores.com/football/tomorrows-matches；365Scores赛事ID 4767886；查询时间：2026-07-17 19:43（北京时间）</x:v>
      </x:c>
      <x:c r="R35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7" ht="38" customHeight="1">
      <x:c r="A357" s="65" t="str">
        <x:f>IF(B357="","",TEXT(B357,"yyyy-mm-dd")&amp;"|"&amp;D357&amp;"|"&amp;E357)</x:f>
        <x:v>2026-07-18|中文名待确认（Hik Hellerup）|中文名待确认（Holbaek）</x:v>
      </x:c>
      <x:c r="B357" s="66" t="n">
        <x:v>46221.75</x:v>
      </x:c>
      <x:c r="C357" s="65" t="str">
        <x:v>国际俱乐部友谊赛</x:v>
      </x:c>
      <x:c r="D357" s="65" t="str">
        <x:v>中文名待确认（Hik Hellerup）</x:v>
      </x:c>
      <x:c r="E357" s="65" t="str">
        <x:v>中文名待确认（Holbaek）</x:v>
      </x:c>
      <x:c r="F357" s="65" t="str">
        <x:v>无可靠让球盘/只观察｜现有可审计资料不足以形成可靠让球倾向</x:v>
      </x:c>
      <x:c r="G357" s="65" t="str">
        <x:v>无可靠大小球盘/只观察｜未取得可交叉核验的总进球主盘与水位，无可靠大小球倾向</x:v>
      </x:c>
      <x:c r="H357" s="65" t="str">
        <x:v>待确认首发、双方近5场/主客拆分与可靠亚洲双盘；任一市场欧赔&lt;1.80/港水&lt;0.80不进；盘口未核验前不进、不加仓</x:v>
      </x:c>
      <x:c r="I357" s="66" t="n">
        <x:v>46220.82152777778</x:v>
      </x:c>
      <x:c r="J357" s="65" t="str">
        <x:v>需复核</x:v>
      </x:c>
      <x:c r="K357" s="65"/>
      <x:c r="L357" s="65"/>
      <x:c r="M357" s="65"/>
      <x:c r="N357" s="67"/>
      <x:c r="O357" s="67"/>
      <x:c r="P357" s="67" t="str">
        <x:f>IF(COUNT(N357:O357)=0,"",SUM(N357:O357))</x:f>
      </x:c>
      <x:c r="Q357" s="65" t="str">
        <x:v>赛程/状态来源｜https://www.365scores.com/football/tomorrows-matches；365Scores赛事ID 4767885；查询时间：2026-07-17 19:43（北京时间）</x:v>
      </x:c>
      <x:c r="R35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8" ht="38" customHeight="1">
      <x:c r="A358" s="65" t="str">
        <x:f>IF(B358="","",TEXT(B358,"yyyy-mm-dd")&amp;"|"&amp;D358&amp;"|"&amp;E358)</x:f>
        <x:v>2026-07-18|中文名待确认（Feirense）|阿罗卡（Arouca）</x:v>
      </x:c>
      <x:c r="B358" s="66" t="n">
        <x:v>46221.75</x:v>
      </x:c>
      <x:c r="C358" s="65" t="str">
        <x:v>国际俱乐部友谊赛</x:v>
      </x:c>
      <x:c r="D358" s="65" t="str">
        <x:v>中文名待确认（Feirense）</x:v>
      </x:c>
      <x:c r="E358" s="65" t="str">
        <x:v>阿罗卡（Arouca）</x:v>
      </x:c>
      <x:c r="F358" s="65" t="str">
        <x:v>无可靠让球盘/只观察｜现有可审计资料不足以形成可靠让球倾向</x:v>
      </x:c>
      <x:c r="G358" s="65" t="str">
        <x:v>无可靠大小球盘/只观察｜未取得可交叉核验的总进球主盘与水位，无可靠大小球倾向</x:v>
      </x:c>
      <x:c r="H358" s="65" t="str">
        <x:v>待确认首发、双方近5场/主客拆分与可靠亚洲双盘；任一市场欧赔&lt;1.80/港水&lt;0.80不进；盘口未核验前不进、不加仓</x:v>
      </x:c>
      <x:c r="I358" s="66" t="n">
        <x:v>46220.82152777778</x:v>
      </x:c>
      <x:c r="J358" s="65" t="str">
        <x:v>需复核</x:v>
      </x:c>
      <x:c r="K358" s="65"/>
      <x:c r="L358" s="65"/>
      <x:c r="M358" s="65"/>
      <x:c r="N358" s="67"/>
      <x:c r="O358" s="67"/>
      <x:c r="P358" s="67" t="str">
        <x:f>IF(COUNT(N358:O358)=0,"",SUM(N358:O358))</x:f>
      </x:c>
      <x:c r="Q358" s="65" t="str">
        <x:v>赛程/状态来源｜https://www.livescore.mobi/football/club-friendlies/club-friendlies-2026/feirense-vs-arouca/1825924/；365Scores赛事ID —；查询时间：2026-07-17 19:43（北京时间）</x:v>
      </x:c>
      <x:c r="R35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59" ht="38" customHeight="1">
      <x:c r="A359" s="65" t="str">
        <x:f>IF(B359="","",TEXT(B359,"yyyy-mm-dd")&amp;"|"&amp;D359&amp;"|"&amp;E359)</x:f>
        <x:v>2026-07-18|阿马多拉之星（Estrela da Amadora）|中文名待确认（Casa Pia AC）</x:v>
      </x:c>
      <x:c r="B359" s="66" t="n">
        <x:v>46221.75</x:v>
      </x:c>
      <x:c r="C359" s="65" t="str">
        <x:v>国际俱乐部友谊赛</x:v>
      </x:c>
      <x:c r="D359" s="65" t="str">
        <x:v>阿马多拉之星（Estrela da Amadora）</x:v>
      </x:c>
      <x:c r="E359" s="65" t="str">
        <x:v>中文名待确认（Casa Pia AC）</x:v>
      </x:c>
      <x:c r="F359" s="65" t="str">
        <x:v>无可靠让球盘/只观察｜现有可审计资料不足以形成可靠让球倾向</x:v>
      </x:c>
      <x:c r="G359" s="65" t="str">
        <x:v>无可靠大小球盘/只观察｜未取得可交叉核验的总进球主盘与水位，无可靠大小球倾向</x:v>
      </x:c>
      <x:c r="H359" s="65" t="str">
        <x:v>待确认首发、双方近5场/主客拆分与可靠亚洲双盘；任一市场欧赔&lt;1.80/港水&lt;0.80不进；盘口未核验前不进、不加仓</x:v>
      </x:c>
      <x:c r="I359" s="66" t="n">
        <x:v>46220.82152777778</x:v>
      </x:c>
      <x:c r="J359" s="65" t="str">
        <x:v>需复核</x:v>
      </x:c>
      <x:c r="K359" s="65"/>
      <x:c r="L359" s="65"/>
      <x:c r="M359" s="65"/>
      <x:c r="N359" s="67"/>
      <x:c r="O359" s="67"/>
      <x:c r="P359" s="67" t="str">
        <x:f>IF(COUNT(N359:O359)=0,"",SUM(N359:O359))</x:f>
      </x:c>
      <x:c r="Q359" s="65" t="str">
        <x:v>赛程/状态来源｜https://www.livescore.mobi/football/club-friendlies/club-friendlies-2026/cf-estrela-da-amadora-vs-casa-pia-ac/1825919/；365Scores赛事ID —；查询时间：2026-07-17 19:43（北京时间）</x:v>
      </x:c>
      <x:c r="R35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0" ht="38" customHeight="1">
      <x:c r="A360" s="65" t="str">
        <x:f>IF(B360="","",TEXT(B360,"yyyy-mm-dd")&amp;"|"&amp;D360&amp;"|"&amp;E360)</x:f>
        <x:v>2026-07-18|中文名待确认（Dangjin Citizen）|中文名待确认（Jeonbuk Motors II）</x:v>
      </x:c>
      <x:c r="B360" s="66" t="n">
        <x:v>46221.75</x:v>
      </x:c>
      <x:c r="C360" s="65" t="str">
        <x:v>韩国K3联赛</x:v>
      </x:c>
      <x:c r="D360" s="65" t="str">
        <x:v>中文名待确认（Dangjin Citizen）</x:v>
      </x:c>
      <x:c r="E360" s="65" t="str">
        <x:v>中文名待确认（Jeonbuk Motors II）</x:v>
      </x:c>
      <x:c r="F360" s="65" t="str">
        <x:v>无可靠让球盘/只观察｜现有可审计资料不足以形成可靠让球倾向</x:v>
      </x:c>
      <x:c r="G360" s="65" t="str">
        <x:v>无可靠大小球盘/只观察｜未取得可交叉核验的总进球主盘与水位，无可靠大小球倾向</x:v>
      </x:c>
      <x:c r="H360" s="65" t="str">
        <x:v>待确认首发、双方近5场/主客拆分与可靠亚洲双盘；任一市场欧赔&lt;1.80/港水&lt;0.80不进；盘口未核验前不进、不加仓</x:v>
      </x:c>
      <x:c r="I360" s="66" t="n">
        <x:v>46220.82152777778</x:v>
      </x:c>
      <x:c r="J360" s="65" t="str">
        <x:v>需复核</x:v>
      </x:c>
      <x:c r="K360" s="65"/>
      <x:c r="L360" s="65"/>
      <x:c r="M360" s="65"/>
      <x:c r="N360" s="67"/>
      <x:c r="O360" s="67"/>
      <x:c r="P360" s="67" t="str">
        <x:f>IF(COUNT(N360:O360)=0,"",SUM(N360:O360))</x:f>
      </x:c>
      <x:c r="Q360" s="65" t="str">
        <x:v>赛程/状态来源｜https://www.365scores.com/football/tomorrows-matches；https://www.livescore.mobi/football/korea-republic/k3-league/dangjin-citizen-vs-jeonbuk-hyundai-motors-fc-reserves/1743919/；365Scores赛事ID 4668022；查询时间：2026-07-17 19:43（北京时间）</x:v>
      </x:c>
      <x:c r="R36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1" ht="38" customHeight="1">
      <x:c r="A361" s="65" t="str">
        <x:f>IF(B361="","",TEXT(B361,"yyyy-mm-dd")&amp;"|"&amp;D361&amp;"|"&amp;E361)</x:f>
        <x:v>2026-07-18|博洛尼亚（Bologna）|比勒菲尔德（Arminia Bielefeld）</x:v>
      </x:c>
      <x:c r="B361" s="66" t="n">
        <x:v>46221.75</x:v>
      </x:c>
      <x:c r="C361" s="65" t="str">
        <x:v>国际俱乐部友谊赛</x:v>
      </x:c>
      <x:c r="D361" s="65" t="str">
        <x:v>博洛尼亚（Bologna）</x:v>
      </x:c>
      <x:c r="E361" s="65" t="str">
        <x:v>比勒菲尔德（Arminia Bielefeld）</x:v>
      </x:c>
      <x:c r="F361" s="65" t="str">
        <x:v>无可靠让球盘/只观察｜现有可审计资料不足以形成可靠让球倾向</x:v>
      </x:c>
      <x:c r="G361" s="65" t="str">
        <x:v>无可靠大小球盘/只观察｜未取得可交叉核验的总进球主盘与水位，无可靠大小球倾向</x:v>
      </x:c>
      <x:c r="H361" s="65" t="str">
        <x:v>待确认首发、双方近5场/主客拆分与可靠亚洲双盘；任一市场欧赔&lt;1.80/港水&lt;0.80不进；盘口未核验前不进、不加仓</x:v>
      </x:c>
      <x:c r="I361" s="66" t="n">
        <x:v>46220.82152777778</x:v>
      </x:c>
      <x:c r="J361" s="65" t="str">
        <x:v>需复核</x:v>
      </x:c>
      <x:c r="K361" s="65"/>
      <x:c r="L361" s="65"/>
      <x:c r="M361" s="65"/>
      <x:c r="N361" s="67"/>
      <x:c r="O361" s="67"/>
      <x:c r="P361" s="67" t="str">
        <x:f>IF(COUNT(N361:O361)=0,"",SUM(N361:O361))</x:f>
      </x:c>
      <x:c r="Q361" s="65" t="str">
        <x:v>赛程/状态来源｜https://www.365scores.com/football/tomorrows-matches；365Scores赛事ID 4767888；查询时间：2026-07-17 19:43（北京时间）</x:v>
      </x:c>
      <x:c r="R36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2" ht="38" customHeight="1">
      <x:c r="A362" s="65" t="str">
        <x:f>IF(B362="","",TEXT(B362,"yyyy-mm-dd")&amp;"|"&amp;D362&amp;"|"&amp;E362)</x:f>
        <x:v>2026-07-18|比勒菲尔德（Arminia Bielefeld）|博洛尼亚（Bologna）</x:v>
      </x:c>
      <x:c r="B362" s="66" t="n">
        <x:v>46221.75</x:v>
      </x:c>
      <x:c r="C362" s="65" t="str">
        <x:v>国际俱乐部友谊赛</x:v>
      </x:c>
      <x:c r="D362" s="65" t="str">
        <x:v>比勒菲尔德（Arminia Bielefeld）</x:v>
      </x:c>
      <x:c r="E362" s="65" t="str">
        <x:v>博洛尼亚（Bologna）</x:v>
      </x:c>
      <x:c r="F362" s="65" t="str">
        <x:v>无可靠让球盘/只观察｜现有可审计资料不足以形成可靠让球倾向</x:v>
      </x:c>
      <x:c r="G362" s="65" t="str">
        <x:v>无可靠大小球盘/只观察｜未取得可交叉核验的总进球主盘与水位，无可靠大小球倾向</x:v>
      </x:c>
      <x:c r="H362" s="65" t="str">
        <x:v>待确认首发、双方近5场/主客拆分与可靠亚洲双盘；任一市场欧赔&lt;1.80/港水&lt;0.80不进；盘口未核验前不进、不加仓</x:v>
      </x:c>
      <x:c r="I362" s="66" t="n">
        <x:v>46220.82152777778</x:v>
      </x:c>
      <x:c r="J362" s="65" t="str">
        <x:v>需复核</x:v>
      </x:c>
      <x:c r="K362" s="65"/>
      <x:c r="L362" s="65"/>
      <x:c r="M362" s="65"/>
      <x:c r="N362" s="67"/>
      <x:c r="O362" s="67"/>
      <x:c r="P362" s="67" t="str">
        <x:f>IF(COUNT(N362:O362)=0,"",SUM(N362:O362))</x:f>
      </x:c>
      <x:c r="Q362" s="65" t="str">
        <x:v>赛程/状态来源｜https://www.livescore.mobi/football/club-friendlies/club-friendlies-2026/arminia-bielefeld-vs-bologna/1821997/；365Scores赛事ID —；查询时间：2026-07-17 19:43（北京时间）</x:v>
      </x:c>
      <x:c r="R36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3" ht="38" customHeight="1">
      <x:c r="A363" s="65" t="str">
        <x:f>IF(B363="","",TEXT(B363,"yyyy-mm-dd")&amp;"|"&amp;D363&amp;"|"&amp;E363)</x:f>
        <x:v>2026-07-18|中文名待确认（1. FC Magdeburg II）|中文名待确认（TSV Havelse）</x:v>
      </x:c>
      <x:c r="B363" s="66" t="n">
        <x:v>46221.75</x:v>
      </x:c>
      <x:c r="C363" s="65" t="str">
        <x:v>国际俱乐部友谊赛</x:v>
      </x:c>
      <x:c r="D363" s="65" t="str">
        <x:v>中文名待确认（1. FC Magdeburg II）</x:v>
      </x:c>
      <x:c r="E363" s="65" t="str">
        <x:v>中文名待确认（TSV Havelse）</x:v>
      </x:c>
      <x:c r="F363" s="65" t="str">
        <x:v>无可靠让球盘/只观察｜现有可审计资料不足以形成可靠让球倾向</x:v>
      </x:c>
      <x:c r="G363" s="65" t="str">
        <x:v>无可靠大小球盘/只观察｜未取得可交叉核验的总进球主盘与水位，无可靠大小球倾向</x:v>
      </x:c>
      <x:c r="H363" s="65" t="str">
        <x:v>待确认首发、双方近5场/主客拆分与可靠亚洲双盘；任一市场欧赔&lt;1.80/港水&lt;0.80不进；盘口未核验前不进、不加仓</x:v>
      </x:c>
      <x:c r="I363" s="66" t="n">
        <x:v>46220.82152777778</x:v>
      </x:c>
      <x:c r="J363" s="65" t="str">
        <x:v>需复核</x:v>
      </x:c>
      <x:c r="K363" s="65"/>
      <x:c r="L363" s="65"/>
      <x:c r="M363" s="65"/>
      <x:c r="N363" s="67"/>
      <x:c r="O363" s="67"/>
      <x:c r="P363" s="67" t="str">
        <x:f>IF(COUNT(N363:O363)=0,"",SUM(N363:O363))</x:f>
      </x:c>
      <x:c r="Q363" s="65" t="str">
        <x:v>赛程/状态来源｜https://www.365scores.com/football/tomorrows-matches；365Scores赛事ID 4767887；查询时间：2026-07-17 19:43（北京时间）</x:v>
      </x:c>
      <x:c r="R36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4" ht="38" customHeight="1">
      <x:c r="A364" s="65" t="str">
        <x:f>IF(B364="","",TEXT(B364,"yyyy-mm-dd")&amp;"|"&amp;D364&amp;"|"&amp;E364)</x:f>
        <x:v>2026-07-18|中文名待确认（Vizela）|中文名待确认（Chaves）</x:v>
      </x:c>
      <x:c r="B364" s="66" t="n">
        <x:v>46221.729166666664</x:v>
      </x:c>
      <x:c r="C364" s="65" t="str">
        <x:v>国际俱乐部友谊赛</x:v>
      </x:c>
      <x:c r="D364" s="65" t="str">
        <x:v>中文名待确认（Vizela）</x:v>
      </x:c>
      <x:c r="E364" s="65" t="str">
        <x:v>中文名待确认（Chaves）</x:v>
      </x:c>
      <x:c r="F364" s="65" t="str">
        <x:v>无可靠让球盘/只观察｜现有可审计资料不足以形成可靠让球倾向</x:v>
      </x:c>
      <x:c r="G364" s="65" t="str">
        <x:v>无可靠大小球盘/只观察｜未取得可交叉核验的总进球主盘与水位，无可靠大小球倾向</x:v>
      </x:c>
      <x:c r="H364" s="65" t="str">
        <x:v>待确认首发、双方近5场/主客拆分与可靠亚洲双盘；任一市场欧赔&lt;1.80/港水&lt;0.80不进；盘口未核验前不进、不加仓</x:v>
      </x:c>
      <x:c r="I364" s="66" t="n">
        <x:v>46220.82152777778</x:v>
      </x:c>
      <x:c r="J364" s="65" t="str">
        <x:v>需复核</x:v>
      </x:c>
      <x:c r="K364" s="65"/>
      <x:c r="L364" s="65"/>
      <x:c r="M364" s="65"/>
      <x:c r="N364" s="67"/>
      <x:c r="O364" s="67"/>
      <x:c r="P364" s="67" t="str">
        <x:f>IF(COUNT(N364:O364)=0,"",SUM(N364:O364))</x:f>
      </x:c>
      <x:c r="Q364" s="65" t="str">
        <x:v>赛程/状态来源｜https://www.365scores.com/football/tomorrows-matches；365Scores赛事ID 4767891；查询时间：2026-07-17 19:43（北京时间）</x:v>
      </x:c>
      <x:c r="R36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5" ht="38" customHeight="1">
      <x:c r="A365" s="65" t="str">
        <x:f>IF(B365="","",TEXT(B365,"yyyy-mm-dd")&amp;"|"&amp;D365&amp;"|"&amp;E365)</x:f>
        <x:v>2026-07-18|中文名待确认（SV Kirchanschoering）|中文名待确认（SpVgg Landshut）</x:v>
      </x:c>
      <x:c r="B365" s="66" t="n">
        <x:v>46221.729166666664</x:v>
      </x:c>
      <x:c r="C365" s="65" t="str">
        <x:v>德国巴伐利亚高级联赛南区</x:v>
      </x:c>
      <x:c r="D365" s="65" t="str">
        <x:v>中文名待确认（SV Kirchanschoering）</x:v>
      </x:c>
      <x:c r="E365" s="65" t="str">
        <x:v>中文名待确认（SpVgg Landshut）</x:v>
      </x:c>
      <x:c r="F365" s="65" t="str">
        <x:v>无可靠让球盘/只观察｜现有可审计资料不足以形成可靠让球倾向</x:v>
      </x:c>
      <x:c r="G365" s="65" t="str">
        <x:v>无可靠大小球盘/只观察｜未取得可交叉核验的总进球主盘与水位，无可靠大小球倾向</x:v>
      </x:c>
      <x:c r="H365" s="65" t="str">
        <x:v>待确认首发、双方近5场/主客拆分与可靠亚洲双盘；任一市场欧赔&lt;1.80/港水&lt;0.80不进；盘口未核验前不进、不加仓</x:v>
      </x:c>
      <x:c r="I365" s="66" t="n">
        <x:v>46220.82152777778</x:v>
      </x:c>
      <x:c r="J365" s="65" t="str">
        <x:v>需复核</x:v>
      </x:c>
      <x:c r="K365" s="65"/>
      <x:c r="L365" s="65"/>
      <x:c r="M365" s="65"/>
      <x:c r="N365" s="67"/>
      <x:c r="O365" s="67"/>
      <x:c r="P365" s="67" t="str">
        <x:f>IF(COUNT(N365:O365)=0,"",SUM(N365:O365))</x:f>
      </x:c>
      <x:c r="Q365" s="65" t="str">
        <x:v>赛程/状态来源｜https://www.livescore.mobi/football/germany/oberliga-bayern-south/sv-kirchanschoering-vs-spvgg-landshut/1827854/；365Scores赛事ID —；查询时间：2026-07-17 19:43（北京时间）</x:v>
      </x:c>
      <x:c r="R36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6" ht="38" customHeight="1">
      <x:c r="A366" s="65" t="str">
        <x:f>IF(B366="","",TEXT(B366,"yyyy-mm-dd")&amp;"|"&amp;D366&amp;"|"&amp;E366)</x:f>
        <x:v>2026-07-18|中文名待确认（Nacional Madeira）|中文名待确认（Leixões）</x:v>
      </x:c>
      <x:c r="B366" s="66" t="n">
        <x:v>46221.729166666664</x:v>
      </x:c>
      <x:c r="C366" s="65" t="str">
        <x:v>国际俱乐部友谊赛</x:v>
      </x:c>
      <x:c r="D366" s="65" t="str">
        <x:v>中文名待确认（Nacional Madeira）</x:v>
      </x:c>
      <x:c r="E366" s="65" t="str">
        <x:v>中文名待确认（Leixões）</x:v>
      </x:c>
      <x:c r="F366" s="65" t="str">
        <x:v>无可靠让球盘/只观察｜现有可审计资料不足以形成可靠让球倾向</x:v>
      </x:c>
      <x:c r="G366" s="65" t="str">
        <x:v>无可靠大小球盘/只观察｜未取得可交叉核验的总进球主盘与水位，无可靠大小球倾向</x:v>
      </x:c>
      <x:c r="H366" s="65" t="str">
        <x:v>待确认首发、双方近5场/主客拆分与可靠亚洲双盘；任一市场欧赔&lt;1.80/港水&lt;0.80不进；盘口未核验前不进、不加仓</x:v>
      </x:c>
      <x:c r="I366" s="66" t="n">
        <x:v>46220.82152777778</x:v>
      </x:c>
      <x:c r="J366" s="65" t="str">
        <x:v>需复核</x:v>
      </x:c>
      <x:c r="K366" s="65"/>
      <x:c r="L366" s="65"/>
      <x:c r="M366" s="65"/>
      <x:c r="N366" s="67"/>
      <x:c r="O366" s="67"/>
      <x:c r="P366" s="67" t="str">
        <x:f>IF(COUNT(N366:O366)=0,"",SUM(N366:O366))</x:f>
      </x:c>
      <x:c r="Q366" s="65" t="str">
        <x:v>赛程/状态来源｜https://www.365scores.com/football/tomorrows-matches；https://www.livescore.mobi/football/club-friendlies/club-friendlies-2026/nacional-vs-leixoes/1836528/；365Scores赛事ID 4767892；查询时间：2026-07-17 19:43（北京时间）</x:v>
      </x:c>
      <x:c r="R36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7" ht="38" customHeight="1">
      <x:c r="A367" s="65" t="str">
        <x:f>IF(B367="","",TEXT(B367,"yyyy-mm-dd")&amp;"|"&amp;D367&amp;"|"&amp;E367)</x:f>
        <x:v>2026-07-18|中文名待确认（Moreirense）|中文名待确认（AVS）</x:v>
      </x:c>
      <x:c r="B367" s="66" t="n">
        <x:v>46221.729166666664</x:v>
      </x:c>
      <x:c r="C367" s="65" t="str">
        <x:v>国际俱乐部友谊赛</x:v>
      </x:c>
      <x:c r="D367" s="65" t="str">
        <x:v>中文名待确认（Moreirense）</x:v>
      </x:c>
      <x:c r="E367" s="65" t="str">
        <x:v>中文名待确认（AVS）</x:v>
      </x:c>
      <x:c r="F367" s="65" t="str">
        <x:v>无可靠让球盘/只观察｜现有可审计资料不足以形成可靠让球倾向</x:v>
      </x:c>
      <x:c r="G367" s="65" t="str">
        <x:v>无可靠大小球盘/只观察｜未取得可交叉核验的总进球主盘与水位，无可靠大小球倾向</x:v>
      </x:c>
      <x:c r="H367" s="65" t="str">
        <x:v>待确认首发、双方近5场/主客拆分与可靠亚洲双盘；任一市场欧赔&lt;1.80/港水&lt;0.80不进；盘口未核验前不进、不加仓</x:v>
      </x:c>
      <x:c r="I367" s="66" t="n">
        <x:v>46220.82152777778</x:v>
      </x:c>
      <x:c r="J367" s="65" t="str">
        <x:v>需复核</x:v>
      </x:c>
      <x:c r="K367" s="65"/>
      <x:c r="L367" s="65"/>
      <x:c r="M367" s="65"/>
      <x:c r="N367" s="67"/>
      <x:c r="O367" s="67"/>
      <x:c r="P367" s="67" t="str">
        <x:f>IF(COUNT(N367:O367)=0,"",SUM(N367:O367))</x:f>
      </x:c>
      <x:c r="Q367" s="65" t="str">
        <x:v>赛程/状态来源｜https://www.365scores.com/football/tomorrows-matches；365Scores赛事ID 4767893；查询时间：2026-07-17 19:43（北京时间）</x:v>
      </x:c>
      <x:c r="R36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8" ht="38" customHeight="1">
      <x:c r="A368" s="65" t="str">
        <x:f>IF(B368="","",TEXT(B368,"yyyy-mm-dd")&amp;"|"&amp;D368&amp;"|"&amp;E368)</x:f>
        <x:v>2026-07-18|中文名待确认（Lechia Gdansk）|中文名待确认（Randers FC）</x:v>
      </x:c>
      <x:c r="B368" s="66" t="n">
        <x:v>46221.729166666664</x:v>
      </x:c>
      <x:c r="C368" s="65" t="str">
        <x:v>国际俱乐部友谊赛</x:v>
      </x:c>
      <x:c r="D368" s="65" t="str">
        <x:v>中文名待确认（Lechia Gdansk）</x:v>
      </x:c>
      <x:c r="E368" s="65" t="str">
        <x:v>中文名待确认（Randers FC）</x:v>
      </x:c>
      <x:c r="F368" s="65" t="str">
        <x:v>无可靠让球盘/只观察｜现有可审计资料不足以形成可靠让球倾向</x:v>
      </x:c>
      <x:c r="G368" s="65" t="str">
        <x:v>无可靠大小球盘/只观察｜未取得可交叉核验的总进球主盘与水位，无可靠大小球倾向</x:v>
      </x:c>
      <x:c r="H368" s="65" t="str">
        <x:v>待确认首发、双方近5场/主客拆分与可靠亚洲双盘；任一市场欧赔&lt;1.80/港水&lt;0.80不进；盘口未核验前不进、不加仓</x:v>
      </x:c>
      <x:c r="I368" s="66" t="n">
        <x:v>46220.82152777778</x:v>
      </x:c>
      <x:c r="J368" s="65" t="str">
        <x:v>需复核</x:v>
      </x:c>
      <x:c r="K368" s="65"/>
      <x:c r="L368" s="65"/>
      <x:c r="M368" s="65"/>
      <x:c r="N368" s="67"/>
      <x:c r="O368" s="67"/>
      <x:c r="P368" s="67" t="str">
        <x:f>IF(COUNT(N368:O368)=0,"",SUM(N368:O368))</x:f>
      </x:c>
      <x:c r="Q368" s="65" t="str">
        <x:v>赛程/状态来源｜https://www.365scores.com/football/tomorrows-matches；https://www.livescore.mobi/football/club-friendlies/club-friendlies-2026/lechia-gdansk-vs-randers-fc/1836529/；365Scores赛事ID 4773571；查询时间：2026-07-17 19:43（北京时间）</x:v>
      </x:c>
      <x:c r="R36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69" ht="38" customHeight="1">
      <x:c r="A369" s="65" t="str">
        <x:f>IF(B369="","",TEXT(B369,"yyyy-mm-dd")&amp;"|"&amp;D369&amp;"|"&amp;E369)</x:f>
        <x:v>2026-07-18|中文名待确认（KVC Westerlo）|中文名待确认（K. Beerschot V.A.）</x:v>
      </x:c>
      <x:c r="B369" s="66" t="n">
        <x:v>46221.729166666664</x:v>
      </x:c>
      <x:c r="C369" s="65" t="str">
        <x:v>国际俱乐部友谊赛</x:v>
      </x:c>
      <x:c r="D369" s="65" t="str">
        <x:v>中文名待确认（KVC Westerlo）</x:v>
      </x:c>
      <x:c r="E369" s="65" t="str">
        <x:v>中文名待确认（K. Beerschot V.A.）</x:v>
      </x:c>
      <x:c r="F369" s="65" t="str">
        <x:v>无可靠让球盘/只观察｜现有可审计资料不足以形成可靠让球倾向</x:v>
      </x:c>
      <x:c r="G369" s="65" t="str">
        <x:v>无可靠大小球盘/只观察｜未取得可交叉核验的总进球主盘与水位，无可靠大小球倾向</x:v>
      </x:c>
      <x:c r="H369" s="65" t="str">
        <x:v>待确认首发、双方近5场/主客拆分与可靠亚洲双盘；任一市场欧赔&lt;1.80/港水&lt;0.80不进；盘口未核验前不进、不加仓</x:v>
      </x:c>
      <x:c r="I369" s="66" t="n">
        <x:v>46220.82152777778</x:v>
      </x:c>
      <x:c r="J369" s="65" t="str">
        <x:v>需复核</x:v>
      </x:c>
      <x:c r="K369" s="65"/>
      <x:c r="L369" s="65"/>
      <x:c r="M369" s="65"/>
      <x:c r="N369" s="67"/>
      <x:c r="O369" s="67"/>
      <x:c r="P369" s="67" t="str">
        <x:f>IF(COUNT(N369:O369)=0,"",SUM(N369:O369))</x:f>
      </x:c>
      <x:c r="Q369" s="65" t="str">
        <x:v>赛程/状态来源｜https://www.365scores.com/football/tomorrows-matches；https://www.livescore.mobi/football/club-friendlies/club-friendlies-2026/westerlo-vs-beerschot/1822430/；365Scores赛事ID 4767895；查询时间：2026-07-17 19:43（北京时间）</x:v>
      </x:c>
      <x:c r="R36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0" ht="38" customHeight="1">
      <x:c r="A370" s="65" t="str">
        <x:f>IF(B370="","",TEXT(B370,"yyyy-mm-dd")&amp;"|"&amp;D370&amp;"|"&amp;E370)</x:f>
        <x:v>2026-07-18|中文名待确认（Dunkerque）|中文名待确认（Standard de Liège）</x:v>
      </x:c>
      <x:c r="B370" s="66" t="n">
        <x:v>46221.729166666664</x:v>
      </x:c>
      <x:c r="C370" s="65" t="str">
        <x:v>国际俱乐部友谊赛</x:v>
      </x:c>
      <x:c r="D370" s="65" t="str">
        <x:v>中文名待确认（Dunkerque）</x:v>
      </x:c>
      <x:c r="E370" s="65" t="str">
        <x:v>中文名待确认（Standard de Liège）</x:v>
      </x:c>
      <x:c r="F370" s="65" t="str">
        <x:v>无可靠让球盘/只观察｜现有可审计资料不足以形成可靠让球倾向</x:v>
      </x:c>
      <x:c r="G370" s="65" t="str">
        <x:v>无可靠大小球盘/只观察｜未取得可交叉核验的总进球主盘与水位，无可靠大小球倾向</x:v>
      </x:c>
      <x:c r="H370" s="65" t="str">
        <x:v>待确认首发、双方近5场/主客拆分与可靠亚洲双盘；任一市场欧赔&lt;1.80/港水&lt;0.80不进；盘口未核验前不进、不加仓</x:v>
      </x:c>
      <x:c r="I370" s="66" t="n">
        <x:v>46220.82152777778</x:v>
      </x:c>
      <x:c r="J370" s="65" t="str">
        <x:v>需复核</x:v>
      </x:c>
      <x:c r="K370" s="65"/>
      <x:c r="L370" s="65"/>
      <x:c r="M370" s="65"/>
      <x:c r="N370" s="67"/>
      <x:c r="O370" s="67"/>
      <x:c r="P370" s="67" t="str">
        <x:f>IF(COUNT(N370:O370)=0,"",SUM(N370:O370))</x:f>
      </x:c>
      <x:c r="Q370" s="65" t="str">
        <x:v>赛程/状态来源｜https://www.365scores.com/football/tomorrows-matches；https://www.livescore.mobi/football/club-friendlies/club-friendlies-2026/dunkerque-vs-standard-liege/1836526/；365Scores赛事ID 4767890；查询时间：2026-07-17 19:43（北京时间）</x:v>
      </x:c>
      <x:c r="R37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1" ht="38" customHeight="1">
      <x:c r="A371" s="65" t="str">
        <x:f>IF(B371="","",TEXT(B371,"yyyy-mm-dd")&amp;"|"&amp;D371&amp;"|"&amp;E371)</x:f>
        <x:v>2026-07-18|中文名待确认（Benfica B）|中文名待确认（Torreense）</x:v>
      </x:c>
      <x:c r="B371" s="66" t="n">
        <x:v>46221.729166666664</x:v>
      </x:c>
      <x:c r="C371" s="65" t="str">
        <x:v>国际俱乐部友谊赛</x:v>
      </x:c>
      <x:c r="D371" s="65" t="str">
        <x:v>中文名待确认（Benfica B）</x:v>
      </x:c>
      <x:c r="E371" s="65" t="str">
        <x:v>中文名待确认（Torreense）</x:v>
      </x:c>
      <x:c r="F371" s="65" t="str">
        <x:v>无可靠让球盘/只观察｜现有可审计资料不足以形成可靠让球倾向</x:v>
      </x:c>
      <x:c r="G371" s="65" t="str">
        <x:v>无可靠大小球盘/只观察｜未取得可交叉核验的总进球主盘与水位，无可靠大小球倾向</x:v>
      </x:c>
      <x:c r="H371" s="65" t="str">
        <x:v>待确认首发、双方近5场/主客拆分与可靠亚洲双盘；任一市场欧赔&lt;1.80/港水&lt;0.80不进；盘口未核验前不进、不加仓</x:v>
      </x:c>
      <x:c r="I371" s="66" t="n">
        <x:v>46220.82152777778</x:v>
      </x:c>
      <x:c r="J371" s="65" t="str">
        <x:v>需复核</x:v>
      </x:c>
      <x:c r="K371" s="65"/>
      <x:c r="L371" s="65"/>
      <x:c r="M371" s="65"/>
      <x:c r="N371" s="67"/>
      <x:c r="O371" s="67"/>
      <x:c r="P371" s="67" t="str">
        <x:f>IF(COUNT(N371:O371)=0,"",SUM(N371:O371))</x:f>
      </x:c>
      <x:c r="Q371" s="65" t="str">
        <x:v>赛程/状态来源｜https://www.365scores.com/football/tomorrows-matches；365Scores赛事ID 4767894；查询时间：2026-07-17 19:43（北京时间）</x:v>
      </x:c>
      <x:c r="R37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2" ht="38" customHeight="1">
      <x:c r="A372" s="65" t="str">
        <x:f>IF(B372="","",TEXT(B372,"yyyy-mm-dd")&amp;"|"&amp;D372&amp;"|"&amp;E372)</x:f>
        <x:v>2026-07-18|中文名待确认（Wisla Krakow）|中文名待确认（Artis Brno）</x:v>
      </x:c>
      <x:c r="B372" s="66" t="n">
        <x:v>46221.708333333336</x:v>
      </x:c>
      <x:c r="C372" s="65" t="str">
        <x:v>国际俱乐部友谊赛</x:v>
      </x:c>
      <x:c r="D372" s="65" t="str">
        <x:v>中文名待确认（Wisla Krakow）</x:v>
      </x:c>
      <x:c r="E372" s="65" t="str">
        <x:v>中文名待确认（Artis Brno）</x:v>
      </x:c>
      <x:c r="F372" s="65" t="str">
        <x:v>无可靠让球盘/只观察｜现有可审计资料不足以形成可靠让球倾向</x:v>
      </x:c>
      <x:c r="G372" s="65" t="str">
        <x:v>无可靠大小球盘/只观察｜未取得可交叉核验的总进球主盘与水位，无可靠大小球倾向</x:v>
      </x:c>
      <x:c r="H372" s="65" t="str">
        <x:v>待确认首发、双方近5场/主客拆分与可靠亚洲双盘；任一市场欧赔&lt;1.80/港水&lt;0.80不进；盘口未核验前不进、不加仓</x:v>
      </x:c>
      <x:c r="I372" s="66" t="n">
        <x:v>46220.82152777778</x:v>
      </x:c>
      <x:c r="J372" s="65" t="str">
        <x:v>需复核</x:v>
      </x:c>
      <x:c r="K372" s="65"/>
      <x:c r="L372" s="65"/>
      <x:c r="M372" s="65"/>
      <x:c r="N372" s="67"/>
      <x:c r="O372" s="67"/>
      <x:c r="P372" s="67" t="str">
        <x:f>IF(COUNT(N372:O372)=0,"",SUM(N372:O372))</x:f>
      </x:c>
      <x:c r="Q372" s="65" t="str">
        <x:v>赛程/状态来源｜https://www.365scores.com/football/tomorrows-matches；365Scores赛事ID 4767884；查询时间：2026-07-17 19:43（北京时间）</x:v>
      </x:c>
      <x:c r="R37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3" ht="38" customHeight="1">
      <x:c r="A373" s="65" t="str">
        <x:f>IF(B373="","",TEXT(B373,"yyyy-mm-dd")&amp;"|"&amp;D373&amp;"|"&amp;E373)</x:f>
        <x:v>2026-07-18|中文名待确认（SV Wörgl）|中文名待确认（Kufstein）</x:v>
      </x:c>
      <x:c r="B373" s="66" t="n">
        <x:v>46221.708333333336</x:v>
      </x:c>
      <x:c r="C373" s="65" t="str">
        <x:v>国际俱乐部友谊赛</x:v>
      </x:c>
      <x:c r="D373" s="65" t="str">
        <x:v>中文名待确认（SV Wörgl）</x:v>
      </x:c>
      <x:c r="E373" s="65" t="str">
        <x:v>中文名待确认（Kufstein）</x:v>
      </x:c>
      <x:c r="F373" s="65" t="str">
        <x:v>无可靠让球盘/只观察｜现有可审计资料不足以形成可靠让球倾向</x:v>
      </x:c>
      <x:c r="G373" s="65" t="str">
        <x:v>无可靠大小球盘/只观察｜未取得可交叉核验的总进球主盘与水位，无可靠大小球倾向</x:v>
      </x:c>
      <x:c r="H373" s="65" t="str">
        <x:v>待确认首发、双方近5场/主客拆分与可靠亚洲双盘；任一市场欧赔&lt;1.80/港水&lt;0.80不进；盘口未核验前不进、不加仓</x:v>
      </x:c>
      <x:c r="I373" s="66" t="n">
        <x:v>46220.82152777778</x:v>
      </x:c>
      <x:c r="J373" s="65" t="str">
        <x:v>需复核</x:v>
      </x:c>
      <x:c r="K373" s="65"/>
      <x:c r="L373" s="65"/>
      <x:c r="M373" s="65"/>
      <x:c r="N373" s="67"/>
      <x:c r="O373" s="67"/>
      <x:c r="P373" s="67" t="str">
        <x:f>IF(COUNT(N373:O373)=0,"",SUM(N373:O373))</x:f>
      </x:c>
      <x:c r="Q373" s="65" t="str">
        <x:v>赛程/状态来源｜https://www.365scores.com/football/tomorrows-matches；365Scores赛事ID 4776273；查询时间：2026-07-17 19:43（北京时间）</x:v>
      </x:c>
      <x:c r="R37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4" ht="38" customHeight="1">
      <x:c r="A374" s="65" t="str">
        <x:f>IF(B374="","",TEXT(B374,"yyyy-mm-dd")&amp;"|"&amp;D374&amp;"|"&amp;E374)</x:f>
        <x:v>2026-07-18|中文名待确认（Skierniewice）|中文名待确认（Legia Ii Warszawa）</x:v>
      </x:c>
      <x:c r="B374" s="66" t="n">
        <x:v>46221.708333333336</x:v>
      </x:c>
      <x:c r="C374" s="65" t="str">
        <x:v>国际俱乐部友谊赛</x:v>
      </x:c>
      <x:c r="D374" s="65" t="str">
        <x:v>中文名待确认（Skierniewice）</x:v>
      </x:c>
      <x:c r="E374" s="65" t="str">
        <x:v>中文名待确认（Legia Ii Warszawa）</x:v>
      </x:c>
      <x:c r="F374" s="65" t="str">
        <x:v>无可靠让球盘/只观察｜现有可审计资料不足以形成可靠让球倾向</x:v>
      </x:c>
      <x:c r="G374" s="65" t="str">
        <x:v>无可靠大小球盘/只观察｜未取得可交叉核验的总进球主盘与水位，无可靠大小球倾向</x:v>
      </x:c>
      <x:c r="H374" s="65" t="str">
        <x:v>待确认首发、双方近5场/主客拆分与可靠亚洲双盘；任一市场欧赔&lt;1.80/港水&lt;0.80不进；盘口未核验前不进、不加仓</x:v>
      </x:c>
      <x:c r="I374" s="66" t="n">
        <x:v>46220.82152777778</x:v>
      </x:c>
      <x:c r="J374" s="65" t="str">
        <x:v>需复核</x:v>
      </x:c>
      <x:c r="K374" s="65"/>
      <x:c r="L374" s="65"/>
      <x:c r="M374" s="65"/>
      <x:c r="N374" s="67"/>
      <x:c r="O374" s="67"/>
      <x:c r="P374" s="67" t="str">
        <x:f>IF(COUNT(N374:O374)=0,"",SUM(N374:O374))</x:f>
      </x:c>
      <x:c r="Q374" s="65" t="str">
        <x:v>赛程/状态来源｜https://www.365scores.com/football/tomorrows-matches；365Scores赛事ID 4773572；查询时间：2026-07-17 19:43（北京时间）</x:v>
      </x:c>
      <x:c r="R37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5" ht="38" customHeight="1">
      <x:c r="A375" s="65" t="str">
        <x:f>IF(B375="","",TEXT(B375,"yyyy-mm-dd")&amp;"|"&amp;D375&amp;"|"&amp;E375)</x:f>
        <x:v>2026-07-18|圣克拉拉（Santa Clara）|中文名待确认（Paredes）</x:v>
      </x:c>
      <x:c r="B375" s="66" t="n">
        <x:v>46221.708333333336</x:v>
      </x:c>
      <x:c r="C375" s="65" t="str">
        <x:v>国际俱乐部友谊赛</x:v>
      </x:c>
      <x:c r="D375" s="65" t="str">
        <x:v>圣克拉拉（Santa Clara）</x:v>
      </x:c>
      <x:c r="E375" s="65" t="str">
        <x:v>中文名待确认（Paredes）</x:v>
      </x:c>
      <x:c r="F375" s="65" t="str">
        <x:v>无可靠让球盘/只观察｜现有可审计资料不足以形成可靠让球倾向</x:v>
      </x:c>
      <x:c r="G375" s="65" t="str">
        <x:v>无可靠大小球盘/只观察｜未取得可交叉核验的总进球主盘与水位，无可靠大小球倾向</x:v>
      </x:c>
      <x:c r="H375" s="65" t="str">
        <x:v>待确认首发、双方近5场/主客拆分与可靠亚洲双盘；任一市场欧赔&lt;1.80/港水&lt;0.80不进；盘口未核验前不进、不加仓</x:v>
      </x:c>
      <x:c r="I375" s="66" t="n">
        <x:v>46220.82152777778</x:v>
      </x:c>
      <x:c r="J375" s="65" t="str">
        <x:v>需复核</x:v>
      </x:c>
      <x:c r="K375" s="65"/>
      <x:c r="L375" s="65"/>
      <x:c r="M375" s="65"/>
      <x:c r="N375" s="67"/>
      <x:c r="O375" s="67"/>
      <x:c r="P375" s="67" t="str">
        <x:f>IF(COUNT(N375:O375)=0,"",SUM(N375:O375))</x:f>
      </x:c>
      <x:c r="Q375" s="65" t="str">
        <x:v>赛程/状态来源｜https://www.365scores.com/football/tomorrows-matches；365Scores赛事ID 4767906；查询时间：2026-07-17 19:43（北京时间）</x:v>
      </x:c>
      <x:c r="R37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6" ht="38" customHeight="1">
      <x:c r="A376" s="65" t="str">
        <x:f>IF(B376="","",TEXT(B376,"yyyy-mm-dd")&amp;"|"&amp;D376&amp;"|"&amp;E376)</x:f>
        <x:v>2026-07-18|中文名待确认（Sanjoanense）|中文名待确认（AD Fafe）</x:v>
      </x:c>
      <x:c r="B376" s="66" t="n">
        <x:v>46221.708333333336</x:v>
      </x:c>
      <x:c r="C376" s="65" t="str">
        <x:v>国际俱乐部友谊赛</x:v>
      </x:c>
      <x:c r="D376" s="65" t="str">
        <x:v>中文名待确认（Sanjoanense）</x:v>
      </x:c>
      <x:c r="E376" s="65" t="str">
        <x:v>中文名待确认（AD Fafe）</x:v>
      </x:c>
      <x:c r="F376" s="65" t="str">
        <x:v>无可靠让球盘/只观察｜现有可审计资料不足以形成可靠让球倾向</x:v>
      </x:c>
      <x:c r="G376" s="65" t="str">
        <x:v>无可靠大小球盘/只观察｜未取得可交叉核验的总进球主盘与水位，无可靠大小球倾向</x:v>
      </x:c>
      <x:c r="H376" s="65" t="str">
        <x:v>待确认首发、双方近5场/主客拆分与可靠亚洲双盘；任一市场欧赔&lt;1.80/港水&lt;0.80不进；盘口未核验前不进、不加仓</x:v>
      </x:c>
      <x:c r="I376" s="66" t="n">
        <x:v>46220.82152777778</x:v>
      </x:c>
      <x:c r="J376" s="65" t="str">
        <x:v>需复核</x:v>
      </x:c>
      <x:c r="K376" s="65"/>
      <x:c r="L376" s="65"/>
      <x:c r="M376" s="65"/>
      <x:c r="N376" s="67"/>
      <x:c r="O376" s="67"/>
      <x:c r="P376" s="67" t="str">
        <x:f>IF(COUNT(N376:O376)=0,"",SUM(N376:O376))</x:f>
      </x:c>
      <x:c r="Q376" s="65" t="str">
        <x:v>赛程/状态来源｜https://www.365scores.com/football/tomorrows-matches；365Scores赛事ID 4771578；查询时间：2026-07-17 19:43（北京时间）</x:v>
      </x:c>
      <x:c r="R37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7" ht="38" customHeight="1">
      <x:c r="A377" s="65" t="str">
        <x:f>IF(B377="","",TEXT(B377,"yyyy-mm-dd")&amp;"|"&amp;D377&amp;"|"&amp;E377)</x:f>
        <x:v>2026-07-18|中文名待确认（Royal Antwerp FC）|帕特罗艾斯登（Patro Eisden）</x:v>
      </x:c>
      <x:c r="B377" s="66" t="n">
        <x:v>46221.708333333336</x:v>
      </x:c>
      <x:c r="C377" s="65" t="str">
        <x:v>国际俱乐部友谊赛</x:v>
      </x:c>
      <x:c r="D377" s="65" t="str">
        <x:v>中文名待确认（Royal Antwerp FC）</x:v>
      </x:c>
      <x:c r="E377" s="65" t="str">
        <x:v>帕特罗艾斯登（Patro Eisden）</x:v>
      </x:c>
      <x:c r="F377" s="65" t="str">
        <x:v>无可靠让球盘/只观察｜现有可审计资料不足以形成可靠让球倾向</x:v>
      </x:c>
      <x:c r="G377" s="65" t="str">
        <x:v>无可靠大小球盘/只观察｜未取得可交叉核验的总进球主盘与水位，无可靠大小球倾向</x:v>
      </x:c>
      <x:c r="H377" s="65" t="str">
        <x:v>待确认首发、双方近5场/主客拆分与可靠亚洲双盘；任一市场欧赔&lt;1.80/港水&lt;0.80不进；盘口未核验前不进、不加仓</x:v>
      </x:c>
      <x:c r="I377" s="66" t="n">
        <x:v>46220.82152777778</x:v>
      </x:c>
      <x:c r="J377" s="65" t="str">
        <x:v>需复核</x:v>
      </x:c>
      <x:c r="K377" s="65"/>
      <x:c r="L377" s="65"/>
      <x:c r="M377" s="65"/>
      <x:c r="N377" s="67"/>
      <x:c r="O377" s="67"/>
      <x:c r="P377" s="67" t="str">
        <x:f>IF(COUNT(N377:O377)=0,"",SUM(N377:O377))</x:f>
      </x:c>
      <x:c r="Q377" s="65" t="str">
        <x:v>赛程/状态来源｜https://www.365scores.com/football/tomorrows-matches；365Scores赛事ID 4771135；查询时间：2026-07-17 19:43（北京时间）</x:v>
      </x:c>
      <x:c r="R37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8" ht="38" customHeight="1">
      <x:c r="A378" s="65" t="str">
        <x:f>IF(B378="","",TEXT(B378,"yyyy-mm-dd")&amp;"|"&amp;D378&amp;"|"&amp;E378)</x:f>
        <x:v>2026-07-18|中文名待确认（Oud-Heverlee Leuven）|中文名待确认（Lierse SK）</x:v>
      </x:c>
      <x:c r="B378" s="66" t="n">
        <x:v>46221.708333333336</x:v>
      </x:c>
      <x:c r="C378" s="65" t="str">
        <x:v>国际俱乐部友谊赛</x:v>
      </x:c>
      <x:c r="D378" s="65" t="str">
        <x:v>中文名待确认（Oud-Heverlee Leuven）</x:v>
      </x:c>
      <x:c r="E378" s="65" t="str">
        <x:v>中文名待确认（Lierse SK）</x:v>
      </x:c>
      <x:c r="F378" s="65" t="str">
        <x:v>无可靠让球盘/只观察｜现有可审计资料不足以形成可靠让球倾向</x:v>
      </x:c>
      <x:c r="G378" s="65" t="str">
        <x:v>无可靠大小球盘/只观察｜未取得可交叉核验的总进球主盘与水位，无可靠大小球倾向</x:v>
      </x:c>
      <x:c r="H378" s="65" t="str">
        <x:v>待确认首发、双方近5场/主客拆分与可靠亚洲双盘；任一市场欧赔&lt;1.80/港水&lt;0.80不进；盘口未核验前不进、不加仓</x:v>
      </x:c>
      <x:c r="I378" s="66" t="n">
        <x:v>46220.82152777778</x:v>
      </x:c>
      <x:c r="J378" s="65" t="str">
        <x:v>需复核</x:v>
      </x:c>
      <x:c r="K378" s="65"/>
      <x:c r="L378" s="65"/>
      <x:c r="M378" s="65"/>
      <x:c r="N378" s="67"/>
      <x:c r="O378" s="67"/>
      <x:c r="P378" s="67" t="str">
        <x:f>IF(COUNT(N378:O378)=0,"",SUM(N378:O378))</x:f>
      </x:c>
      <x:c r="Q378" s="65" t="str">
        <x:v>赛程/状态来源｜https://www.365scores.com/football/tomorrows-matches；https://www.livescore.mobi/football/club-friendlies/club-friendlies-2026/oud-heverlee-leuven-vs-k-lierse-sk/1836525/；365Scores赛事ID 4767897；查询时间：2026-07-17 19:43（北京时间）</x:v>
      </x:c>
      <x:c r="R37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79" ht="38" customHeight="1">
      <x:c r="A379" s="65" t="str">
        <x:f>IF(B379="","",TEXT(B379,"yyyy-mm-dd")&amp;"|"&amp;D379&amp;"|"&amp;E379)</x:f>
        <x:v>2026-07-18|中文名待确认（Odra Opole）|中文名待确认（Baník Ostrava II）</x:v>
      </x:c>
      <x:c r="B379" s="66" t="n">
        <x:v>46221.708333333336</x:v>
      </x:c>
      <x:c r="C379" s="65" t="str">
        <x:v>国际俱乐部友谊赛</x:v>
      </x:c>
      <x:c r="D379" s="65" t="str">
        <x:v>中文名待确认（Odra Opole）</x:v>
      </x:c>
      <x:c r="E379" s="65" t="str">
        <x:v>中文名待确认（Baník Ostrava II）</x:v>
      </x:c>
      <x:c r="F379" s="65" t="str">
        <x:v>无可靠让球盘/只观察｜现有可审计资料不足以形成可靠让球倾向</x:v>
      </x:c>
      <x:c r="G379" s="65" t="str">
        <x:v>无可靠大小球盘/只观察｜未取得可交叉核验的总进球主盘与水位，无可靠大小球倾向</x:v>
      </x:c>
      <x:c r="H379" s="65" t="str">
        <x:v>待确认首发、双方近5场/主客拆分与可靠亚洲双盘；任一市场欧赔&lt;1.80/港水&lt;0.80不进；盘口未核验前不进、不加仓</x:v>
      </x:c>
      <x:c r="I379" s="66" t="n">
        <x:v>46220.82152777778</x:v>
      </x:c>
      <x:c r="J379" s="65" t="str">
        <x:v>需复核</x:v>
      </x:c>
      <x:c r="K379" s="65"/>
      <x:c r="L379" s="65"/>
      <x:c r="M379" s="65"/>
      <x:c r="N379" s="67"/>
      <x:c r="O379" s="67"/>
      <x:c r="P379" s="67" t="str">
        <x:f>IF(COUNT(N379:O379)=0,"",SUM(N379:O379))</x:f>
      </x:c>
      <x:c r="Q379" s="65" t="str">
        <x:v>赛程/状态来源｜https://www.365scores.com/football/tomorrows-matches；365Scores赛事ID 4767903；查询时间：2026-07-17 19:43（北京时间）</x:v>
      </x:c>
      <x:c r="R37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0" ht="38" customHeight="1">
      <x:c r="A380" s="65" t="str">
        <x:f>IF(B380="","",TEXT(B380,"yyyy-mm-dd")&amp;"|"&amp;D380&amp;"|"&amp;E380)</x:f>
        <x:v>2026-07-18|中文名待确认（Northbridge FC Bulls）|中文名待确认（Bankstown City Lions）</x:v>
      </x:c>
      <x:c r="B380" s="66" t="n">
        <x:v>46221.708333333336</x:v>
      </x:c>
      <x:c r="C380" s="65" t="str">
        <x:v>澳大利亚新南威尔士州甲级联赛</x:v>
      </x:c>
      <x:c r="D380" s="65" t="str">
        <x:v>中文名待确认（Northbridge FC Bulls）</x:v>
      </x:c>
      <x:c r="E380" s="65" t="str">
        <x:v>中文名待确认（Bankstown City Lions）</x:v>
      </x:c>
      <x:c r="F380" s="65" t="str">
        <x:v>无可靠让球盘/只观察｜现有可审计资料不足以形成可靠让球倾向</x:v>
      </x:c>
      <x:c r="G380" s="65" t="str">
        <x:v>无可靠大小球盘/只观察｜未取得可交叉核验的总进球主盘与水位，无可靠大小球倾向</x:v>
      </x:c>
      <x:c r="H380" s="65" t="str">
        <x:v>待确认首发、双方近5场/主客拆分与可靠亚洲双盘；任一市场欧赔&lt;1.80/港水&lt;0.80不进；盘口未核验前不进、不加仓</x:v>
      </x:c>
      <x:c r="I380" s="66" t="n">
        <x:v>46220.82152777778</x:v>
      </x:c>
      <x:c r="J380" s="65" t="str">
        <x:v>需复核</x:v>
      </x:c>
      <x:c r="K380" s="65"/>
      <x:c r="L380" s="65"/>
      <x:c r="M380" s="65"/>
      <x:c r="N380" s="67"/>
      <x:c r="O380" s="67"/>
      <x:c r="P380" s="67" t="str">
        <x:f>IF(COUNT(N380:O380)=0,"",SUM(N380:O380))</x:f>
      </x:c>
      <x:c r="Q380" s="65" t="str">
        <x:v>赛程/状态来源｜https://www.livescore.mobi/football/australia/new-south-wales-league-one/northbridge-fc-bulls-vs-bankstown-city-lions/1710889/；https://footballnsw.com.au/competitions/；365Scores赛事ID —；查询时间：2026-07-17 19:43（北京时间）</x:v>
      </x:c>
      <x:c r="R38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1" ht="38" customHeight="1">
      <x:c r="A381" s="65" t="str">
        <x:f>IF(B381="","",TEXT(B381,"yyyy-mm-dd")&amp;"|"&amp;D381&amp;"|"&amp;E381)</x:f>
        <x:v>2026-07-18|中文名待确认（Mt Druitt Town Rangers）|中文名待确认（Newcastle Jets Youth）</x:v>
      </x:c>
      <x:c r="B381" s="66" t="n">
        <x:v>46221.708333333336</x:v>
      </x:c>
      <x:c r="C381" s="65" t="str">
        <x:v>澳大利亚新南威尔士州甲级联赛</x:v>
      </x:c>
      <x:c r="D381" s="65" t="str">
        <x:v>中文名待确认（Mt Druitt Town Rangers）</x:v>
      </x:c>
      <x:c r="E381" s="65" t="str">
        <x:v>中文名待确认（Newcastle Jets Youth）</x:v>
      </x:c>
      <x:c r="F381" s="65" t="str">
        <x:v>无可靠让球盘/只观察｜现有可审计资料不足以形成可靠让球倾向</x:v>
      </x:c>
      <x:c r="G381" s="65" t="str">
        <x:v>无可靠大小球盘/只观察｜未取得可交叉核验的总进球主盘与水位，无可靠大小球倾向</x:v>
      </x:c>
      <x:c r="H381" s="65" t="str">
        <x:v>待确认首发、双方近5场/主客拆分与可靠亚洲双盘；任一市场欧赔&lt;1.80/港水&lt;0.80不进；盘口未核验前不进、不加仓</x:v>
      </x:c>
      <x:c r="I381" s="66" t="n">
        <x:v>46220.82152777778</x:v>
      </x:c>
      <x:c r="J381" s="65" t="str">
        <x:v>需复核</x:v>
      </x:c>
      <x:c r="K381" s="65"/>
      <x:c r="L381" s="65"/>
      <x:c r="M381" s="65"/>
      <x:c r="N381" s="67"/>
      <x:c r="O381" s="67"/>
      <x:c r="P381" s="67" t="str">
        <x:f>IF(COUNT(N381:O381)=0,"",SUM(N381:O381))</x:f>
      </x:c>
      <x:c r="Q381" s="65" t="str">
        <x:v>赛程/状态来源｜https://www.livescore.mobi/football/australia/new-south-wales-league-one/mt-druitt-town-rangers-vs-newcastle-jets-youth/1710888/；https://footballnsw.com.au/competitions/；365Scores赛事ID —；查询时间：2026-07-17 19:43（北京时间）</x:v>
      </x:c>
      <x:c r="R38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2" ht="38" customHeight="1">
      <x:c r="A382" s="65" t="str">
        <x:f>IF(B382="","",TEXT(B382,"yyyy-mm-dd")&amp;"|"&amp;D382&amp;"|"&amp;E382)</x:f>
        <x:v>2026-07-18|中文名待确认（Middlefart）|中文名待确认（VSK Aarhus）</x:v>
      </x:c>
      <x:c r="B382" s="66" t="n">
        <x:v>46221.708333333336</x:v>
      </x:c>
      <x:c r="C382" s="65" t="str">
        <x:v>国际俱乐部友谊赛</x:v>
      </x:c>
      <x:c r="D382" s="65" t="str">
        <x:v>中文名待确认（Middlefart）</x:v>
      </x:c>
      <x:c r="E382" s="65" t="str">
        <x:v>中文名待确认（VSK Aarhus）</x:v>
      </x:c>
      <x:c r="F382" s="65" t="str">
        <x:v>无可靠让球盘/只观察｜现有可审计资料不足以形成可靠让球倾向</x:v>
      </x:c>
      <x:c r="G382" s="65" t="str">
        <x:v>无可靠大小球盘/只观察｜未取得可交叉核验的总进球主盘与水位，无可靠大小球倾向</x:v>
      </x:c>
      <x:c r="H382" s="65" t="str">
        <x:v>待确认首发、双方近5场/主客拆分与可靠亚洲双盘；任一市场欧赔&lt;1.80/港水&lt;0.80不进；盘口未核验前不进、不加仓</x:v>
      </x:c>
      <x:c r="I382" s="66" t="n">
        <x:v>46220.82152777778</x:v>
      </x:c>
      <x:c r="J382" s="65" t="str">
        <x:v>需复核</x:v>
      </x:c>
      <x:c r="K382" s="65"/>
      <x:c r="L382" s="65"/>
      <x:c r="M382" s="65"/>
      <x:c r="N382" s="67"/>
      <x:c r="O382" s="67"/>
      <x:c r="P382" s="67" t="str">
        <x:f>IF(COUNT(N382:O382)=0,"",SUM(N382:O382))</x:f>
      </x:c>
      <x:c r="Q382" s="65" t="str">
        <x:v>赛程/状态来源｜https://www.365scores.com/football/tomorrows-matches；365Scores赛事ID 4767900；查询时间：2026-07-17 19:43（北京时间）</x:v>
      </x:c>
      <x:c r="R38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3" ht="38" customHeight="1">
      <x:c r="A383" s="65" t="str">
        <x:f>IF(B383="","",TEXT(B383,"yyyy-mm-dd")&amp;"|"&amp;D383&amp;"|"&amp;E383)</x:f>
        <x:v>2026-07-18|中文名待确认（MFK Ruzomberok）|中文名待确认（Teplice）</x:v>
      </x:c>
      <x:c r="B383" s="66" t="n">
        <x:v>46221.708333333336</x:v>
      </x:c>
      <x:c r="C383" s="65" t="str">
        <x:v>国际俱乐部友谊赛</x:v>
      </x:c>
      <x:c r="D383" s="65" t="str">
        <x:v>中文名待确认（MFK Ruzomberok）</x:v>
      </x:c>
      <x:c r="E383" s="65" t="str">
        <x:v>中文名待确认（Teplice）</x:v>
      </x:c>
      <x:c r="F383" s="65" t="str">
        <x:v>无可靠让球盘/只观察｜现有可审计资料不足以形成可靠让球倾向</x:v>
      </x:c>
      <x:c r="G383" s="65" t="str">
        <x:v>无可靠大小球盘/只观察｜未取得可交叉核验的总进球主盘与水位，无可靠大小球倾向</x:v>
      </x:c>
      <x:c r="H383" s="65" t="str">
        <x:v>待确认首发、双方近5场/主客拆分与可靠亚洲双盘；任一市场欧赔&lt;1.80/港水&lt;0.80不进；盘口未核验前不进、不加仓</x:v>
      </x:c>
      <x:c r="I383" s="66" t="n">
        <x:v>46220.82152777778</x:v>
      </x:c>
      <x:c r="J383" s="65" t="str">
        <x:v>需复核</x:v>
      </x:c>
      <x:c r="K383" s="65"/>
      <x:c r="L383" s="65"/>
      <x:c r="M383" s="65"/>
      <x:c r="N383" s="67"/>
      <x:c r="O383" s="67"/>
      <x:c r="P383" s="67" t="str">
        <x:f>IF(COUNT(N383:O383)=0,"",SUM(N383:O383))</x:f>
      </x:c>
      <x:c r="Q383" s="65" t="str">
        <x:v>赛程/状态来源｜https://www.365scores.com/football/tomorrows-matches；365Scores赛事ID 4767899；查询时间：2026-07-17 19:43（北京时间）</x:v>
      </x:c>
      <x:c r="R38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4" ht="38" customHeight="1">
      <x:c r="A384" s="65" t="str">
        <x:f>IF(B384="","",TEXT(B384,"yyyy-mm-dd")&amp;"|"&amp;D384&amp;"|"&amp;E384)</x:f>
        <x:v>2026-07-18|中文名待确认（Lausanne）|中文名待确认（Stade Nyonnais）</x:v>
      </x:c>
      <x:c r="B384" s="66" t="n">
        <x:v>46221.708333333336</x:v>
      </x:c>
      <x:c r="C384" s="65" t="str">
        <x:v>国际俱乐部友谊赛</x:v>
      </x:c>
      <x:c r="D384" s="65" t="str">
        <x:v>中文名待确认（Lausanne）</x:v>
      </x:c>
      <x:c r="E384" s="65" t="str">
        <x:v>中文名待确认（Stade Nyonnais）</x:v>
      </x:c>
      <x:c r="F384" s="65" t="str">
        <x:v>无可靠让球盘/只观察｜现有可审计资料不足以形成可靠让球倾向</x:v>
      </x:c>
      <x:c r="G384" s="65" t="str">
        <x:v>无可靠大小球盘/只观察｜未取得可交叉核验的总进球主盘与水位，无可靠大小球倾向</x:v>
      </x:c>
      <x:c r="H384" s="65" t="str">
        <x:v>待确认首发、双方近5场/主客拆分与可靠亚洲双盘；任一市场欧赔&lt;1.80/港水&lt;0.80不进；盘口未核验前不进、不加仓</x:v>
      </x:c>
      <x:c r="I384" s="66" t="n">
        <x:v>46220.82152777778</x:v>
      </x:c>
      <x:c r="J384" s="65" t="str">
        <x:v>需复核</x:v>
      </x:c>
      <x:c r="K384" s="65"/>
      <x:c r="L384" s="65"/>
      <x:c r="M384" s="65"/>
      <x:c r="N384" s="67"/>
      <x:c r="O384" s="67"/>
      <x:c r="P384" s="67" t="str">
        <x:f>IF(COUNT(N384:O384)=0,"",SUM(N384:O384))</x:f>
      </x:c>
      <x:c r="Q384" s="65" t="str">
        <x:v>赛程/状态来源｜https://www.livescore.mobi/football/club-friendlies/club-friendlies-2026/lausanne-vs-stade-nyonnais/1832885/；https://tipsterarea.com/match/lausanne-stade-nyonnais-club-friendly-935693；365Scores赛事ID —；查询时间：2026-07-17 19:43（北京时间）</x:v>
      </x:c>
      <x:c r="R38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5" ht="38" customHeight="1">
      <x:c r="A385" s="65" t="str">
        <x:f>IF(B385="","",TEXT(B385,"yyyy-mm-dd")&amp;"|"&amp;D385&amp;"|"&amp;E385)</x:f>
        <x:v>2026-07-18|中文名待确认（KV Kortrijk）|中文名待确认（Valenciennes）</x:v>
      </x:c>
      <x:c r="B385" s="66" t="n">
        <x:v>46221.708333333336</x:v>
      </x:c>
      <x:c r="C385" s="65" t="str">
        <x:v>国际俱乐部友谊赛</x:v>
      </x:c>
      <x:c r="D385" s="65" t="str">
        <x:v>中文名待确认（KV Kortrijk）</x:v>
      </x:c>
      <x:c r="E385" s="65" t="str">
        <x:v>中文名待确认（Valenciennes）</x:v>
      </x:c>
      <x:c r="F385" s="65" t="str">
        <x:v>无可靠让球盘/只观察｜现有可审计资料不足以形成可靠让球倾向</x:v>
      </x:c>
      <x:c r="G385" s="65" t="str">
        <x:v>无可靠大小球盘/只观察｜未取得可交叉核验的总进球主盘与水位，无可靠大小球倾向</x:v>
      </x:c>
      <x:c r="H385" s="65" t="str">
        <x:v>待确认首发、双方近5场/主客拆分与可靠亚洲双盘；任一市场欧赔&lt;1.80/港水&lt;0.80不进；盘口未核验前不进、不加仓</x:v>
      </x:c>
      <x:c r="I385" s="66" t="n">
        <x:v>46220.82152777778</x:v>
      </x:c>
      <x:c r="J385" s="65" t="str">
        <x:v>需复核</x:v>
      </x:c>
      <x:c r="K385" s="65"/>
      <x:c r="L385" s="65"/>
      <x:c r="M385" s="65"/>
      <x:c r="N385" s="67"/>
      <x:c r="O385" s="67"/>
      <x:c r="P385" s="67" t="str">
        <x:f>IF(COUNT(N385:O385)=0,"",SUM(N385:O385))</x:f>
      </x:c>
      <x:c r="Q385" s="65" t="str">
        <x:v>赛程/状态来源｜https://www.365scores.com/football/tomorrows-matches；365Scores赛事ID 4767896；查询时间：2026-07-17 19:43（北京时间）</x:v>
      </x:c>
      <x:c r="R38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6" ht="38" customHeight="1">
      <x:c r="A386" s="65" t="str">
        <x:f>IF(B386="","",TEXT(B386,"yyyy-mm-dd")&amp;"|"&amp;D386&amp;"|"&amp;E386)</x:f>
        <x:v>2026-07-18|中文名待确认（Kisvarda）|中文名待确认（Zemplin Michalovce）</x:v>
      </x:c>
      <x:c r="B386" s="66" t="n">
        <x:v>46221.708333333336</x:v>
      </x:c>
      <x:c r="C386" s="65" t="str">
        <x:v>国际俱乐部友谊赛</x:v>
      </x:c>
      <x:c r="D386" s="65" t="str">
        <x:v>中文名待确认（Kisvarda）</x:v>
      </x:c>
      <x:c r="E386" s="65" t="str">
        <x:v>中文名待确认（Zemplin Michalovce）</x:v>
      </x:c>
      <x:c r="F386" s="65" t="str">
        <x:v>无可靠让球盘/只观察｜现有可审计资料不足以形成可靠让球倾向</x:v>
      </x:c>
      <x:c r="G386" s="65" t="str">
        <x:v>无可靠大小球盘/只观察｜未取得可交叉核验的总进球主盘与水位，无可靠大小球倾向</x:v>
      </x:c>
      <x:c r="H386" s="65" t="str">
        <x:v>待确认首发、双方近5场/主客拆分与可靠亚洲双盘；任一市场欧赔&lt;1.80/港水&lt;0.80不进；盘口未核验前不进、不加仓</x:v>
      </x:c>
      <x:c r="I386" s="66" t="n">
        <x:v>46220.82152777778</x:v>
      </x:c>
      <x:c r="J386" s="65" t="str">
        <x:v>需复核</x:v>
      </x:c>
      <x:c r="K386" s="65"/>
      <x:c r="L386" s="65"/>
      <x:c r="M386" s="65"/>
      <x:c r="N386" s="67"/>
      <x:c r="O386" s="67"/>
      <x:c r="P386" s="67" t="str">
        <x:f>IF(COUNT(N386:O386)=0,"",SUM(N386:O386))</x:f>
      </x:c>
      <x:c r="Q386" s="65" t="str">
        <x:v>赛程/状态来源｜https://www.365scores.com/football/tomorrows-matches；365Scores赛事ID 4767951；查询时间：2026-07-17 19:43（北京时间）</x:v>
      </x:c>
      <x:c r="R38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7" ht="38" customHeight="1">
      <x:c r="A387" s="65" t="str">
        <x:f>IF(B387="","",TEXT(B387,"yyyy-mm-dd")&amp;"|"&amp;D387&amp;"|"&amp;E387)</x:f>
        <x:v>2026-07-18|中文名待确认（Hamburg SV II）|中文名待确认（Hobro）</x:v>
      </x:c>
      <x:c r="B387" s="66" t="n">
        <x:v>46221.708333333336</x:v>
      </x:c>
      <x:c r="C387" s="65" t="str">
        <x:v>国际俱乐部友谊赛</x:v>
      </x:c>
      <x:c r="D387" s="65" t="str">
        <x:v>中文名待确认（Hamburg SV II）</x:v>
      </x:c>
      <x:c r="E387" s="65" t="str">
        <x:v>中文名待确认（Hobro）</x:v>
      </x:c>
      <x:c r="F387" s="65" t="str">
        <x:v>无可靠让球盘/只观察｜现有可审计资料不足以形成可靠让球倾向</x:v>
      </x:c>
      <x:c r="G387" s="65" t="str">
        <x:v>无可靠大小球盘/只观察｜未取得可交叉核验的总进球主盘与水位，无可靠大小球倾向</x:v>
      </x:c>
      <x:c r="H387" s="65" t="str">
        <x:v>待确认首发、双方近5场/主客拆分与可靠亚洲双盘；任一市场欧赔&lt;1.80/港水&lt;0.80不进；盘口未核验前不进、不加仓</x:v>
      </x:c>
      <x:c r="I387" s="66" t="n">
        <x:v>46220.82152777778</x:v>
      </x:c>
      <x:c r="J387" s="65" t="str">
        <x:v>需复核</x:v>
      </x:c>
      <x:c r="K387" s="65"/>
      <x:c r="L387" s="65"/>
      <x:c r="M387" s="65"/>
      <x:c r="N387" s="67"/>
      <x:c r="O387" s="67"/>
      <x:c r="P387" s="67" t="str">
        <x:f>IF(COUNT(N387:O387)=0,"",SUM(N387:O387))</x:f>
      </x:c>
      <x:c r="Q387" s="65" t="str">
        <x:v>赛程/状态来源｜https://www.365scores.com/football/tomorrows-matches；365Scores赛事ID 4767902；查询时间：2026-07-17 19:43（北京时间）</x:v>
      </x:c>
      <x:c r="R38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8" ht="38" customHeight="1">
      <x:c r="A388" s="65" t="str">
        <x:f>IF(B388="","",TEXT(B388,"yyyy-mm-dd")&amp;"|"&amp;D388&amp;"|"&amp;E388)</x:f>
        <x:v>2026-07-18|中文名待确认（Graficar Beograd）|中文名待确认（Vršac）</x:v>
      </x:c>
      <x:c r="B388" s="66" t="n">
        <x:v>46221.708333333336</x:v>
      </x:c>
      <x:c r="C388" s="65" t="str">
        <x:v>国际俱乐部友谊赛</x:v>
      </x:c>
      <x:c r="D388" s="65" t="str">
        <x:v>中文名待确认（Graficar Beograd）</x:v>
      </x:c>
      <x:c r="E388" s="65" t="str">
        <x:v>中文名待确认（Vršac）</x:v>
      </x:c>
      <x:c r="F388" s="65" t="str">
        <x:v>无可靠让球盘/只观察｜现有可审计资料不足以形成可靠让球倾向</x:v>
      </x:c>
      <x:c r="G388" s="65" t="str">
        <x:v>无可靠大小球盘/只观察｜未取得可交叉核验的总进球主盘与水位，无可靠大小球倾向</x:v>
      </x:c>
      <x:c r="H388" s="65" t="str">
        <x:v>待确认首发、双方近5场/主客拆分与可靠亚洲双盘；任一市场欧赔&lt;1.80/港水&lt;0.80不进；盘口未核验前不进、不加仓</x:v>
      </x:c>
      <x:c r="I388" s="66" t="n">
        <x:v>46220.82152777778</x:v>
      </x:c>
      <x:c r="J388" s="65" t="str">
        <x:v>需复核</x:v>
      </x:c>
      <x:c r="K388" s="65"/>
      <x:c r="L388" s="65"/>
      <x:c r="M388" s="65"/>
      <x:c r="N388" s="67"/>
      <x:c r="O388" s="67"/>
      <x:c r="P388" s="67" t="str">
        <x:f>IF(COUNT(N388:O388)=0,"",SUM(N388:O388))</x:f>
      </x:c>
      <x:c r="Q388" s="65" t="str">
        <x:v>赛程/状态来源｜https://www.365scores.com/football/tomorrows-matches；365Scores赛事ID 4771599；查询时间：2026-07-17 19:43（北京时间）</x:v>
      </x:c>
      <x:c r="R38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89" ht="38" customHeight="1">
      <x:c r="A389" s="65" t="str">
        <x:f>IF(B389="","",TEXT(B389,"yyyy-mm-dd")&amp;"|"&amp;D389&amp;"|"&amp;E389)</x:f>
        <x:v>2026-07-18|中文名待确认（Domzale）|中文名待确认（Graffin Vlasim）</x:v>
      </x:c>
      <x:c r="B389" s="66" t="n">
        <x:v>46221.708333333336</x:v>
      </x:c>
      <x:c r="C389" s="65" t="str">
        <x:v>国际俱乐部友谊赛</x:v>
      </x:c>
      <x:c r="D389" s="65" t="str">
        <x:v>中文名待确认（Domzale）</x:v>
      </x:c>
      <x:c r="E389" s="65" t="str">
        <x:v>中文名待确认（Graffin Vlasim）</x:v>
      </x:c>
      <x:c r="F389" s="65" t="str">
        <x:v>无可靠让球盘/只观察｜现有可审计资料不足以形成可靠让球倾向</x:v>
      </x:c>
      <x:c r="G389" s="65" t="str">
        <x:v>无可靠大小球盘/只观察｜未取得可交叉核验的总进球主盘与水位，无可靠大小球倾向</x:v>
      </x:c>
      <x:c r="H389" s="65" t="str">
        <x:v>待确认首发、双方近5场/主客拆分与可靠亚洲双盘；任一市场欧赔&lt;1.80/港水&lt;0.80不进；盘口未核验前不进、不加仓</x:v>
      </x:c>
      <x:c r="I389" s="66" t="n">
        <x:v>46220.82152777778</x:v>
      </x:c>
      <x:c r="J389" s="65" t="str">
        <x:v>需复核</x:v>
      </x:c>
      <x:c r="K389" s="65"/>
      <x:c r="L389" s="65"/>
      <x:c r="M389" s="65"/>
      <x:c r="N389" s="67"/>
      <x:c r="O389" s="67"/>
      <x:c r="P389" s="67" t="str">
        <x:f>IF(COUNT(N389:O389)=0,"",SUM(N389:O389))</x:f>
      </x:c>
      <x:c r="Q389" s="65" t="str">
        <x:v>赛程/状态来源｜https://www.365scores.com/football/tomorrows-matches；365Scores赛事ID 4767905；查询时间：2026-07-17 19:43（北京时间）</x:v>
      </x:c>
      <x:c r="R38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0" ht="38" customHeight="1">
      <x:c r="A390" s="65" t="str">
        <x:f>IF(B390="","",TEXT(B390,"yyyy-mm-dd")&amp;"|"&amp;D390&amp;"|"&amp;E390)</x:f>
        <x:v>2026-07-18|中文名待确认（Diosgyori VTK）|中文名待确认（Cigand SE）</x:v>
      </x:c>
      <x:c r="B390" s="66" t="n">
        <x:v>46221.708333333336</x:v>
      </x:c>
      <x:c r="C390" s="65" t="str">
        <x:v>国际俱乐部友谊赛</x:v>
      </x:c>
      <x:c r="D390" s="65" t="str">
        <x:v>中文名待确认（Diosgyori VTK）</x:v>
      </x:c>
      <x:c r="E390" s="65" t="str">
        <x:v>中文名待确认（Cigand SE）</x:v>
      </x:c>
      <x:c r="F390" s="65" t="str">
        <x:v>无可靠让球盘/只观察｜现有可审计资料不足以形成可靠让球倾向</x:v>
      </x:c>
      <x:c r="G390" s="65" t="str">
        <x:v>无可靠大小球盘/只观察｜未取得可交叉核验的总进球主盘与水位，无可靠大小球倾向</x:v>
      </x:c>
      <x:c r="H390" s="65" t="str">
        <x:v>待确认首发、双方近5场/主客拆分与可靠亚洲双盘；任一市场欧赔&lt;1.80/港水&lt;0.80不进；盘口未核验前不进、不加仓</x:v>
      </x:c>
      <x:c r="I390" s="66" t="n">
        <x:v>46220.82152777778</x:v>
      </x:c>
      <x:c r="J390" s="65" t="str">
        <x:v>需复核</x:v>
      </x:c>
      <x:c r="K390" s="65"/>
      <x:c r="L390" s="65"/>
      <x:c r="M390" s="65"/>
      <x:c r="N390" s="67"/>
      <x:c r="O390" s="67"/>
      <x:c r="P390" s="67" t="str">
        <x:f>IF(COUNT(N390:O390)=0,"",SUM(N390:O390))</x:f>
      </x:c>
      <x:c r="Q390" s="65" t="str">
        <x:v>赛程/状态来源｜https://www.365scores.com/football/tomorrows-matches；365Scores赛事ID 4771603；查询时间：2026-07-17 19:43（北京时间）</x:v>
      </x:c>
      <x:c r="R39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1" ht="38" customHeight="1">
      <x:c r="A391" s="65" t="str">
        <x:f>IF(B391="","",TEXT(B391,"yyyy-mm-dd")&amp;"|"&amp;D391&amp;"|"&amp;E391)</x:f>
        <x:v>2026-07-18|中文名待确认（Dianella White Eagles）|中文名待确认（Olympic Kingsway）</x:v>
      </x:c>
      <x:c r="B391" s="66" t="n">
        <x:v>46221.708333333336</x:v>
      </x:c>
      <x:c r="C391" s="65" t="str">
        <x:v>澳大利亚西澳大利亚州超级联赛</x:v>
      </x:c>
      <x:c r="D391" s="65" t="str">
        <x:v>中文名待确认（Dianella White Eagles）</x:v>
      </x:c>
      <x:c r="E391" s="65" t="str">
        <x:v>中文名待确认（Olympic Kingsway）</x:v>
      </x:c>
      <x:c r="F391" s="65" t="str">
        <x:v>无可靠让球盘/只观察｜现有可审计资料不足以形成可靠让球倾向</x:v>
      </x:c>
      <x:c r="G391" s="65" t="str">
        <x:v>无可靠大小球盘/只观察｜未取得可交叉核验的总进球主盘与水位，无可靠大小球倾向</x:v>
      </x:c>
      <x:c r="H391" s="65" t="str">
        <x:v>待确认首发、双方近5场/主客拆分与可靠亚洲双盘；任一市场欧赔&lt;1.80/港水&lt;0.80不进；盘口未核验前不进、不加仓</x:v>
      </x:c>
      <x:c r="I391" s="66" t="n">
        <x:v>46220.82152777778</x:v>
      </x:c>
      <x:c r="J391" s="65" t="str">
        <x:v>需复核</x:v>
      </x:c>
      <x:c r="K391" s="65"/>
      <x:c r="L391" s="65"/>
      <x:c r="M391" s="65"/>
      <x:c r="N391" s="67"/>
      <x:c r="O391" s="67"/>
      <x:c r="P391" s="67" t="str">
        <x:f>IF(COUNT(N391:O391)=0,"",SUM(N391:O391))</x:f>
      </x:c>
      <x:c r="Q391" s="65" t="str">
        <x:v>赛程/状态来源｜https://www.livescore.mobi/football/australia/western/dianella-white-eagles-vs-olympic-kingsway/1744094/；365Scores赛事ID —；查询时间：2026-07-17 19:43（北京时间）</x:v>
      </x:c>
      <x:c r="R39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2" ht="38" customHeight="1">
      <x:c r="A392" s="65" t="str">
        <x:f>IF(B392="","",TEXT(B392,"yyyy-mm-dd")&amp;"|"&amp;D392&amp;"|"&amp;E392)</x:f>
        <x:v>2026-07-18|中文名待确认（ASK Voitsberg）|中文名待确认（Bistrica）</x:v>
      </x:c>
      <x:c r="B392" s="66" t="n">
        <x:v>46221.708333333336</x:v>
      </x:c>
      <x:c r="C392" s="65" t="str">
        <x:v>国际俱乐部友谊赛</x:v>
      </x:c>
      <x:c r="D392" s="65" t="str">
        <x:v>中文名待确认（ASK Voitsberg）</x:v>
      </x:c>
      <x:c r="E392" s="65" t="str">
        <x:v>中文名待确认（Bistrica）</x:v>
      </x:c>
      <x:c r="F392" s="65" t="str">
        <x:v>无可靠让球盘/只观察｜现有可审计资料不足以形成可靠让球倾向</x:v>
      </x:c>
      <x:c r="G392" s="65" t="str">
        <x:v>无可靠大小球盘/只观察｜未取得可交叉核验的总进球主盘与水位，无可靠大小球倾向</x:v>
      </x:c>
      <x:c r="H392" s="65" t="str">
        <x:v>待确认首发、双方近5场/主客拆分与可靠亚洲双盘；任一市场欧赔&lt;1.80/港水&lt;0.80不进；盘口未核验前不进、不加仓</x:v>
      </x:c>
      <x:c r="I392" s="66" t="n">
        <x:v>46220.82152777778</x:v>
      </x:c>
      <x:c r="J392" s="65" t="str">
        <x:v>需复核</x:v>
      </x:c>
      <x:c r="K392" s="65"/>
      <x:c r="L392" s="65"/>
      <x:c r="M392" s="65"/>
      <x:c r="N392" s="67"/>
      <x:c r="O392" s="67"/>
      <x:c r="P392" s="67" t="str">
        <x:f>IF(COUNT(N392:O392)=0,"",SUM(N392:O392))</x:f>
      </x:c>
      <x:c r="Q392" s="65" t="str">
        <x:v>赛程/状态来源｜https://www.365scores.com/football/tomorrows-matches；365Scores赛事ID 4767920；查询时间：2026-07-17 19:43（北京时间）</x:v>
      </x:c>
      <x:c r="R39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3" ht="38" customHeight="1">
      <x:c r="A393" s="65" t="str">
        <x:f>IF(B393="","",TEXT(B393,"yyyy-mm-dd")&amp;"|"&amp;D393&amp;"|"&amp;E393)</x:f>
        <x:v>2026-07-18|中文名待确认（Arsenal Česká Lípa）|中文名待确认（MFK Chrudim）</x:v>
      </x:c>
      <x:c r="B393" s="66" t="n">
        <x:v>46221.708333333336</x:v>
      </x:c>
      <x:c r="C393" s="65" t="str">
        <x:v>国际俱乐部友谊赛</x:v>
      </x:c>
      <x:c r="D393" s="65" t="str">
        <x:v>中文名待确认（Arsenal Česká Lípa）</x:v>
      </x:c>
      <x:c r="E393" s="65" t="str">
        <x:v>中文名待确认（MFK Chrudim）</x:v>
      </x:c>
      <x:c r="F393" s="65" t="str">
        <x:v>无可靠让球盘/只观察｜现有可审计资料不足以形成可靠让球倾向</x:v>
      </x:c>
      <x:c r="G393" s="65" t="str">
        <x:v>无可靠大小球盘/只观察｜未取得可交叉核验的总进球主盘与水位，无可靠大小球倾向</x:v>
      </x:c>
      <x:c r="H393" s="65" t="str">
        <x:v>待确认首发、双方近5场/主客拆分与可靠亚洲双盘；任一市场欧赔&lt;1.80/港水&lt;0.80不进；盘口未核验前不进、不加仓</x:v>
      </x:c>
      <x:c r="I393" s="66" t="n">
        <x:v>46220.82152777778</x:v>
      </x:c>
      <x:c r="J393" s="65" t="str">
        <x:v>需复核</x:v>
      </x:c>
      <x:c r="K393" s="65"/>
      <x:c r="L393" s="65"/>
      <x:c r="M393" s="65"/>
      <x:c r="N393" s="67"/>
      <x:c r="O393" s="67"/>
      <x:c r="P393" s="67" t="str">
        <x:f>IF(COUNT(N393:O393)=0,"",SUM(N393:O393))</x:f>
      </x:c>
      <x:c r="Q393" s="65" t="str">
        <x:v>赛程/状态来源｜https://www.365scores.com/football/tomorrows-matches；365Scores赛事ID 4767898；查询时间：2026-07-17 19:43（北京时间）</x:v>
      </x:c>
      <x:c r="R39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4" ht="38" customHeight="1">
      <x:c r="A394" s="65" t="str">
        <x:f>IF(B394="","",TEXT(B394,"yyyy-mm-dd")&amp;"|"&amp;D394&amp;"|"&amp;E394)</x:f>
        <x:v>2026-07-18|中文名待确认（Arka Gdynia）|中文名待确认（Luzino）</x:v>
      </x:c>
      <x:c r="B394" s="66" t="n">
        <x:v>46221.708333333336</x:v>
      </x:c>
      <x:c r="C394" s="65" t="str">
        <x:v>国际俱乐部友谊赛</x:v>
      </x:c>
      <x:c r="D394" s="65" t="str">
        <x:v>中文名待确认（Arka Gdynia）</x:v>
      </x:c>
      <x:c r="E394" s="65" t="str">
        <x:v>中文名待确认（Luzino）</x:v>
      </x:c>
      <x:c r="F394" s="65" t="str">
        <x:v>无可靠让球盘/只观察｜现有可审计资料不足以形成可靠让球倾向</x:v>
      </x:c>
      <x:c r="G394" s="65" t="str">
        <x:v>无可靠大小球盘/只观察｜未取得可交叉核验的总进球主盘与水位，无可靠大小球倾向</x:v>
      </x:c>
      <x:c r="H394" s="65" t="str">
        <x:v>待确认首发、双方近5场/主客拆分与可靠亚洲双盘；任一市场欧赔&lt;1.80/港水&lt;0.80不进；盘口未核验前不进、不加仓</x:v>
      </x:c>
      <x:c r="I394" s="66" t="n">
        <x:v>46220.82152777778</x:v>
      </x:c>
      <x:c r="J394" s="65" t="str">
        <x:v>需复核</x:v>
      </x:c>
      <x:c r="K394" s="65"/>
      <x:c r="L394" s="65"/>
      <x:c r="M394" s="65"/>
      <x:c r="N394" s="67"/>
      <x:c r="O394" s="67"/>
      <x:c r="P394" s="67" t="str">
        <x:f>IF(COUNT(N394:O394)=0,"",SUM(N394:O394))</x:f>
      </x:c>
      <x:c r="Q394" s="65" t="str">
        <x:v>赛程/状态来源｜https://www.365scores.com/football/tomorrows-matches；365Scores赛事ID 4767916；查询时间：2026-07-17 19:43（北京时间）</x:v>
      </x:c>
      <x:c r="R39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5" ht="38" customHeight="1">
      <x:c r="A395" s="65" t="str">
        <x:f>IF(B395="","",TEXT(B395,"yyyy-mm-dd")&amp;"|"&amp;D395&amp;"|"&amp;E395)</x:f>
        <x:v>2026-07-18|中文名待确认（Andorra CF）|中文名待确认（Stevenage）</x:v>
      </x:c>
      <x:c r="B395" s="66" t="n">
        <x:v>46221.708333333336</x:v>
      </x:c>
      <x:c r="C395" s="65" t="str">
        <x:v>国际俱乐部友谊赛</x:v>
      </x:c>
      <x:c r="D395" s="65" t="str">
        <x:v>中文名待确认（Andorra CF）</x:v>
      </x:c>
      <x:c r="E395" s="65" t="str">
        <x:v>中文名待确认（Stevenage）</x:v>
      </x:c>
      <x:c r="F395" s="65" t="str">
        <x:v>无可靠让球盘/只观察｜现有可审计资料不足以形成可靠让球倾向</x:v>
      </x:c>
      <x:c r="G395" s="65" t="str">
        <x:v>无可靠大小球盘/只观察｜未取得可交叉核验的总进球主盘与水位，无可靠大小球倾向</x:v>
      </x:c>
      <x:c r="H395" s="65" t="str">
        <x:v>待确认首发、双方近5场/主客拆分与可靠亚洲双盘；任一市场欧赔&lt;1.80/港水&lt;0.80不进；盘口未核验前不进、不加仓</x:v>
      </x:c>
      <x:c r="I395" s="66" t="n">
        <x:v>46220.82152777778</x:v>
      </x:c>
      <x:c r="J395" s="65" t="str">
        <x:v>需复核</x:v>
      </x:c>
      <x:c r="K395" s="65"/>
      <x:c r="L395" s="65"/>
      <x:c r="M395" s="65"/>
      <x:c r="N395" s="67"/>
      <x:c r="O395" s="67"/>
      <x:c r="P395" s="67" t="str">
        <x:f>IF(COUNT(N395:O395)=0,"",SUM(N395:O395))</x:f>
      </x:c>
      <x:c r="Q395" s="65" t="str">
        <x:v>赛程/状态来源｜https://www.365scores.com/football/tomorrows-matches；365Scores赛事ID 4767901；查询时间：2026-07-17 19:43（北京时间）</x:v>
      </x:c>
      <x:c r="R39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6" ht="38" customHeight="1">
      <x:c r="A396" s="65" t="str">
        <x:f>IF(B396="","",TEXT(B396,"yyyy-mm-dd")&amp;"|"&amp;D396&amp;"|"&amp;E396)</x:f>
        <x:v>2026-07-18|中文名待确认（FC Amager）|中文名待确认（FC Roskilde）</x:v>
      </x:c>
      <x:c r="B396" s="66" t="n">
        <x:v>46221.708333333336</x:v>
      </x:c>
      <x:c r="C396" s="65" t="str">
        <x:v>国际俱乐部友谊赛</x:v>
      </x:c>
      <x:c r="D396" s="65" t="str">
        <x:v>中文名待确认（FC Amager）</x:v>
      </x:c>
      <x:c r="E396" s="65" t="str">
        <x:v>中文名待确认（FC Roskilde）</x:v>
      </x:c>
      <x:c r="F396" s="65" t="str">
        <x:v>无可靠让球盘/只观察｜现有可审计资料不足以形成可靠让球倾向</x:v>
      </x:c>
      <x:c r="G396" s="65" t="str">
        <x:v>无可靠大小球盘/只观察｜未取得可交叉核验的总进球主盘与水位，无可靠大小球倾向</x:v>
      </x:c>
      <x:c r="H396" s="65" t="str">
        <x:v>待确认首发、双方近5场/主客拆分与可靠亚洲双盘；任一市场欧赔&lt;1.80/港水&lt;0.80不进；盘口未核验前不进、不加仓</x:v>
      </x:c>
      <x:c r="I396" s="66" t="n">
        <x:v>46220.82152777778</x:v>
      </x:c>
      <x:c r="J396" s="65" t="str">
        <x:v>需复核</x:v>
      </x:c>
      <x:c r="K396" s="65"/>
      <x:c r="L396" s="65"/>
      <x:c r="M396" s="65"/>
      <x:c r="N396" s="67"/>
      <x:c r="O396" s="67"/>
      <x:c r="P396" s="67" t="str">
        <x:f>IF(COUNT(N396:O396)=0,"",SUM(N396:O396))</x:f>
      </x:c>
      <x:c r="Q396" s="65" t="str">
        <x:v>赛程/状态来源｜https://www.365scores.com/football/tomorrows-matches；365Scores赛事ID 4767904；查询时间：2026-07-17 19:43（北京时间）</x:v>
      </x:c>
      <x:c r="R39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7" ht="38" customHeight="1">
      <x:c r="A397" s="65" t="str">
        <x:f>IF(B397="","",TEXT(B397,"yyyy-mm-dd")&amp;"|"&amp;D397&amp;"|"&amp;E397)</x:f>
        <x:v>2026-07-18|中文名待确认（Zvezda Perm (W)）|中文名待确认（Zenit (W)）</x:v>
      </x:c>
      <x:c r="B397" s="66" t="n">
        <x:v>46221.6875</x:v>
      </x:c>
      <x:c r="C397" s="65" t="str">
        <x:v>女子顶级联赛（国家待确认）</x:v>
      </x:c>
      <x:c r="D397" s="65" t="str">
        <x:v>中文名待确认（Zvezda Perm (W)）</x:v>
      </x:c>
      <x:c r="E397" s="65" t="str">
        <x:v>中文名待确认（Zenit (W)）</x:v>
      </x:c>
      <x:c r="F397" s="65" t="str">
        <x:v>无可靠让球盘/只观察｜现有可审计资料不足以形成可靠让球倾向</x:v>
      </x:c>
      <x:c r="G397" s="65" t="str">
        <x:v>无可靠大小球盘/只观察｜未取得可交叉核验的总进球主盘与水位，无可靠大小球倾向</x:v>
      </x:c>
      <x:c r="H397" s="65" t="str">
        <x:v>待确认首发、双方近5场/主客拆分与可靠亚洲双盘；任一市场欧赔&lt;1.80/港水&lt;0.80不进；盘口未核验前不进、不加仓</x:v>
      </x:c>
      <x:c r="I397" s="66" t="n">
        <x:v>46220.82152777778</x:v>
      </x:c>
      <x:c r="J397" s="65" t="str">
        <x:v>需复核</x:v>
      </x:c>
      <x:c r="K397" s="65"/>
      <x:c r="L397" s="65"/>
      <x:c r="M397" s="65"/>
      <x:c r="N397" s="67"/>
      <x:c r="O397" s="67"/>
      <x:c r="P397" s="67" t="str">
        <x:f>IF(COUNT(N397:O397)=0,"",SUM(N397:O397))</x:f>
      </x:c>
      <x:c r="Q397" s="65" t="str">
        <x:v>赛程/状态来源｜https://www.365scores.com/football/tomorrows-matches；365Scores赛事ID 4682786；查询时间：2026-07-17 19:43（北京时间）</x:v>
      </x:c>
      <x:c r="R397" s="65" t="str">
        <x:v>证据卡：女子赛事，公开阵容和低级别样本完整度通常低于主流男子联赛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8" ht="38" customHeight="1">
      <x:c r="A398" s="65" t="str">
        <x:f>IF(B398="","",TEXT(B398,"yyyy-mm-dd")&amp;"|"&amp;D398&amp;"|"&amp;E398)</x:f>
        <x:v>2026-07-18|中文名待确认（ZP Sport Podbrezova）|中文名待确认（Taran Liptovsky Mikulas）</x:v>
      </x:c>
      <x:c r="B398" s="66" t="n">
        <x:v>46221.6875</x:v>
      </x:c>
      <x:c r="C398" s="65" t="str">
        <x:v>国际俱乐部友谊赛</x:v>
      </x:c>
      <x:c r="D398" s="65" t="str">
        <x:v>中文名待确认（ZP Sport Podbrezova）</x:v>
      </x:c>
      <x:c r="E398" s="65" t="str">
        <x:v>中文名待确认（Taran Liptovsky Mikulas）</x:v>
      </x:c>
      <x:c r="F398" s="65" t="str">
        <x:v>无可靠让球盘/只观察｜现有可审计资料不足以形成可靠让球倾向</x:v>
      </x:c>
      <x:c r="G398" s="65" t="str">
        <x:v>无可靠大小球盘/只观察｜未取得可交叉核验的总进球主盘与水位，无可靠大小球倾向</x:v>
      </x:c>
      <x:c r="H398" s="65" t="str">
        <x:v>待确认首发、双方近5场/主客拆分与可靠亚洲双盘；任一市场欧赔&lt;1.80/港水&lt;0.80不进；盘口未核验前不进、不加仓</x:v>
      </x:c>
      <x:c r="I398" s="66" t="n">
        <x:v>46220.82152777778</x:v>
      </x:c>
      <x:c r="J398" s="65" t="str">
        <x:v>需复核</x:v>
      </x:c>
      <x:c r="K398" s="65"/>
      <x:c r="L398" s="65"/>
      <x:c r="M398" s="65"/>
      <x:c r="N398" s="67"/>
      <x:c r="O398" s="67"/>
      <x:c r="P398" s="67" t="str">
        <x:f>IF(COUNT(N398:O398)=0,"",SUM(N398:O398))</x:f>
      </x:c>
      <x:c r="Q398" s="65" t="str">
        <x:v>赛程/状态来源｜https://www.365scores.com/football/tomorrows-matches；365Scores赛事ID 4767785；查询时间：2026-07-17 19:43（北京时间）</x:v>
      </x:c>
      <x:c r="R39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399" ht="38" customHeight="1">
      <x:c r="A399" s="65" t="str">
        <x:f>IF(B399="","",TEXT(B399,"yyyy-mm-dd")&amp;"|"&amp;D399&amp;"|"&amp;E399)</x:f>
        <x:v>2026-07-18|中文名待确认（St George FC）|洛克达尔伊林登（Rockdale Ilinden）</x:v>
      </x:c>
      <x:c r="B399" s="66" t="n">
        <x:v>46221.6875</x:v>
      </x:c>
      <x:c r="C399" s="65" t="str">
        <x:v>澳大利亚新南威尔士州超级联赛</x:v>
      </x:c>
      <x:c r="D399" s="65" t="str">
        <x:v>中文名待确认（St George FC）</x:v>
      </x:c>
      <x:c r="E399" s="65" t="str">
        <x:v>洛克达尔伊林登（Rockdale Ilinden）</x:v>
      </x:c>
      <x:c r="F399" s="65" t="str">
        <x:v>无可靠让球盘/只观察｜现有可审计资料不足以形成可靠让球倾向</x:v>
      </x:c>
      <x:c r="G399" s="65" t="str">
        <x:v>无可靠大小球盘/只观察｜未取得可交叉核验的总进球主盘与水位，无可靠大小球倾向</x:v>
      </x:c>
      <x:c r="H399" s="65" t="str">
        <x:v>待确认首发、双方近5场/主客拆分与可靠亚洲双盘；任一市场欧赔&lt;1.80/港水&lt;0.80不进；盘口未核验前不进、不加仓</x:v>
      </x:c>
      <x:c r="I399" s="66" t="n">
        <x:v>46220.82152777778</x:v>
      </x:c>
      <x:c r="J399" s="65" t="str">
        <x:v>需复核</x:v>
      </x:c>
      <x:c r="K399" s="65"/>
      <x:c r="L399" s="65"/>
      <x:c r="M399" s="65"/>
      <x:c r="N399" s="67"/>
      <x:c r="O399" s="67"/>
      <x:c r="P399" s="67" t="str">
        <x:f>IF(COUNT(N399:O399)=0,"",SUM(N399:O399))</x:f>
      </x:c>
      <x:c r="Q399" s="65" t="str">
        <x:v>赛程/状态来源｜https://www.livescore.mobi/football/australia/npl-new-south-wales/st-george-fc-vs-rockdale-ilinden/1708166/；https://footballnsw.com.au/competitions/；365Scores赛事ID —；查询时间：2026-07-17 19:43（北京时间）</x:v>
      </x:c>
      <x:c r="R39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0" ht="38" customHeight="1">
      <x:c r="A400" s="65" t="str">
        <x:f>IF(B400="","",TEXT(B400,"yyyy-mm-dd")&amp;"|"&amp;D400&amp;"|"&amp;E400)</x:f>
        <x:v>2026-07-18|中文名待确认（Spisska Nova Ves）|中文名待确认（Rimavska Sobota）</x:v>
      </x:c>
      <x:c r="B400" s="66" t="n">
        <x:v>46221.6875</x:v>
      </x:c>
      <x:c r="C400" s="65" t="str">
        <x:v>国际俱乐部友谊赛</x:v>
      </x:c>
      <x:c r="D400" s="65" t="str">
        <x:v>中文名待确认（Spisska Nova Ves）</x:v>
      </x:c>
      <x:c r="E400" s="65" t="str">
        <x:v>中文名待确认（Rimavska Sobota）</x:v>
      </x:c>
      <x:c r="F400" s="65" t="str">
        <x:v>无可靠让球盘/只观察｜现有可审计资料不足以形成可靠让球倾向</x:v>
      </x:c>
      <x:c r="G400" s="65" t="str">
        <x:v>无可靠大小球盘/只观察｜未取得可交叉核验的总进球主盘与水位，无可靠大小球倾向</x:v>
      </x:c>
      <x:c r="H400" s="65" t="str">
        <x:v>待确认首发、双方近5场/主客拆分与可靠亚洲双盘；任一市场欧赔&lt;1.80/港水&lt;0.80不进；盘口未核验前不进、不加仓</x:v>
      </x:c>
      <x:c r="I400" s="66" t="n">
        <x:v>46220.82152777778</x:v>
      </x:c>
      <x:c r="J400" s="65" t="str">
        <x:v>需复核</x:v>
      </x:c>
      <x:c r="K400" s="65"/>
      <x:c r="L400" s="65"/>
      <x:c r="M400" s="65"/>
      <x:c r="N400" s="67"/>
      <x:c r="O400" s="67"/>
      <x:c r="P400" s="67" t="str">
        <x:f>IF(COUNT(N400:O400)=0,"",SUM(N400:O400))</x:f>
      </x:c>
      <x:c r="Q400" s="65" t="str">
        <x:v>赛程/状态来源｜https://www.365scores.com/football/tomorrows-matches；365Scores赛事ID 4773196；查询时间：2026-07-17 19:43（北京时间）</x:v>
      </x:c>
      <x:c r="R40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1" ht="38" customHeight="1">
      <x:c r="A401" s="65" t="str">
        <x:f>IF(B401="","",TEXT(B401,"yyyy-mm-dd")&amp;"|"&amp;D401&amp;"|"&amp;E401)</x:f>
        <x:v>2026-07-18|中文名待确认（Monaco）|中文名待确认（Saint-Priest）</x:v>
      </x:c>
      <x:c r="B401" s="66" t="n">
        <x:v>46221.6875</x:v>
      </x:c>
      <x:c r="C401" s="65" t="str">
        <x:v>国际俱乐部友谊赛</x:v>
      </x:c>
      <x:c r="D401" s="65" t="str">
        <x:v>中文名待确认（Monaco）</x:v>
      </x:c>
      <x:c r="E401" s="65" t="str">
        <x:v>中文名待确认（Saint-Priest）</x:v>
      </x:c>
      <x:c r="F401" s="65" t="str">
        <x:v>无可靠让球盘/只观察｜现有可审计资料不足以形成可靠让球倾向</x:v>
      </x:c>
      <x:c r="G401" s="65" t="str">
        <x:v>无可靠大小球盘/只观察｜未取得可交叉核验的总进球主盘与水位，无可靠大小球倾向</x:v>
      </x:c>
      <x:c r="H401" s="65" t="str">
        <x:v>待确认首发、双方近5场/主客拆分与可靠亚洲双盘；任一市场欧赔&lt;1.80/港水&lt;0.80不进；盘口未核验前不进、不加仓</x:v>
      </x:c>
      <x:c r="I401" s="66" t="n">
        <x:v>46220.82152777778</x:v>
      </x:c>
      <x:c r="J401" s="65" t="str">
        <x:v>需复核</x:v>
      </x:c>
      <x:c r="K401" s="65"/>
      <x:c r="L401" s="65"/>
      <x:c r="M401" s="65"/>
      <x:c r="N401" s="67"/>
      <x:c r="O401" s="67"/>
      <x:c r="P401" s="67" t="str">
        <x:f>IF(COUNT(N401:O401)=0,"",SUM(N401:O401))</x:f>
      </x:c>
      <x:c r="Q401" s="65" t="str">
        <x:v>赛程/状态来源｜https://www.365scores.com/football/tomorrows-matches；https://www.livescore.mobi/football/club-friendlies/club-friendlies-2026/as-monaco-vs-st-priest/1836527/；365Scores赛事ID 4767907；查询时间：2026-07-17 19:43（北京时间）</x:v>
      </x:c>
      <x:c r="R40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2" ht="38" customHeight="1">
      <x:c r="A402" s="65" t="str">
        <x:f>IF(B402="","",TEXT(B402,"yyyy-mm-dd")&amp;"|"&amp;D402&amp;"|"&amp;E402)</x:f>
        <x:v>2026-07-18|中文名待确认（Darwin Hearts）|中文名待确认（Hellenic）</x:v>
      </x:c>
      <x:c r="B402" s="66" t="n">
        <x:v>46221.6875</x:v>
      </x:c>
      <x:c r="C402" s="65" t="str">
        <x:v>澳大利亚北区超级联赛</x:v>
      </x:c>
      <x:c r="D402" s="65" t="str">
        <x:v>中文名待确认（Darwin Hearts）</x:v>
      </x:c>
      <x:c r="E402" s="65" t="str">
        <x:v>中文名待确认（Hellenic）</x:v>
      </x:c>
      <x:c r="F402" s="65" t="str">
        <x:v>无可靠让球盘/只观察｜现有可审计资料不足以形成可靠让球倾向</x:v>
      </x:c>
      <x:c r="G402" s="65" t="str">
        <x:v>无可靠大小球盘/只观察｜未取得可交叉核验的总进球主盘与水位，无可靠大小球倾向</x:v>
      </x:c>
      <x:c r="H402" s="65" t="str">
        <x:v>待确认首发、双方近5场/主客拆分与可靠亚洲双盘；任一市场欧赔&lt;1.80/港水&lt;0.80不进；盘口未核验前不进、不加仓</x:v>
      </x:c>
      <x:c r="I402" s="66" t="n">
        <x:v>46220.82152777778</x:v>
      </x:c>
      <x:c r="J402" s="65" t="str">
        <x:v>需复核</x:v>
      </x:c>
      <x:c r="K402" s="65"/>
      <x:c r="L402" s="65"/>
      <x:c r="M402" s="65"/>
      <x:c r="N402" s="67"/>
      <x:c r="O402" s="67"/>
      <x:c r="P402" s="67" t="str">
        <x:f>IF(COUNT(N402:O402)=0,"",SUM(N402:O402))</x:f>
      </x:c>
      <x:c r="Q402" s="65" t="str">
        <x:v>赛程/状态来源｜https://www.livescore.mobi/football/australia/northern/darwin-hearts-vs-hellenic/1775423/；365Scores赛事ID —；查询时间：2026-07-17 19:43（北京时间）</x:v>
      </x:c>
      <x:c r="R40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3" ht="38" customHeight="1">
      <x:c r="A403" s="65" t="str">
        <x:f>IF(B403="","",TEXT(B403,"yyyy-mm-dd")&amp;"|"&amp;D403&amp;"|"&amp;E403)</x:f>
        <x:v>2026-07-18|中文名待确认（Chrobry Glogow）|中文名待确认（Sleza Wroclaw）</x:v>
      </x:c>
      <x:c r="B403" s="66" t="n">
        <x:v>46221.6875</x:v>
      </x:c>
      <x:c r="C403" s="65" t="str">
        <x:v>国际俱乐部友谊赛</x:v>
      </x:c>
      <x:c r="D403" s="65" t="str">
        <x:v>中文名待确认（Chrobry Glogow）</x:v>
      </x:c>
      <x:c r="E403" s="65" t="str">
        <x:v>中文名待确认（Sleza Wroclaw）</x:v>
      </x:c>
      <x:c r="F403" s="65" t="str">
        <x:v>无可靠让球盘/只观察｜现有可审计资料不足以形成可靠让球倾向</x:v>
      </x:c>
      <x:c r="G403" s="65" t="str">
        <x:v>无可靠大小球盘/只观察｜未取得可交叉核验的总进球主盘与水位，无可靠大小球倾向</x:v>
      </x:c>
      <x:c r="H403" s="65" t="str">
        <x:v>待确认首发、双方近5场/主客拆分与可靠亚洲双盘；任一市场欧赔&lt;1.80/港水&lt;0.80不进；盘口未核验前不进、不加仓</x:v>
      </x:c>
      <x:c r="I403" s="66" t="n">
        <x:v>46220.82152777778</x:v>
      </x:c>
      <x:c r="J403" s="65" t="str">
        <x:v>需复核</x:v>
      </x:c>
      <x:c r="K403" s="65"/>
      <x:c r="L403" s="65"/>
      <x:c r="M403" s="65"/>
      <x:c r="N403" s="67"/>
      <x:c r="O403" s="67"/>
      <x:c r="P403" s="67" t="str">
        <x:f>IF(COUNT(N403:O403)=0,"",SUM(N403:O403))</x:f>
      </x:c>
      <x:c r="Q403" s="65" t="str">
        <x:v>赛程/状态来源｜https://www.365scores.com/football/tomorrows-matches；365Scores赛事ID 4767943；查询时间：2026-07-17 19:43（北京时间）</x:v>
      </x:c>
      <x:c r="R40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4" ht="38" customHeight="1">
      <x:c r="A404" s="65" t="str">
        <x:f>IF(B404="","",TEXT(B404,"yyyy-mm-dd")&amp;"|"&amp;D404&amp;"|"&amp;E404)</x:f>
        <x:v>2026-07-18|中文名待确认（FC Pisek）|中文名待确认（Pribram B）</x:v>
      </x:c>
      <x:c r="B404" s="66" t="n">
        <x:v>46221.677083333336</x:v>
      </x:c>
      <x:c r="C404" s="65" t="str">
        <x:v>国际俱乐部友谊赛</x:v>
      </x:c>
      <x:c r="D404" s="65" t="str">
        <x:v>中文名待确认（FC Pisek）</x:v>
      </x:c>
      <x:c r="E404" s="65" t="str">
        <x:v>中文名待确认（Pribram B）</x:v>
      </x:c>
      <x:c r="F404" s="65" t="str">
        <x:v>无可靠让球盘/只观察｜现有可审计资料不足以形成可靠让球倾向</x:v>
      </x:c>
      <x:c r="G404" s="65" t="str">
        <x:v>无可靠大小球盘/只观察｜未取得可交叉核验的总进球主盘与水位，无可靠大小球倾向</x:v>
      </x:c>
      <x:c r="H404" s="65" t="str">
        <x:v>待确认首发、双方近5场/主客拆分与可靠亚洲双盘；任一市场欧赔&lt;1.80/港水&lt;0.80不进；盘口未核验前不进、不加仓</x:v>
      </x:c>
      <x:c r="I404" s="66" t="n">
        <x:v>46220.82152777778</x:v>
      </x:c>
      <x:c r="J404" s="65" t="str">
        <x:v>需复核</x:v>
      </x:c>
      <x:c r="K404" s="65"/>
      <x:c r="L404" s="65"/>
      <x:c r="M404" s="65"/>
      <x:c r="N404" s="67"/>
      <x:c r="O404" s="67"/>
      <x:c r="P404" s="67" t="str">
        <x:f>IF(COUNT(N404:O404)=0,"",SUM(N404:O404))</x:f>
      </x:c>
      <x:c r="Q404" s="65" t="str">
        <x:v>赛程/状态来源｜https://www.365scores.com/football/tomorrows-matches；365Scores赛事ID 4776265；查询时间：2026-07-17 19:43（北京时间）</x:v>
      </x:c>
      <x:c r="R40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5" ht="38" customHeight="1">
      <x:c r="A405" s="65" t="str">
        <x:f>IF(B405="","",TEXT(B405,"yyyy-mm-dd")&amp;"|"&amp;D405&amp;"|"&amp;E405)</x:f>
        <x:v>2026-07-18|中文名待确认（Neratovice）|中文名待确认（Dvur Kralove）</x:v>
      </x:c>
      <x:c r="B405" s="66" t="n">
        <x:v>46221.677083333336</x:v>
      </x:c>
      <x:c r="C405" s="65" t="str">
        <x:v>国际俱乐部友谊赛</x:v>
      </x:c>
      <x:c r="D405" s="65" t="str">
        <x:v>中文名待确认（Neratovice）</x:v>
      </x:c>
      <x:c r="E405" s="65" t="str">
        <x:v>中文名待确认（Dvur Kralove）</x:v>
      </x:c>
      <x:c r="F405" s="65" t="str">
        <x:v>无可靠让球盘/只观察｜现有可审计资料不足以形成可靠让球倾向</x:v>
      </x:c>
      <x:c r="G405" s="65" t="str">
        <x:v>无可靠大小球盘/只观察｜未取得可交叉核验的总进球主盘与水位，无可靠大小球倾向</x:v>
      </x:c>
      <x:c r="H405" s="65" t="str">
        <x:v>待确认首发、双方近5场/主客拆分与可靠亚洲双盘；任一市场欧赔&lt;1.80/港水&lt;0.80不进；盘口未核验前不进、不加仓</x:v>
      </x:c>
      <x:c r="I405" s="66" t="n">
        <x:v>46220.82152777778</x:v>
      </x:c>
      <x:c r="J405" s="65" t="str">
        <x:v>需复核</x:v>
      </x:c>
      <x:c r="K405" s="65"/>
      <x:c r="L405" s="65"/>
      <x:c r="M405" s="65"/>
      <x:c r="N405" s="67"/>
      <x:c r="O405" s="67"/>
      <x:c r="P405" s="67" t="str">
        <x:f>IF(COUNT(N405:O405)=0,"",SUM(N405:O405))</x:f>
      </x:c>
      <x:c r="Q405" s="65" t="str">
        <x:v>赛程/状态来源｜https://www.365scores.com/football/tomorrows-matches；365Scores赛事ID 4771576；查询时间：2026-07-17 19:43（北京时间）</x:v>
      </x:c>
      <x:c r="R40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6" ht="38" customHeight="1">
      <x:c r="A406" s="65" t="str">
        <x:f>IF(B406="","",TEXT(B406,"yyyy-mm-dd")&amp;"|"&amp;D406&amp;"|"&amp;E406)</x:f>
        <x:v>2026-07-18|墨尔本塞尔维亚U23（FC Melbourne Srbija U23）|墨尔本港鲨鱼（Port Melbourne Sharks）</x:v>
      </x:c>
      <x:c r="B406" s="66" t="n">
        <x:v>46221.677083333336</x:v>
      </x:c>
      <x:c r="C406" s="65" t="str">
        <x:v>澳大利亚维多利亚州超级联赛1（VPL1）</x:v>
      </x:c>
      <x:c r="D406" s="65" t="str">
        <x:v>墨尔本塞尔维亚U23（FC Melbourne Srbija U23）</x:v>
      </x:c>
      <x:c r="E406" s="65" t="str">
        <x:v>墨尔本港鲨鱼（Port Melbourne Sharks）</x:v>
      </x:c>
      <x:c r="F406" s="65" t="str">
        <x:v>无可靠让球盘/只观察｜现有可审计资料不足以形成可靠让球倾向</x:v>
      </x:c>
      <x:c r="G406" s="65" t="str">
        <x:v>无可靠大小球盘/只观察｜未取得可交叉核验的总进球主盘与水位，无可靠大小球倾向</x:v>
      </x:c>
      <x:c r="H406" s="65" t="str">
        <x:v>待确认首发、双方近5场/主客拆分与可靠亚洲双盘；任一市场欧赔&lt;1.80/港水&lt;0.80不进；盘口未核验前不进、不加仓</x:v>
      </x:c>
      <x:c r="I406" s="66" t="n">
        <x:v>46220.82152777778</x:v>
      </x:c>
      <x:c r="J406" s="65" t="str">
        <x:v>需复核</x:v>
      </x:c>
      <x:c r="K406" s="65"/>
      <x:c r="L406" s="65"/>
      <x:c r="M406" s="65"/>
      <x:c r="N406" s="67"/>
      <x:c r="O406" s="67"/>
      <x:c r="P406" s="67" t="str">
        <x:f>IF(COUNT(N406:O406)=0,"",SUM(N406:O406))</x:f>
      </x:c>
      <x:c r="Q406" s="65" t="str">
        <x:v>赛程/状态来源｜https://www.livescore.mobi/football/australia/victoria-premier-league-one/melbourne-srbija-vs-port-melbourne-sharks-sc/1722497/；365Scores赛事ID —；查询时间：2026-07-17 19:43（北京时间）</x:v>
      </x:c>
      <x:c r="R40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7" ht="38" customHeight="1">
      <x:c r="A407" s="65" t="str">
        <x:f>IF(B407="","",TEXT(B407,"yyyy-mm-dd")&amp;"|"&amp;D407&amp;"|"&amp;E407)</x:f>
        <x:v>2026-07-18|洛根闪电（Logan Lightning）|中文名待确认（Sunshine Coast Wanderers）</x:v>
      </x:c>
      <x:c r="B407" s="66" t="n">
        <x:v>46221.677083333336</x:v>
      </x:c>
      <x:c r="C407" s="65" t="str">
        <x:v>澳大利亚昆士兰州超级联赛</x:v>
      </x:c>
      <x:c r="D407" s="65" t="str">
        <x:v>洛根闪电（Logan Lightning）</x:v>
      </x:c>
      <x:c r="E407" s="65" t="str">
        <x:v>中文名待确认（Sunshine Coast Wanderers）</x:v>
      </x:c>
      <x:c r="F407" s="65" t="str">
        <x:v>无可靠让球盘/只观察｜现有可审计资料不足以形成可靠让球倾向</x:v>
      </x:c>
      <x:c r="G407" s="65" t="str">
        <x:v>无可靠大小球盘/只观察｜未取得可交叉核验的总进球主盘与水位，无可靠大小球倾向</x:v>
      </x:c>
      <x:c r="H407" s="65" t="str">
        <x:v>待确认首发、双方近5场/主客拆分与可靠亚洲双盘；任一市场欧赔&lt;1.80/港水&lt;0.80不进；盘口未核验前不进、不加仓</x:v>
      </x:c>
      <x:c r="I407" s="66" t="n">
        <x:v>46220.82152777778</x:v>
      </x:c>
      <x:c r="J407" s="65" t="str">
        <x:v>需复核</x:v>
      </x:c>
      <x:c r="K407" s="65"/>
      <x:c r="L407" s="65"/>
      <x:c r="M407" s="65"/>
      <x:c r="N407" s="67"/>
      <x:c r="O407" s="67"/>
      <x:c r="P407" s="67" t="str">
        <x:f>IF(COUNT(N407:O407)=0,"",SUM(N407:O407))</x:f>
      </x:c>
      <x:c r="Q407" s="65" t="str">
        <x:v>赛程/状态来源｜https://www.livescore.mobi/football/australia/queensland-premier-league-2026/logan-lightning-vs-sunshine-coast-wanderers/1744954/；365Scores赛事ID —；查询时间：2026-07-17 19:43（北京时间）</x:v>
      </x:c>
      <x:c r="R40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8" ht="38" customHeight="1">
      <x:c r="A408" s="65" t="str">
        <x:f>IF(B408="","",TEXT(B408,"yyyy-mm-dd")&amp;"|"&amp;D408&amp;"|"&amp;E408)</x:f>
        <x:v>2026-07-18|南部海岸狼队（Wollongong Wolves）|SD公鹿（SD Raiders FC）</x:v>
      </x:c>
      <x:c r="B408" s="66" t="n">
        <x:v>46221.666666666664</x:v>
      </x:c>
      <x:c r="C408" s="65" t="str">
        <x:v>澳大利亚新南威尔士州超级联赛</x:v>
      </x:c>
      <x:c r="D408" s="65" t="str">
        <x:v>南部海岸狼队（Wollongong Wolves）</x:v>
      </x:c>
      <x:c r="E408" s="65" t="str">
        <x:v>SD公鹿（SD Raiders FC）</x:v>
      </x:c>
      <x:c r="F408" s="65" t="str">
        <x:v>无可靠让球盘/只观察｜现有可审计资料不足以形成可靠让球倾向</x:v>
      </x:c>
      <x:c r="G408" s="65" t="str">
        <x:v>无可靠大小球盘/只观察｜未取得可交叉核验的总进球主盘与水位，无可靠大小球倾向</x:v>
      </x:c>
      <x:c r="H408" s="65" t="str">
        <x:v>待确认首发、双方近5场/主客拆分与可靠亚洲双盘；任一市场欧赔&lt;1.80/港水&lt;0.80不进；盘口未核验前不进、不加仓</x:v>
      </x:c>
      <x:c r="I408" s="66" t="n">
        <x:v>46220.82152777778</x:v>
      </x:c>
      <x:c r="J408" s="65" t="str">
        <x:v>需复核</x:v>
      </x:c>
      <x:c r="K408" s="65"/>
      <x:c r="L408" s="65"/>
      <x:c r="M408" s="65"/>
      <x:c r="N408" s="67"/>
      <x:c r="O408" s="67"/>
      <x:c r="P408" s="67" t="str">
        <x:f>IF(COUNT(N408:O408)=0,"",SUM(N408:O408))</x:f>
      </x:c>
      <x:c r="Q408" s="65" t="str">
        <x:v>赛程/状态来源｜https://www.livescore.mobi/football/australia/npl-new-south-wales/wollongong-wolves-vs-sd-raiders-fc/1708173/；https://footballnsw.com.au/competitions/；365Scores赛事ID —；查询时间：2026-07-17 19:43（北京时间）</x:v>
      </x:c>
      <x:c r="R40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09" ht="38" customHeight="1">
      <x:c r="A409" s="65" t="str">
        <x:f>IF(B409="","",TEXT(B409,"yyyy-mm-dd")&amp;"|"&amp;D409&amp;"|"&amp;E409)</x:f>
        <x:v>2026-07-18|中文名待确认（Unicov）|中文名待确认（Usti Nad Orlici）</x:v>
      </x:c>
      <x:c r="B409" s="66" t="n">
        <x:v>46221.666666666664</x:v>
      </x:c>
      <x:c r="C409" s="65" t="str">
        <x:v>国际俱乐部友谊赛</x:v>
      </x:c>
      <x:c r="D409" s="65" t="str">
        <x:v>中文名待确认（Unicov）</x:v>
      </x:c>
      <x:c r="E409" s="65" t="str">
        <x:v>中文名待确认（Usti Nad Orlici）</x:v>
      </x:c>
      <x:c r="F409" s="65" t="str">
        <x:v>无可靠让球盘/只观察｜现有可审计资料不足以形成可靠让球倾向</x:v>
      </x:c>
      <x:c r="G409" s="65" t="str">
        <x:v>无可靠大小球盘/只观察｜未取得可交叉核验的总进球主盘与水位，无可靠大小球倾向</x:v>
      </x:c>
      <x:c r="H409" s="65" t="str">
        <x:v>待确认首发、双方近5场/主客拆分与可靠亚洲双盘；任一市场欧赔&lt;1.80/港水&lt;0.80不进；盘口未核验前不进、不加仓</x:v>
      </x:c>
      <x:c r="I409" s="66" t="n">
        <x:v>46220.82152777778</x:v>
      </x:c>
      <x:c r="J409" s="65" t="str">
        <x:v>需复核</x:v>
      </x:c>
      <x:c r="K409" s="65"/>
      <x:c r="L409" s="65"/>
      <x:c r="M409" s="65"/>
      <x:c r="N409" s="67"/>
      <x:c r="O409" s="67"/>
      <x:c r="P409" s="67" t="str">
        <x:f>IF(COUNT(N409:O409)=0,"",SUM(N409:O409))</x:f>
      </x:c>
      <x:c r="Q409" s="65" t="str">
        <x:v>赛程/状态来源｜https://www.365scores.com/football/tomorrows-matches；365Scores赛事ID 4776264；查询时间：2026-07-17 19:43（北京时间）</x:v>
      </x:c>
      <x:c r="R40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0" ht="38" customHeight="1">
      <x:c r="A410" s="65" t="str">
        <x:f>IF(B410="","",TEXT(B410,"yyyy-mm-dd")&amp;"|"&amp;D410&amp;"|"&amp;E410)</x:f>
        <x:v>2026-07-18|中文名待确认（St George Willawong FC）|卡布尔彻（Caboolture FC）</x:v>
      </x:c>
      <x:c r="B410" s="66" t="n">
        <x:v>46221.666666666664</x:v>
      </x:c>
      <x:c r="C410" s="65" t="str">
        <x:v>澳大利亚昆士兰州超级联赛</x:v>
      </x:c>
      <x:c r="D410" s="65" t="str">
        <x:v>中文名待确认（St George Willawong FC）</x:v>
      </x:c>
      <x:c r="E410" s="65" t="str">
        <x:v>卡布尔彻（Caboolture FC）</x:v>
      </x:c>
      <x:c r="F410" s="65" t="str">
        <x:v>无可靠让球盘/只观察｜现有可审计资料不足以形成可靠让球倾向</x:v>
      </x:c>
      <x:c r="G410" s="65" t="str">
        <x:v>无可靠大小球盘/只观察｜未取得可交叉核验的总进球主盘与水位，无可靠大小球倾向</x:v>
      </x:c>
      <x:c r="H410" s="65" t="str">
        <x:v>待确认首发、双方近5场/主客拆分与可靠亚洲双盘；任一市场欧赔&lt;1.80/港水&lt;0.80不进；盘口未核验前不进、不加仓</x:v>
      </x:c>
      <x:c r="I410" s="66" t="n">
        <x:v>46220.82152777778</x:v>
      </x:c>
      <x:c r="J410" s="65" t="str">
        <x:v>需复核</x:v>
      </x:c>
      <x:c r="K410" s="65"/>
      <x:c r="L410" s="65"/>
      <x:c r="M410" s="65"/>
      <x:c r="N410" s="67"/>
      <x:c r="O410" s="67"/>
      <x:c r="P410" s="67" t="str">
        <x:f>IF(COUNT(N410:O410)=0,"",SUM(N410:O410))</x:f>
      </x:c>
      <x:c r="Q410" s="65" t="str">
        <x:v>赛程/状态来源｜https://www.livescore.mobi/football/australia/queensland-premier-league-2026/st-george-willawong-fc-vs-caboolture-fc/1744883/；365Scores赛事ID —；查询时间：2026-07-17 19:43（北京时间）</x:v>
      </x:c>
      <x:c r="R41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1" ht="38" customHeight="1">
      <x:c r="A411" s="65" t="str">
        <x:f>IF(B411="","",TEXT(B411,"yyyy-mm-dd")&amp;"|"&amp;D411&amp;"|"&amp;E411)</x:f>
        <x:v>2026-07-18|中文名待确认（Prishtina）|中文名待确认（Kf Kika）</x:v>
      </x:c>
      <x:c r="B411" s="66" t="n">
        <x:v>46221.666666666664</x:v>
      </x:c>
      <x:c r="C411" s="65" t="str">
        <x:v>国际俱乐部友谊赛</x:v>
      </x:c>
      <x:c r="D411" s="65" t="str">
        <x:v>中文名待确认（Prishtina）</x:v>
      </x:c>
      <x:c r="E411" s="65" t="str">
        <x:v>中文名待确认（Kf Kika）</x:v>
      </x:c>
      <x:c r="F411" s="65" t="str">
        <x:v>无可靠让球盘/只观察｜现有可审计资料不足以形成可靠让球倾向</x:v>
      </x:c>
      <x:c r="G411" s="65" t="str">
        <x:v>无可靠大小球盘/只观察｜未取得可交叉核验的总进球主盘与水位，无可靠大小球倾向</x:v>
      </x:c>
      <x:c r="H411" s="65" t="str">
        <x:v>待确认首发、双方近5场/主客拆分与可靠亚洲双盘；任一市场欧赔&lt;1.80/港水&lt;0.80不进；盘口未核验前不进、不加仓</x:v>
      </x:c>
      <x:c r="I411" s="66" t="n">
        <x:v>46220.82152777778</x:v>
      </x:c>
      <x:c r="J411" s="65" t="str">
        <x:v>需复核</x:v>
      </x:c>
      <x:c r="K411" s="65"/>
      <x:c r="L411" s="65"/>
      <x:c r="M411" s="65"/>
      <x:c r="N411" s="67"/>
      <x:c r="O411" s="67"/>
      <x:c r="P411" s="67" t="str">
        <x:f>IF(COUNT(N411:O411)=0,"",SUM(N411:O411))</x:f>
      </x:c>
      <x:c r="Q411" s="65" t="str">
        <x:v>赛程/状态来源｜https://www.365scores.com/football/tomorrows-matches；365Scores赛事ID 4776366；查询时间：2026-07-17 19:43（北京时间）</x:v>
      </x:c>
      <x:c r="R41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2" ht="38" customHeight="1">
      <x:c r="A412" s="65" t="str">
        <x:f>IF(B412="","",TEXT(B412,"yyyy-mm-dd")&amp;"|"&amp;D412&amp;"|"&amp;E412)</x:f>
        <x:v>2026-07-18|中文名待确认（Lokomotiv Moscow）|中文名待确认（Rubin Kazan）</x:v>
      </x:c>
      <x:c r="B412" s="66" t="n">
        <x:v>46221.666666666664</x:v>
      </x:c>
      <x:c r="C412" s="65" t="str">
        <x:v>国际俱乐部友谊赛</x:v>
      </x:c>
      <x:c r="D412" s="65" t="str">
        <x:v>中文名待确认（Lokomotiv Moscow）</x:v>
      </x:c>
      <x:c r="E412" s="65" t="str">
        <x:v>中文名待确认（Rubin Kazan）</x:v>
      </x:c>
      <x:c r="F412" s="65" t="str">
        <x:v>无可靠让球盘/只观察｜现有可审计资料不足以形成可靠让球倾向</x:v>
      </x:c>
      <x:c r="G412" s="65" t="str">
        <x:v>无可靠大小球盘/只观察｜未取得可交叉核验的总进球主盘与水位，无可靠大小球倾向</x:v>
      </x:c>
      <x:c r="H412" s="65" t="str">
        <x:v>待确认首发、双方近5场/主客拆分与可靠亚洲双盘；任一市场欧赔&lt;1.80/港水&lt;0.80不进；盘口未核验前不进、不加仓</x:v>
      </x:c>
      <x:c r="I412" s="66" t="n">
        <x:v>46220.82152777778</x:v>
      </x:c>
      <x:c r="J412" s="65" t="str">
        <x:v>需复核</x:v>
      </x:c>
      <x:c r="K412" s="65"/>
      <x:c r="L412" s="65"/>
      <x:c r="M412" s="65"/>
      <x:c r="N412" s="67"/>
      <x:c r="O412" s="67"/>
      <x:c r="P412" s="67" t="str">
        <x:f>IF(COUNT(N412:O412)=0,"",SUM(N412:O412))</x:f>
      </x:c>
      <x:c r="Q412" s="65" t="str">
        <x:v>赛程/状态来源｜https://www.365scores.com/football/tomorrows-matches；https://www.livescore.mobi/football/club-friendlies/club-friendlies-2026/lokomotiv-moscow-vs-rubin-kazan/1821851/；365Scores赛事ID 4767777；查询时间：2026-07-17 19:43（北京时间）</x:v>
      </x:c>
      <x:c r="R41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3" ht="38" customHeight="1">
      <x:c r="A413" s="65" t="str">
        <x:f>IF(B413="","",TEXT(B413,"yyyy-mm-dd")&amp;"|"&amp;D413&amp;"|"&amp;E413)</x:f>
        <x:v>2026-07-18|中文名待确认（Guimarães）|中文名待确认（FC Penafiel）</x:v>
      </x:c>
      <x:c r="B413" s="66" t="n">
        <x:v>46221.666666666664</x:v>
      </x:c>
      <x:c r="C413" s="65" t="str">
        <x:v>国际俱乐部友谊赛</x:v>
      </x:c>
      <x:c r="D413" s="65" t="str">
        <x:v>中文名待确认（Guimarães）</x:v>
      </x:c>
      <x:c r="E413" s="65" t="str">
        <x:v>中文名待确认（FC Penafiel）</x:v>
      </x:c>
      <x:c r="F413" s="65" t="str">
        <x:v>无可靠让球盘/只观察｜现有可审计资料不足以形成可靠让球倾向</x:v>
      </x:c>
      <x:c r="G413" s="65" t="str">
        <x:v>无可靠大小球盘/只观察｜未取得可交叉核验的总进球主盘与水位，无可靠大小球倾向</x:v>
      </x:c>
      <x:c r="H413" s="65" t="str">
        <x:v>待确认首发、双方近5场/主客拆分与可靠亚洲双盘；任一市场欧赔&lt;1.80/港水&lt;0.80不进；盘口未核验前不进、不加仓</x:v>
      </x:c>
      <x:c r="I413" s="66" t="n">
        <x:v>46220.82152777778</x:v>
      </x:c>
      <x:c r="J413" s="65" t="str">
        <x:v>需复核</x:v>
      </x:c>
      <x:c r="K413" s="65"/>
      <x:c r="L413" s="65"/>
      <x:c r="M413" s="65"/>
      <x:c r="N413" s="67"/>
      <x:c r="O413" s="67"/>
      <x:c r="P413" s="67" t="str">
        <x:f>IF(COUNT(N413:O413)=0,"",SUM(N413:O413))</x:f>
      </x:c>
      <x:c r="Q413" s="65" t="str">
        <x:v>赛程/状态来源｜https://www.365scores.com/football/tomorrows-matches；365Scores赛事ID 4771134；查询时间：2026-07-17 19:43（北京时间）</x:v>
      </x:c>
      <x:c r="R41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4" ht="38" customHeight="1">
      <x:c r="A414" s="65" t="str">
        <x:f>IF(B414="","",TEXT(B414,"yyyy-mm-dd")&amp;"|"&amp;D414&amp;"|"&amp;E414)</x:f>
        <x:v>2026-07-18|中文名待确认（Erdi）|中文名待确认（Budaörsi SC）</x:v>
      </x:c>
      <x:c r="B414" s="66" t="n">
        <x:v>46221.666666666664</x:v>
      </x:c>
      <x:c r="C414" s="65" t="str">
        <x:v>国际俱乐部友谊赛</x:v>
      </x:c>
      <x:c r="D414" s="65" t="str">
        <x:v>中文名待确认（Erdi）</x:v>
      </x:c>
      <x:c r="E414" s="65" t="str">
        <x:v>中文名待确认（Budaörsi SC）</x:v>
      </x:c>
      <x:c r="F414" s="65" t="str">
        <x:v>无可靠让球盘/只观察｜现有可审计资料不足以形成可靠让球倾向</x:v>
      </x:c>
      <x:c r="G414" s="65" t="str">
        <x:v>无可靠大小球盘/只观察｜未取得可交叉核验的总进球主盘与水位，无可靠大小球倾向</x:v>
      </x:c>
      <x:c r="H414" s="65" t="str">
        <x:v>待确认首发、双方近5场/主客拆分与可靠亚洲双盘；任一市场欧赔&lt;1.80/港水&lt;0.80不进；盘口未核验前不进、不加仓</x:v>
      </x:c>
      <x:c r="I414" s="66" t="n">
        <x:v>46220.82152777778</x:v>
      </x:c>
      <x:c r="J414" s="65" t="str">
        <x:v>需复核</x:v>
      </x:c>
      <x:c r="K414" s="65"/>
      <x:c r="L414" s="65"/>
      <x:c r="M414" s="65"/>
      <x:c r="N414" s="67"/>
      <x:c r="O414" s="67"/>
      <x:c r="P414" s="67" t="str">
        <x:f>IF(COUNT(N414:O414)=0,"",SUM(N414:O414))</x:f>
      </x:c>
      <x:c r="Q414" s="65" t="str">
        <x:v>赛程/状态来源｜https://www.365scores.com/football/tomorrows-matches；365Scores赛事ID 4771765；查询时间：2026-07-17 19:43（北京时间）</x:v>
      </x:c>
      <x:c r="R41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5" ht="38" customHeight="1">
      <x:c r="A415" s="65" t="str">
        <x:f>IF(B415="","",TEXT(B415,"yyyy-mm-dd")&amp;"|"&amp;D415&amp;"|"&amp;E415)</x:f>
        <x:v>2026-07-18|东郊（布里斯班）（Eastern Suburbs）|中文名待确认（Magic United TFA）</x:v>
      </x:c>
      <x:c r="B415" s="66" t="n">
        <x:v>46221.666666666664</x:v>
      </x:c>
      <x:c r="C415" s="65" t="str">
        <x:v>澳大利亚昆士兰州超级联赛</x:v>
      </x:c>
      <x:c r="D415" s="65" t="str">
        <x:v>东郊（布里斯班）（Eastern Suburbs）</x:v>
      </x:c>
      <x:c r="E415" s="65" t="str">
        <x:v>中文名待确认（Magic United TFA）</x:v>
      </x:c>
      <x:c r="F415" s="65" t="str">
        <x:v>无可靠让球盘/只观察｜现有可审计资料不足以形成可靠让球倾向</x:v>
      </x:c>
      <x:c r="G415" s="65" t="str">
        <x:v>无可靠大小球盘/只观察｜未取得可交叉核验的总进球主盘与水位，无可靠大小球倾向</x:v>
      </x:c>
      <x:c r="H415" s="65" t="str">
        <x:v>待确认首发、双方近5场/主客拆分与可靠亚洲双盘；任一市场欧赔&lt;1.80/港水&lt;0.80不进；盘口未核验前不进、不加仓</x:v>
      </x:c>
      <x:c r="I415" s="66" t="n">
        <x:v>46220.82152777778</x:v>
      </x:c>
      <x:c r="J415" s="65" t="str">
        <x:v>需复核</x:v>
      </x:c>
      <x:c r="K415" s="65"/>
      <x:c r="L415" s="65"/>
      <x:c r="M415" s="65"/>
      <x:c r="N415" s="67"/>
      <x:c r="O415" s="67"/>
      <x:c r="P415" s="67" t="str">
        <x:f>IF(COUNT(N415:O415)=0,"",SUM(N415:O415))</x:f>
      </x:c>
      <x:c r="Q415" s="65" t="str">
        <x:v>赛程/状态来源｜https://www.livescore.mobi/football/australia/queensland-2026/eastern-suburbs-vs-magic-united-tfa/1717529/；365Scores赛事ID —；查询时间：2026-07-17 19:43（北京时间）</x:v>
      </x:c>
      <x:c r="R41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6" ht="38" customHeight="1">
      <x:c r="A416" s="65" t="str">
        <x:f>IF(B416="","",TEXT(B416,"yyyy-mm-dd")&amp;"|"&amp;D416&amp;"|"&amp;E416)</x:f>
        <x:v>2026-07-18|中文名待确认（Dinamo Moscow）|中文名待确认（Akron Tolyatti）</x:v>
      </x:c>
      <x:c r="B416" s="66" t="n">
        <x:v>46221.666666666664</x:v>
      </x:c>
      <x:c r="C416" s="65" t="str">
        <x:v>国际俱乐部友谊赛</x:v>
      </x:c>
      <x:c r="D416" s="65" t="str">
        <x:v>中文名待确认（Dinamo Moscow）</x:v>
      </x:c>
      <x:c r="E416" s="65" t="str">
        <x:v>中文名待确认（Akron Tolyatti）</x:v>
      </x:c>
      <x:c r="F416" s="65" t="str">
        <x:v>无可靠让球盘/只观察｜现有可审计资料不足以形成可靠让球倾向</x:v>
      </x:c>
      <x:c r="G416" s="65" t="str">
        <x:v>无可靠大小球盘/只观察｜未取得可交叉核验的总进球主盘与水位，无可靠大小球倾向</x:v>
      </x:c>
      <x:c r="H416" s="65" t="str">
        <x:v>待确认首发、双方近5场/主客拆分与可靠亚洲双盘；任一市场欧赔&lt;1.80/港水&lt;0.80不进；盘口未核验前不进、不加仓</x:v>
      </x:c>
      <x:c r="I416" s="66" t="n">
        <x:v>46220.82152777778</x:v>
      </x:c>
      <x:c r="J416" s="65" t="str">
        <x:v>需复核</x:v>
      </x:c>
      <x:c r="K416" s="65"/>
      <x:c r="L416" s="65"/>
      <x:c r="M416" s="65"/>
      <x:c r="N416" s="67"/>
      <x:c r="O416" s="67"/>
      <x:c r="P416" s="67" t="str">
        <x:f>IF(COUNT(N416:O416)=0,"",SUM(N416:O416))</x:f>
      </x:c>
      <x:c r="Q416" s="65" t="str">
        <x:v>赛程/状态来源｜https://www.livescore.mobi/football/club-friendlies/club-friendlies-2026/dinamo-moscow-vs-akron-tolyatti/1834545/；365Scores赛事ID —；查询时间：2026-07-17 19:43（北京时间）</x:v>
      </x:c>
      <x:c r="R41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7" ht="38" customHeight="1">
      <x:c r="A417" s="65" t="str">
        <x:f>IF(B417="","",TEXT(B417,"yyyy-mm-dd")&amp;"|"&amp;D417&amp;"|"&amp;E417)</x:f>
        <x:v>2026-07-18|中文名待确认（Croatia Zmijavci）|中文名待确认（Siroki Brijeg）</x:v>
      </x:c>
      <x:c r="B417" s="66" t="n">
        <x:v>46221.666666666664</x:v>
      </x:c>
      <x:c r="C417" s="65" t="str">
        <x:v>国际俱乐部友谊赛</x:v>
      </x:c>
      <x:c r="D417" s="65" t="str">
        <x:v>中文名待确认（Croatia Zmijavci）</x:v>
      </x:c>
      <x:c r="E417" s="65" t="str">
        <x:v>中文名待确认（Siroki Brijeg）</x:v>
      </x:c>
      <x:c r="F417" s="65" t="str">
        <x:v>无可靠让球盘/只观察｜现有可审计资料不足以形成可靠让球倾向</x:v>
      </x:c>
      <x:c r="G417" s="65" t="str">
        <x:v>无可靠大小球盘/只观察｜未取得可交叉核验的总进球主盘与水位，无可靠大小球倾向</x:v>
      </x:c>
      <x:c r="H417" s="65" t="str">
        <x:v>待确认首发、双方近5场/主客拆分与可靠亚洲双盘；任一市场欧赔&lt;1.80/港水&lt;0.80不进；盘口未核验前不进、不加仓</x:v>
      </x:c>
      <x:c r="I417" s="66" t="n">
        <x:v>46220.82152777778</x:v>
      </x:c>
      <x:c r="J417" s="65" t="str">
        <x:v>需复核</x:v>
      </x:c>
      <x:c r="K417" s="65"/>
      <x:c r="L417" s="65"/>
      <x:c r="M417" s="65"/>
      <x:c r="N417" s="67"/>
      <x:c r="O417" s="67"/>
      <x:c r="P417" s="67" t="str">
        <x:f>IF(COUNT(N417:O417)=0,"",SUM(N417:O417))</x:f>
      </x:c>
      <x:c r="Q417" s="65" t="str">
        <x:v>赛程/状态来源｜https://www.365scores.com/football/tomorrows-matches；365Scores赛事ID 4773198；查询时间：2026-07-17 19:43（北京时间）</x:v>
      </x:c>
      <x:c r="R41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8" ht="38" customHeight="1">
      <x:c r="A418" s="65" t="str">
        <x:f>IF(B418="","",TEXT(B418,"yyyy-mm-dd")&amp;"|"&amp;D418&amp;"|"&amp;E418)</x:f>
        <x:v>2026-07-18|卡罗琳乔治十字（Caroline Springs George Cross）|中文名待确认（Melbourne City FC Youth）</x:v>
      </x:c>
      <x:c r="B418" s="66" t="n">
        <x:v>46221.666666666664</x:v>
      </x:c>
      <x:c r="C418" s="65" t="str">
        <x:v>澳大利亚维多利亚州女子国家超级联赛（NPL Victoria Women）</x:v>
      </x:c>
      <x:c r="D418" s="65" t="str">
        <x:v>卡罗琳乔治十字（Caroline Springs George Cross）</x:v>
      </x:c>
      <x:c r="E418" s="65" t="str">
        <x:v>中文名待确认（Melbourne City FC Youth）</x:v>
      </x:c>
      <x:c r="F418" s="65" t="str">
        <x:v>无可靠让球盘/只观察｜现有可审计资料不足以形成可靠让球倾向</x:v>
      </x:c>
      <x:c r="G418" s="65" t="str">
        <x:v>无可靠大小球盘/只观察｜未取得可交叉核验的总进球主盘与水位，无可靠大小球倾向</x:v>
      </x:c>
      <x:c r="H418" s="65" t="str">
        <x:v>待确认首发、双方近5场/主客拆分与可靠亚洲双盘；任一市场欧赔&lt;1.80/港水&lt;0.80不进；盘口未核验前不进、不加仓</x:v>
      </x:c>
      <x:c r="I418" s="66" t="n">
        <x:v>46220.82152777778</x:v>
      </x:c>
      <x:c r="J418" s="65" t="str">
        <x:v>需复核</x:v>
      </x:c>
      <x:c r="K418" s="65"/>
      <x:c r="L418" s="65"/>
      <x:c r="M418" s="65"/>
      <x:c r="N418" s="67"/>
      <x:c r="O418" s="67"/>
      <x:c r="P418" s="67" t="str">
        <x:f>IF(COUNT(N418:O418)=0,"",SUM(N418:O418))</x:f>
      </x:c>
      <x:c r="Q418" s="65" t="str">
        <x:v>赛程/状态来源｜https://www.livescore.mobi/football/australia/npl-victoria/caroline-springs-george-cross-vs-melbourne-city-fc-youth/1722314/；365Scores赛事ID —；查询时间：2026-07-17 19:43（北京时间）</x:v>
      </x:c>
      <x:c r="R41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19" ht="38" customHeight="1">
      <x:c r="A419" s="65" t="str">
        <x:f>IF(B419="","",TEXT(B419,"yyyy-mm-dd")&amp;"|"&amp;D419&amp;"|"&amp;E419)</x:f>
        <x:v>2026-07-18|中文名待确认（Brisbane Strikers）|中文名待确认（Broadbeach United）</x:v>
      </x:c>
      <x:c r="B419" s="66" t="n">
        <x:v>46221.666666666664</x:v>
      </x:c>
      <x:c r="C419" s="65" t="str">
        <x:v>澳大利亚昆士兰州超级联赛</x:v>
      </x:c>
      <x:c r="D419" s="65" t="str">
        <x:v>中文名待确认（Brisbane Strikers）</x:v>
      </x:c>
      <x:c r="E419" s="65" t="str">
        <x:v>中文名待确认（Broadbeach United）</x:v>
      </x:c>
      <x:c r="F419" s="65" t="str">
        <x:v>无可靠让球盘/只观察｜现有可审计资料不足以形成可靠让球倾向</x:v>
      </x:c>
      <x:c r="G419" s="65" t="str">
        <x:v>无可靠大小球盘/只观察｜未取得可交叉核验的总进球主盘与水位，无可靠大小球倾向</x:v>
      </x:c>
      <x:c r="H419" s="65" t="str">
        <x:v>待确认首发、双方近5场/主客拆分与可靠亚洲双盘；任一市场欧赔&lt;1.80/港水&lt;0.80不进；盘口未核验前不进、不加仓</x:v>
      </x:c>
      <x:c r="I419" s="66" t="n">
        <x:v>46220.82152777778</x:v>
      </x:c>
      <x:c r="J419" s="65" t="str">
        <x:v>需复核</x:v>
      </x:c>
      <x:c r="K419" s="65"/>
      <x:c r="L419" s="65"/>
      <x:c r="M419" s="65"/>
      <x:c r="N419" s="67"/>
      <x:c r="O419" s="67"/>
      <x:c r="P419" s="67" t="str">
        <x:f>IF(COUNT(N419:O419)=0,"",SUM(N419:O419))</x:f>
      </x:c>
      <x:c r="Q419" s="65" t="str">
        <x:v>赛程/状态来源｜https://www.livescore.mobi/football/australia/queensland-premier-league-2026/brisbane-strikers-vs-broadbeach-united/1744953/；365Scores赛事ID —；查询时间：2026-07-17 19:43（北京时间）</x:v>
      </x:c>
      <x:c r="R41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0" ht="38" customHeight="1">
      <x:c r="A420" s="65" t="str">
        <x:f>IF(B420="","",TEXT(B420,"yyyy-mm-dd")&amp;"|"&amp;D420&amp;"|"&amp;E420)</x:f>
        <x:v>2026-07-18|中文名待确认（Akron Tolyatti）|中文名待确认（Dynamo Moscow）</x:v>
      </x:c>
      <x:c r="B420" s="66" t="n">
        <x:v>46221.666666666664</x:v>
      </x:c>
      <x:c r="C420" s="65" t="str">
        <x:v>国际俱乐部友谊赛</x:v>
      </x:c>
      <x:c r="D420" s="65" t="str">
        <x:v>中文名待确认（Akron Tolyatti）</x:v>
      </x:c>
      <x:c r="E420" s="65" t="str">
        <x:v>中文名待确认（Dynamo Moscow）</x:v>
      </x:c>
      <x:c r="F420" s="65" t="str">
        <x:v>无可靠让球盘/只观察｜现有可审计资料不足以形成可靠让球倾向</x:v>
      </x:c>
      <x:c r="G420" s="65" t="str">
        <x:v>无可靠大小球盘/只观察｜未取得可交叉核验的总进球主盘与水位，无可靠大小球倾向</x:v>
      </x:c>
      <x:c r="H420" s="65" t="str">
        <x:v>待确认首发、双方近5场/主客拆分与可靠亚洲双盘；任一市场欧赔&lt;1.80/港水&lt;0.80不进；盘口未核验前不进、不加仓</x:v>
      </x:c>
      <x:c r="I420" s="66" t="n">
        <x:v>46220.82152777778</x:v>
      </x:c>
      <x:c r="J420" s="65" t="str">
        <x:v>需复核</x:v>
      </x:c>
      <x:c r="K420" s="65"/>
      <x:c r="L420" s="65"/>
      <x:c r="M420" s="65"/>
      <x:c r="N420" s="67"/>
      <x:c r="O420" s="67"/>
      <x:c r="P420" s="67" t="str">
        <x:f>IF(COUNT(N420:O420)=0,"",SUM(N420:O420))</x:f>
      </x:c>
      <x:c r="Q420" s="65" t="str">
        <x:v>赛程/状态来源｜https://www.365scores.com/football/tomorrows-matches；365Scores赛事ID 4767932；查询时间：2026-07-17 19:43（北京时间）</x:v>
      </x:c>
      <x:c r="R42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1" ht="38" customHeight="1">
      <x:c r="A421" s="65" t="str">
        <x:f>IF(B421="","",TEXT(B421,"yyyy-mm-dd")&amp;"|"&amp;D421&amp;"|"&amp;E421)</x:f>
        <x:v>2026-07-18|中文名待确认（FC Ajka）|中文名待确认（Csakvari TK）</x:v>
      </x:c>
      <x:c r="B421" s="66" t="n">
        <x:v>46221.666666666664</x:v>
      </x:c>
      <x:c r="C421" s="65" t="str">
        <x:v>国际俱乐部友谊赛</x:v>
      </x:c>
      <x:c r="D421" s="65" t="str">
        <x:v>中文名待确认（FC Ajka）</x:v>
      </x:c>
      <x:c r="E421" s="65" t="str">
        <x:v>中文名待确认（Csakvari TK）</x:v>
      </x:c>
      <x:c r="F421" s="65" t="str">
        <x:v>无可靠让球盘/只观察｜现有可审计资料不足以形成可靠让球倾向</x:v>
      </x:c>
      <x:c r="G421" s="65" t="str">
        <x:v>无可靠大小球盘/只观察｜未取得可交叉核验的总进球主盘与水位，无可靠大小球倾向</x:v>
      </x:c>
      <x:c r="H421" s="65" t="str">
        <x:v>待确认首发、双方近5场/主客拆分与可靠亚洲双盘；任一市场欧赔&lt;1.80/港水&lt;0.80不进；盘口未核验前不进、不加仓</x:v>
      </x:c>
      <x:c r="I421" s="66" t="n">
        <x:v>46220.82152777778</x:v>
      </x:c>
      <x:c r="J421" s="65" t="str">
        <x:v>需复核</x:v>
      </x:c>
      <x:c r="K421" s="65"/>
      <x:c r="L421" s="65"/>
      <x:c r="M421" s="65"/>
      <x:c r="N421" s="67"/>
      <x:c r="O421" s="67"/>
      <x:c r="P421" s="67" t="str">
        <x:f>IF(COUNT(N421:O421)=0,"",SUM(N421:O421))</x:f>
      </x:c>
      <x:c r="Q421" s="65" t="str">
        <x:v>赛程/状态来源｜https://www.365scores.com/football/tomorrows-matches；365Scores赛事ID 4771575；查询时间：2026-07-17 19:43（北京时间）</x:v>
      </x:c>
      <x:c r="R42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2" ht="38" customHeight="1">
      <x:c r="A422" s="65" t="str">
        <x:f>IF(B422="","",TEXT(B422,"yyyy-mm-dd")&amp;"|"&amp;D422&amp;"|"&amp;E422)</x:f>
        <x:v>2026-07-18|中文名待确认（Admira Prague）|中文名待确认（Hradec Kralove II）</x:v>
      </x:c>
      <x:c r="B422" s="66" t="n">
        <x:v>46221.666666666664</x:v>
      </x:c>
      <x:c r="C422" s="65" t="str">
        <x:v>国际俱乐部友谊赛</x:v>
      </x:c>
      <x:c r="D422" s="65" t="str">
        <x:v>中文名待确认（Admira Prague）</x:v>
      </x:c>
      <x:c r="E422" s="65" t="str">
        <x:v>中文名待确认（Hradec Kralove II）</x:v>
      </x:c>
      <x:c r="F422" s="65" t="str">
        <x:v>无可靠让球盘/只观察｜现有可审计资料不足以形成可靠让球倾向</x:v>
      </x:c>
      <x:c r="G422" s="65" t="str">
        <x:v>无可靠大小球盘/只观察｜未取得可交叉核验的总进球主盘与水位，无可靠大小球倾向</x:v>
      </x:c>
      <x:c r="H422" s="65" t="str">
        <x:v>待确认首发、双方近5场/主客拆分与可靠亚洲双盘；任一市场欧赔&lt;1.80/港水&lt;0.80不进；盘口未核验前不进、不加仓</x:v>
      </x:c>
      <x:c r="I422" s="66" t="n">
        <x:v>46220.82152777778</x:v>
      </x:c>
      <x:c r="J422" s="65" t="str">
        <x:v>需复核</x:v>
      </x:c>
      <x:c r="K422" s="65"/>
      <x:c r="L422" s="65"/>
      <x:c r="M422" s="65"/>
      <x:c r="N422" s="67"/>
      <x:c r="O422" s="67"/>
      <x:c r="P422" s="67" t="str">
        <x:f>IF(COUNT(N422:O422)=0,"",SUM(N422:O422))</x:f>
      </x:c>
      <x:c r="Q422" s="65" t="str">
        <x:v>赛程/状态来源｜https://www.365scores.com/football/tomorrows-matches；365Scores赛事ID 4773197；查询时间：2026-07-17 19:43（北京时间）</x:v>
      </x:c>
      <x:c r="R42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3" ht="38" customHeight="1">
      <x:c r="A423" s="65" t="str">
        <x:f>IF(B423="","",TEXT(B423,"yyyy-mm-dd")&amp;"|"&amp;D423&amp;"|"&amp;E423)</x:f>
        <x:v>2026-07-18|中文名待确认（Vihren）|中文名待确认（Marek）</x:v>
      </x:c>
      <x:c r="B423" s="66" t="n">
        <x:v>46221.645833333336</x:v>
      </x:c>
      <x:c r="C423" s="65" t="str">
        <x:v>国际俱乐部友谊赛</x:v>
      </x:c>
      <x:c r="D423" s="65" t="str">
        <x:v>中文名待确认（Vihren）</x:v>
      </x:c>
      <x:c r="E423" s="65" t="str">
        <x:v>中文名待确认（Marek）</x:v>
      </x:c>
      <x:c r="F423" s="65" t="str">
        <x:v>无可靠让球盘/只观察｜现有可审计资料不足以形成可靠让球倾向</x:v>
      </x:c>
      <x:c r="G423" s="65" t="str">
        <x:v>无可靠大小球盘/只观察｜未取得可交叉核验的总进球主盘与水位，无可靠大小球倾向</x:v>
      </x:c>
      <x:c r="H423" s="65" t="str">
        <x:v>待确认首发、双方近5场/主客拆分与可靠亚洲双盘；任一市场欧赔&lt;1.80/港水&lt;0.80不进；盘口未核验前不进、不加仓</x:v>
      </x:c>
      <x:c r="I423" s="66" t="n">
        <x:v>46220.82152777778</x:v>
      </x:c>
      <x:c r="J423" s="65" t="str">
        <x:v>需复核</x:v>
      </x:c>
      <x:c r="K423" s="65"/>
      <x:c r="L423" s="65"/>
      <x:c r="M423" s="65"/>
      <x:c r="N423" s="67"/>
      <x:c r="O423" s="67"/>
      <x:c r="P423" s="67" t="str">
        <x:f>IF(COUNT(N423:O423)=0,"",SUM(N423:O423))</x:f>
      </x:c>
      <x:c r="Q423" s="65" t="str">
        <x:v>赛程/状态来源｜https://www.365scores.com/football/tomorrows-matches；365Scores赛事ID 4771587；查询时间：2026-07-17 19:43（北京时间）</x:v>
      </x:c>
      <x:c r="R42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4" ht="38" customHeight="1">
      <x:c r="A424" s="65" t="str">
        <x:f>IF(B424="","",TEXT(B424,"yyyy-mm-dd")&amp;"|"&amp;D424&amp;"|"&amp;E424)</x:f>
        <x:v>2026-07-18|中文名待确认（Unirea Slobozia）|中文名待确认（Tunari）</x:v>
      </x:c>
      <x:c r="B424" s="66" t="n">
        <x:v>46221.645833333336</x:v>
      </x:c>
      <x:c r="C424" s="65" t="str">
        <x:v>国际俱乐部友谊赛</x:v>
      </x:c>
      <x:c r="D424" s="65" t="str">
        <x:v>中文名待确认（Unirea Slobozia）</x:v>
      </x:c>
      <x:c r="E424" s="65" t="str">
        <x:v>中文名待确认（Tunari）</x:v>
      </x:c>
      <x:c r="F424" s="65" t="str">
        <x:v>无可靠让球盘/只观察｜现有可审计资料不足以形成可靠让球倾向</x:v>
      </x:c>
      <x:c r="G424" s="65" t="str">
        <x:v>无可靠大小球盘/只观察｜未取得可交叉核验的总进球主盘与水位，无可靠大小球倾向</x:v>
      </x:c>
      <x:c r="H424" s="65" t="str">
        <x:v>待确认首发、双方近5场/主客拆分与可靠亚洲双盘；任一市场欧赔&lt;1.80/港水&lt;0.80不进；盘口未核验前不进、不加仓</x:v>
      </x:c>
      <x:c r="I424" s="66" t="n">
        <x:v>46220.82152777778</x:v>
      </x:c>
      <x:c r="J424" s="65" t="str">
        <x:v>需复核</x:v>
      </x:c>
      <x:c r="K424" s="65"/>
      <x:c r="L424" s="65"/>
      <x:c r="M424" s="65"/>
      <x:c r="N424" s="67"/>
      <x:c r="O424" s="67"/>
      <x:c r="P424" s="67" t="str">
        <x:f>IF(COUNT(N424:O424)=0,"",SUM(N424:O424))</x:f>
      </x:c>
      <x:c r="Q424" s="65" t="str">
        <x:v>赛程/状态来源｜https://www.365scores.com/football/tomorrows-matches；365Scores赛事ID 4776272；查询时间：2026-07-17 19:43（北京时间）</x:v>
      </x:c>
      <x:c r="R42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5" ht="38" customHeight="1">
      <x:c r="A425" s="65" t="str">
        <x:f>IF(B425="","",TEXT(B425,"yyyy-mm-dd")&amp;"|"&amp;D425&amp;"|"&amp;E425)</x:f>
        <x:v>2026-07-18|中文名待确认（Sutherland Sharks）|中文名待确认（Sydney Olympic）</x:v>
      </x:c>
      <x:c r="B425" s="66" t="n">
        <x:v>46221.645833333336</x:v>
      </x:c>
      <x:c r="C425" s="65" t="str">
        <x:v>澳大利亚新南威尔士州超级联赛</x:v>
      </x:c>
      <x:c r="D425" s="65" t="str">
        <x:v>中文名待确认（Sutherland Sharks）</x:v>
      </x:c>
      <x:c r="E425" s="65" t="str">
        <x:v>中文名待确认（Sydney Olympic）</x:v>
      </x:c>
      <x:c r="F425" s="65" t="str">
        <x:v>无可靠让球盘/只观察｜现有可审计资料不足以形成可靠让球倾向</x:v>
      </x:c>
      <x:c r="G425" s="65" t="str">
        <x:v>无可靠大小球盘/只观察｜未取得可交叉核验的总进球主盘与水位，无可靠大小球倾向</x:v>
      </x:c>
      <x:c r="H425" s="65" t="str">
        <x:v>待确认首发、双方近5场/主客拆分与可靠亚洲双盘；任一市场欧赔&lt;1.80/港水&lt;0.80不进；盘口未核验前不进、不加仓</x:v>
      </x:c>
      <x:c r="I425" s="66" t="n">
        <x:v>46220.82152777778</x:v>
      </x:c>
      <x:c r="J425" s="65" t="str">
        <x:v>需复核</x:v>
      </x:c>
      <x:c r="K425" s="65"/>
      <x:c r="L425" s="65"/>
      <x:c r="M425" s="65"/>
      <x:c r="N425" s="67"/>
      <x:c r="O425" s="67"/>
      <x:c r="P425" s="67" t="str">
        <x:f>IF(COUNT(N425:O425)=0,"",SUM(N425:O425))</x:f>
      </x:c>
      <x:c r="Q425" s="65" t="str">
        <x:v>赛程/状态来源｜https://www.livescore.mobi/football/australia/npl-new-south-wales/sutherland-sharks-vs-sydney-olympic/1708165/；https://footballnsw.com.au/competitions/；365Scores赛事ID —；查询时间：2026-07-17 19:43（北京时间）</x:v>
      </x:c>
      <x:c r="R42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6" ht="38" customHeight="1">
      <x:c r="A426" s="65" t="str">
        <x:f>IF(B426="","",TEXT(B426,"yyyy-mm-dd")&amp;"|"&amp;D426&amp;"|"&amp;E426)</x:f>
        <x:v>2026-07-18|町田泽维亚（Machida Zelvia）|中文名待确认（Fujieda MYFC）</x:v>
      </x:c>
      <x:c r="B426" s="66" t="n">
        <x:v>46221.645833333336</x:v>
      </x:c>
      <x:c r="C426" s="65" t="str">
        <x:v>国际俱乐部友谊赛</x:v>
      </x:c>
      <x:c r="D426" s="65" t="str">
        <x:v>町田泽维亚（Machida Zelvia）</x:v>
      </x:c>
      <x:c r="E426" s="65" t="str">
        <x:v>中文名待确认（Fujieda MYFC）</x:v>
      </x:c>
      <x:c r="F426" s="65" t="str">
        <x:v>无可靠让球盘/只观察｜现有可审计资料不足以形成可靠让球倾向</x:v>
      </x:c>
      <x:c r="G426" s="65" t="str">
        <x:v>无可靠大小球盘/只观察｜未取得可交叉核验的总进球主盘与水位，无可靠大小球倾向</x:v>
      </x:c>
      <x:c r="H426" s="65" t="str">
        <x:v>待确认首发、双方近5场/主客拆分与可靠亚洲双盘；任一市场欧赔&lt;1.80/港水&lt;0.80不进；盘口未核验前不进、不加仓</x:v>
      </x:c>
      <x:c r="I426" s="66" t="n">
        <x:v>46220.82152777778</x:v>
      </x:c>
      <x:c r="J426" s="65" t="str">
        <x:v>需复核</x:v>
      </x:c>
      <x:c r="K426" s="65"/>
      <x:c r="L426" s="65"/>
      <x:c r="M426" s="65"/>
      <x:c r="N426" s="67"/>
      <x:c r="O426" s="67"/>
      <x:c r="P426" s="67" t="str">
        <x:f>IF(COUNT(N426:O426)=0,"",SUM(N426:O426))</x:f>
      </x:c>
      <x:c r="Q426" s="65" t="str">
        <x:v>赛程/状态来源｜https://www.365scores.com/football/tomorrows-matches；365Scores赛事ID 4767908；查询时间：2026-07-17 19:43（北京时间）</x:v>
      </x:c>
      <x:c r="R42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7" ht="38" customHeight="1">
      <x:c r="A427" s="65" t="str">
        <x:f>IF(B427="","",TEXT(B427,"yyyy-mm-dd")&amp;"|"&amp;D427&amp;"|"&amp;E427)</x:f>
        <x:v>2026-07-18|中文名待确认（Ludogorets II）|中文名待确认（FK Lokomotiv Gorna Oryahovitsa）</x:v>
      </x:c>
      <x:c r="B427" s="66" t="n">
        <x:v>46221.645833333336</x:v>
      </x:c>
      <x:c r="C427" s="65" t="str">
        <x:v>国际俱乐部友谊赛</x:v>
      </x:c>
      <x:c r="D427" s="65" t="str">
        <x:v>中文名待确认（Ludogorets II）</x:v>
      </x:c>
      <x:c r="E427" s="65" t="str">
        <x:v>中文名待确认（FK Lokomotiv Gorna Oryahovitsa）</x:v>
      </x:c>
      <x:c r="F427" s="65" t="str">
        <x:v>无可靠让球盘/只观察｜现有可审计资料不足以形成可靠让球倾向</x:v>
      </x:c>
      <x:c r="G427" s="65" t="str">
        <x:v>无可靠大小球盘/只观察｜未取得可交叉核验的总进球主盘与水位，无可靠大小球倾向</x:v>
      </x:c>
      <x:c r="H427" s="65" t="str">
        <x:v>待确认首发、双方近5场/主客拆分与可靠亚洲双盘；任一市场欧赔&lt;1.80/港水&lt;0.80不进；盘口未核验前不进、不加仓</x:v>
      </x:c>
      <x:c r="I427" s="66" t="n">
        <x:v>46220.82152777778</x:v>
      </x:c>
      <x:c r="J427" s="65" t="str">
        <x:v>需复核</x:v>
      </x:c>
      <x:c r="K427" s="65"/>
      <x:c r="L427" s="65"/>
      <x:c r="M427" s="65"/>
      <x:c r="N427" s="67"/>
      <x:c r="O427" s="67"/>
      <x:c r="P427" s="67" t="str">
        <x:f>IF(COUNT(N427:O427)=0,"",SUM(N427:O427))</x:f>
      </x:c>
      <x:c r="Q427" s="65" t="str">
        <x:v>赛程/状态来源｜https://www.365scores.com/football/tomorrows-matches；365Scores赛事ID 4776271；查询时间：2026-07-17 19:43（北京时间）</x:v>
      </x:c>
      <x:c r="R42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8" ht="38" customHeight="1">
      <x:c r="A428" s="65" t="str">
        <x:f>IF(B428="","",TEXT(B428,"yyyy-mm-dd")&amp;"|"&amp;D428&amp;"|"&amp;E428)</x:f>
        <x:v>2026-07-18|伊普斯维奇城（Ipswich FC）|中文名待确认（North Star FC）</x:v>
      </x:c>
      <x:c r="B428" s="66" t="n">
        <x:v>46221.645833333336</x:v>
      </x:c>
      <x:c r="C428" s="65" t="str">
        <x:v>澳大利亚昆士兰州超级联赛</x:v>
      </x:c>
      <x:c r="D428" s="65" t="str">
        <x:v>伊普斯维奇城（Ipswich FC）</x:v>
      </x:c>
      <x:c r="E428" s="65" t="str">
        <x:v>中文名待确认（North Star FC）</x:v>
      </x:c>
      <x:c r="F428" s="65" t="str">
        <x:v>无可靠让球盘/只观察｜现有可审计资料不足以形成可靠让球倾向</x:v>
      </x:c>
      <x:c r="G428" s="65" t="str">
        <x:v>无可靠大小球盘/只观察｜未取得可交叉核验的总进球主盘与水位，无可靠大小球倾向</x:v>
      </x:c>
      <x:c r="H428" s="65" t="str">
        <x:v>待确认首发、双方近5场/主客拆分与可靠亚洲双盘；任一市场欧赔&lt;1.80/港水&lt;0.80不进；盘口未核验前不进、不加仓</x:v>
      </x:c>
      <x:c r="I428" s="66" t="n">
        <x:v>46220.82152777778</x:v>
      </x:c>
      <x:c r="J428" s="65" t="str">
        <x:v>需复核</x:v>
      </x:c>
      <x:c r="K428" s="65"/>
      <x:c r="L428" s="65"/>
      <x:c r="M428" s="65"/>
      <x:c r="N428" s="67"/>
      <x:c r="O428" s="67"/>
      <x:c r="P428" s="67" t="str">
        <x:f>IF(COUNT(N428:O428)=0,"",SUM(N428:O428))</x:f>
      </x:c>
      <x:c r="Q428" s="65" t="str">
        <x:v>赛程/状态来源｜https://www.livescore.mobi/football/australia/queensland-premier-league-2026/ipswich-fc-vs-north-star-fc/1744951/；365Scores赛事ID —；查询时间：2026-07-17 19:43（北京时间）</x:v>
      </x:c>
      <x:c r="R42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29" ht="38" customHeight="1">
      <x:c r="A429" s="65" t="str">
        <x:f>IF(B429="","",TEXT(B429,"yyyy-mm-dd")&amp;"|"&amp;D429&amp;"|"&amp;E429)</x:f>
        <x:v>2026-07-18|新南威尔士大学（UNSW FC）|中文名待确认（Spirit FC）</x:v>
      </x:c>
      <x:c r="B429" s="66" t="n">
        <x:v>46221.635416666664</x:v>
      </x:c>
      <x:c r="C429" s="65" t="str">
        <x:v>澳大利亚新南威尔士州超级联赛</x:v>
      </x:c>
      <x:c r="D429" s="65" t="str">
        <x:v>新南威尔士大学（UNSW FC）</x:v>
      </x:c>
      <x:c r="E429" s="65" t="str">
        <x:v>中文名待确认（Spirit FC）</x:v>
      </x:c>
      <x:c r="F429" s="65" t="str">
        <x:v>无可靠让球盘/只观察｜现有可审计资料不足以形成可靠让球倾向</x:v>
      </x:c>
      <x:c r="G429" s="65" t="str">
        <x:v>无可靠大小球盘/只观察｜未取得可交叉核验的总进球主盘与水位，无可靠大小球倾向</x:v>
      </x:c>
      <x:c r="H429" s="65" t="str">
        <x:v>待确认首发、双方近5场/主客拆分与可靠亚洲双盘；任一市场欧赔&lt;1.80/港水&lt;0.80不进；盘口未核验前不进、不加仓</x:v>
      </x:c>
      <x:c r="I429" s="66" t="n">
        <x:v>46220.82152777778</x:v>
      </x:c>
      <x:c r="J429" s="65" t="str">
        <x:v>需复核</x:v>
      </x:c>
      <x:c r="K429" s="65"/>
      <x:c r="L429" s="65"/>
      <x:c r="M429" s="65"/>
      <x:c r="N429" s="67"/>
      <x:c r="O429" s="67"/>
      <x:c r="P429" s="67" t="str">
        <x:f>IF(COUNT(N429:O429)=0,"",SUM(N429:O429))</x:f>
      </x:c>
      <x:c r="Q429" s="65" t="str">
        <x:v>赛程/状态来源｜https://www.livescore.mobi/football/australia/npl-new-south-wales/unsw-fc-vs-spirit-fc/1708170/；https://footballnsw.com.au/competitions/；365Scores赛事ID —；查询时间：2026-07-17 19:43（北京时间）</x:v>
      </x:c>
      <x:c r="R42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0" ht="38" customHeight="1">
      <x:c r="A430" s="65" t="str">
        <x:f>IF(B430="","",TEXT(B430,"yyyy-mm-dd")&amp;"|"&amp;D430&amp;"|"&amp;E430)</x:f>
        <x:v>2026-07-18|中文名待确认（Rochedale Rovers）|布里斯班城（Brisbane City）</x:v>
      </x:c>
      <x:c r="B430" s="66" t="n">
        <x:v>46221.625</x:v>
      </x:c>
      <x:c r="C430" s="65" t="str">
        <x:v>澳大利亚昆士兰州超级联赛</x:v>
      </x:c>
      <x:c r="D430" s="65" t="str">
        <x:v>中文名待确认（Rochedale Rovers）</x:v>
      </x:c>
      <x:c r="E430" s="65" t="str">
        <x:v>布里斯班城（Brisbane City）</x:v>
      </x:c>
      <x:c r="F430" s="65" t="str">
        <x:v>无可靠让球盘/只观察｜现有可审计资料不足以形成可靠让球倾向</x:v>
      </x:c>
      <x:c r="G430" s="65" t="str">
        <x:v>无可靠大小球盘/只观察｜未取得可交叉核验的总进球主盘与水位，无可靠大小球倾向</x:v>
      </x:c>
      <x:c r="H430" s="65" t="str">
        <x:v>待确认首发、双方近5场/主客拆分与可靠亚洲双盘；任一市场欧赔&lt;1.80/港水&lt;0.80不进；盘口未核验前不进、不加仓</x:v>
      </x:c>
      <x:c r="I430" s="66" t="n">
        <x:v>46220.82152777778</x:v>
      </x:c>
      <x:c r="J430" s="65" t="str">
        <x:v>需复核</x:v>
      </x:c>
      <x:c r="K430" s="65"/>
      <x:c r="L430" s="65"/>
      <x:c r="M430" s="65"/>
      <x:c r="N430" s="67"/>
      <x:c r="O430" s="67"/>
      <x:c r="P430" s="67" t="str">
        <x:f>IF(COUNT(N430:O430)=0,"",SUM(N430:O430))</x:f>
      </x:c>
      <x:c r="Q430" s="65" t="str">
        <x:v>赛程/状态来源｜https://www.livescore.mobi/football/australia/queensland-2026/rochedale-rovers-vs-brisbane-city/1717524/；365Scores赛事ID —；查询时间：2026-07-17 19:43（北京时间）</x:v>
      </x:c>
      <x:c r="R43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1" ht="38" customHeight="1">
      <x:c r="A431" s="65" t="str">
        <x:f>IF(B431="","",TEXT(B431,"yyyy-mm-dd")&amp;"|"&amp;D431&amp;"|"&amp;E431)</x:f>
        <x:v>2026-07-18|中文名待确认（Perth Redstar FC）|中文名待确认（Fremantle City FC）</x:v>
      </x:c>
      <x:c r="B431" s="66" t="n">
        <x:v>46221.625</x:v>
      </x:c>
      <x:c r="C431" s="65" t="str">
        <x:v>澳大利亚西澳大利亚州超级联赛</x:v>
      </x:c>
      <x:c r="D431" s="65" t="str">
        <x:v>中文名待确认（Perth Redstar FC）</x:v>
      </x:c>
      <x:c r="E431" s="65" t="str">
        <x:v>中文名待确认（Fremantle City FC）</x:v>
      </x:c>
      <x:c r="F431" s="65" t="str">
        <x:v>无可靠让球盘/只观察｜现有可审计资料不足以形成可靠让球倾向</x:v>
      </x:c>
      <x:c r="G431" s="65" t="str">
        <x:v>无可靠大小球盘/只观察｜未取得可交叉核验的总进球主盘与水位，无可靠大小球倾向</x:v>
      </x:c>
      <x:c r="H431" s="65" t="str">
        <x:v>待确认首发、双方近5场/主客拆分与可靠亚洲双盘；任一市场欧赔&lt;1.80/港水&lt;0.80不进；盘口未核验前不进、不加仓</x:v>
      </x:c>
      <x:c r="I431" s="66" t="n">
        <x:v>46220.82152777778</x:v>
      </x:c>
      <x:c r="J431" s="65" t="str">
        <x:v>需复核</x:v>
      </x:c>
      <x:c r="K431" s="65"/>
      <x:c r="L431" s="65"/>
      <x:c r="M431" s="65"/>
      <x:c r="N431" s="67"/>
      <x:c r="O431" s="67"/>
      <x:c r="P431" s="67" t="str">
        <x:f>IF(COUNT(N431:O431)=0,"",SUM(N431:O431))</x:f>
      </x:c>
      <x:c r="Q431" s="65" t="str">
        <x:v>赛程/状态来源｜https://www.livescore.mobi/football/australia/western/perth-redstar-fc-vs-fremantle-city-fc/1744093/；365Scores赛事ID —；查询时间：2026-07-17 19:43（北京时间）</x:v>
      </x:c>
      <x:c r="R43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2" ht="38" customHeight="1">
      <x:c r="A432" s="65" t="str">
        <x:f>IF(B432="","",TEXT(B432,"yyyy-mm-dd")&amp;"|"&amp;D432&amp;"|"&amp;E432)</x:f>
        <x:v>2026-07-18|中文名待确认（Perth Glory Youth）|中文名待确认（Armadale）</x:v>
      </x:c>
      <x:c r="B432" s="66" t="n">
        <x:v>46221.625</x:v>
      </x:c>
      <x:c r="C432" s="65" t="str">
        <x:v>澳大利亚西澳大利亚州超级联赛</x:v>
      </x:c>
      <x:c r="D432" s="65" t="str">
        <x:v>中文名待确认（Perth Glory Youth）</x:v>
      </x:c>
      <x:c r="E432" s="65" t="str">
        <x:v>中文名待确认（Armadale）</x:v>
      </x:c>
      <x:c r="F432" s="65" t="str">
        <x:v>无可靠让球盘/只观察｜现有可审计资料不足以形成可靠让球倾向</x:v>
      </x:c>
      <x:c r="G432" s="65" t="str">
        <x:v>无可靠大小球盘/只观察｜未取得可交叉核验的总进球主盘与水位，无可靠大小球倾向</x:v>
      </x:c>
      <x:c r="H432" s="65" t="str">
        <x:v>待确认首发、双方近5场/主客拆分与可靠亚洲双盘；任一市场欧赔&lt;1.80/港水&lt;0.80不进；盘口未核验前不进、不加仓</x:v>
      </x:c>
      <x:c r="I432" s="66" t="n">
        <x:v>46220.82152777778</x:v>
      </x:c>
      <x:c r="J432" s="65" t="str">
        <x:v>需复核</x:v>
      </x:c>
      <x:c r="K432" s="65"/>
      <x:c r="L432" s="65"/>
      <x:c r="M432" s="65"/>
      <x:c r="N432" s="67"/>
      <x:c r="O432" s="67"/>
      <x:c r="P432" s="67" t="str">
        <x:f>IF(COUNT(N432:O432)=0,"",SUM(N432:O432))</x:f>
      </x:c>
      <x:c r="Q432" s="65" t="str">
        <x:v>赛程/状态来源｜https://www.livescore.mobi/football/australia/western/perth-glory-youth-vs-armadale/1744092/；365Scores赛事ID —；查询时间：2026-07-17 19:43（北京时间）</x:v>
      </x:c>
      <x:c r="R43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3" ht="38" customHeight="1">
      <x:c r="A433" s="65" t="str">
        <x:f>IF(B433="","",TEXT(B433,"yyyy-mm-dd")&amp;"|"&amp;D433&amp;"|"&amp;E433)</x:f>
        <x:v>2026-07-18|中文名待确认（North Geelong Warriors）|中文名待确认（Melbourne Victory Youth）</x:v>
      </x:c>
      <x:c r="B433" s="66" t="n">
        <x:v>46221.625</x:v>
      </x:c>
      <x:c r="C433" s="65" t="str">
        <x:v>澳大利亚维多利亚州超级联赛1（VPL1）</x:v>
      </x:c>
      <x:c r="D433" s="65" t="str">
        <x:v>中文名待确认（North Geelong Warriors）</x:v>
      </x:c>
      <x:c r="E433" s="65" t="str">
        <x:v>中文名待确认（Melbourne Victory Youth）</x:v>
      </x:c>
      <x:c r="F433" s="65" t="str">
        <x:v>无可靠让球盘/只观察｜现有可审计资料不足以形成可靠让球倾向</x:v>
      </x:c>
      <x:c r="G433" s="65" t="str">
        <x:v>无可靠大小球盘/只观察｜未取得可交叉核验的总进球主盘与水位，无可靠大小球倾向</x:v>
      </x:c>
      <x:c r="H433" s="65" t="str">
        <x:v>待确认首发、双方近5场/主客拆分与可靠亚洲双盘；任一市场欧赔&lt;1.80/港水&lt;0.80不进；盘口未核验前不进、不加仓</x:v>
      </x:c>
      <x:c r="I433" s="66" t="n">
        <x:v>46220.82152777778</x:v>
      </x:c>
      <x:c r="J433" s="65" t="str">
        <x:v>需复核</x:v>
      </x:c>
      <x:c r="K433" s="65"/>
      <x:c r="L433" s="65"/>
      <x:c r="M433" s="65"/>
      <x:c r="N433" s="67"/>
      <x:c r="O433" s="67"/>
      <x:c r="P433" s="67" t="str">
        <x:f>IF(COUNT(N433:O433)=0,"",SUM(N433:O433))</x:f>
      </x:c>
      <x:c r="Q433" s="65" t="str">
        <x:v>赛程/状态来源｜https://www.livescore.mobi/football/australia/victoria-premier-league-one/north-geelong-warriors-vs-melbourne-victory-youth/1722502/；365Scores赛事ID —；查询时间：2026-07-17 19:43（北京时间）</x:v>
      </x:c>
      <x:c r="R43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4" ht="38" customHeight="1">
      <x:c r="A434" s="65" t="str">
        <x:f>IF(B434="","",TEXT(B434,"yyyy-mm-dd")&amp;"|"&amp;D434&amp;"|"&amp;E434)</x:f>
        <x:v>2026-07-18|中文名待确认（Inter Lions FC）|中文名待确认（Rydalmere）</x:v>
      </x:c>
      <x:c r="B434" s="66" t="n">
        <x:v>46221.625</x:v>
      </x:c>
      <x:c r="C434" s="65" t="str">
        <x:v>澳大利亚新南威尔士州甲级联赛</x:v>
      </x:c>
      <x:c r="D434" s="65" t="str">
        <x:v>中文名待确认（Inter Lions FC）</x:v>
      </x:c>
      <x:c r="E434" s="65" t="str">
        <x:v>中文名待确认（Rydalmere）</x:v>
      </x:c>
      <x:c r="F434" s="65" t="str">
        <x:v>无可靠让球盘/只观察｜现有可审计资料不足以形成可靠让球倾向</x:v>
      </x:c>
      <x:c r="G434" s="65" t="str">
        <x:v>无可靠大小球盘/只观察｜未取得可交叉核验的总进球主盘与水位，无可靠大小球倾向</x:v>
      </x:c>
      <x:c r="H434" s="65" t="str">
        <x:v>待确认首发、双方近5场/主客拆分与可靠亚洲双盘；任一市场欧赔&lt;1.80/港水&lt;0.80不进；盘口未核验前不进、不加仓</x:v>
      </x:c>
      <x:c r="I434" s="66" t="n">
        <x:v>46220.82152777778</x:v>
      </x:c>
      <x:c r="J434" s="65" t="str">
        <x:v>需复核</x:v>
      </x:c>
      <x:c r="K434" s="65"/>
      <x:c r="L434" s="65"/>
      <x:c r="M434" s="65"/>
      <x:c r="N434" s="67"/>
      <x:c r="O434" s="67"/>
      <x:c r="P434" s="67" t="str">
        <x:f>IF(COUNT(N434:O434)=0,"",SUM(N434:O434))</x:f>
      </x:c>
      <x:c r="Q434" s="65" t="str">
        <x:v>赛程/状态来源｜https://www.livescore.mobi/football/australia/new-south-wales-league-one/inter-lions-fc-vs-rydalmere/1710884/；https://footballnsw.com.au/competitions/；365Scores赛事ID —；查询时间：2026-07-17 19:43（北京时间）</x:v>
      </x:c>
      <x:c r="R43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5" ht="38" customHeight="1">
      <x:c r="A435" s="65" t="str">
        <x:f>IF(B435="","",TEXT(B435,"yyyy-mm-dd")&amp;"|"&amp;D435&amp;"|"&amp;E435)</x:f>
        <x:v>2026-07-18|中文名待确认（Hills United FC）|中文名待确认（Hakoah Sydney City East）</x:v>
      </x:c>
      <x:c r="B435" s="66" t="n">
        <x:v>46221.625</x:v>
      </x:c>
      <x:c r="C435" s="65" t="str">
        <x:v>澳大利亚新南威尔士州甲级联赛</x:v>
      </x:c>
      <x:c r="D435" s="65" t="str">
        <x:v>中文名待确认（Hills United FC）</x:v>
      </x:c>
      <x:c r="E435" s="65" t="str">
        <x:v>中文名待确认（Hakoah Sydney City East）</x:v>
      </x:c>
      <x:c r="F435" s="65" t="str">
        <x:v>无可靠让球盘/只观察｜现有可审计资料不足以形成可靠让球倾向</x:v>
      </x:c>
      <x:c r="G435" s="65" t="str">
        <x:v>无可靠大小球盘/只观察｜未取得可交叉核验的总进球主盘与水位，无可靠大小球倾向</x:v>
      </x:c>
      <x:c r="H435" s="65" t="str">
        <x:v>待确认首发、双方近5场/主客拆分与可靠亚洲双盘；任一市场欧赔&lt;1.80/港水&lt;0.80不进；盘口未核验前不进、不加仓</x:v>
      </x:c>
      <x:c r="I435" s="66" t="n">
        <x:v>46220.82152777778</x:v>
      </x:c>
      <x:c r="J435" s="65" t="str">
        <x:v>需复核</x:v>
      </x:c>
      <x:c r="K435" s="65"/>
      <x:c r="L435" s="65"/>
      <x:c r="M435" s="65"/>
      <x:c r="N435" s="67"/>
      <x:c r="O435" s="67"/>
      <x:c r="P435" s="67" t="str">
        <x:f>IF(COUNT(N435:O435)=0,"",SUM(N435:O435))</x:f>
      </x:c>
      <x:c r="Q435" s="65" t="str">
        <x:v>赛程/状态来源｜https://www.livescore.mobi/football/australia/new-south-wales-league-one/hills-united-fc-vs-hakoah-sydney-city-east/1710879/；https://footballnsw.com.au/competitions/；365Scores赛事ID —；查询时间：2026-07-17 19:43（北京时间）</x:v>
      </x:c>
      <x:c r="R43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6" ht="38" customHeight="1">
      <x:c r="A436" s="65" t="str">
        <x:f>IF(B436="","",TEXT(B436,"yyyy-mm-dd")&amp;"|"&amp;D436&amp;"|"&amp;E436)</x:f>
        <x:v>2026-07-18|中文名待确认（Canterbury Bankstown FC）|中文名待确认（Blacktown Spartans）</x:v>
      </x:c>
      <x:c r="B436" s="66" t="n">
        <x:v>46221.625</x:v>
      </x:c>
      <x:c r="C436" s="65" t="str">
        <x:v>澳大利亚新南威尔士州甲级联赛</x:v>
      </x:c>
      <x:c r="D436" s="65" t="str">
        <x:v>中文名待确认（Canterbury Bankstown FC）</x:v>
      </x:c>
      <x:c r="E436" s="65" t="str">
        <x:v>中文名待确认（Blacktown Spartans）</x:v>
      </x:c>
      <x:c r="F436" s="65" t="str">
        <x:v>无可靠让球盘/只观察｜现有可审计资料不足以形成可靠让球倾向</x:v>
      </x:c>
      <x:c r="G436" s="65" t="str">
        <x:v>无可靠大小球盘/只观察｜未取得可交叉核验的总进球主盘与水位，无可靠大小球倾向</x:v>
      </x:c>
      <x:c r="H436" s="65" t="str">
        <x:v>待确认首发、双方近5场/主客拆分与可靠亚洲双盘；任一市场欧赔&lt;1.80/港水&lt;0.80不进；盘口未核验前不进、不加仓</x:v>
      </x:c>
      <x:c r="I436" s="66" t="n">
        <x:v>46220.82152777778</x:v>
      </x:c>
      <x:c r="J436" s="65" t="str">
        <x:v>需复核</x:v>
      </x:c>
      <x:c r="K436" s="65"/>
      <x:c r="L436" s="65"/>
      <x:c r="M436" s="65"/>
      <x:c r="N436" s="67"/>
      <x:c r="O436" s="67"/>
      <x:c r="P436" s="67" t="str">
        <x:f>IF(COUNT(N436:O436)=0,"",SUM(N436:O436))</x:f>
      </x:c>
      <x:c r="Q436" s="65" t="str">
        <x:v>赛程/状态来源｜https://www.livescore.mobi/football/australia/new-south-wales-league-one/canterbury-bankstown-fc-vs-blacktown-spartans/1710878/；https://footballnsw.com.au/competitions/；365Scores赛事ID —；查询时间：2026-07-17 19:43（北京时间）</x:v>
      </x:c>
      <x:c r="R43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7" ht="38" customHeight="1">
      <x:c r="A437" s="65" t="str">
        <x:f>IF(B437="","",TEXT(B437,"yyyy-mm-dd")&amp;"|"&amp;D437&amp;"|"&amp;E437)</x:f>
        <x:v>2026-07-18|中文名待确认（Balcatta）|中文名待确认（Stirling Macedonia FC）</x:v>
      </x:c>
      <x:c r="B437" s="66" t="n">
        <x:v>46221.625</x:v>
      </x:c>
      <x:c r="C437" s="65" t="str">
        <x:v>澳大利亚西澳大利亚州超级联赛</x:v>
      </x:c>
      <x:c r="D437" s="65" t="str">
        <x:v>中文名待确认（Balcatta）</x:v>
      </x:c>
      <x:c r="E437" s="65" t="str">
        <x:v>中文名待确认（Stirling Macedonia FC）</x:v>
      </x:c>
      <x:c r="F437" s="65" t="str">
        <x:v>无可靠让球盘/只观察｜现有可审计资料不足以形成可靠让球倾向</x:v>
      </x:c>
      <x:c r="G437" s="65" t="str">
        <x:v>无可靠大小球盘/只观察｜未取得可交叉核验的总进球主盘与水位，无可靠大小球倾向</x:v>
      </x:c>
      <x:c r="H437" s="65" t="str">
        <x:v>待确认首发、双方近5场/主客拆分与可靠亚洲双盘；任一市场欧赔&lt;1.80/港水&lt;0.80不进；盘口未核验前不进、不加仓</x:v>
      </x:c>
      <x:c r="I437" s="66" t="n">
        <x:v>46220.82152777778</x:v>
      </x:c>
      <x:c r="J437" s="65" t="str">
        <x:v>需复核</x:v>
      </x:c>
      <x:c r="K437" s="65"/>
      <x:c r="L437" s="65"/>
      <x:c r="M437" s="65"/>
      <x:c r="N437" s="67"/>
      <x:c r="O437" s="67"/>
      <x:c r="P437" s="67" t="str">
        <x:f>IF(COUNT(N437:O437)=0,"",SUM(N437:O437))</x:f>
      </x:c>
      <x:c r="Q437" s="65" t="str">
        <x:v>赛程/状态来源｜https://www.livescore.mobi/football/australia/western/balcatta-vs-stirling-macedonia-fc/1744091/；365Scores赛事ID —；查询时间：2026-07-17 19:43（北京时间）</x:v>
      </x:c>
      <x:c r="R43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8" ht="38" customHeight="1">
      <x:c r="A438" s="65" t="str">
        <x:f>IF(B438="","",TEXT(B438,"yyyy-mm-dd")&amp;"|"&amp;D438&amp;"|"&amp;E438)</x:f>
        <x:v>2026-07-18|中文名待确认（Launceston City）|中文名待确认（Kingborough Lions）</x:v>
      </x:c>
      <x:c r="B438" s="66" t="n">
        <x:v>46221.614583333336</x:v>
      </x:c>
      <x:c r="C438" s="65" t="str">
        <x:v>澳大利亚塔斯马尼亚州超级联赛</x:v>
      </x:c>
      <x:c r="D438" s="65" t="str">
        <x:v>中文名待确认（Launceston City）</x:v>
      </x:c>
      <x:c r="E438" s="65" t="str">
        <x:v>中文名待确认（Kingborough Lions）</x:v>
      </x:c>
      <x:c r="F438" s="65" t="str">
        <x:v>无可靠让球盘/只观察｜现有可审计资料不足以形成可靠让球倾向</x:v>
      </x:c>
      <x:c r="G438" s="65" t="str">
        <x:v>无可靠大小球盘/只观察｜未取得可交叉核验的总进球主盘与水位，无可靠大小球倾向</x:v>
      </x:c>
      <x:c r="H438" s="65" t="str">
        <x:v>待确认首发、双方近5场/主客拆分与可靠亚洲双盘；任一市场欧赔&lt;1.80/港水&lt;0.80不进；盘口未核验前不进、不加仓</x:v>
      </x:c>
      <x:c r="I438" s="66" t="n">
        <x:v>46220.82152777778</x:v>
      </x:c>
      <x:c r="J438" s="65" t="str">
        <x:v>需复核</x:v>
      </x:c>
      <x:c r="K438" s="65"/>
      <x:c r="L438" s="65"/>
      <x:c r="M438" s="65"/>
      <x:c r="N438" s="67"/>
      <x:c r="O438" s="67"/>
      <x:c r="P438" s="67" t="str">
        <x:f>IF(COUNT(N438:O438)=0,"",SUM(N438:O438))</x:f>
      </x:c>
      <x:c r="Q438" s="65" t="str">
        <x:v>赛程/状态来源｜https://www.livescore.mobi/football/australia/npl-tasmania/launceston-city-vs-kingborough-lions/1722611/；365Scores赛事ID —；查询时间：2026-07-17 19:43（北京时间）</x:v>
      </x:c>
      <x:c r="R43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39" ht="38" customHeight="1">
      <x:c r="A439" s="65" t="str">
        <x:f>IF(B439="","",TEXT(B439,"yyyy-mm-dd")&amp;"|"&amp;D439&amp;"|"&amp;E439)</x:f>
        <x:v>2026-07-18|中文名待确认（Weston Workers）|中文名待确认（Kahibah FC）</x:v>
      </x:c>
      <x:c r="B439" s="66" t="n">
        <x:v>46221.604166666664</x:v>
      </x:c>
      <x:c r="C439" s="65" t="str">
        <x:v>澳大利亚新南威尔士州北部超级联赛</x:v>
      </x:c>
      <x:c r="D439" s="65" t="str">
        <x:v>中文名待确认（Weston Workers）</x:v>
      </x:c>
      <x:c r="E439" s="65" t="str">
        <x:v>中文名待确认（Kahibah FC）</x:v>
      </x:c>
      <x:c r="F439" s="65" t="str">
        <x:v>无可靠让球盘/只观察｜现有可审计资料不足以形成可靠让球倾向</x:v>
      </x:c>
      <x:c r="G439" s="65" t="str">
        <x:v>无可靠大小球盘/只观察｜未取得可交叉核验的总进球主盘与水位，无可靠大小球倾向</x:v>
      </x:c>
      <x:c r="H439" s="65" t="str">
        <x:v>待确认首发、双方近5场/主客拆分与可靠亚洲双盘；任一市场欧赔&lt;1.80/港水&lt;0.80不进；盘口未核验前不进、不加仓</x:v>
      </x:c>
      <x:c r="I439" s="66" t="n">
        <x:v>46220.82152777778</x:v>
      </x:c>
      <x:c r="J439" s="65" t="str">
        <x:v>需复核</x:v>
      </x:c>
      <x:c r="K439" s="65"/>
      <x:c r="L439" s="65"/>
      <x:c r="M439" s="65"/>
      <x:c r="N439" s="67"/>
      <x:c r="O439" s="67"/>
      <x:c r="P439" s="67" t="str">
        <x:f>IF(COUNT(N439:O439)=0,"",SUM(N439:O439))</x:f>
      </x:c>
      <x:c r="Q439" s="65" t="str">
        <x:v>赛程/状态来源｜https://www.livescore.mobi/football/australia/Northern-new-south-wales-2026/weston-workers-vs-kahibah-fc/1717664/；https://footballnsw.com.au/competitions/；365Scores赛事ID —；查询时间：2026-07-17 19:43（北京时间）</x:v>
      </x:c>
      <x:c r="R43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0" ht="38" customHeight="1">
      <x:c r="A440" s="65" t="str">
        <x:f>IF(B440="","",TEXT(B440,"yyyy-mm-dd")&amp;"|"&amp;D440&amp;"|"&amp;E440)</x:f>
        <x:v>2026-07-18|中文名待确认（Moreton City Excelsior）|半岛电力（Peninsula Power）</x:v>
      </x:c>
      <x:c r="B440" s="66" t="n">
        <x:v>46221.604166666664</x:v>
      </x:c>
      <x:c r="C440" s="65" t="str">
        <x:v>澳大利亚昆士兰州超级联赛</x:v>
      </x:c>
      <x:c r="D440" s="65" t="str">
        <x:v>中文名待确认（Moreton City Excelsior）</x:v>
      </x:c>
      <x:c r="E440" s="65" t="str">
        <x:v>半岛电力（Peninsula Power）</x:v>
      </x:c>
      <x:c r="F440" s="65" t="str">
        <x:v>无可靠让球盘/只观察｜现有可审计资料不足以形成可靠让球倾向</x:v>
      </x:c>
      <x:c r="G440" s="65" t="str">
        <x:v>无可靠大小球盘/只观察｜未取得可交叉核验的总进球主盘与水位，无可靠大小球倾向</x:v>
      </x:c>
      <x:c r="H440" s="65" t="str">
        <x:v>待确认首发、双方近5场/主客拆分与可靠亚洲双盘；任一市场欧赔&lt;1.80/港水&lt;0.80不进；盘口未核验前不进、不加仓</x:v>
      </x:c>
      <x:c r="I440" s="66" t="n">
        <x:v>46220.82152777778</x:v>
      </x:c>
      <x:c r="J440" s="65" t="str">
        <x:v>需复核</x:v>
      </x:c>
      <x:c r="K440" s="65"/>
      <x:c r="L440" s="65"/>
      <x:c r="M440" s="65"/>
      <x:c r="N440" s="67"/>
      <x:c r="O440" s="67"/>
      <x:c r="P440" s="67" t="str">
        <x:f>IF(COUNT(N440:O440)=0,"",SUM(N440:O440))</x:f>
      </x:c>
      <x:c r="Q440" s="65" t="str">
        <x:v>赛程/状态来源｜https://www.livescore.mobi/football/australia/queensland-2026/moreton-city-excelsior-vs-peninsula-power/1717522/；365Scores赛事ID —；查询时间：2026-07-17 19:43（北京时间）</x:v>
      </x:c>
      <x:c r="R44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1" ht="38" customHeight="1">
      <x:c r="A441" s="65" t="str">
        <x:f>IF(B441="","",TEXT(B441,"yyyy-mm-dd")&amp;"|"&amp;D441&amp;"|"&amp;E441)</x:f>
        <x:v>2026-07-18|中文名待确认（Lambton Jaffas FC）|中文名待确认（Maitland）</x:v>
      </x:c>
      <x:c r="B441" s="66" t="n">
        <x:v>46221.604166666664</x:v>
      </x:c>
      <x:c r="C441" s="65" t="str">
        <x:v>澳大利亚新南威尔士州北部超级联赛</x:v>
      </x:c>
      <x:c r="D441" s="65" t="str">
        <x:v>中文名待确认（Lambton Jaffas FC）</x:v>
      </x:c>
      <x:c r="E441" s="65" t="str">
        <x:v>中文名待确认（Maitland）</x:v>
      </x:c>
      <x:c r="F441" s="65" t="str">
        <x:v>无可靠让球盘/只观察｜现有可审计资料不足以形成可靠让球倾向</x:v>
      </x:c>
      <x:c r="G441" s="65" t="str">
        <x:v>无可靠大小球盘/只观察｜未取得可交叉核验的总进球主盘与水位，无可靠大小球倾向</x:v>
      </x:c>
      <x:c r="H441" s="65" t="str">
        <x:v>待确认首发、双方近5场/主客拆分与可靠亚洲双盘；任一市场欧赔&lt;1.80/港水&lt;0.80不进；盘口未核验前不进、不加仓</x:v>
      </x:c>
      <x:c r="I441" s="66" t="n">
        <x:v>46220.82152777778</x:v>
      </x:c>
      <x:c r="J441" s="65" t="str">
        <x:v>需复核</x:v>
      </x:c>
      <x:c r="K441" s="65"/>
      <x:c r="L441" s="65"/>
      <x:c r="M441" s="65"/>
      <x:c r="N441" s="67"/>
      <x:c r="O441" s="67"/>
      <x:c r="P441" s="67" t="str">
        <x:f>IF(COUNT(N441:O441)=0,"",SUM(N441:O441))</x:f>
      </x:c>
      <x:c r="Q441" s="65" t="str">
        <x:v>赛程/状态来源｜https://www.livescore.mobi/football/australia/Northern-new-south-wales-2026/lambton-jaffas-fc-vs-maitland/1717662/；https://footballnsw.com.au/competitions/；365Scores赛事ID —；查询时间：2026-07-17 19:43（北京时间）</x:v>
      </x:c>
      <x:c r="R44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2" ht="38" customHeight="1">
      <x:c r="A442" s="65" t="str">
        <x:f>IF(B442="","",TEXT(B442,"yyyy-mm-dd")&amp;"|"&amp;D442&amp;"|"&amp;E442)</x:f>
        <x:v>2026-07-18|海岸骑士（Gold Coast Knights）|中文名待确认（Wolves FC）</x:v>
      </x:c>
      <x:c r="B442" s="66" t="n">
        <x:v>46221.583333333336</x:v>
      </x:c>
      <x:c r="C442" s="65" t="str">
        <x:v>澳大利亚昆士兰州超级联赛</x:v>
      </x:c>
      <x:c r="D442" s="65" t="str">
        <x:v>海岸骑士（Gold Coast Knights）</x:v>
      </x:c>
      <x:c r="E442" s="65" t="str">
        <x:v>中文名待确认（Wolves FC）</x:v>
      </x:c>
      <x:c r="F442" s="65" t="str">
        <x:v>无可靠让球盘/只观察｜现有可审计资料不足以形成可靠让球倾向</x:v>
      </x:c>
      <x:c r="G442" s="65" t="str">
        <x:v>无可靠大小球盘/只观察｜未取得可交叉核验的总进球主盘与水位，无可靠大小球倾向</x:v>
      </x:c>
      <x:c r="H442" s="65" t="str">
        <x:v>待确认首发、双方近5场/主客拆分与可靠亚洲双盘；任一市场欧赔&lt;1.80/港水&lt;0.80不进；盘口未核验前不进、不加仓</x:v>
      </x:c>
      <x:c r="I442" s="66" t="n">
        <x:v>46220.82152777778</x:v>
      </x:c>
      <x:c r="J442" s="65" t="str">
        <x:v>需复核</x:v>
      </x:c>
      <x:c r="K442" s="65"/>
      <x:c r="L442" s="65"/>
      <x:c r="M442" s="65"/>
      <x:c r="N442" s="67"/>
      <x:c r="O442" s="67"/>
      <x:c r="P442" s="67" t="str">
        <x:f>IF(COUNT(N442:O442)=0,"",SUM(N442:O442))</x:f>
      </x:c>
      <x:c r="Q442" s="65" t="str">
        <x:v>赛程/状态来源｜https://www.livescore.mobi/football/australia/queensland-2026/gold-coast-knights-vs-wolves-fc/1717525/；365Scores赛事ID —；查询时间：2026-07-17 19:43（北京时间）</x:v>
      </x:c>
      <x:c r="R44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3" ht="38" customHeight="1">
      <x:c r="A443" s="65" t="str">
        <x:f>IF(B443="","",TEXT(B443,"yyyy-mm-dd")&amp;"|"&amp;D443&amp;"|"&amp;E443)</x:f>
        <x:v>2026-07-18|中文名待确认（Auckland FC II）|中文名待确认（Fencibles United）</x:v>
      </x:c>
      <x:c r="B443" s="66" t="n">
        <x:v>46221.583333333336</x:v>
      </x:c>
      <x:c r="C443" s="65" t="str">
        <x:v>国家联赛（具体国家待确认）</x:v>
      </x:c>
      <x:c r="D443" s="65" t="str">
        <x:v>中文名待确认（Auckland FC II）</x:v>
      </x:c>
      <x:c r="E443" s="65" t="str">
        <x:v>中文名待确认（Fencibles United）</x:v>
      </x:c>
      <x:c r="F443" s="65" t="str">
        <x:v>无可靠让球盘/只观察｜现有可审计资料不足以形成可靠让球倾向</x:v>
      </x:c>
      <x:c r="G443" s="65" t="str">
        <x:v>无可靠大小球盘/只观察｜未取得可交叉核验的总进球主盘与水位，无可靠大小球倾向</x:v>
      </x:c>
      <x:c r="H443" s="65" t="str">
        <x:v>待确认首发、双方近5场/主客拆分与可靠亚洲双盘；任一市场欧赔&lt;1.80/港水&lt;0.80不进；盘口未核验前不进、不加仓</x:v>
      </x:c>
      <x:c r="I443" s="66" t="n">
        <x:v>46220.82152777778</x:v>
      </x:c>
      <x:c r="J443" s="65" t="str">
        <x:v>需复核</x:v>
      </x:c>
      <x:c r="K443" s="65"/>
      <x:c r="L443" s="65"/>
      <x:c r="M443" s="65"/>
      <x:c r="N443" s="67"/>
      <x:c r="O443" s="67"/>
      <x:c r="P443" s="67" t="str">
        <x:f>IF(COUNT(N443:O443)=0,"",SUM(N443:O443))</x:f>
      </x:c>
      <x:c r="Q443" s="65" t="str">
        <x:v>赛程/状态来源｜https://www.365scores.com/football/tomorrows-matches；365Scores赛事ID 4678309；查询时间：2026-07-17 19:43（北京时间）</x:v>
      </x:c>
      <x:c r="R44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4" ht="38" customHeight="1">
      <x:c r="A444" s="65" t="str">
        <x:f>IF(B444="","",TEXT(B444,"yyyy-mm-dd")&amp;"|"&amp;D444&amp;"|"&amp;E444)</x:f>
        <x:v>2026-07-18|中文名待确认（West Adelaide）|中文名待确认（Sturt Lions）</x:v>
      </x:c>
      <x:c r="B444" s="66" t="n">
        <x:v>46221.5625</x:v>
      </x:c>
      <x:c r="C444" s="65" t="str">
        <x:v>澳大利亚南澳大利亚州超级联赛</x:v>
      </x:c>
      <x:c r="D444" s="65" t="str">
        <x:v>中文名待确认（West Adelaide）</x:v>
      </x:c>
      <x:c r="E444" s="65" t="str">
        <x:v>中文名待确认（Sturt Lions）</x:v>
      </x:c>
      <x:c r="F444" s="65" t="str">
        <x:v>无可靠让球盘/只观察｜现有可审计资料不足以形成可靠让球倾向</x:v>
      </x:c>
      <x:c r="G444" s="65" t="str">
        <x:v>无可靠大小球盘/只观察｜未取得可交叉核验的总进球主盘与水位，无可靠大小球倾向</x:v>
      </x:c>
      <x:c r="H444" s="65" t="str">
        <x:v>待确认首发、双方近5场/主客拆分与可靠亚洲双盘；任一市场欧赔&lt;1.80/港水&lt;0.80不进；盘口未核验前不进、不加仓</x:v>
      </x:c>
      <x:c r="I444" s="66" t="n">
        <x:v>46220.82152777778</x:v>
      </x:c>
      <x:c r="J444" s="65" t="str">
        <x:v>需复核</x:v>
      </x:c>
      <x:c r="K444" s="65"/>
      <x:c r="L444" s="65"/>
      <x:c r="M444" s="65"/>
      <x:c r="N444" s="67"/>
      <x:c r="O444" s="67"/>
      <x:c r="P444" s="67" t="str">
        <x:f>IF(COUNT(N444:O444)=0,"",SUM(N444:O444))</x:f>
      </x:c>
      <x:c r="Q444" s="65" t="str">
        <x:v>赛程/状态来源｜https://www.livescore.mobi/football/australia/npl-south-australia/west-adelaide-vs-sturt-lions/1723280/；365Scores赛事ID —；查询时间：2026-07-17 19:43（北京时间）</x:v>
      </x:c>
      <x:c r="R44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5" ht="38" customHeight="1">
      <x:c r="A445" s="65" t="str">
        <x:f>IF(B445="","",TEXT(B445,"yyyy-mm-dd")&amp;"|"&amp;D445&amp;"|"&amp;E445)</x:f>
        <x:v>2026-07-18|中文名待确认（South Adelaide）|中文名待确认（The Cove）</x:v>
      </x:c>
      <x:c r="B445" s="66" t="n">
        <x:v>46221.5625</x:v>
      </x:c>
      <x:c r="C445" s="65" t="str">
        <x:v>澳大利亚南澳大利亚州甲级联赛</x:v>
      </x:c>
      <x:c r="D445" s="65" t="str">
        <x:v>中文名待确认（South Adelaide）</x:v>
      </x:c>
      <x:c r="E445" s="65" t="str">
        <x:v>中文名待确认（The Cove）</x:v>
      </x:c>
      <x:c r="F445" s="65" t="str">
        <x:v>无可靠让球盘/只观察｜现有可审计资料不足以形成可靠让球倾向</x:v>
      </x:c>
      <x:c r="G445" s="65" t="str">
        <x:v>无可靠大小球盘/只观察｜未取得可交叉核验的总进球主盘与水位，无可靠大小球倾向</x:v>
      </x:c>
      <x:c r="H445" s="65" t="str">
        <x:v>待确认首发、双方近5场/主客拆分与可靠亚洲双盘；任一市场欧赔&lt;1.80/港水&lt;0.80不进；盘口未核验前不进、不加仓</x:v>
      </x:c>
      <x:c r="I445" s="66" t="n">
        <x:v>46220.82152777778</x:v>
      </x:c>
      <x:c r="J445" s="65" t="str">
        <x:v>需复核</x:v>
      </x:c>
      <x:c r="K445" s="65"/>
      <x:c r="L445" s="65"/>
      <x:c r="M445" s="65"/>
      <x:c r="N445" s="67"/>
      <x:c r="O445" s="67"/>
      <x:c r="P445" s="67" t="str">
        <x:f>IF(COUNT(N445:O445)=0,"",SUM(N445:O445))</x:f>
      </x:c>
      <x:c r="Q445" s="65" t="str">
        <x:v>赛程/状态来源｜https://www.livescore.mobi/football/australia/south-australia-state-league-1/south-adelaide-vs-the-cove/1723148/；365Scores赛事ID —；查询时间：2026-07-17 19:43（北京时间）</x:v>
      </x:c>
      <x:c r="R44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6" ht="38" customHeight="1">
      <x:c r="A446" s="65" t="str">
        <x:f>IF(B446="","",TEXT(B446,"yyyy-mm-dd")&amp;"|"&amp;D446&amp;"|"&amp;E446)</x:f>
        <x:v>2026-07-18|中文名待确认（Salisbury United）|中文名待确认（Modbury Jets）</x:v>
      </x:c>
      <x:c r="B446" s="66" t="n">
        <x:v>46221.5625</x:v>
      </x:c>
      <x:c r="C446" s="65" t="str">
        <x:v>澳大利亚南澳大利亚州甲级联赛</x:v>
      </x:c>
      <x:c r="D446" s="65" t="str">
        <x:v>中文名待确认（Salisbury United）</x:v>
      </x:c>
      <x:c r="E446" s="65" t="str">
        <x:v>中文名待确认（Modbury Jets）</x:v>
      </x:c>
      <x:c r="F446" s="65" t="str">
        <x:v>无可靠让球盘/只观察｜现有可审计资料不足以形成可靠让球倾向</x:v>
      </x:c>
      <x:c r="G446" s="65" t="str">
        <x:v>无可靠大小球盘/只观察｜未取得可交叉核验的总进球主盘与水位，无可靠大小球倾向</x:v>
      </x:c>
      <x:c r="H446" s="65" t="str">
        <x:v>待确认首发、双方近5场/主客拆分与可靠亚洲双盘；任一市场欧赔&lt;1.80/港水&lt;0.80不进；盘口未核验前不进、不加仓</x:v>
      </x:c>
      <x:c r="I446" s="66" t="n">
        <x:v>46220.82152777778</x:v>
      </x:c>
      <x:c r="J446" s="65" t="str">
        <x:v>需复核</x:v>
      </x:c>
      <x:c r="K446" s="65"/>
      <x:c r="L446" s="65"/>
      <x:c r="M446" s="65"/>
      <x:c r="N446" s="67"/>
      <x:c r="O446" s="67"/>
      <x:c r="P446" s="67" t="str">
        <x:f>IF(COUNT(N446:O446)=0,"",SUM(N446:O446))</x:f>
      </x:c>
      <x:c r="Q446" s="65" t="str">
        <x:v>赛程/状态来源｜https://www.livescore.mobi/football/australia/south-australia-state-league-1/salisbury-united-vs-modbury-jets/1723146/；365Scores赛事ID —；查询时间：2026-07-17 19:43（北京时间）</x:v>
      </x:c>
      <x:c r="R44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7" ht="38" customHeight="1">
      <x:c r="A447" s="65" t="str">
        <x:f>IF(B447="","",TEXT(B447,"yyyy-mm-dd")&amp;"|"&amp;D447&amp;"|"&amp;E447)</x:f>
        <x:v>2026-07-18|中文名待确认（Playford City Patriots）|中文名待确认（North Eastern Metro Stars）</x:v>
      </x:c>
      <x:c r="B447" s="66" t="n">
        <x:v>46221.5625</x:v>
      </x:c>
      <x:c r="C447" s="65" t="str">
        <x:v>澳大利亚南澳大利亚州超级联赛</x:v>
      </x:c>
      <x:c r="D447" s="65" t="str">
        <x:v>中文名待确认（Playford City Patriots）</x:v>
      </x:c>
      <x:c r="E447" s="65" t="str">
        <x:v>中文名待确认（North Eastern Metro Stars）</x:v>
      </x:c>
      <x:c r="F447" s="65" t="str">
        <x:v>无可靠让球盘/只观察｜现有可审计资料不足以形成可靠让球倾向</x:v>
      </x:c>
      <x:c r="G447" s="65" t="str">
        <x:v>无可靠大小球盘/只观察｜未取得可交叉核验的总进球主盘与水位，无可靠大小球倾向</x:v>
      </x:c>
      <x:c r="H447" s="65" t="str">
        <x:v>待确认首发、双方近5场/主客拆分与可靠亚洲双盘；任一市场欧赔&lt;1.80/港水&lt;0.80不进；盘口未核验前不进、不加仓</x:v>
      </x:c>
      <x:c r="I447" s="66" t="n">
        <x:v>46220.82152777778</x:v>
      </x:c>
      <x:c r="J447" s="65" t="str">
        <x:v>需复核</x:v>
      </x:c>
      <x:c r="K447" s="65"/>
      <x:c r="L447" s="65"/>
      <x:c r="M447" s="65"/>
      <x:c r="N447" s="67"/>
      <x:c r="O447" s="67"/>
      <x:c r="P447" s="67" t="str">
        <x:f>IF(COUNT(N447:O447)=0,"",SUM(N447:O447))</x:f>
      </x:c>
      <x:c r="Q447" s="65" t="str">
        <x:v>赛程/状态来源｜https://www.livescore.mobi/football/australia/npl-south-australia/playford-city-patriots-vs-north-eastern-metro-stars/1723279/；365Scores赛事ID —；查询时间：2026-07-17 19:43（北京时间）</x:v>
      </x:c>
      <x:c r="R44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8" ht="38" customHeight="1">
      <x:c r="A448" s="65" t="str">
        <x:f>IF(B448="","",TEXT(B448,"yyyy-mm-dd")&amp;"|"&amp;D448&amp;"|"&amp;E448)</x:f>
        <x:v>2026-07-18|中文名待确认（Birkenhead United）|中文名待确认（Melville United）</x:v>
      </x:c>
      <x:c r="B448" s="66" t="n">
        <x:v>46221.5625</x:v>
      </x:c>
      <x:c r="C448" s="65" t="str">
        <x:v>国家联赛（具体国家待确认）</x:v>
      </x:c>
      <x:c r="D448" s="65" t="str">
        <x:v>中文名待确认（Birkenhead United）</x:v>
      </x:c>
      <x:c r="E448" s="65" t="str">
        <x:v>中文名待确认（Melville United）</x:v>
      </x:c>
      <x:c r="F448" s="65" t="str">
        <x:v>无可靠让球盘/只观察｜现有可审计资料不足以形成可靠让球倾向</x:v>
      </x:c>
      <x:c r="G448" s="65" t="str">
        <x:v>无可靠大小球盘/只观察｜未取得可交叉核验的总进球主盘与水位，无可靠大小球倾向</x:v>
      </x:c>
      <x:c r="H448" s="65" t="str">
        <x:v>待确认首发、双方近5场/主客拆分与可靠亚洲双盘；任一市场欧赔&lt;1.80/港水&lt;0.80不进；盘口未核验前不进、不加仓</x:v>
      </x:c>
      <x:c r="I448" s="66" t="n">
        <x:v>46220.82152777778</x:v>
      </x:c>
      <x:c r="J448" s="65" t="str">
        <x:v>需复核</x:v>
      </x:c>
      <x:c r="K448" s="65"/>
      <x:c r="L448" s="65"/>
      <x:c r="M448" s="65"/>
      <x:c r="N448" s="67"/>
      <x:c r="O448" s="67"/>
      <x:c r="P448" s="67" t="str">
        <x:f>IF(COUNT(N448:O448)=0,"",SUM(N448:O448))</x:f>
      </x:c>
      <x:c r="Q448" s="65" t="str">
        <x:v>赛程/状态来源｜https://www.365scores.com/football/tomorrows-matches；365Scores赛事ID 4678312；查询时间：2026-07-17 19:43（北京时间）</x:v>
      </x:c>
      <x:c r="R44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49" ht="38" customHeight="1">
      <x:c r="A449" s="65" t="str">
        <x:f>IF(B449="","",TEXT(B449,"yyyy-mm-dd")&amp;"|"&amp;D449&amp;"|"&amp;E449)</x:f>
        <x:v>2026-07-18|中文名待确认（Adelaide Victory）|中文名待确认（Adelaide Olympic）</x:v>
      </x:c>
      <x:c r="B449" s="66" t="n">
        <x:v>46221.5625</x:v>
      </x:c>
      <x:c r="C449" s="65" t="str">
        <x:v>澳大利亚南澳大利亚州甲级联赛</x:v>
      </x:c>
      <x:c r="D449" s="65" t="str">
        <x:v>中文名待确认（Adelaide Victory）</x:v>
      </x:c>
      <x:c r="E449" s="65" t="str">
        <x:v>中文名待确认（Adelaide Olympic）</x:v>
      </x:c>
      <x:c r="F449" s="65" t="str">
        <x:v>无可靠让球盘/只观察｜现有可审计资料不足以形成可靠让球倾向</x:v>
      </x:c>
      <x:c r="G449" s="65" t="str">
        <x:v>无可靠大小球盘/只观察｜未取得可交叉核验的总进球主盘与水位，无可靠大小球倾向</x:v>
      </x:c>
      <x:c r="H449" s="65" t="str">
        <x:v>待确认首发、双方近5场/主客拆分与可靠亚洲双盘；任一市场欧赔&lt;1.80/港水&lt;0.80不进；盘口未核验前不进、不加仓</x:v>
      </x:c>
      <x:c r="I449" s="66" t="n">
        <x:v>46220.82152777778</x:v>
      </x:c>
      <x:c r="J449" s="65" t="str">
        <x:v>需复核</x:v>
      </x:c>
      <x:c r="K449" s="65"/>
      <x:c r="L449" s="65"/>
      <x:c r="M449" s="65"/>
      <x:c r="N449" s="67"/>
      <x:c r="O449" s="67"/>
      <x:c r="P449" s="67" t="str">
        <x:f>IF(COUNT(N449:O449)=0,"",SUM(N449:O449))</x:f>
      </x:c>
      <x:c r="Q449" s="65" t="str">
        <x:v>赛程/状态来源｜https://www.livescore.mobi/football/australia/south-australia-state-league-1/adelaide-victory-vs-adelaide-olympic/1723147/；365Scores赛事ID —；查询时间：2026-07-17 19:43（北京时间）</x:v>
      </x:c>
      <x:c r="R44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0" ht="38" customHeight="1">
      <x:c r="A450" s="65" t="str">
        <x:f>IF(B450="","",TEXT(B450,"yyyy-mm-dd")&amp;"|"&amp;D450&amp;"|"&amp;E450)</x:f>
        <x:v>2026-07-18|中文名待确认（Adelaide Raiders）|中文名待确认（Eastern United FC）</x:v>
      </x:c>
      <x:c r="B450" s="66" t="n">
        <x:v>46221.5625</x:v>
      </x:c>
      <x:c r="C450" s="65" t="str">
        <x:v>澳大利亚南澳大利亚州甲级联赛</x:v>
      </x:c>
      <x:c r="D450" s="65" t="str">
        <x:v>中文名待确认（Adelaide Raiders）</x:v>
      </x:c>
      <x:c r="E450" s="65" t="str">
        <x:v>中文名待确认（Eastern United FC）</x:v>
      </x:c>
      <x:c r="F450" s="65" t="str">
        <x:v>无可靠让球盘/只观察｜现有可审计资料不足以形成可靠让球倾向</x:v>
      </x:c>
      <x:c r="G450" s="65" t="str">
        <x:v>无可靠大小球盘/只观察｜未取得可交叉核验的总进球主盘与水位，无可靠大小球倾向</x:v>
      </x:c>
      <x:c r="H450" s="65" t="str">
        <x:v>待确认首发、双方近5场/主客拆分与可靠亚洲双盘；任一市场欧赔&lt;1.80/港水&lt;0.80不进；盘口未核验前不进、不加仓</x:v>
      </x:c>
      <x:c r="I450" s="66" t="n">
        <x:v>46220.82152777778</x:v>
      </x:c>
      <x:c r="J450" s="65" t="str">
        <x:v>需复核</x:v>
      </x:c>
      <x:c r="K450" s="65"/>
      <x:c r="L450" s="65"/>
      <x:c r="M450" s="65"/>
      <x:c r="N450" s="67"/>
      <x:c r="O450" s="67"/>
      <x:c r="P450" s="67" t="str">
        <x:f>IF(COUNT(N450:O450)=0,"",SUM(N450:O450))</x:f>
      </x:c>
      <x:c r="Q450" s="65" t="str">
        <x:v>赛程/状态来源｜https://www.livescore.mobi/football/australia/south-australia-state-league-1/adelaide-raiders-vs-eastern-united-fc/1723145/；365Scores赛事ID —；查询时间：2026-07-17 19:43（北京时间）</x:v>
      </x:c>
      <x:c r="R45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1" ht="38" customHeight="1">
      <x:c r="A451" s="65" t="str">
        <x:f>IF(B451="","",TEXT(B451,"yyyy-mm-dd")&amp;"|"&amp;D451&amp;"|"&amp;E451)</x:f>
        <x:v>2026-07-18|中文名待确认（Adelaide Blue Eagles）|中文名待确认（Adelaide Cobras）</x:v>
      </x:c>
      <x:c r="B451" s="66" t="n">
        <x:v>46221.5625</x:v>
      </x:c>
      <x:c r="C451" s="65" t="str">
        <x:v>澳大利亚南澳大利亚州甲级联赛</x:v>
      </x:c>
      <x:c r="D451" s="65" t="str">
        <x:v>中文名待确认（Adelaide Blue Eagles）</x:v>
      </x:c>
      <x:c r="E451" s="65" t="str">
        <x:v>中文名待确认（Adelaide Cobras）</x:v>
      </x:c>
      <x:c r="F451" s="65" t="str">
        <x:v>无可靠让球盘/只观察｜现有可审计资料不足以形成可靠让球倾向</x:v>
      </x:c>
      <x:c r="G451" s="65" t="str">
        <x:v>无可靠大小球盘/只观察｜未取得可交叉核验的总进球主盘与水位，无可靠大小球倾向</x:v>
      </x:c>
      <x:c r="H451" s="65" t="str">
        <x:v>待确认首发、双方近5场/主客拆分与可靠亚洲双盘；任一市场欧赔&lt;1.80/港水&lt;0.80不进；盘口未核验前不进、不加仓</x:v>
      </x:c>
      <x:c r="I451" s="66" t="n">
        <x:v>46220.82152777778</x:v>
      </x:c>
      <x:c r="J451" s="65" t="str">
        <x:v>需复核</x:v>
      </x:c>
      <x:c r="K451" s="65"/>
      <x:c r="L451" s="65"/>
      <x:c r="M451" s="65"/>
      <x:c r="N451" s="67"/>
      <x:c r="O451" s="67"/>
      <x:c r="P451" s="67" t="str">
        <x:f>IF(COUNT(N451:O451)=0,"",SUM(N451:O451))</x:f>
      </x:c>
      <x:c r="Q451" s="65" t="str">
        <x:v>赛程/状态来源｜https://www.livescore.mobi/football/australia/south-australia-state-league-1/adelaide-blue-eagles-vs-adelaide-cobras/1723150/；365Scores赛事ID —；查询时间：2026-07-17 19:43（北京时间）</x:v>
      </x:c>
      <x:c r="R45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2" ht="38" customHeight="1">
      <x:c r="A452" s="65" t="str">
        <x:f>IF(B452="","",TEXT(B452,"yyyy-mm-dd")&amp;"|"&amp;D452&amp;"|"&amp;E452)</x:f>
        <x:v>2026-07-18|南墨尔本（South Melbourne）|普雷斯顿狮子（Preston Lions）</x:v>
      </x:c>
      <x:c r="B452" s="66" t="n">
        <x:v>46221.552083333336</x:v>
      </x:c>
      <x:c r="C452" s="65" t="str">
        <x:v>澳大利亚维多利亚州女子国家超级联赛（NPL Victoria Women）</x:v>
      </x:c>
      <x:c r="D452" s="65" t="str">
        <x:v>南墨尔本（South Melbourne）</x:v>
      </x:c>
      <x:c r="E452" s="65" t="str">
        <x:v>普雷斯顿狮子（Preston Lions）</x:v>
      </x:c>
      <x:c r="F452" s="65" t="str">
        <x:v>无可靠让球盘/只观察｜现有可审计资料不足以形成可靠让球倾向</x:v>
      </x:c>
      <x:c r="G452" s="65" t="str">
        <x:v>无可靠大小球盘/只观察｜未取得可交叉核验的总进球主盘与水位，无可靠大小球倾向</x:v>
      </x:c>
      <x:c r="H452" s="65" t="str">
        <x:v>待确认首发、双方近5场/主客拆分与可靠亚洲双盘；任一市场欧赔&lt;1.80/港水&lt;0.80不进；盘口未核验前不进、不加仓</x:v>
      </x:c>
      <x:c r="I452" s="66" t="n">
        <x:v>46220.82152777778</x:v>
      </x:c>
      <x:c r="J452" s="65" t="str">
        <x:v>需复核</x:v>
      </x:c>
      <x:c r="K452" s="65"/>
      <x:c r="L452" s="65"/>
      <x:c r="M452" s="65"/>
      <x:c r="N452" s="67"/>
      <x:c r="O452" s="67"/>
      <x:c r="P452" s="67" t="str">
        <x:f>IF(COUNT(N452:O452)=0,"",SUM(N452:O452))</x:f>
      </x:c>
      <x:c r="Q452" s="65" t="str">
        <x:v>赛程/状态来源｜https://www.livescore.mobi/football/australia/npl-victoria/south-melbourne-vs-preston-lions/1722305/；365Scores赛事ID —；查询时间：2026-07-17 19:43（北京时间）</x:v>
      </x:c>
      <x:c r="R45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3" ht="38" customHeight="1">
      <x:c r="A453" s="65" t="str">
        <x:f>IF(B453="","",TEXT(B453,"yyyy-mm-dd")&amp;"|"&amp;D453&amp;"|"&amp;E453)</x:f>
        <x:v>2026-07-18|阿尔托纳魔法（Altona Magic）|黑德堡（Heidelberg United）</x:v>
      </x:c>
      <x:c r="B453" s="66" t="n">
        <x:v>46221.552083333336</x:v>
      </x:c>
      <x:c r="C453" s="65" t="str">
        <x:v>澳大利亚维多利亚州女子国家超级联赛（NPL Victoria Women）</x:v>
      </x:c>
      <x:c r="D453" s="65" t="str">
        <x:v>阿尔托纳魔法（Altona Magic）</x:v>
      </x:c>
      <x:c r="E453" s="65" t="str">
        <x:v>黑德堡（Heidelberg United）</x:v>
      </x:c>
      <x:c r="F453" s="65" t="str">
        <x:v>无可靠让球盘/只观察｜现有可审计资料不足以形成可靠让球倾向</x:v>
      </x:c>
      <x:c r="G453" s="65" t="str">
        <x:v>无可靠大小球盘/只观察｜未取得可交叉核验的总进球主盘与水位，无可靠大小球倾向</x:v>
      </x:c>
      <x:c r="H453" s="65" t="str">
        <x:v>待确认首发、双方近5场/主客拆分与可靠亚洲双盘；任一市场欧赔&lt;1.80/港水&lt;0.80不进；盘口未核验前不进、不加仓</x:v>
      </x:c>
      <x:c r="I453" s="66" t="n">
        <x:v>46220.82152777778</x:v>
      </x:c>
      <x:c r="J453" s="65" t="str">
        <x:v>需复核</x:v>
      </x:c>
      <x:c r="K453" s="65"/>
      <x:c r="L453" s="65"/>
      <x:c r="M453" s="65"/>
      <x:c r="N453" s="67"/>
      <x:c r="O453" s="67"/>
      <x:c r="P453" s="67" t="str">
        <x:f>IF(COUNT(N453:O453)=0,"",SUM(N453:O453))</x:f>
      </x:c>
      <x:c r="Q453" s="65" t="str">
        <x:v>赛程/状态来源｜https://www.livescore.mobi/football/australia/npl-victoria/altona-magic-vs-heidelberg-united/1722313/；365Scores赛事ID —；查询时间：2026-07-17 19:43（北京时间）</x:v>
      </x:c>
      <x:c r="R45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4" ht="38" customHeight="1">
      <x:c r="A454" s="65" t="str">
        <x:f>IF(B454="","",TEXT(B454,"yyyy-mm-dd")&amp;"|"&amp;D454&amp;"|"&amp;E454)</x:f>
        <x:v>2026-07-18|西悉尼流浪者青年队（Western Sydney Wanderers Youth）|莱卡特老虎（APIA Leichhardt Tigers）</x:v>
      </x:c>
      <x:c r="B454" s="66" t="n">
        <x:v>46221.541666666664</x:v>
      </x:c>
      <x:c r="C454" s="65" t="str">
        <x:v>澳大利亚新南威尔士州超级联赛</x:v>
      </x:c>
      <x:c r="D454" s="65" t="str">
        <x:v>西悉尼流浪者青年队（Western Sydney Wanderers Youth）</x:v>
      </x:c>
      <x:c r="E454" s="65" t="str">
        <x:v>莱卡特老虎（APIA Leichhardt Tigers）</x:v>
      </x:c>
      <x:c r="F454" s="65" t="str">
        <x:v>无可靠让球盘/只观察｜现有可审计资料不足以形成可靠让球倾向</x:v>
      </x:c>
      <x:c r="G454" s="65" t="str">
        <x:v>无可靠大小球盘/只观察｜未取得可交叉核验的总进球主盘与水位，无可靠大小球倾向</x:v>
      </x:c>
      <x:c r="H454" s="65" t="str">
        <x:v>待确认首发、双方近5场/主客拆分与可靠亚洲双盘；任一市场欧赔&lt;1.80/港水&lt;0.80不进；盘口未核验前不进、不加仓</x:v>
      </x:c>
      <x:c r="I454" s="66" t="n">
        <x:v>46220.82152777778</x:v>
      </x:c>
      <x:c r="J454" s="65" t="str">
        <x:v>需复核</x:v>
      </x:c>
      <x:c r="K454" s="65"/>
      <x:c r="L454" s="65"/>
      <x:c r="M454" s="65"/>
      <x:c r="N454" s="67"/>
      <x:c r="O454" s="67"/>
      <x:c r="P454" s="67" t="str">
        <x:f>IF(COUNT(N454:O454)=0,"",SUM(N454:O454))</x:f>
      </x:c>
      <x:c r="Q454" s="65" t="str">
        <x:v>赛程/状态来源｜https://www.livescore.mobi/football/australia/npl-new-south-wales/western-sydney-wanderers-fc-youth-vs-apia-leichhardt-tigers/1708168/；https://footballnsw.com.au/competitions/；365Scores赛事ID —；查询时间：2026-07-17 19:43（北京时间）</x:v>
      </x:c>
      <x:c r="R45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5" ht="38" customHeight="1">
      <x:c r="A455" s="65" t="str">
        <x:f>IF(B455="","",TEXT(B455,"yyyy-mm-dd")&amp;"|"&amp;D455&amp;"|"&amp;E455)</x:f>
        <x:v>2026-07-18|北鹰阳光（North Sunshine Eagles SC）|埃尔特姆红背蛛（Eltham Redbacks）</x:v>
      </x:c>
      <x:c r="B455" s="66" t="n">
        <x:v>46221.541666666664</x:v>
      </x:c>
      <x:c r="C455" s="65" t="str">
        <x:v>澳大利亚维多利亚州超级联赛1（VPL1）</x:v>
      </x:c>
      <x:c r="D455" s="65" t="str">
        <x:v>北鹰阳光（North Sunshine Eagles SC）</x:v>
      </x:c>
      <x:c r="E455" s="65" t="str">
        <x:v>埃尔特姆红背蛛（Eltham Redbacks）</x:v>
      </x:c>
      <x:c r="F455" s="65" t="str">
        <x:v>无可靠让球盘/只观察｜现有可审计资料不足以形成可靠让球倾向</x:v>
      </x:c>
      <x:c r="G455" s="65" t="str">
        <x:v>无可靠大小球盘/只观察｜未取得可交叉核验的总进球主盘与水位，无可靠大小球倾向</x:v>
      </x:c>
      <x:c r="H455" s="65" t="str">
        <x:v>待确认首发、双方近5场/主客拆分与可靠亚洲双盘；任一市场欧赔&lt;1.80/港水&lt;0.80不进；盘口未核验前不进、不加仓</x:v>
      </x:c>
      <x:c r="I455" s="66" t="n">
        <x:v>46220.82152777778</x:v>
      </x:c>
      <x:c r="J455" s="65" t="str">
        <x:v>需复核</x:v>
      </x:c>
      <x:c r="K455" s="65"/>
      <x:c r="L455" s="65"/>
      <x:c r="M455" s="65"/>
      <x:c r="N455" s="67"/>
      <x:c r="O455" s="67"/>
      <x:c r="P455" s="67" t="str">
        <x:f>IF(COUNT(N455:O455)=0,"",SUM(N455:O455))</x:f>
      </x:c>
      <x:c r="Q455" s="65" t="str">
        <x:v>赛程/状态来源｜https://www.livescore.mobi/football/australia/victoria-premier-league-one/north-sunshine-eagles-sc-vs-eltham-redbacks/1722498/；365Scores赛事ID —；查询时间：2026-07-17 19:43（北京时间）</x:v>
      </x:c>
      <x:c r="R45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6" ht="38" customHeight="1">
      <x:c r="A456" s="65" t="str">
        <x:f>IF(B456="","",TEXT(B456,"yyyy-mm-dd")&amp;"|"&amp;D456&amp;"|"&amp;E456)</x:f>
        <x:v>2026-07-18|兰沃里林（Langwarrin）|布伦瑞克尤文图斯（Brunswick Juventus）</x:v>
      </x:c>
      <x:c r="B456" s="66" t="n">
        <x:v>46221.541666666664</x:v>
      </x:c>
      <x:c r="C456" s="65" t="str">
        <x:v>澳大利亚维多利亚州超级联赛1（VPL1）</x:v>
      </x:c>
      <x:c r="D456" s="65" t="str">
        <x:v>兰沃里林（Langwarrin）</x:v>
      </x:c>
      <x:c r="E456" s="65" t="str">
        <x:v>布伦瑞克尤文图斯（Brunswick Juventus）</x:v>
      </x:c>
      <x:c r="F456" s="65" t="str">
        <x:v>无可靠让球盘/只观察｜现有可审计资料不足以形成可靠让球倾向</x:v>
      </x:c>
      <x:c r="G456" s="65" t="str">
        <x:v>无可靠大小球盘/只观察｜未取得可交叉核验的总进球主盘与水位，无可靠大小球倾向</x:v>
      </x:c>
      <x:c r="H456" s="65" t="str">
        <x:v>待确认首发、双方近5场/主客拆分与可靠亚洲双盘；任一市场欧赔&lt;1.80/港水&lt;0.80不进；盘口未核验前不进、不加仓</x:v>
      </x:c>
      <x:c r="I456" s="66" t="n">
        <x:v>46220.82152777778</x:v>
      </x:c>
      <x:c r="J456" s="65" t="str">
        <x:v>需复核</x:v>
      </x:c>
      <x:c r="K456" s="65"/>
      <x:c r="L456" s="65"/>
      <x:c r="M456" s="65"/>
      <x:c r="N456" s="67"/>
      <x:c r="O456" s="67"/>
      <x:c r="P456" s="67" t="str">
        <x:f>IF(COUNT(N456:O456)=0,"",SUM(N456:O456))</x:f>
      </x:c>
      <x:c r="Q456" s="65" t="str">
        <x:v>赛程/状态来源｜https://www.livescore.mobi/football/australia/victoria-premier-league-one/langwarrin-sc-vs-brunswick-juventus-fc/1722500/；365Scores赛事ID —；查询时间：2026-07-17 19:43（北京时间）</x:v>
      </x:c>
      <x:c r="R45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7" ht="38" customHeight="1">
      <x:c r="A457" s="65" t="str">
        <x:f>IF(B457="","",TEXT(B457,"yyyy-mm-dd")&amp;"|"&amp;D457&amp;"|"&amp;E457)</x:f>
        <x:v>2026-07-18|中文名待确认（Gold Coast United FC）|中文名待确认（Lions FC）</x:v>
      </x:c>
      <x:c r="B457" s="66" t="n">
        <x:v>46221.541666666664</x:v>
      </x:c>
      <x:c r="C457" s="65" t="str">
        <x:v>澳大利亚昆士兰州超级联赛</x:v>
      </x:c>
      <x:c r="D457" s="65" t="str">
        <x:v>中文名待确认（Gold Coast United FC）</x:v>
      </x:c>
      <x:c r="E457" s="65" t="str">
        <x:v>中文名待确认（Lions FC）</x:v>
      </x:c>
      <x:c r="F457" s="65" t="str">
        <x:v>无可靠让球盘/只观察｜现有可审计资料不足以形成可靠让球倾向</x:v>
      </x:c>
      <x:c r="G457" s="65" t="str">
        <x:v>无可靠大小球盘/只观察｜未取得可交叉核验的总进球主盘与水位，无可靠大小球倾向</x:v>
      </x:c>
      <x:c r="H457" s="65" t="str">
        <x:v>待确认首发、双方近5场/主客拆分与可靠亚洲双盘；任一市场欧赔&lt;1.80/港水&lt;0.80不进；盘口未核验前不进、不加仓</x:v>
      </x:c>
      <x:c r="I457" s="66" t="n">
        <x:v>46220.82152777778</x:v>
      </x:c>
      <x:c r="J457" s="65" t="str">
        <x:v>需复核</x:v>
      </x:c>
      <x:c r="K457" s="65"/>
      <x:c r="L457" s="65"/>
      <x:c r="M457" s="65"/>
      <x:c r="N457" s="67"/>
      <x:c r="O457" s="67"/>
      <x:c r="P457" s="67" t="str">
        <x:f>IF(COUNT(N457:O457)=0,"",SUM(N457:O457))</x:f>
      </x:c>
      <x:c r="Q457" s="65" t="str">
        <x:v>赛程/状态来源｜https://www.livescore.mobi/football/australia/queensland-2026/gold-coast-united-fc-vs-lions-fc/1717526/；365Scores赛事ID —；查询时间：2026-07-17 19:43（北京时间）</x:v>
      </x:c>
      <x:c r="R45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8" ht="38" customHeight="1">
      <x:c r="A458" s="65" t="str">
        <x:f>IF(B458="","",TEXT(B458,"yyyy-mm-dd")&amp;"|"&amp;D458&amp;"|"&amp;E458)</x:f>
        <x:v>2026-07-18|艾云达尔（Avondale FC）|圣奥尔本斯圣特斯（St Albans Saints FC）</x:v>
      </x:c>
      <x:c r="B458" s="66" t="n">
        <x:v>46221.541666666664</x:v>
      </x:c>
      <x:c r="C458" s="65" t="str">
        <x:v>澳大利亚维多利亚州女子国家超级联赛（NPL Victoria Women）</x:v>
      </x:c>
      <x:c r="D458" s="65" t="str">
        <x:v>艾云达尔（Avondale FC）</x:v>
      </x:c>
      <x:c r="E458" s="65" t="str">
        <x:v>圣奥尔本斯圣特斯（St Albans Saints FC）</x:v>
      </x:c>
      <x:c r="F458" s="65" t="str">
        <x:v>无可靠让球盘/只观察｜现有可审计资料不足以形成可靠让球倾向</x:v>
      </x:c>
      <x:c r="G458" s="65" t="str">
        <x:v>无可靠大小球盘/只观察｜未取得可交叉核验的总进球主盘与水位，无可靠大小球倾向</x:v>
      </x:c>
      <x:c r="H458" s="65" t="str">
        <x:v>待确认首发、双方近5场/主客拆分与可靠亚洲双盘；任一市场欧赔&lt;1.80/港水&lt;0.80不进；盘口未核验前不进、不加仓</x:v>
      </x:c>
      <x:c r="I458" s="66" t="n">
        <x:v>46220.82152777778</x:v>
      </x:c>
      <x:c r="J458" s="65" t="str">
        <x:v>需复核</x:v>
      </x:c>
      <x:c r="K458" s="65"/>
      <x:c r="L458" s="65"/>
      <x:c r="M458" s="65"/>
      <x:c r="N458" s="67"/>
      <x:c r="O458" s="67"/>
      <x:c r="P458" s="67" t="str">
        <x:f>IF(COUNT(N458:O458)=0,"",SUM(N458:O458))</x:f>
      </x:c>
      <x:c r="Q458" s="65" t="str">
        <x:v>赛程/状态来源｜https://www.livescore.mobi/football/australia/npl-victoria/avondale-fc-vs-st-albans-saints/1722311/；365Scores赛事ID —；查询时间：2026-07-17 19:43（北京时间）</x:v>
      </x:c>
      <x:c r="R45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59" ht="38" customHeight="1">
      <x:c r="A459" s="65" t="str">
        <x:f>IF(B459="","",TEXT(B459,"yyyy-mm-dd")&amp;"|"&amp;D459&amp;"|"&amp;E459)</x:f>
        <x:v>2026-07-18|中文名待确认（Adelaide City）|中文名待确认（Croydon Kings）</x:v>
      </x:c>
      <x:c r="B459" s="66" t="n">
        <x:v>46221.541666666664</x:v>
      </x:c>
      <x:c r="C459" s="65" t="str">
        <x:v>澳大利亚南澳大利亚州超级联赛</x:v>
      </x:c>
      <x:c r="D459" s="65" t="str">
        <x:v>中文名待确认（Adelaide City）</x:v>
      </x:c>
      <x:c r="E459" s="65" t="str">
        <x:v>中文名待确认（Croydon Kings）</x:v>
      </x:c>
      <x:c r="F459" s="65" t="str">
        <x:v>无可靠让球盘/只观察｜现有可审计资料不足以形成可靠让球倾向</x:v>
      </x:c>
      <x:c r="G459" s="65" t="str">
        <x:v>无可靠大小球盘/只观察｜未取得可交叉核验的总进球主盘与水位，无可靠大小球倾向</x:v>
      </x:c>
      <x:c r="H459" s="65" t="str">
        <x:v>待确认首发、双方近5场/主客拆分与可靠亚洲双盘；任一市场欧赔&lt;1.80/港水&lt;0.80不进；盘口未核验前不进、不加仓</x:v>
      </x:c>
      <x:c r="I459" s="66" t="n">
        <x:v>46220.82152777778</x:v>
      </x:c>
      <x:c r="J459" s="65" t="str">
        <x:v>需复核</x:v>
      </x:c>
      <x:c r="K459" s="65"/>
      <x:c r="L459" s="65"/>
      <x:c r="M459" s="65"/>
      <x:c r="N459" s="67"/>
      <x:c r="O459" s="67"/>
      <x:c r="P459" s="67" t="str">
        <x:f>IF(COUNT(N459:O459)=0,"",SUM(N459:O459))</x:f>
      </x:c>
      <x:c r="Q459" s="65" t="str">
        <x:v>赛程/状态来源｜https://www.livescore.mobi/football/australia/npl-south-australia/adelaide-city-vs-croydon-kings/1723282/；365Scores赛事ID —；查询时间：2026-07-17 19:43（北京时间）</x:v>
      </x:c>
      <x:c r="R45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0" ht="38" customHeight="1">
      <x:c r="A460" s="65" t="str">
        <x:f>IF(B460="","",TEXT(B460,"yyyy-mm-dd")&amp;"|"&amp;D460&amp;"|"&amp;E460)</x:f>
        <x:v>2026-07-18|中文名待确认（Riverside Olympic）|中文名待确认（Clarence Zebras）</x:v>
      </x:c>
      <x:c r="B460" s="66" t="n">
        <x:v>46221.520833333336</x:v>
      </x:c>
      <x:c r="C460" s="65" t="str">
        <x:v>澳大利亚塔斯马尼亚州超级联赛</x:v>
      </x:c>
      <x:c r="D460" s="65" t="str">
        <x:v>中文名待确认（Riverside Olympic）</x:v>
      </x:c>
      <x:c r="E460" s="65" t="str">
        <x:v>中文名待确认（Clarence Zebras）</x:v>
      </x:c>
      <x:c r="F460" s="65" t="str">
        <x:v>无可靠让球盘/只观察｜现有可审计资料不足以形成可靠让球倾向</x:v>
      </x:c>
      <x:c r="G460" s="65" t="str">
        <x:v>无可靠大小球盘/只观察｜未取得可交叉核验的总进球主盘与水位，无可靠大小球倾向</x:v>
      </x:c>
      <x:c r="H460" s="65" t="str">
        <x:v>待确认首发、双方近5场/主客拆分与可靠亚洲双盘；任一市场欧赔&lt;1.80/港水&lt;0.80不进；盘口未核验前不进、不加仓</x:v>
      </x:c>
      <x:c r="I460" s="66" t="n">
        <x:v>46220.82152777778</x:v>
      </x:c>
      <x:c r="J460" s="65" t="str">
        <x:v>需复核</x:v>
      </x:c>
      <x:c r="K460" s="65"/>
      <x:c r="L460" s="65"/>
      <x:c r="M460" s="65"/>
      <x:c r="N460" s="67"/>
      <x:c r="O460" s="67"/>
      <x:c r="P460" s="67" t="str">
        <x:f>IF(COUNT(N460:O460)=0,"",SUM(N460:O460))</x:f>
      </x:c>
      <x:c r="Q460" s="65" t="str">
        <x:v>赛程/状态来源｜https://www.livescore.mobi/football/australia/npl-tasmania/riverside-olympic-vs-clarence-zebras/1722613/；365Scores赛事ID —；查询时间：2026-07-17 19:43（北京时间）</x:v>
      </x:c>
      <x:c r="R46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1" ht="38" customHeight="1">
      <x:c r="A461" s="65" t="str">
        <x:f>IF(B461="","",TEXT(B461,"yyyy-mm-dd")&amp;"|"&amp;D461&amp;"|"&amp;E461)</x:f>
        <x:v>2026-07-18|中文名待确认（Devonport City）|中文名待确认（South Hobart）</x:v>
      </x:c>
      <x:c r="B461" s="66" t="n">
        <x:v>46221.520833333336</x:v>
      </x:c>
      <x:c r="C461" s="65" t="str">
        <x:v>澳大利亚塔斯马尼亚州超级联赛</x:v>
      </x:c>
      <x:c r="D461" s="65" t="str">
        <x:v>中文名待确认（Devonport City）</x:v>
      </x:c>
      <x:c r="E461" s="65" t="str">
        <x:v>中文名待确认（South Hobart）</x:v>
      </x:c>
      <x:c r="F461" s="65" t="str">
        <x:v>无可靠让球盘/只观察｜现有可审计资料不足以形成可靠让球倾向</x:v>
      </x:c>
      <x:c r="G461" s="65" t="str">
        <x:v>无可靠大小球盘/只观察｜未取得可交叉核验的总进球主盘与水位，无可靠大小球倾向</x:v>
      </x:c>
      <x:c r="H461" s="65" t="str">
        <x:v>待确认首发、双方近5场/主客拆分与可靠亚洲双盘；任一市场欧赔&lt;1.80/港水&lt;0.80不进；盘口未核验前不进、不加仓</x:v>
      </x:c>
      <x:c r="I461" s="66" t="n">
        <x:v>46220.82152777778</x:v>
      </x:c>
      <x:c r="J461" s="65" t="str">
        <x:v>需复核</x:v>
      </x:c>
      <x:c r="K461" s="65"/>
      <x:c r="L461" s="65"/>
      <x:c r="M461" s="65"/>
      <x:c r="N461" s="67"/>
      <x:c r="O461" s="67"/>
      <x:c r="P461" s="67" t="str">
        <x:f>IF(COUNT(N461:O461)=0,"",SUM(N461:O461))</x:f>
      </x:c>
      <x:c r="Q461" s="65" t="str">
        <x:v>赛程/状态来源｜https://www.livescore.mobi/football/australia/npl-tasmania/devonport-city-vs-south-hobart/1722608/；365Scores赛事ID —；查询时间：2026-07-17 19:43（北京时间）</x:v>
      </x:c>
      <x:c r="R46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2" ht="38" customHeight="1">
      <x:c r="A462" s="65" t="str">
        <x:f>IF(B462="","",TEXT(B462,"yyyy-mm-dd")&amp;"|"&amp;D462&amp;"|"&amp;E462)</x:f>
        <x:v>2026-07-18|休城（Hume City）|欧克莱卡诺（Oakleigh Cannons）</x:v>
      </x:c>
      <x:c r="B462" s="66" t="n">
        <x:v>46221.5</x:v>
      </x:c>
      <x:c r="C462" s="65" t="str">
        <x:v>澳大利亚维多利亚州女子国家超级联赛（NPL Victoria Women）</x:v>
      </x:c>
      <x:c r="D462" s="65" t="str">
        <x:v>休城（Hume City）</x:v>
      </x:c>
      <x:c r="E462" s="65" t="str">
        <x:v>欧克莱卡诺（Oakleigh Cannons）</x:v>
      </x:c>
      <x:c r="F462" s="65" t="str">
        <x:v>无可靠让球盘/只观察｜现有可审计资料不足以形成可靠让球倾向</x:v>
      </x:c>
      <x:c r="G462" s="65" t="str">
        <x:v>无可靠大小球盘/只观察｜未取得可交叉核验的总进球主盘与水位，无可靠大小球倾向</x:v>
      </x:c>
      <x:c r="H462" s="65" t="str">
        <x:v>待确认首发、双方近5场/主客拆分与可靠亚洲双盘；任一市场欧赔&lt;1.80/港水&lt;0.80不进；盘口未核验前不进、不加仓</x:v>
      </x:c>
      <x:c r="I462" s="66" t="n">
        <x:v>46220.82152777778</x:v>
      </x:c>
      <x:c r="J462" s="65" t="str">
        <x:v>需复核</x:v>
      </x:c>
      <x:c r="K462" s="65"/>
      <x:c r="L462" s="65"/>
      <x:c r="M462" s="65"/>
      <x:c r="N462" s="67"/>
      <x:c r="O462" s="67"/>
      <x:c r="P462" s="67" t="str">
        <x:f>IF(COUNT(N462:O462)=0,"",SUM(N462:O462))</x:f>
      </x:c>
      <x:c r="Q462" s="65" t="str">
        <x:v>赛程/状态来源｜https://www.livescore.mobi/football/australia/npl-victoria/hume-city-fc-vs-oakleigh-cannons/1722309/；365Scores赛事ID —；查询时间：2026-07-17 19:43（北京时间）</x:v>
      </x:c>
      <x:c r="R46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3" ht="38" customHeight="1">
      <x:c r="A463" s="65" t="str">
        <x:f>IF(B463="","",TEXT(B463,"yyyy-mm-dd")&amp;"|"&amp;D463&amp;"|"&amp;E463)</x:f>
        <x:v>2026-07-18|中文名待确认（Cooks Hill United FC）|中文名待确认（Broadmeadow Magic）</x:v>
      </x:c>
      <x:c r="B463" s="66" t="n">
        <x:v>46221.5</x:v>
      </x:c>
      <x:c r="C463" s="65" t="str">
        <x:v>澳大利亚新南威尔士州北部超级联赛</x:v>
      </x:c>
      <x:c r="D463" s="65" t="str">
        <x:v>中文名待确认（Cooks Hill United FC）</x:v>
      </x:c>
      <x:c r="E463" s="65" t="str">
        <x:v>中文名待确认（Broadmeadow Magic）</x:v>
      </x:c>
      <x:c r="F463" s="65" t="str">
        <x:v>无可靠让球盘/只观察｜现有可审计资料不足以形成可靠让球倾向</x:v>
      </x:c>
      <x:c r="G463" s="65" t="str">
        <x:v>无可靠大小球盘/只观察｜未取得可交叉核验的总进球主盘与水位，无可靠大小球倾向</x:v>
      </x:c>
      <x:c r="H463" s="65" t="str">
        <x:v>待确认首发、双方近5场/主客拆分与可靠亚洲双盘；任一市场欧赔&lt;1.80/港水&lt;0.80不进；盘口未核验前不进、不加仓</x:v>
      </x:c>
      <x:c r="I463" s="66" t="n">
        <x:v>46220.82152777778</x:v>
      </x:c>
      <x:c r="J463" s="65" t="str">
        <x:v>需复核</x:v>
      </x:c>
      <x:c r="K463" s="65"/>
      <x:c r="L463" s="65"/>
      <x:c r="M463" s="65"/>
      <x:c r="N463" s="67"/>
      <x:c r="O463" s="67"/>
      <x:c r="P463" s="67" t="str">
        <x:f>IF(COUNT(N463:O463)=0,"",SUM(N463:O463))</x:f>
      </x:c>
      <x:c r="Q463" s="65" t="str">
        <x:v>赛程/状态来源｜https://www.livescore.mobi/football/australia/Northern-new-south-wales-2026/cooks-hill-united-fc-vs-broadmeadow-magic/1717660/；https://footballnsw.com.au/competitions/；365Scores赛事ID —；查询时间：2026-07-17 19:43（北京时间）</x:v>
      </x:c>
      <x:c r="R46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4" ht="38" customHeight="1">
      <x:c r="A464" s="65" t="str">
        <x:f>IF(B464="","",TEXT(B464,"yyyy-mm-dd")&amp;"|"&amp;D464&amp;"|"&amp;E464)</x:f>
        <x:v>2026-07-18|中文名待确认（Auckland United）|中文名待确认（Western Springs）</x:v>
      </x:c>
      <x:c r="B464" s="66" t="n">
        <x:v>46221.5</x:v>
      </x:c>
      <x:c r="C464" s="65" t="str">
        <x:v>国家联赛（具体国家待确认）</x:v>
      </x:c>
      <x:c r="D464" s="65" t="str">
        <x:v>中文名待确认（Auckland United）</x:v>
      </x:c>
      <x:c r="E464" s="65" t="str">
        <x:v>中文名待确认（Western Springs）</x:v>
      </x:c>
      <x:c r="F464" s="65" t="str">
        <x:v>无可靠让球盘/只观察｜现有可审计资料不足以形成可靠让球倾向</x:v>
      </x:c>
      <x:c r="G464" s="65" t="str">
        <x:v>无可靠大小球盘/只观察｜未取得可交叉核验的总进球主盘与水位，无可靠大小球倾向</x:v>
      </x:c>
      <x:c r="H464" s="65" t="str">
        <x:v>待确认首发、双方近5场/主客拆分与可靠亚洲双盘；任一市场欧赔&lt;1.80/港水&lt;0.80不进；盘口未核验前不进、不加仓</x:v>
      </x:c>
      <x:c r="I464" s="66" t="n">
        <x:v>46220.82152777778</x:v>
      </x:c>
      <x:c r="J464" s="65" t="str">
        <x:v>需复核</x:v>
      </x:c>
      <x:c r="K464" s="65"/>
      <x:c r="L464" s="65"/>
      <x:c r="M464" s="65"/>
      <x:c r="N464" s="67"/>
      <x:c r="O464" s="67"/>
      <x:c r="P464" s="67" t="str">
        <x:f>IF(COUNT(N464:O464)=0,"",SUM(N464:O464))</x:f>
      </x:c>
      <x:c r="Q464" s="65" t="str">
        <x:v>赛程/状态来源｜https://www.365scores.com/football/tomorrows-matches；365Scores赛事ID 4678310；查询时间：2026-07-17 19:43（北京时间）</x:v>
      </x:c>
      <x:c r="R46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5" ht="38" customHeight="1">
      <x:c r="A465" s="65" t="str">
        <x:f>IF(B465="","",TEXT(B465,"yyyy-mm-dd")&amp;"|"&amp;D465&amp;"|"&amp;E465)</x:f>
        <x:v>2026-07-18|中文名待确认（Adamstown Rosebud FC）|中文名待确认（Valentine Phoenix）</x:v>
      </x:c>
      <x:c r="B465" s="66" t="n">
        <x:v>46221.5</x:v>
      </x:c>
      <x:c r="C465" s="65" t="str">
        <x:v>澳大利亚新南威尔士州北部超级联赛</x:v>
      </x:c>
      <x:c r="D465" s="65" t="str">
        <x:v>中文名待确认（Adamstown Rosebud FC）</x:v>
      </x:c>
      <x:c r="E465" s="65" t="str">
        <x:v>中文名待确认（Valentine Phoenix）</x:v>
      </x:c>
      <x:c r="F465" s="65" t="str">
        <x:v>无可靠让球盘/只观察｜现有可审计资料不足以形成可靠让球倾向</x:v>
      </x:c>
      <x:c r="G465" s="65" t="str">
        <x:v>无可靠大小球盘/只观察｜未取得可交叉核验的总进球主盘与水位，无可靠大小球倾向</x:v>
      </x:c>
      <x:c r="H465" s="65" t="str">
        <x:v>待确认首发、双方近5场/主客拆分与可靠亚洲双盘；任一市场欧赔&lt;1.80/港水&lt;0.80不进；盘口未核验前不进、不加仓</x:v>
      </x:c>
      <x:c r="I465" s="66" t="n">
        <x:v>46220.82152777778</x:v>
      </x:c>
      <x:c r="J465" s="65" t="str">
        <x:v>需复核</x:v>
      </x:c>
      <x:c r="K465" s="65"/>
      <x:c r="L465" s="65"/>
      <x:c r="M465" s="65"/>
      <x:c r="N465" s="67"/>
      <x:c r="O465" s="67"/>
      <x:c r="P465" s="67" t="str">
        <x:f>IF(COUNT(N465:O465)=0,"",SUM(N465:O465))</x:f>
      </x:c>
      <x:c r="Q465" s="65" t="str">
        <x:v>赛程/状态来源｜https://www.livescore.mobi/football/australia/Northern-new-south-wales-2026/adamstown-rosebud-fc-vs-valentine-phoenix/1717656/；https://footballnsw.com.au/competitions/；365Scores赛事ID —；查询时间：2026-07-17 19:43（北京时间）</x:v>
      </x:c>
      <x:c r="R46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6" ht="38" customHeight="1">
      <x:c r="A466" s="65" t="str">
        <x:f>IF(B466="","",TEXT(B466,"yyyy-mm-dd")&amp;"|"&amp;D466&amp;"|"&amp;E466)</x:f>
        <x:v>2026-07-18|中文名待确认（Island Bay United）|中文名待确认（Wellington Olympic）</x:v>
      </x:c>
      <x:c r="B466" s="66" t="n">
        <x:v>46221.489583333336</x:v>
      </x:c>
      <x:c r="C466" s="65" t="str">
        <x:v>国家联赛（具体国家待确认）</x:v>
      </x:c>
      <x:c r="D466" s="65" t="str">
        <x:v>中文名待确认（Island Bay United）</x:v>
      </x:c>
      <x:c r="E466" s="65" t="str">
        <x:v>中文名待确认（Wellington Olympic）</x:v>
      </x:c>
      <x:c r="F466" s="65" t="str">
        <x:v>无可靠让球盘/只观察｜现有可审计资料不足以形成可靠让球倾向</x:v>
      </x:c>
      <x:c r="G466" s="65" t="str">
        <x:v>无可靠大小球盘/只观察｜未取得可交叉核验的总进球主盘与水位，无可靠大小球倾向</x:v>
      </x:c>
      <x:c r="H466" s="65" t="str">
        <x:v>待确认首发、双方近5场/主客拆分与可靠亚洲双盘；任一市场欧赔&lt;1.80/港水&lt;0.80不进；盘口未核验前不进、不加仓</x:v>
      </x:c>
      <x:c r="I466" s="66" t="n">
        <x:v>46220.82152777778</x:v>
      </x:c>
      <x:c r="J466" s="65" t="str">
        <x:v>需复核</x:v>
      </x:c>
      <x:c r="K466" s="65"/>
      <x:c r="L466" s="65"/>
      <x:c r="M466" s="65"/>
      <x:c r="N466" s="67"/>
      <x:c r="O466" s="67"/>
      <x:c r="P466" s="67" t="str">
        <x:f>IF(COUNT(N466:O466)=0,"",SUM(N466:O466))</x:f>
      </x:c>
      <x:c r="Q466" s="65" t="str">
        <x:v>赛程/状态来源｜https://www.365scores.com/football/tomorrows-matches；365Scores赛事ID 4678311；查询时间：2026-07-17 19:43（北京时间）</x:v>
      </x:c>
      <x:c r="R46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7" ht="38" customHeight="1">
      <x:c r="A467" s="65" t="str">
        <x:f>IF(B467="","",TEXT(B467,"yyyy-mm-dd")&amp;"|"&amp;D467&amp;"|"&amp;E467)</x:f>
        <x:v>2026-07-18|中文名待确认（Petone）|中文名待确认（Miramar）</x:v>
      </x:c>
      <x:c r="B467" s="66" t="n">
        <x:v>46221.46875</x:v>
      </x:c>
      <x:c r="C467" s="65" t="str">
        <x:v>国家联赛（具体国家待确认）</x:v>
      </x:c>
      <x:c r="D467" s="65" t="str">
        <x:v>中文名待确认（Petone）</x:v>
      </x:c>
      <x:c r="E467" s="65" t="str">
        <x:v>中文名待确认（Miramar）</x:v>
      </x:c>
      <x:c r="F467" s="65" t="str">
        <x:v>无可靠让球盘/只观察｜现有可审计资料不足以形成可靠让球倾向</x:v>
      </x:c>
      <x:c r="G467" s="65" t="str">
        <x:v>无可靠大小球盘/只观察｜未取得可交叉核验的总进球主盘与水位，无可靠大小球倾向</x:v>
      </x:c>
      <x:c r="H467" s="65" t="str">
        <x:v>待确认首发、双方近5场/主客拆分与可靠亚洲双盘；任一市场欧赔&lt;1.80/港水&lt;0.80不进；盘口未核验前不进、不加仓</x:v>
      </x:c>
      <x:c r="I467" s="66" t="n">
        <x:v>46220.82152777778</x:v>
      </x:c>
      <x:c r="J467" s="65" t="str">
        <x:v>需复核</x:v>
      </x:c>
      <x:c r="K467" s="65"/>
      <x:c r="L467" s="65"/>
      <x:c r="M467" s="65"/>
      <x:c r="N467" s="67"/>
      <x:c r="O467" s="67"/>
      <x:c r="P467" s="67" t="str">
        <x:f>IF(COUNT(N467:O467)=0,"",SUM(N467:O467))</x:f>
      </x:c>
      <x:c r="Q467" s="65" t="str">
        <x:v>赛程/状态来源｜https://www.365scores.com/football/tomorrows-matches；365Scores赛事ID 4678317；查询时间：2026-07-17 19:43（北京时间）</x:v>
      </x:c>
      <x:c r="R46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8" ht="38" customHeight="1">
      <x:c r="A468" s="65" t="str">
        <x:f>IF(B468="","",TEXT(B468,"yyyy-mm-dd")&amp;"|"&amp;D468&amp;"|"&amp;E468)</x:f>
        <x:v>2026-07-18|中文名待确认（Upper Hutt City）|中文名待确认（Western Suburbs）</x:v>
      </x:c>
      <x:c r="B468" s="66" t="n">
        <x:v>46221.458333333336</x:v>
      </x:c>
      <x:c r="C468" s="65" t="str">
        <x:v>国家联赛（具体国家待确认）</x:v>
      </x:c>
      <x:c r="D468" s="65" t="str">
        <x:v>中文名待确认（Upper Hutt City）</x:v>
      </x:c>
      <x:c r="E468" s="65" t="str">
        <x:v>中文名待确认（Western Suburbs）</x:v>
      </x:c>
      <x:c r="F468" s="65" t="str">
        <x:v>无可靠让球盘/只观察｜现有可审计资料不足以形成可靠让球倾向</x:v>
      </x:c>
      <x:c r="G468" s="65" t="str">
        <x:v>无可靠大小球盘/只观察｜未取得可交叉核验的总进球主盘与水位，无可靠大小球倾向</x:v>
      </x:c>
      <x:c r="H468" s="65" t="str">
        <x:v>待确认首发、双方近5场/主客拆分与可靠亚洲双盘；任一市场欧赔&lt;1.80/港水&lt;0.80不进；盘口未核验前不进、不加仓</x:v>
      </x:c>
      <x:c r="I468" s="66" t="n">
        <x:v>46220.82152777778</x:v>
      </x:c>
      <x:c r="J468" s="65" t="str">
        <x:v>需复核</x:v>
      </x:c>
      <x:c r="K468" s="65"/>
      <x:c r="L468" s="65"/>
      <x:c r="M468" s="65"/>
      <x:c r="N468" s="67"/>
      <x:c r="O468" s="67"/>
      <x:c r="P468" s="67" t="str">
        <x:f>IF(COUNT(N468:O468)=0,"",SUM(N468:O468))</x:f>
      </x:c>
      <x:c r="Q468" s="65" t="str">
        <x:v>赛程/状态来源｜https://www.365scores.com/football/tomorrows-matches；365Scores赛事ID 4678316；查询时间：2026-07-17 19:43（北京时间）</x:v>
      </x:c>
      <x:c r="R46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69" ht="38" customHeight="1">
      <x:c r="A469" s="65" t="str">
        <x:f>IF(B469="","",TEXT(B469,"yyyy-mm-dd")&amp;"|"&amp;D469&amp;"|"&amp;E469)</x:f>
        <x:v>2026-07-18|华雷斯（FC Juárez）|普布埃拉（Puebla）</x:v>
      </x:c>
      <x:c r="B469" s="66" t="n">
        <x:v>46221.458333333336</x:v>
      </x:c>
      <x:c r="C469" s="65" t="str">
        <x:v>墨西哥超级联赛（Liga MX，Apertura）</x:v>
      </x:c>
      <x:c r="D469" s="65" t="str">
        <x:v>华雷斯（FC Juárez）</x:v>
      </x:c>
      <x:c r="E469" s="65" t="str">
        <x:v>普布埃拉（Puebla）</x:v>
      </x:c>
      <x:c r="F469" s="65" t="str">
        <x:v>无可靠让球盘/只观察｜胜负价格仅弱倾向主队侧，不换算让球盘口</x:v>
      </x:c>
      <x:c r="G469" s="65" t="str">
        <x:v>无可靠大小球盘/只观察｜未取得可交叉核验的总进球主盘与水位，无可靠大小球倾向</x:v>
      </x:c>
      <x:c r="H469" s="65" t="str">
        <x:v>待确认首发、双方近5场/主客拆分与可靠亚洲双盘；任一市场欧赔&lt;1.80/港水&lt;0.80不进；盘口未核验前不进、不加仓</x:v>
      </x:c>
      <x:c r="I469" s="66" t="n">
        <x:v>46220.82152777778</x:v>
      </x:c>
      <x:c r="J469" s="65" t="str">
        <x:v>需复核</x:v>
      </x:c>
      <x:c r="K469" s="65"/>
      <x:c r="L469" s="65"/>
      <x:c r="M469" s="65"/>
      <x:c r="N469" s="67"/>
      <x:c r="O469" s="67"/>
      <x:c r="P469" s="67" t="str">
        <x:f>IF(COUNT(N469:O469)=0,"",SUM(N469:O469))</x:f>
      </x:c>
      <x:c r="Q469" s="65" t="str">
        <x:v>赛程/状态来源｜https://www.365scores.com/football/tomorrows-matches；https://www.livescore.mobi/football/mexico/liga-mx-apertura/fc-juarez-vs-puebla/1798950/；https://global.espn.com/football/scoreboard/_/date/20260718；https://tipsterarea.com/match/juarez-puebla-liga-mx-mexico-935517；365Scores赛事ID 4735759；查询时间：2026-07-17 19:43（北京时间）</x:v>
      </x:c>
      <x:c r="R46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1.65/3.90/4.78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0" ht="38" customHeight="1">
      <x:c r="A470" s="65" t="str">
        <x:f>IF(B470="","",TEXT(B470,"yyyy-mm-dd")&amp;"|"&amp;D470&amp;"|"&amp;E470)</x:f>
        <x:v>2026-07-18|东郊（布里斯班）（Eastern Suburbs）|中文名待确认（Manukau United）</x:v>
      </x:c>
      <x:c r="B470" s="66" t="n">
        <x:v>46221.458333333336</x:v>
      </x:c>
      <x:c r="C470" s="65" t="str">
        <x:v>国家联赛（具体国家待确认）</x:v>
      </x:c>
      <x:c r="D470" s="65" t="str">
        <x:v>东郊（布里斯班）（Eastern Suburbs）</x:v>
      </x:c>
      <x:c r="E470" s="65" t="str">
        <x:v>中文名待确认（Manukau United）</x:v>
      </x:c>
      <x:c r="F470" s="65" t="str">
        <x:v>无可靠让球盘/只观察｜现有可审计资料不足以形成可靠让球倾向</x:v>
      </x:c>
      <x:c r="G470" s="65" t="str">
        <x:v>无可靠大小球盘/只观察｜未取得可交叉核验的总进球主盘与水位，无可靠大小球倾向</x:v>
      </x:c>
      <x:c r="H470" s="65" t="str">
        <x:v>待确认首发、双方近5场/主客拆分与可靠亚洲双盘；任一市场欧赔&lt;1.80/港水&lt;0.80不进；盘口未核验前不进、不加仓</x:v>
      </x:c>
      <x:c r="I470" s="66" t="n">
        <x:v>46220.82152777778</x:v>
      </x:c>
      <x:c r="J470" s="65" t="str">
        <x:v>需复核</x:v>
      </x:c>
      <x:c r="K470" s="65"/>
      <x:c r="L470" s="65"/>
      <x:c r="M470" s="65"/>
      <x:c r="N470" s="67"/>
      <x:c r="O470" s="67"/>
      <x:c r="P470" s="67" t="str">
        <x:f>IF(COUNT(N470:O470)=0,"",SUM(N470:O470))</x:f>
      </x:c>
      <x:c r="Q470" s="65" t="str">
        <x:v>赛程/状态来源｜https://www.365scores.com/football/tomorrows-matches；365Scores赛事ID 4678313；查询时间：2026-07-17 19:43（北京时间）</x:v>
      </x:c>
      <x:c r="R47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1" ht="38" customHeight="1">
      <x:c r="A471" s="65" t="str">
        <x:f>IF(B471="","",TEXT(B471,"yyyy-mm-dd")&amp;"|"&amp;D471&amp;"|"&amp;E471)</x:f>
        <x:v>2026-07-18|中文名待确认（East Coast Bays）|中文名待确认（Bay Olympic）</x:v>
      </x:c>
      <x:c r="B471" s="66" t="n">
        <x:v>46221.458333333336</x:v>
      </x:c>
      <x:c r="C471" s="65" t="str">
        <x:v>国家联赛（具体国家待确认）</x:v>
      </x:c>
      <x:c r="D471" s="65" t="str">
        <x:v>中文名待确认（East Coast Bays）</x:v>
      </x:c>
      <x:c r="E471" s="65" t="str">
        <x:v>中文名待确认（Bay Olympic）</x:v>
      </x:c>
      <x:c r="F471" s="65" t="str">
        <x:v>无可靠让球盘/只观察｜现有可审计资料不足以形成可靠让球倾向</x:v>
      </x:c>
      <x:c r="G471" s="65" t="str">
        <x:v>无可靠大小球盘/只观察｜未取得可交叉核验的总进球主盘与水位，无可靠大小球倾向</x:v>
      </x:c>
      <x:c r="H471" s="65" t="str">
        <x:v>待确认首发、双方近5场/主客拆分与可靠亚洲双盘；任一市场欧赔&lt;1.80/港水&lt;0.80不进；盘口未核验前不进、不加仓</x:v>
      </x:c>
      <x:c r="I471" s="66" t="n">
        <x:v>46220.82152777778</x:v>
      </x:c>
      <x:c r="J471" s="65" t="str">
        <x:v>需复核</x:v>
      </x:c>
      <x:c r="K471" s="65"/>
      <x:c r="L471" s="65"/>
      <x:c r="M471" s="65"/>
      <x:c r="N471" s="67"/>
      <x:c r="O471" s="67"/>
      <x:c r="P471" s="67" t="str">
        <x:f>IF(COUNT(N471:O471)=0,"",SUM(N471:O471))</x:f>
      </x:c>
      <x:c r="Q471" s="65" t="str">
        <x:v>赛程/状态来源｜https://www.365scores.com/football/tomorrows-matches；365Scores赛事ID 4678314；查询时间：2026-07-17 19:43（北京时间）</x:v>
      </x:c>
      <x:c r="R47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2" ht="38" customHeight="1">
      <x:c r="A472" s="65" t="str">
        <x:f>IF(B472="","",TEXT(B472,"yyyy-mm-dd")&amp;"|"&amp;D472&amp;"|"&amp;E472)</x:f>
        <x:v>2026-07-18|中文名待确认（Auckland City）|中文名待确认（Tauranga City United Afc）</x:v>
      </x:c>
      <x:c r="B472" s="66" t="n">
        <x:v>46221.458333333336</x:v>
      </x:c>
      <x:c r="C472" s="65" t="str">
        <x:v>国家联赛（具体国家待确认）</x:v>
      </x:c>
      <x:c r="D472" s="65" t="str">
        <x:v>中文名待确认（Auckland City）</x:v>
      </x:c>
      <x:c r="E472" s="65" t="str">
        <x:v>中文名待确认（Tauranga City United Afc）</x:v>
      </x:c>
      <x:c r="F472" s="65" t="str">
        <x:v>无可靠让球盘/只观察｜现有可审计资料不足以形成可靠让球倾向</x:v>
      </x:c>
      <x:c r="G472" s="65" t="str">
        <x:v>无可靠大小球盘/只观察｜未取得可交叉核验的总进球主盘与水位，无可靠大小球倾向</x:v>
      </x:c>
      <x:c r="H472" s="65" t="str">
        <x:v>待确认首发、双方近5场/主客拆分与可靠亚洲双盘；任一市场欧赔&lt;1.80/港水&lt;0.80不进；盘口未核验前不进、不加仓</x:v>
      </x:c>
      <x:c r="I472" s="66" t="n">
        <x:v>46220.82152777778</x:v>
      </x:c>
      <x:c r="J472" s="65" t="str">
        <x:v>需复核</x:v>
      </x:c>
      <x:c r="K472" s="65"/>
      <x:c r="L472" s="65"/>
      <x:c r="M472" s="65"/>
      <x:c r="N472" s="67"/>
      <x:c r="O472" s="67"/>
      <x:c r="P472" s="67" t="str">
        <x:f>IF(COUNT(N472:O472)=0,"",SUM(N472:O472))</x:f>
      </x:c>
      <x:c r="Q472" s="65" t="str">
        <x:v>赛程/状态来源｜https://www.365scores.com/football/tomorrows-matches；365Scores赛事ID 4678315；查询时间：2026-07-17 19:43（北京时间）</x:v>
      </x:c>
      <x:c r="R47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3" ht="38" customHeight="1">
      <x:c r="A473" s="65" t="str">
        <x:f>IF(B473="","",TEXT(B473,"yyyy-mm-dd")&amp;"|"&amp;D473&amp;"|"&amp;E473)</x:f>
        <x:v>2026-07-18|中文名待确认（San Francisco City）|中文名待确认（FC Tucson）</x:v>
      </x:c>
      <x:c r="B473" s="66" t="n">
        <x:v>46221.4375</x:v>
      </x:c>
      <x:c r="C473" s="65" t="str">
        <x:v>美国USL二级联赛季后赛</x:v>
      </x:c>
      <x:c r="D473" s="65" t="str">
        <x:v>中文名待确认（San Francisco City）</x:v>
      </x:c>
      <x:c r="E473" s="65" t="str">
        <x:v>中文名待确认（FC Tucson）</x:v>
      </x:c>
      <x:c r="F473" s="65" t="str">
        <x:v>无可靠让球盘/只观察｜现有可审计资料不足以形成可靠让球倾向</x:v>
      </x:c>
      <x:c r="G473" s="65" t="str">
        <x:v>无可靠大小球盘/只观察｜未取得可交叉核验的总进球主盘与水位，无可靠大小球倾向</x:v>
      </x:c>
      <x:c r="H473" s="65" t="str">
        <x:v>待确认首发、双方近5场/主客拆分与可靠亚洲双盘；任一市场欧赔&lt;1.80/港水&lt;0.80不进；盘口未核验前不进、不加仓</x:v>
      </x:c>
      <x:c r="I473" s="66" t="n">
        <x:v>46220.82152777778</x:v>
      </x:c>
      <x:c r="J473" s="65" t="str">
        <x:v>需复核</x:v>
      </x:c>
      <x:c r="K473" s="65"/>
      <x:c r="L473" s="65"/>
      <x:c r="M473" s="65"/>
      <x:c r="N473" s="67"/>
      <x:c r="O473" s="67"/>
      <x:c r="P473" s="67" t="str">
        <x:f>IF(COUNT(N473:O473)=0,"",SUM(N473:O473))</x:f>
      </x:c>
      <x:c r="Q473" s="65" t="str">
        <x:v>赛程/状态来源｜https://www.livescore.mobi/football/usa/usl-league-two-play-off/san-francisco-city-vs-fc-tucson/1832395/；https://www.uslleaguetwo.com/playoffs；365Scores赛事ID —；查询时间：2026-07-17 19:43（北京时间）</x:v>
      </x:c>
      <x:c r="R473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4" ht="38" customHeight="1">
      <x:c r="A474" s="65" t="str">
        <x:f>IF(B474="","",TEXT(B474,"yyyy-mm-dd")&amp;"|"&amp;D474&amp;"|"&amp;E474)</x:f>
        <x:v>2026-07-18|中文名待确认（Los Angeles Galaxy）|洛杉矶FC（Los Angeles FC）</x:v>
      </x:c>
      <x:c r="B474" s="66" t="n">
        <x:v>46221.43402777778</x:v>
      </x:c>
      <x:c r="C474" s="65" t="str">
        <x:v>美国职业足球大联盟（MLS）</x:v>
      </x:c>
      <x:c r="D474" s="65" t="str">
        <x:v>中文名待确认（Los Angeles Galaxy）</x:v>
      </x:c>
      <x:c r="E474" s="65" t="str">
        <x:v>洛杉矶FC（Los Angeles FC）</x:v>
      </x:c>
      <x:c r="F474" s="65" t="str">
        <x:v>无可靠让球盘/只观察｜胜负价格仅弱倾向客队侧，不换算让球盘口</x:v>
      </x:c>
      <x:c r="G474" s="65" t="str">
        <x:v>无可靠大小球盘/只观察｜未取得可交叉核验的总进球主盘与水位，无可靠大小球倾向</x:v>
      </x:c>
      <x:c r="H474" s="65" t="str">
        <x:v>待确认首发、双方近5场/主客拆分与可靠亚洲双盘；任一市场欧赔&lt;1.80/港水&lt;0.80不进；盘口未核验前不进、不加仓</x:v>
      </x:c>
      <x:c r="I474" s="66" t="n">
        <x:v>46220.82152777778</x:v>
      </x:c>
      <x:c r="J474" s="65" t="str">
        <x:v>需复核</x:v>
      </x:c>
      <x:c r="K474" s="65"/>
      <x:c r="L474" s="65"/>
      <x:c r="M474" s="65"/>
      <x:c r="N474" s="67"/>
      <x:c r="O474" s="67"/>
      <x:c r="P474" s="67" t="str">
        <x:f>IF(COUNT(N474:O474)=0,"",SUM(N474:O474))</x:f>
      </x:c>
      <x:c r="Q474" s="65" t="str">
        <x:v>赛程/状态来源｜https://www.365scores.com/football/tomorrows-matches；https://www.livescore.mobi/football/usa/major-league-soccer-2026/la-galaxy-vs-los-angeles-fc/1696484/；https://tipsterarea.com/match/los-angeles-galaxy-los-angeles-fc-major-league-soccer-usa-935501；365Scores赛事ID 4621503；查询时间：2026-07-17 19:43（北京时间）</x:v>
      </x:c>
      <x:c r="R47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2.94/3.75/2.23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5" ht="38" customHeight="1">
      <x:c r="A475" s="65" t="str">
        <x:f>IF(B475="","",TEXT(B475,"yyyy-mm-dd")&amp;"|"&amp;D475&amp;"|"&amp;E475)</x:f>
        <x:v>2026-07-18|洛杉矶银河（LA Galaxy）|洛杉矶FC（LAFC）</x:v>
      </x:c>
      <x:c r="B475" s="66" t="n">
        <x:v>46221.43402777778</x:v>
      </x:c>
      <x:c r="C475" s="65" t="str">
        <x:v>乌兹别克斯坦超级联赛</x:v>
      </x:c>
      <x:c r="D475" s="65" t="str">
        <x:v>洛杉矶银河（LA Galaxy）</x:v>
      </x:c>
      <x:c r="E475" s="65" t="str">
        <x:v>洛杉矶FC（LAFC）</x:v>
      </x:c>
      <x:c r="F475" s="65" t="str">
        <x:v>无可靠让球盘/只观察｜现有可审计资料不足以形成可靠让球倾向</x:v>
      </x:c>
      <x:c r="G475" s="65" t="str">
        <x:v>无可靠大小球盘/只观察｜未取得可交叉核验的总进球主盘与水位，无可靠大小球倾向</x:v>
      </x:c>
      <x:c r="H475" s="65" t="str">
        <x:v>待确认首发、双方近5场/主客拆分与可靠亚洲双盘；任一市场欧赔&lt;1.80/港水&lt;0.80不进；盘口未核验前不进、不加仓</x:v>
      </x:c>
      <x:c r="I475" s="66" t="n">
        <x:v>46220.82152777778</x:v>
      </x:c>
      <x:c r="J475" s="65" t="str">
        <x:v>需复核</x:v>
      </x:c>
      <x:c r="K475" s="65"/>
      <x:c r="L475" s="65"/>
      <x:c r="M475" s="65"/>
      <x:c r="N475" s="67"/>
      <x:c r="O475" s="67"/>
      <x:c r="P475" s="67" t="str">
        <x:f>IF(COUNT(N475:O475)=0,"",SUM(N475:O475))</x:f>
      </x:c>
      <x:c r="Q475" s="65" t="str">
        <x:v>赛程/状态来源｜https://global.espn.com/football/scoreboard/_/date/20260718；365Scores赛事ID —；查询时间：2026-07-17 19:43（北京时间）</x:v>
      </x:c>
      <x:c r="R47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6" ht="38" customHeight="1">
      <x:c r="A476" s="65" t="str">
        <x:f>IF(B476="","",TEXT(B476,"yyyy-mm-dd")&amp;"|"&amp;D476&amp;"|"&amp;E476)</x:f>
        <x:v>2026-07-18|中文名待确认（Wanaka AFC）|中文名待确认（Christchurch United Afc）</x:v>
      </x:c>
      <x:c r="B476" s="66" t="n">
        <x:v>46221.416666666664</x:v>
      </x:c>
      <x:c r="C476" s="65" t="str">
        <x:v>国家联赛（具体国家待确认）</x:v>
      </x:c>
      <x:c r="D476" s="65" t="str">
        <x:v>中文名待确认（Wanaka AFC）</x:v>
      </x:c>
      <x:c r="E476" s="65" t="str">
        <x:v>中文名待确认（Christchurch United Afc）</x:v>
      </x:c>
      <x:c r="F476" s="65" t="str">
        <x:v>无可靠让球盘/只观察｜现有可审计资料不足以形成可靠让球倾向</x:v>
      </x:c>
      <x:c r="G476" s="65" t="str">
        <x:v>无可靠大小球盘/只观察｜未取得可交叉核验的总进球主盘与水位，无可靠大小球倾向</x:v>
      </x:c>
      <x:c r="H476" s="65" t="str">
        <x:v>待确认首发、双方近5场/主客拆分与可靠亚洲双盘；任一市场欧赔&lt;1.80/港水&lt;0.80不进；盘口未核验前不进、不加仓</x:v>
      </x:c>
      <x:c r="I476" s="66" t="n">
        <x:v>46220.82152777778</x:v>
      </x:c>
      <x:c r="J476" s="65" t="str">
        <x:v>需复核</x:v>
      </x:c>
      <x:c r="K476" s="65"/>
      <x:c r="L476" s="65"/>
      <x:c r="M476" s="65"/>
      <x:c r="N476" s="67"/>
      <x:c r="O476" s="67"/>
      <x:c r="P476" s="67" t="str">
        <x:f>IF(COUNT(N476:O476)=0,"",SUM(N476:O476))</x:f>
      </x:c>
      <x:c r="Q476" s="65" t="str">
        <x:v>赛程/状态来源｜https://www.365scores.com/football/tomorrows-matches；365Scores赛事ID 4681837；查询时间：2026-07-17 19:43（北京时间）</x:v>
      </x:c>
      <x:c r="R47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7" ht="38" customHeight="1">
      <x:c r="A477" s="65" t="str">
        <x:f>IF(B477="","",TEXT(B477,"yyyy-mm-dd")&amp;"|"&amp;D477&amp;"|"&amp;E477)</x:f>
        <x:v>2026-07-18|中文名待确认（Club Sport Herediano）|萨普里萨（Deportivo Saprissa）</x:v>
      </x:c>
      <x:c r="B477" s="66" t="n">
        <x:v>46221.416666666664</x:v>
      </x:c>
      <x:c r="C477" s="65" t="str">
        <x:v>南美优胜者杯决赛</x:v>
      </x:c>
      <x:c r="D477" s="65" t="str">
        <x:v>中文名待确认（Club Sport Herediano）</x:v>
      </x:c>
      <x:c r="E477" s="65" t="str">
        <x:v>萨普里萨（Deportivo Saprissa）</x:v>
      </x:c>
      <x:c r="F477" s="65" t="str">
        <x:v>无可靠让球盘/只观察｜现有可审计资料不足以形成可靠让球倾向</x:v>
      </x:c>
      <x:c r="G477" s="65" t="str">
        <x:v>无可靠大小球盘/只观察｜未取得可交叉核验的总进球主盘与水位，无可靠大小球倾向</x:v>
      </x:c>
      <x:c r="H477" s="65" t="str">
        <x:v>待确认首发、双方近5场/主客拆分与可靠亚洲双盘；任一市场欧赔&lt;1.80/港水&lt;0.80不进；盘口未核验前不进、不加仓</x:v>
      </x:c>
      <x:c r="I477" s="66" t="n">
        <x:v>46220.82152777778</x:v>
      </x:c>
      <x:c r="J477" s="65" t="str">
        <x:v>需复核</x:v>
      </x:c>
      <x:c r="K477" s="65"/>
      <x:c r="L477" s="65"/>
      <x:c r="M477" s="65"/>
      <x:c r="N477" s="67"/>
      <x:c r="O477" s="67"/>
      <x:c r="P477" s="67" t="str">
        <x:f>IF(COUNT(N477:O477)=0,"",SUM(N477:O477))</x:f>
      </x:c>
      <x:c r="Q477" s="65" t="str">
        <x:v>赛程/状态来源｜https://www.365scores.com/football/tomorrows-matches；365Scores赛事ID 4769998；查询时间：2026-07-17 19:43（北京时间）</x:v>
      </x:c>
      <x:c r="R477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8" ht="38" customHeight="1">
      <x:c r="A478" s="65" t="str">
        <x:f>IF(B478="","",TEXT(B478,"yyyy-mm-dd")&amp;"|"&amp;D478&amp;"|"&amp;E478)</x:f>
        <x:v>2026-07-18|中文名待确认（Ballard FC）|中文名待确认（Utah United）</x:v>
      </x:c>
      <x:c r="B478" s="66" t="n">
        <x:v>46221.416666666664</x:v>
      </x:c>
      <x:c r="C478" s="65" t="str">
        <x:v>美国USL二级联赛季后赛</x:v>
      </x:c>
      <x:c r="D478" s="65" t="str">
        <x:v>中文名待确认（Ballard FC）</x:v>
      </x:c>
      <x:c r="E478" s="65" t="str">
        <x:v>中文名待确认（Utah United）</x:v>
      </x:c>
      <x:c r="F478" s="65" t="str">
        <x:v>无可靠让球盘/只观察｜现有可审计资料不足以形成可靠让球倾向</x:v>
      </x:c>
      <x:c r="G478" s="65" t="str">
        <x:v>无可靠大小球盘/只观察｜未取得可交叉核验的总进球主盘与水位，无可靠大小球倾向</x:v>
      </x:c>
      <x:c r="H478" s="65" t="str">
        <x:v>待确认首发、双方近5场/主客拆分与可靠亚洲双盘；任一市场欧赔&lt;1.80/港水&lt;0.80不进；盘口未核验前不进、不加仓</x:v>
      </x:c>
      <x:c r="I478" s="66" t="n">
        <x:v>46220.82152777778</x:v>
      </x:c>
      <x:c r="J478" s="65" t="str">
        <x:v>需复核</x:v>
      </x:c>
      <x:c r="K478" s="65"/>
      <x:c r="L478" s="65"/>
      <x:c r="M478" s="65"/>
      <x:c r="N478" s="67"/>
      <x:c r="O478" s="67"/>
      <x:c r="P478" s="67" t="str">
        <x:f>IF(COUNT(N478:O478)=0,"",SUM(N478:O478))</x:f>
      </x:c>
      <x:c r="Q478" s="65" t="str">
        <x:v>赛程/状态来源｜https://www.livescore.mobi/football/usa/usl-league-two-play-off/ballard-fc-vs-utah-united/1832394/；https://www.uslleaguetwo.com/playoffs；365Scores赛事ID —；查询时间：2026-07-17 19:43（北京时间）</x:v>
      </x:c>
      <x:c r="R478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79" ht="38" customHeight="1">
      <x:c r="A479" s="65" t="str">
        <x:f>IF(B479="","",TEXT(B479,"yyyy-mm-dd")&amp;"|"&amp;D479&amp;"|"&amp;E479)</x:f>
        <x:v>2026-07-18|神户胜利船（Vissel Kobe）|中文名待确认（Consadole Sapporo）</x:v>
      </x:c>
      <x:c r="B479" s="66" t="n">
        <x:v>46221.395833333336</x:v>
      </x:c>
      <x:c r="C479" s="65" t="str">
        <x:v>国际俱乐部友谊赛</x:v>
      </x:c>
      <x:c r="D479" s="65" t="str">
        <x:v>神户胜利船（Vissel Kobe）</x:v>
      </x:c>
      <x:c r="E479" s="65" t="str">
        <x:v>中文名待确认（Consadole Sapporo）</x:v>
      </x:c>
      <x:c r="F479" s="65" t="str">
        <x:v>无可靠让球盘/只观察｜现有可审计资料不足以形成可靠让球倾向</x:v>
      </x:c>
      <x:c r="G479" s="65" t="str">
        <x:v>无可靠大小球盘/只观察｜未取得可交叉核验的总进球主盘与水位，无可靠大小球倾向</x:v>
      </x:c>
      <x:c r="H479" s="65" t="str">
        <x:v>待确认首发、双方近5场/主客拆分与可靠亚洲双盘；任一市场欧赔&lt;1.80/港水&lt;0.80不进；盘口未核验前不进、不加仓</x:v>
      </x:c>
      <x:c r="I479" s="66" t="n">
        <x:v>46220.82152777778</x:v>
      </x:c>
      <x:c r="J479" s="65" t="str">
        <x:v>需复核</x:v>
      </x:c>
      <x:c r="K479" s="65"/>
      <x:c r="L479" s="65"/>
      <x:c r="M479" s="65"/>
      <x:c r="N479" s="67"/>
      <x:c r="O479" s="67"/>
      <x:c r="P479" s="67" t="str">
        <x:f>IF(COUNT(N479:O479)=0,"",SUM(N479:O479))</x:f>
      </x:c>
      <x:c r="Q479" s="65" t="str">
        <x:v>赛程/状态来源｜https://www.365scores.com/football/tomorrows-matches；365Scores赛事ID 4767909；查询时间：2026-07-17 19:43（北京时间）</x:v>
      </x:c>
      <x:c r="R47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0" ht="38" customHeight="1">
      <x:c r="A480" s="65" t="str">
        <x:f>IF(B480="","",TEXT(B480,"yyyy-mm-dd")&amp;"|"&amp;D480&amp;"|"&amp;E480)</x:f>
        <x:v>2026-07-18|中文名待确认（Boise）|中文名待确认（Portland Hearts of Pine）</x:v>
      </x:c>
      <x:c r="B480" s="66" t="n">
        <x:v>46221.395833333336</x:v>
      </x:c>
      <x:c r="C480" s="65" t="str">
        <x:v>美国USL甲级联赛</x:v>
      </x:c>
      <x:c r="D480" s="65" t="str">
        <x:v>中文名待确认（Boise）</x:v>
      </x:c>
      <x:c r="E480" s="65" t="str">
        <x:v>中文名待确认（Portland Hearts of Pine）</x:v>
      </x:c>
      <x:c r="F480" s="65" t="str">
        <x:v>无可靠让球盘/只观察｜现有可审计资料不足以形成可靠让球倾向</x:v>
      </x:c>
      <x:c r="G480" s="65" t="str">
        <x:v>无可靠大小球盘/只观察｜未取得可交叉核验的总进球主盘与水位，无可靠大小球倾向</x:v>
      </x:c>
      <x:c r="H480" s="65" t="str">
        <x:v>待确认首发、双方近5场/主客拆分与可靠亚洲双盘；任一市场欧赔&lt;1.80/港水&lt;0.80不进；盘口未核验前不进、不加仓</x:v>
      </x:c>
      <x:c r="I480" s="66" t="n">
        <x:v>46220.82152777778</x:v>
      </x:c>
      <x:c r="J480" s="65" t="str">
        <x:v>需复核</x:v>
      </x:c>
      <x:c r="K480" s="65"/>
      <x:c r="L480" s="65"/>
      <x:c r="M480" s="65"/>
      <x:c r="N480" s="67"/>
      <x:c r="O480" s="67"/>
      <x:c r="P480" s="67" t="str">
        <x:f>IF(COUNT(N480:O480)=0,"",SUM(N480:O480))</x:f>
      </x:c>
      <x:c r="Q480" s="65" t="str">
        <x:v>赛程/状态来源｜https://www.365scores.com/football/tomorrows-matches；https://www.livescore.mobi/football/usa/usl-league-one/boise-vs-portland-hearts-of-pine/1711326/；365Scores赛事ID 4710778；查询时间：2026-07-17 19:43（北京时间）</x:v>
      </x:c>
      <x:c r="R48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1" ht="38" customHeight="1">
      <x:c r="A481" s="65" t="str">
        <x:f>IF(B481="","",TEXT(B481,"yyyy-mm-dd")&amp;"|"&amp;D481&amp;"|"&amp;E481)</x:f>
        <x:v>2026-07-18|中文名待确认（Athletic Club Boise）|中文名待确认（Portland Hearts of Pine）</x:v>
      </x:c>
      <x:c r="B481" s="66" t="n">
        <x:v>46221.395833333336</x:v>
      </x:c>
      <x:c r="C481" s="65" t="str">
        <x:v>乌兹别克斯坦超级联赛</x:v>
      </x:c>
      <x:c r="D481" s="65" t="str">
        <x:v>中文名待确认（Athletic Club Boise）</x:v>
      </x:c>
      <x:c r="E481" s="65" t="str">
        <x:v>中文名待确认（Portland Hearts of Pine）</x:v>
      </x:c>
      <x:c r="F481" s="65" t="str">
        <x:v>无可靠让球盘/只观察｜现有可审计资料不足以形成可靠让球倾向</x:v>
      </x:c>
      <x:c r="G481" s="65" t="str">
        <x:v>无可靠大小球盘/只观察｜未取得可交叉核验的总进球主盘与水位，无可靠大小球倾向</x:v>
      </x:c>
      <x:c r="H481" s="65" t="str">
        <x:v>待确认首发、双方近5场/主客拆分与可靠亚洲双盘；任一市场欧赔&lt;1.80/港水&lt;0.80不进；盘口未核验前不进、不加仓</x:v>
      </x:c>
      <x:c r="I481" s="66" t="n">
        <x:v>46220.82152777778</x:v>
      </x:c>
      <x:c r="J481" s="65" t="str">
        <x:v>需复核</x:v>
      </x:c>
      <x:c r="K481" s="65"/>
      <x:c r="L481" s="65"/>
      <x:c r="M481" s="65"/>
      <x:c r="N481" s="67"/>
      <x:c r="O481" s="67"/>
      <x:c r="P481" s="67" t="str">
        <x:f>IF(COUNT(N481:O481)=0,"",SUM(N481:O481))</x:f>
      </x:c>
      <x:c r="Q481" s="65" t="str">
        <x:v>赛程/状态来源｜https://global.espn.com/football/scoreboard/_/date/20260718；365Scores赛事ID —；查询时间：2026-07-17 19:43（北京时间）</x:v>
      </x:c>
      <x:c r="R48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2" ht="38" customHeight="1">
      <x:c r="A482" s="65" t="str">
        <x:f>IF(B482="","",TEXT(B482,"yyyy-mm-dd")&amp;"|"&amp;D482&amp;"|"&amp;E482)</x:f>
        <x:v>2026-07-18|中文名待确认（Wellington Phoenix II）|中文名待确认（Napier City Rovers）</x:v>
      </x:c>
      <x:c r="B482" s="66" t="n">
        <x:v>46221.375</x:v>
      </x:c>
      <x:c r="C482" s="65" t="str">
        <x:v>国家联赛（具体国家待确认）</x:v>
      </x:c>
      <x:c r="D482" s="65" t="str">
        <x:v>中文名待确认（Wellington Phoenix II）</x:v>
      </x:c>
      <x:c r="E482" s="65" t="str">
        <x:v>中文名待确认（Napier City Rovers）</x:v>
      </x:c>
      <x:c r="F482" s="65" t="str">
        <x:v>无可靠让球盘/只观察｜现有可审计资料不足以形成可靠让球倾向</x:v>
      </x:c>
      <x:c r="G482" s="65" t="str">
        <x:v>无可靠大小球盘/只观察｜未取得可交叉核验的总进球主盘与水位，无可靠大小球倾向</x:v>
      </x:c>
      <x:c r="H482" s="65" t="str">
        <x:v>待确认首发、双方近5场/主客拆分与可靠亚洲双盘；任一市场欧赔&lt;1.80/港水&lt;0.80不进；盘口未核验前不进、不加仓</x:v>
      </x:c>
      <x:c r="I482" s="66" t="n">
        <x:v>46220.82152777778</x:v>
      </x:c>
      <x:c r="J482" s="65" t="str">
        <x:v>需复核</x:v>
      </x:c>
      <x:c r="K482" s="65"/>
      <x:c r="L482" s="65"/>
      <x:c r="M482" s="65"/>
      <x:c r="N482" s="67"/>
      <x:c r="O482" s="67"/>
      <x:c r="P482" s="67" t="str">
        <x:f>IF(COUNT(N482:O482)=0,"",SUM(N482:O482))</x:f>
      </x:c>
      <x:c r="Q482" s="65" t="str">
        <x:v>赛程/状态来源｜https://www.365scores.com/football/tomorrows-matches；365Scores赛事ID 4678318；查询时间：2026-07-17 19:43（北京时间）</x:v>
      </x:c>
      <x:c r="R48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3" ht="38" customHeight="1">
      <x:c r="A483" s="65" t="str">
        <x:f>IF(B483="","",TEXT(B483,"yyyy-mm-dd")&amp;"|"&amp;D483&amp;"|"&amp;E483)</x:f>
        <x:v>2026-07-18|中文名待确认（Universitario Deportes (W)）|中文名待确认（Sporting Cristal (W)）</x:v>
      </x:c>
      <x:c r="B483" s="66" t="n">
        <x:v>46221.375</x:v>
      </x:c>
      <x:c r="C483" s="65" t="str">
        <x:v>女子联赛决赛（国家待确认）</x:v>
      </x:c>
      <x:c r="D483" s="65" t="str">
        <x:v>中文名待确认（Universitario Deportes (W)）</x:v>
      </x:c>
      <x:c r="E483" s="65" t="str">
        <x:v>中文名待确认（Sporting Cristal (W)）</x:v>
      </x:c>
      <x:c r="F483" s="65" t="str">
        <x:v>无可靠让球盘/只观察｜现有可审计资料不足以形成可靠让球倾向</x:v>
      </x:c>
      <x:c r="G483" s="65" t="str">
        <x:v>无可靠大小球盘/只观察｜未取得可交叉核验的总进球主盘与水位，无可靠大小球倾向</x:v>
      </x:c>
      <x:c r="H483" s="65" t="str">
        <x:v>待确认首发、双方近5场/主客拆分与可靠亚洲双盘；任一市场欧赔&lt;1.80/港水&lt;0.80不进；盘口未核验前不进、不加仓</x:v>
      </x:c>
      <x:c r="I483" s="66" t="n">
        <x:v>46220.82152777778</x:v>
      </x:c>
      <x:c r="J483" s="65" t="str">
        <x:v>需复核</x:v>
      </x:c>
      <x:c r="K483" s="65"/>
      <x:c r="L483" s="65"/>
      <x:c r="M483" s="65"/>
      <x:c r="N483" s="67"/>
      <x:c r="O483" s="67"/>
      <x:c r="P483" s="67" t="str">
        <x:f>IF(COUNT(N483:O483)=0,"",SUM(N483:O483))</x:f>
      </x:c>
      <x:c r="Q483" s="65" t="str">
        <x:v>赛程/状态来源｜https://www.365scores.com/football/tomorrows-matches；365Scores赛事ID 4771712；查询时间：2026-07-17 19:43（北京时间）</x:v>
      </x:c>
      <x:c r="R483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4" ht="38" customHeight="1">
      <x:c r="A484" s="65" t="str">
        <x:f>IF(B484="","",TEXT(B484,"yyyy-mm-dd")&amp;"|"&amp;D484&amp;"|"&amp;E484)</x:f>
        <x:v>2026-07-18|中文名待确认（Real Estelí FC）|中文名待确认（UNAN Managua）</x:v>
      </x:c>
      <x:c r="B484" s="66" t="n">
        <x:v>46221.375</x:v>
      </x:c>
      <x:c r="C484" s="65" t="str">
        <x:v>一级联赛（Apertura，国家待确认）</x:v>
      </x:c>
      <x:c r="D484" s="65" t="str">
        <x:v>中文名待确认（Real Estelí FC）</x:v>
      </x:c>
      <x:c r="E484" s="65" t="str">
        <x:v>中文名待确认（UNAN Managua）</x:v>
      </x:c>
      <x:c r="F484" s="65" t="str">
        <x:v>无可靠让球盘/只观察｜现有可审计资料不足以形成可靠让球倾向</x:v>
      </x:c>
      <x:c r="G484" s="65" t="str">
        <x:v>无可靠大小球盘/只观察｜未取得可交叉核验的总进球主盘与水位，无可靠大小球倾向</x:v>
      </x:c>
      <x:c r="H484" s="65" t="str">
        <x:v>待确认首发、双方近5场/主客拆分与可靠亚洲双盘；任一市场欧赔&lt;1.80/港水&lt;0.80不进；盘口未核验前不进、不加仓</x:v>
      </x:c>
      <x:c r="I484" s="66" t="n">
        <x:v>46220.82152777778</x:v>
      </x:c>
      <x:c r="J484" s="65" t="str">
        <x:v>需复核</x:v>
      </x:c>
      <x:c r="K484" s="65"/>
      <x:c r="L484" s="65"/>
      <x:c r="M484" s="65"/>
      <x:c r="N484" s="67"/>
      <x:c r="O484" s="67"/>
      <x:c r="P484" s="67" t="str">
        <x:f>IF(COUNT(N484:O484)=0,"",SUM(N484:O484))</x:f>
      </x:c>
      <x:c r="Q484" s="65" t="str">
        <x:v>赛程/状态来源｜https://www.365scores.com/football/tomorrows-matches；365Scores赛事ID 4763076；查询时间：2026-07-17 19:43（北京时间）</x:v>
      </x:c>
      <x:c r="R48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5" ht="38" customHeight="1">
      <x:c r="A485" s="65" t="str">
        <x:f>IF(B485="","",TEXT(B485,"yyyy-mm-dd")&amp;"|"&amp;D485&amp;"|"&amp;E485)</x:f>
        <x:v>2026-07-18|莱昂（León）|阿特拉斯（Atlas）</x:v>
      </x:c>
      <x:c r="B485" s="66" t="n">
        <x:v>46221.375</x:v>
      </x:c>
      <x:c r="C485" s="65" t="str">
        <x:v>墨西哥超级联赛（Liga MX，Apertura）</x:v>
      </x:c>
      <x:c r="D485" s="65" t="str">
        <x:v>莱昂（León）</x:v>
      </x:c>
      <x:c r="E485" s="65" t="str">
        <x:v>阿特拉斯（Atlas）</x:v>
      </x:c>
      <x:c r="F485" s="65" t="str">
        <x:v>无可靠让球盘/只观察｜现有可审计资料不足以形成可靠让球倾向</x:v>
      </x:c>
      <x:c r="G485" s="65" t="str">
        <x:v>无可靠大小球盘/只观察｜未取得可交叉核验的总进球主盘与水位，无可靠大小球倾向</x:v>
      </x:c>
      <x:c r="H485" s="65" t="str">
        <x:v>待确认首发、双方近5场/主客拆分与可靠亚洲双盘；任一市场欧赔&lt;1.80/港水&lt;0.80不进；盘口未核验前不进、不加仓</x:v>
      </x:c>
      <x:c r="I485" s="66" t="n">
        <x:v>46220.82152777778</x:v>
      </x:c>
      <x:c r="J485" s="65" t="str">
        <x:v>需复核</x:v>
      </x:c>
      <x:c r="K485" s="65"/>
      <x:c r="L485" s="65"/>
      <x:c r="M485" s="65"/>
      <x:c r="N485" s="67"/>
      <x:c r="O485" s="67"/>
      <x:c r="P485" s="67" t="str">
        <x:f>IF(COUNT(N485:O485)=0,"",SUM(N485:O485))</x:f>
      </x:c>
      <x:c r="Q485" s="65" t="str">
        <x:v>赛程/状态来源｜https://www.365scores.com/football/tomorrows-matches；https://www.livescore.mobi/football/mexico/liga-mx-apertura/leon-vs-atlas/1798949/；https://global.espn.com/football/scoreboard/_/date/20260718；365Scores赛事ID 4735760；查询时间：2026-07-17 19:43（北京时间）</x:v>
      </x:c>
      <x:c r="R48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6" ht="38" customHeight="1">
      <x:c r="A486" s="65" t="str">
        <x:f>IF(B486="","",TEXT(B486,"yyyy-mm-dd")&amp;"|"&amp;D486&amp;"|"&amp;E486)</x:f>
        <x:v>2026-07-18|西恩夏诺（Cienciano）|中文名待确认（FBC Melgar）</x:v>
      </x:c>
      <x:c r="B486" s="66" t="n">
        <x:v>46221.375</x:v>
      </x:c>
      <x:c r="C486" s="65" t="str">
        <x:v>秘鲁甲级联赛（Clausura）</x:v>
      </x:c>
      <x:c r="D486" s="65" t="str">
        <x:v>西恩夏诺（Cienciano）</x:v>
      </x:c>
      <x:c r="E486" s="65" t="str">
        <x:v>中文名待确认（FBC Melgar）</x:v>
      </x:c>
      <x:c r="F486" s="65" t="str">
        <x:v>无可靠让球盘/只观察｜现有可审计资料不足以形成可靠让球倾向</x:v>
      </x:c>
      <x:c r="G486" s="65" t="str">
        <x:v>无可靠大小球盘/只观察｜未取得可交叉核验的总进球主盘与水位，无可靠大小球倾向</x:v>
      </x:c>
      <x:c r="H486" s="65" t="str">
        <x:v>待确认首发、双方近5场/主客拆分与可靠亚洲双盘；任一市场欧赔&lt;1.80/港水&lt;0.80不进；盘口未核验前不进、不加仓</x:v>
      </x:c>
      <x:c r="I486" s="66" t="n">
        <x:v>46220.82152777778</x:v>
      </x:c>
      <x:c r="J486" s="65" t="str">
        <x:v>需复核</x:v>
      </x:c>
      <x:c r="K486" s="65"/>
      <x:c r="L486" s="65"/>
      <x:c r="M486" s="65"/>
      <x:c r="N486" s="67"/>
      <x:c r="O486" s="67"/>
      <x:c r="P486" s="67" t="str">
        <x:f>IF(COUNT(N486:O486)=0,"",SUM(N486:O486))</x:f>
      </x:c>
      <x:c r="Q486" s="65" t="str">
        <x:v>赛程/状态来源｜https://www.365scores.com/football/tomorrows-matches；https://www.livescore.mobi/football/peru/primera-division-clausura/cienciano-vs-fbc-melgar/1806569/；https://global.espn.com/football/scoreboard/_/date/20260718；365Scores赛事ID 4729732；查询时间：2026-07-17 19:43（北京时间）</x:v>
      </x:c>
      <x:c r="R48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7" ht="38" customHeight="1">
      <x:c r="A487" s="65" t="str">
        <x:f>IF(B487="","",TEXT(B487,"yyyy-mm-dd")&amp;"|"&amp;D487&amp;"|"&amp;E487)</x:f>
        <x:v>2026-07-18|中文名待确认（Calgary Wild FC）|中文名待确认（Montreal Roses FC）</x:v>
      </x:c>
      <x:c r="B487" s="66" t="n">
        <x:v>46221.375</x:v>
      </x:c>
      <x:c r="C487" s="65" t="str">
        <x:v>乌兹别克斯坦超级联赛</x:v>
      </x:c>
      <x:c r="D487" s="65" t="str">
        <x:v>中文名待确认（Calgary Wild FC）</x:v>
      </x:c>
      <x:c r="E487" s="65" t="str">
        <x:v>中文名待确认（Montreal Roses FC）</x:v>
      </x:c>
      <x:c r="F487" s="65" t="str">
        <x:v>无可靠让球盘/只观察｜现有可审计资料不足以形成可靠让球倾向</x:v>
      </x:c>
      <x:c r="G487" s="65" t="str">
        <x:v>无可靠大小球盘/只观察｜未取得可交叉核验的总进球主盘与水位，无可靠大小球倾向</x:v>
      </x:c>
      <x:c r="H487" s="65" t="str">
        <x:v>待确认首发、双方近5场/主客拆分与可靠亚洲双盘；任一市场欧赔&lt;1.80/港水&lt;0.80不进；盘口未核验前不进、不加仓</x:v>
      </x:c>
      <x:c r="I487" s="66" t="n">
        <x:v>46220.82152777778</x:v>
      </x:c>
      <x:c r="J487" s="65" t="str">
        <x:v>需复核</x:v>
      </x:c>
      <x:c r="K487" s="65"/>
      <x:c r="L487" s="65"/>
      <x:c r="M487" s="65"/>
      <x:c r="N487" s="67"/>
      <x:c r="O487" s="67"/>
      <x:c r="P487" s="67" t="str">
        <x:f>IF(COUNT(N487:O487)=0,"",SUM(N487:O487))</x:f>
      </x:c>
      <x:c r="Q487" s="65" t="str">
        <x:v>赛程/状态来源｜https://global.espn.com/football/scoreboard/_/date/20260718；365Scores赛事ID —；查询时间：2026-07-17 19:43（北京时间）</x:v>
      </x:c>
      <x:c r="R48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8" ht="38" customHeight="1">
      <x:c r="A488" s="65" t="str">
        <x:f>IF(B488="","",TEXT(B488,"yyyy-mm-dd")&amp;"|"&amp;D488&amp;"|"&amp;E488)</x:f>
        <x:v>2026-07-18|圣路易斯（Atlético San Luis）|蓝十字（Cruz Azul）</x:v>
      </x:c>
      <x:c r="B488" s="66" t="n">
        <x:v>46221.375</x:v>
      </x:c>
      <x:c r="C488" s="65" t="str">
        <x:v>墨西哥超级联赛（Liga MX，Apertura）</x:v>
      </x:c>
      <x:c r="D488" s="65" t="str">
        <x:v>圣路易斯（Atlético San Luis）</x:v>
      </x:c>
      <x:c r="E488" s="65" t="str">
        <x:v>蓝十字（Cruz Azul）</x:v>
      </x:c>
      <x:c r="F488" s="65" t="str">
        <x:v>无可靠让球盘/只观察｜胜负价格仅弱倾向客队侧，不换算让球盘口</x:v>
      </x:c>
      <x:c r="G488" s="65" t="str">
        <x:v>无可靠大小球盘/只观察｜未取得可交叉核验的总进球主盘与水位，无可靠大小球倾向</x:v>
      </x:c>
      <x:c r="H488" s="65" t="str">
        <x:v>待确认首发、双方近5场/主客拆分与可靠亚洲双盘；任一市场欧赔&lt;1.80/港水&lt;0.80不进；盘口未核验前不进、不加仓</x:v>
      </x:c>
      <x:c r="I488" s="66" t="n">
        <x:v>46220.82152777778</x:v>
      </x:c>
      <x:c r="J488" s="65" t="str">
        <x:v>需复核</x:v>
      </x:c>
      <x:c r="K488" s="65"/>
      <x:c r="L488" s="65"/>
      <x:c r="M488" s="65"/>
      <x:c r="N488" s="67"/>
      <x:c r="O488" s="67"/>
      <x:c r="P488" s="67" t="str">
        <x:f>IF(COUNT(N488:O488)=0,"",SUM(N488:O488))</x:f>
      </x:c>
      <x:c r="Q488" s="65" t="str">
        <x:v>赛程/状态来源｜https://www.365scores.com/football/tomorrows-matches；https://www.livescore.mobi/football/mexico/liga-mx-apertura/atletico-de-san-luis-vs-cruz-azul/1798948/；https://global.espn.com/football/scoreboard/_/date/20260718；https://tipsterarea.com/match/atletico-san-luis-cruz-azul-liga-mx-mexico-935515；365Scores赛事ID 4735761；查询时间：2026-07-17 19:43（北京时间）</x:v>
      </x:c>
      <x:c r="R48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3.85/3.64/1.86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89" ht="38" customHeight="1">
      <x:c r="A489" s="65" t="str">
        <x:f>IF(B489="","",TEXT(B489,"yyyy-mm-dd")&amp;"|"&amp;D489&amp;"|"&amp;E489)</x:f>
        <x:v>2026-07-18|河床（River Plate）|阿尔多斯维（Aldosivi）</x:v>
      </x:c>
      <x:c r="B489" s="66" t="n">
        <x:v>46221.364583333336</x:v>
      </x:c>
      <x:c r="C489" s="65" t="str">
        <x:v>阿根廷杯32强</x:v>
      </x:c>
      <x:c r="D489" s="65" t="str">
        <x:v>河床（River Plate）</x:v>
      </x:c>
      <x:c r="E489" s="65" t="str">
        <x:v>阿尔多斯维（Aldosivi）</x:v>
      </x:c>
      <x:c r="F489" s="65" t="str">
        <x:v>无可靠让球盘/只观察｜现有可审计资料不足以形成可靠让球倾向</x:v>
      </x:c>
      <x:c r="G489" s="65" t="str">
        <x:v>无可靠大小球盘/只观察｜未取得可交叉核验的总进球主盘与水位，无可靠大小球倾向</x:v>
      </x:c>
      <x:c r="H489" s="65" t="str">
        <x:v>待确认首发、双方近5场/主客拆分与可靠亚洲双盘；任一市场欧赔&lt;1.80/港水&lt;0.80不进；盘口未核验前不进、不加仓</x:v>
      </x:c>
      <x:c r="I489" s="66" t="n">
        <x:v>46220.82152777778</x:v>
      </x:c>
      <x:c r="J489" s="65" t="str">
        <x:v>需复核</x:v>
      </x:c>
      <x:c r="K489" s="65"/>
      <x:c r="L489" s="65"/>
      <x:c r="M489" s="65"/>
      <x:c r="N489" s="67"/>
      <x:c r="O489" s="67"/>
      <x:c r="P489" s="67" t="str">
        <x:f>IF(COUNT(N489:O489)=0,"",SUM(N489:O489))</x:f>
      </x:c>
      <x:c r="Q489" s="65" t="str">
        <x:v>赛程/状态来源｜https://www.365scores.com/football/tomorrows-matches；https://www.livescore.mobi/football/argentina/copa-argentina/river-plate-vs-aldosivi/1767499/；https://global.espn.com/football/scoreboard/_/date/20260718；365Scores赛事ID 4674989；查询时间：2026-07-17 19:43（北京时间）</x:v>
      </x:c>
      <x:c r="R48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0" ht="38" customHeight="1">
      <x:c r="A490" s="65" t="str">
        <x:f>IF(B490="","",TEXT(B490,"yyyy-mm-dd")&amp;"|"&amp;D490&amp;"|"&amp;E490)</x:f>
        <x:v>2026-07-18|中文名待确认（Northern AFC）|中文名待确认（Cashmere Technical）</x:v>
      </x:c>
      <x:c r="B490" s="66" t="n">
        <x:v>46221.364583333336</x:v>
      </x:c>
      <x:c r="C490" s="65" t="str">
        <x:v>国家联赛（具体国家待确认）</x:v>
      </x:c>
      <x:c r="D490" s="65" t="str">
        <x:v>中文名待确认（Northern AFC）</x:v>
      </x:c>
      <x:c r="E490" s="65" t="str">
        <x:v>中文名待确认（Cashmere Technical）</x:v>
      </x:c>
      <x:c r="F490" s="65" t="str">
        <x:v>无可靠让球盘/只观察｜现有可审计资料不足以形成可靠让球倾向</x:v>
      </x:c>
      <x:c r="G490" s="65" t="str">
        <x:v>无可靠大小球盘/只观察｜未取得可交叉核验的总进球主盘与水位，无可靠大小球倾向</x:v>
      </x:c>
      <x:c r="H490" s="65" t="str">
        <x:v>待确认首发、双方近5场/主客拆分与可靠亚洲双盘；任一市场欧赔&lt;1.80/港水&lt;0.80不进；盘口未核验前不进、不加仓</x:v>
      </x:c>
      <x:c r="I490" s="66" t="n">
        <x:v>46220.82152777778</x:v>
      </x:c>
      <x:c r="J490" s="65" t="str">
        <x:v>需复核</x:v>
      </x:c>
      <x:c r="K490" s="65"/>
      <x:c r="L490" s="65"/>
      <x:c r="M490" s="65"/>
      <x:c r="N490" s="67"/>
      <x:c r="O490" s="67"/>
      <x:c r="P490" s="67" t="str">
        <x:f>IF(COUNT(N490:O490)=0,"",SUM(N490:O490))</x:f>
      </x:c>
      <x:c r="Q490" s="65" t="str">
        <x:v>赛程/状态来源｜https://www.365scores.com/football/tomorrows-matches；365Scores赛事ID 4681835；查询时间：2026-07-17 19:43（北京时间）</x:v>
      </x:c>
      <x:c r="R49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1" ht="38" customHeight="1">
      <x:c r="A491" s="65" t="str">
        <x:f>IF(B491="","",TEXT(B491,"yyyy-mm-dd")&amp;"|"&amp;D491&amp;"|"&amp;E491)</x:f>
        <x:v>2026-07-18|纳什维尔SC（Nashville SC）|中文名待确认（Atlanta United）</x:v>
      </x:c>
      <x:c r="B491" s="66" t="n">
        <x:v>46221.34027777778</x:v>
      </x:c>
      <x:c r="C491" s="65" t="str">
        <x:v>美国职业足球大联盟（MLS）</x:v>
      </x:c>
      <x:c r="D491" s="65" t="str">
        <x:v>纳什维尔SC（Nashville SC）</x:v>
      </x:c>
      <x:c r="E491" s="65" t="str">
        <x:v>中文名待确认（Atlanta United）</x:v>
      </x:c>
      <x:c r="F491" s="65" t="str">
        <x:v>无可靠让球盘/只观察｜胜负价格仅弱倾向主队侧，不换算让球盘口</x:v>
      </x:c>
      <x:c r="G491" s="65" t="str">
        <x:v>无可靠大小球盘/只观察｜未取得可交叉核验的总进球主盘与水位，无可靠大小球倾向</x:v>
      </x:c>
      <x:c r="H491" s="65" t="str">
        <x:v>待确认首发、双方近5场/主客拆分与可靠亚洲双盘；任一市场欧赔&lt;1.80/港水&lt;0.80不进；盘口未核验前不进、不加仓</x:v>
      </x:c>
      <x:c r="I491" s="66" t="n">
        <x:v>46220.82152777778</x:v>
      </x:c>
      <x:c r="J491" s="65" t="str">
        <x:v>需复核</x:v>
      </x:c>
      <x:c r="K491" s="65"/>
      <x:c r="L491" s="65"/>
      <x:c r="M491" s="65"/>
      <x:c r="N491" s="67"/>
      <x:c r="O491" s="67"/>
      <x:c r="P491" s="67" t="str">
        <x:f>IF(COUNT(N491:O491)=0,"",SUM(N491:O491))</x:f>
      </x:c>
      <x:c r="Q491" s="65" t="str">
        <x:v>赛程/状态来源｜https://www.365scores.com/football/tomorrows-matches；https://www.livescore.mobi/football/usa/major-league-soccer-2026/nashville-sc-vs-atlanta-united/1696483/；https://global.espn.com/football/scoreboard/_/date/20260718；https://tipsterarea.com/match/nashville-sc-atlanta-united-major-league-soccer-usa-935500；365Scores赛事ID 4621504；查询时间：2026-07-17 19:43（北京时间）</x:v>
      </x:c>
      <x:c r="R49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1.50/4.45/6.04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2" ht="38" customHeight="1">
      <x:c r="A492" s="65" t="str">
        <x:f>IF(B492="","",TEXT(B492,"yyyy-mm-dd")&amp;"|"&amp;D492&amp;"|"&amp;E492)</x:f>
        <x:v>2026-07-18|中文名待确认（Selwyn United）|中文名待确认（Nelson Suburbs）</x:v>
      </x:c>
      <x:c r="B492" s="66" t="n">
        <x:v>46221.333333333336</x:v>
      </x:c>
      <x:c r="C492" s="65" t="str">
        <x:v>国家联赛（具体国家待确认）</x:v>
      </x:c>
      <x:c r="D492" s="65" t="str">
        <x:v>中文名待确认（Selwyn United）</x:v>
      </x:c>
      <x:c r="E492" s="65" t="str">
        <x:v>中文名待确认（Nelson Suburbs）</x:v>
      </x:c>
      <x:c r="F492" s="65" t="str">
        <x:v>无可靠让球盘/只观察｜现有可审计资料不足以形成可靠让球倾向</x:v>
      </x:c>
      <x:c r="G492" s="65" t="str">
        <x:v>无可靠大小球盘/只观察｜未取得可交叉核验的总进球主盘与水位，无可靠大小球倾向</x:v>
      </x:c>
      <x:c r="H492" s="65" t="str">
        <x:v>待确认首发、双方近5场/主客拆分与可靠亚洲双盘；任一市场欧赔&lt;1.80/港水&lt;0.80不进；盘口未核验前不进、不加仓</x:v>
      </x:c>
      <x:c r="I492" s="66" t="n">
        <x:v>46220.82152777778</x:v>
      </x:c>
      <x:c r="J492" s="65" t="str">
        <x:v>需复核</x:v>
      </x:c>
      <x:c r="K492" s="65"/>
      <x:c r="L492" s="65"/>
      <x:c r="M492" s="65"/>
      <x:c r="N492" s="67"/>
      <x:c r="O492" s="67"/>
      <x:c r="P492" s="67" t="str">
        <x:f>IF(COUNT(N492:O492)=0,"",SUM(N492:O492))</x:f>
      </x:c>
      <x:c r="Q492" s="65" t="str">
        <x:v>赛程/状态来源｜https://www.365scores.com/football/tomorrows-matches；365Scores赛事ID 4681836；查询时间：2026-07-17 19:43（北京时间）</x:v>
      </x:c>
      <x:c r="R49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3" ht="38" customHeight="1">
      <x:c r="A493" s="65" t="str">
        <x:f>IF(B493="","",TEXT(B493,"yyyy-mm-dd")&amp;"|"&amp;D493&amp;"|"&amp;E493)</x:f>
        <x:v>2026-07-18|中文名待确认（Santos (W)）|中文名待确认（Taubaté (W)）</x:v>
      </x:c>
      <x:c r="B493" s="66" t="n">
        <x:v>46221.333333333336</x:v>
      </x:c>
      <x:c r="C493" s="65" t="str">
        <x:v>巴西圣保罗州女子联赛</x:v>
      </x:c>
      <x:c r="D493" s="65" t="str">
        <x:v>中文名待确认（Santos (W)）</x:v>
      </x:c>
      <x:c r="E493" s="65" t="str">
        <x:v>中文名待确认（Taubaté (W)）</x:v>
      </x:c>
      <x:c r="F493" s="65" t="str">
        <x:v>无可靠让球盘/只观察｜现有可审计资料不足以形成可靠让球倾向</x:v>
      </x:c>
      <x:c r="G493" s="65" t="str">
        <x:v>无可靠大小球盘/只观察｜未取得可交叉核验的总进球主盘与水位，无可靠大小球倾向</x:v>
      </x:c>
      <x:c r="H493" s="65" t="str">
        <x:v>待确认首发、双方近5场/主客拆分与可靠亚洲双盘；任一市场欧赔&lt;1.80/港水&lt;0.80不进；盘口未核验前不进、不加仓</x:v>
      </x:c>
      <x:c r="I493" s="66" t="n">
        <x:v>46220.82152777778</x:v>
      </x:c>
      <x:c r="J493" s="65" t="str">
        <x:v>需复核</x:v>
      </x:c>
      <x:c r="K493" s="65"/>
      <x:c r="L493" s="65"/>
      <x:c r="M493" s="65"/>
      <x:c r="N493" s="67"/>
      <x:c r="O493" s="67"/>
      <x:c r="P493" s="67" t="str">
        <x:f>IF(COUNT(N493:O493)=0,"",SUM(N493:O493))</x:f>
      </x:c>
      <x:c r="Q493" s="65" t="str">
        <x:v>赛程/状态来源｜https://www.365scores.com/football/tomorrows-matches；365Scores赛事ID 4705276；查询时间：2026-07-17 19:43（北京时间）</x:v>
      </x:c>
      <x:c r="R493" s="65" t="str">
        <x:v>证据卡：女子赛事，公开阵容和低级别样本完整度通常低于主流男子联赛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4" ht="38" customHeight="1">
      <x:c r="A494" s="65" t="str">
        <x:f>IF(B494="","",TEXT(B494,"yyyy-mm-dd")&amp;"|"&amp;D494&amp;"|"&amp;E494)</x:f>
        <x:v>2026-07-18|中文名待确认（Nomads United）|中文名待确认（Dunedin City Royals）</x:v>
      </x:c>
      <x:c r="B494" s="66" t="n">
        <x:v>46221.333333333336</x:v>
      </x:c>
      <x:c r="C494" s="65" t="str">
        <x:v>国家联赛（具体国家待确认）</x:v>
      </x:c>
      <x:c r="D494" s="65" t="str">
        <x:v>中文名待确认（Nomads United）</x:v>
      </x:c>
      <x:c r="E494" s="65" t="str">
        <x:v>中文名待确认（Dunedin City Royals）</x:v>
      </x:c>
      <x:c r="F494" s="65" t="str">
        <x:v>无可靠让球盘/只观察｜现有可审计资料不足以形成可靠让球倾向</x:v>
      </x:c>
      <x:c r="G494" s="65" t="str">
        <x:v>无可靠大小球盘/只观察｜未取得可交叉核验的总进球主盘与水位，无可靠大小球倾向</x:v>
      </x:c>
      <x:c r="H494" s="65" t="str">
        <x:v>待确认首发、双方近5场/主客拆分与可靠亚洲双盘；任一市场欧赔&lt;1.80/港水&lt;0.80不进；盘口未核验前不进、不加仓</x:v>
      </x:c>
      <x:c r="I494" s="66" t="n">
        <x:v>46220.82152777778</x:v>
      </x:c>
      <x:c r="J494" s="65" t="str">
        <x:v>需复核</x:v>
      </x:c>
      <x:c r="K494" s="65"/>
      <x:c r="L494" s="65"/>
      <x:c r="M494" s="65"/>
      <x:c r="N494" s="67"/>
      <x:c r="O494" s="67"/>
      <x:c r="P494" s="67" t="str">
        <x:f>IF(COUNT(N494:O494)=0,"",SUM(N494:O494))</x:f>
      </x:c>
      <x:c r="Q494" s="65" t="str">
        <x:v>赛程/状态来源｜https://www.365scores.com/football/tomorrows-matches；365Scores赛事ID 4681838；查询时间：2026-07-17 19:43（北京时间）</x:v>
      </x:c>
      <x:c r="R49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5" ht="38" customHeight="1">
      <x:c r="A495" s="65" t="str">
        <x:f>IF(B495="","",TEXT(B495,"yyyy-mm-dd")&amp;"|"&amp;D495&amp;"|"&amp;E495)</x:f>
        <x:v>2026-07-18|中文名待确认（Londrina）|中文名待确认（Botafogo-SP）</x:v>
      </x:c>
      <x:c r="B495" s="66" t="n">
        <x:v>46221.333333333336</x:v>
      </x:c>
      <x:c r="C495" s="65" t="str">
        <x:v>巴西乙级联赛</x:v>
      </x:c>
      <x:c r="D495" s="65" t="str">
        <x:v>中文名待确认（Londrina）</x:v>
      </x:c>
      <x:c r="E495" s="65" t="str">
        <x:v>中文名待确认（Botafogo-SP）</x:v>
      </x:c>
      <x:c r="F495" s="65" t="str">
        <x:v>无可靠让球盘/只观察｜胜负价格仅弱倾向主队侧，不换算让球盘口</x:v>
      </x:c>
      <x:c r="G495" s="65" t="str">
        <x:v>无可靠大小球盘/只观察｜未取得可交叉核验的总进球主盘与水位，无可靠大小球倾向</x:v>
      </x:c>
      <x:c r="H495" s="65" t="str">
        <x:v>待确认首发、双方近5场/主客拆分与可靠亚洲双盘；任一市场欧赔&lt;1.80/港水&lt;0.80不进；盘口未核验前不进、不加仓</x:v>
      </x:c>
      <x:c r="I495" s="66" t="n">
        <x:v>46220.82152777778</x:v>
      </x:c>
      <x:c r="J495" s="65" t="str">
        <x:v>需复核</x:v>
      </x:c>
      <x:c r="K495" s="65"/>
      <x:c r="L495" s="65"/>
      <x:c r="M495" s="65"/>
      <x:c r="N495" s="67"/>
      <x:c r="O495" s="67"/>
      <x:c r="P495" s="67" t="str">
        <x:f>IF(COUNT(N495:O495)=0,"",SUM(N495:O495))</x:f>
      </x:c>
      <x:c r="Q495" s="65" t="str">
        <x:v>赛程/状态来源｜https://www.365scores.com/football/tomorrows-matches；https://www.livescore.mobi/football/brazil/serie-b/londrina-ec-vs-botafogo-sp/1741297/；https://global.espn.com/football/scoreboard/_/date/20260718；https://tipsterarea.com/match/londrina-pr-botafogo-sp-serie-b-brazil-935596；365Scores赛事ID 4669817；查询时间：2026-07-17 19:43（北京时间）</x:v>
      </x:c>
      <x:c r="R49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2.26/3.04/3.15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6" ht="38" customHeight="1">
      <x:c r="A496" s="65" t="str">
        <x:f>IF(B496="","",TEXT(B496,"yyyy-mm-dd")&amp;"|"&amp;D496&amp;"|"&amp;E496)</x:f>
        <x:v>2026-07-18|中文名待确认（Kansas City Current）|中文名待确认（San Diego Wave）</x:v>
      </x:c>
      <x:c r="B496" s="66" t="n">
        <x:v>46221.333333333336</x:v>
      </x:c>
      <x:c r="C496" s="65" t="str">
        <x:v>美国国家女子足球联赛（NWSL）</x:v>
      </x:c>
      <x:c r="D496" s="65" t="str">
        <x:v>中文名待确认（Kansas City Current）</x:v>
      </x:c>
      <x:c r="E496" s="65" t="str">
        <x:v>中文名待确认（San Diego Wave）</x:v>
      </x:c>
      <x:c r="F496" s="65" t="str">
        <x:v>无可靠让球盘/只观察｜现有可审计资料不足以形成可靠让球倾向</x:v>
      </x:c>
      <x:c r="G496" s="65" t="str">
        <x:v>无可靠大小球盘/只观察｜未取得可交叉核验的总进球主盘与水位，无可靠大小球倾向</x:v>
      </x:c>
      <x:c r="H496" s="65" t="str">
        <x:v>待确认首发、双方近5场/主客拆分与可靠亚洲双盘；任一市场欧赔&lt;1.80/港水&lt;0.80不进；盘口未核验前不进、不加仓</x:v>
      </x:c>
      <x:c r="I496" s="66" t="n">
        <x:v>46220.82152777778</x:v>
      </x:c>
      <x:c r="J496" s="65" t="str">
        <x:v>需复核</x:v>
      </x:c>
      <x:c r="K496" s="65"/>
      <x:c r="L496" s="65"/>
      <x:c r="M496" s="65"/>
      <x:c r="N496" s="67"/>
      <x:c r="O496" s="67"/>
      <x:c r="P496" s="67" t="str">
        <x:f>IF(COUNT(N496:O496)=0,"",SUM(N496:O496))</x:f>
      </x:c>
      <x:c r="Q496" s="65" t="str">
        <x:v>赛程/状态来源｜https://www.365scores.com/football/tomorrows-matches；https://www.livescore.mobi/football/usa/national-womens-soccer-league/kansas-city-current-vs-san-diego-wave-fc/1731742/；https://global.espn.com/football/scoreboard/_/date/20260718；365Scores赛事ID 4653882；查询时间：2026-07-17 19:43（北京时间）</x:v>
      </x:c>
      <x:c r="R49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7" ht="38" customHeight="1">
      <x:c r="A497" s="65" t="str">
        <x:f>IF(B497="","",TEXT(B497,"yyyy-mm-dd")&amp;"|"&amp;D497&amp;"|"&amp;E497)</x:f>
        <x:v>2026-07-18|中文名待确认（Fortaleza）|中文名待确认（Novorizontino）</x:v>
      </x:c>
      <x:c r="B497" s="66" t="n">
        <x:v>46221.333333333336</x:v>
      </x:c>
      <x:c r="C497" s="65" t="str">
        <x:v>巴西乙级联赛</x:v>
      </x:c>
      <x:c r="D497" s="65" t="str">
        <x:v>中文名待确认（Fortaleza）</x:v>
      </x:c>
      <x:c r="E497" s="65" t="str">
        <x:v>中文名待确认（Novorizontino）</x:v>
      </x:c>
      <x:c r="F497" s="65" t="str">
        <x:v>无可靠让球盘/只观察｜现有可审计资料不足以形成可靠让球倾向</x:v>
      </x:c>
      <x:c r="G497" s="65" t="str">
        <x:v>无可靠大小球盘/只观察｜未取得可交叉核验的总进球主盘与水位，无可靠大小球倾向</x:v>
      </x:c>
      <x:c r="H497" s="65" t="str">
        <x:v>待确认首发、双方近5场/主客拆分与可靠亚洲双盘；任一市场欧赔&lt;1.80/港水&lt;0.80不进；盘口未核验前不进、不加仓</x:v>
      </x:c>
      <x:c r="I497" s="66" t="n">
        <x:v>46220.82152777778</x:v>
      </x:c>
      <x:c r="J497" s="65" t="str">
        <x:v>需复核</x:v>
      </x:c>
      <x:c r="K497" s="65"/>
      <x:c r="L497" s="65"/>
      <x:c r="M497" s="65"/>
      <x:c r="N497" s="67"/>
      <x:c r="O497" s="67"/>
      <x:c r="P497" s="67" t="str">
        <x:f>IF(COUNT(N497:O497)=0,"",SUM(N497:O497))</x:f>
      </x:c>
      <x:c r="Q497" s="65" t="str">
        <x:v>赛程/状态来源｜https://www.365scores.com/football/tomorrows-matches；https://www.livescore.mobi/football/brazil/serie-b/fortaleza-vs-novorizontino/1741289/；https://global.espn.com/football/scoreboard/_/date/20260718；365Scores赛事ID 4669818；查询时间：2026-07-17 19:43（北京时间）</x:v>
      </x:c>
      <x:c r="R49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8" ht="38" customHeight="1">
      <x:c r="A498" s="65" t="str">
        <x:f>IF(B498="","",TEXT(B498,"yyyy-mm-dd")&amp;"|"&amp;D498&amp;"|"&amp;E498)</x:f>
        <x:v>2026-07-18|中文名待确认（Diriangén FC）|中文名待确认（San Marcos FC）</x:v>
      </x:c>
      <x:c r="B498" s="66" t="n">
        <x:v>46221.333333333336</x:v>
      </x:c>
      <x:c r="C498" s="65" t="str">
        <x:v>一级联赛（Apertura，国家待确认）</x:v>
      </x:c>
      <x:c r="D498" s="65" t="str">
        <x:v>中文名待确认（Diriangén FC）</x:v>
      </x:c>
      <x:c r="E498" s="65" t="str">
        <x:v>中文名待确认（San Marcos FC）</x:v>
      </x:c>
      <x:c r="F498" s="65" t="str">
        <x:v>无可靠让球盘/只观察｜现有可审计资料不足以形成可靠让球倾向</x:v>
      </x:c>
      <x:c r="G498" s="65" t="str">
        <x:v>无可靠大小球盘/只观察｜未取得可交叉核验的总进球主盘与水位，无可靠大小球倾向</x:v>
      </x:c>
      <x:c r="H498" s="65" t="str">
        <x:v>待确认首发、双方近5场/主客拆分与可靠亚洲双盘；任一市场欧赔&lt;1.80/港水&lt;0.80不进；盘口未核验前不进、不加仓</x:v>
      </x:c>
      <x:c r="I498" s="66" t="n">
        <x:v>46220.82152777778</x:v>
      </x:c>
      <x:c r="J498" s="65" t="str">
        <x:v>需复核</x:v>
      </x:c>
      <x:c r="K498" s="65"/>
      <x:c r="L498" s="65"/>
      <x:c r="M498" s="65"/>
      <x:c r="N498" s="67"/>
      <x:c r="O498" s="67"/>
      <x:c r="P498" s="67" t="str">
        <x:f>IF(COUNT(N498:O498)=0,"",SUM(N498:O498))</x:f>
      </x:c>
      <x:c r="Q498" s="65" t="str">
        <x:v>赛程/状态来源｜https://www.365scores.com/football/tomorrows-matches；365Scores赛事ID 4763077；查询时间：2026-07-17 19:43（北京时间）</x:v>
      </x:c>
      <x:c r="R49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499" ht="38" customHeight="1">
      <x:c r="A499" s="65" t="str">
        <x:f>IF(B499="","",TEXT(B499,"yyyy-mm-dd")&amp;"|"&amp;D499&amp;"|"&amp;E499)</x:f>
        <x:v>2026-07-18|中文名待确认（Delfin）|马卡拉（Macará）</x:v>
      </x:c>
      <x:c r="B499" s="66" t="n">
        <x:v>46221.333333333336</x:v>
      </x:c>
      <x:c r="C499" s="65" t="str">
        <x:v>厄瓜多尔甲级联赛</x:v>
      </x:c>
      <x:c r="D499" s="65" t="str">
        <x:v>中文名待确认（Delfin）</x:v>
      </x:c>
      <x:c r="E499" s="65" t="str">
        <x:v>马卡拉（Macará）</x:v>
      </x:c>
      <x:c r="F499" s="65" t="str">
        <x:v>无可靠让球盘/只观察｜现有可审计资料不足以形成可靠让球倾向</x:v>
      </x:c>
      <x:c r="G499" s="65" t="str">
        <x:v>无可靠大小球盘/只观察｜未取得可交叉核验的总进球主盘与水位，无可靠大小球倾向</x:v>
      </x:c>
      <x:c r="H499" s="65" t="str">
        <x:v>待确认首发、双方近5场/主客拆分与可靠亚洲双盘；任一市场欧赔&lt;1.80/港水&lt;0.80不进；盘口未核验前不进、不加仓</x:v>
      </x:c>
      <x:c r="I499" s="66" t="n">
        <x:v>46220.82152777778</x:v>
      </x:c>
      <x:c r="J499" s="65" t="str">
        <x:v>需复核</x:v>
      </x:c>
      <x:c r="K499" s="65"/>
      <x:c r="L499" s="65"/>
      <x:c r="M499" s="65"/>
      <x:c r="N499" s="67"/>
      <x:c r="O499" s="67"/>
      <x:c r="P499" s="67" t="str">
        <x:f>IF(COUNT(N499:O499)=0,"",SUM(N499:O499))</x:f>
      </x:c>
      <x:c r="Q499" s="65" t="str">
        <x:v>赛程/状态来源｜https://www.365scores.com/football/tomorrows-matches；https://www.livescore.mobi/football/ecuador/serie-a/delfin-vs-csd-macara/1736353/；https://global.espn.com/football/scoreboard/_/date/20260718；365Scores赛事ID 4666007；查询时间：2026-07-17 19:43（北京时间）</x:v>
      </x:c>
      <x:c r="R49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0" ht="38" customHeight="1">
      <x:c r="A500" s="65" t="str">
        <x:f>IF(B500="","",TEXT(B500,"yyyy-mm-dd")&amp;"|"&amp;D500&amp;"|"&amp;E500)</x:f>
        <x:v>2026-07-18|玻利瓦尔（Club Bolívar）|瓜比拉（Guabirá）</x:v>
      </x:c>
      <x:c r="B500" s="66" t="n">
        <x:v>46221.333333333336</x:v>
      </x:c>
      <x:c r="C500" s="65" t="str">
        <x:v>玻利维亚职业联赛</x:v>
      </x:c>
      <x:c r="D500" s="65" t="str">
        <x:v>玻利瓦尔（Club Bolívar）</x:v>
      </x:c>
      <x:c r="E500" s="65" t="str">
        <x:v>瓜比拉（Guabirá）</x:v>
      </x:c>
      <x:c r="F500" s="65" t="str">
        <x:v>无可靠让球盘/只观察｜现有可审计资料不足以形成可靠让球倾向</x:v>
      </x:c>
      <x:c r="G500" s="65" t="str">
        <x:v>无可靠大小球盘/只观察｜未取得可交叉核验的总进球主盘与水位，无可靠大小球倾向</x:v>
      </x:c>
      <x:c r="H500" s="65" t="str">
        <x:v>待确认首发、双方近5场/主客拆分与可靠亚洲双盘；任一市场欧赔&lt;1.80/港水&lt;0.80不进；盘口未核验前不进、不加仓</x:v>
      </x:c>
      <x:c r="I500" s="66" t="n">
        <x:v>46220.82152777778</x:v>
      </x:c>
      <x:c r="J500" s="65" t="str">
        <x:v>需复核</x:v>
      </x:c>
      <x:c r="K500" s="65"/>
      <x:c r="L500" s="65"/>
      <x:c r="M500" s="65"/>
      <x:c r="N500" s="67"/>
      <x:c r="O500" s="67"/>
      <x:c r="P500" s="67" t="str">
        <x:f>IF(COUNT(N500:O500)=0,"",SUM(N500:O500))</x:f>
      </x:c>
      <x:c r="Q500" s="65" t="str">
        <x:v>赛程/状态来源｜https://www.365scores.com/football/tomorrows-matches；https://www.livescore.mobi/football/bolivia/primera-division/bolivar-vs-guabira/1761305/；https://global.espn.com/football/scoreboard/_/date/20260718；365Scores赛事ID 4697761；查询时间：2026-07-17 19:43（北京时间）</x:v>
      </x:c>
      <x:c r="R50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1" ht="38" customHeight="1">
      <x:c r="A501" s="65" t="str">
        <x:f>IF(B501="","",TEXT(B501,"yyyy-mm-dd")&amp;"|"&amp;D501&amp;"|"&amp;E501)</x:f>
        <x:v>2026-07-18|国民竞技（Atlético Nacional）|中文名待确认（Deportivo Tachira）</x:v>
      </x:c>
      <x:c r="B501" s="66" t="n">
        <x:v>46221.333333333336</x:v>
      </x:c>
      <x:c r="C501" s="65" t="str">
        <x:v>国际俱乐部友谊赛</x:v>
      </x:c>
      <x:c r="D501" s="65" t="str">
        <x:v>国民竞技（Atlético Nacional）</x:v>
      </x:c>
      <x:c r="E501" s="65" t="str">
        <x:v>中文名待确认（Deportivo Tachira）</x:v>
      </x:c>
      <x:c r="F501" s="65" t="str">
        <x:v>无可靠让球盘/只观察｜胜负价格仅弱倾向主队侧，不换算让球盘口</x:v>
      </x:c>
      <x:c r="G501" s="65" t="str">
        <x:v>无可靠大小球盘/只观察｜未取得可交叉核验的总进球主盘与水位，无可靠大小球倾向</x:v>
      </x:c>
      <x:c r="H501" s="65" t="str">
        <x:v>待确认首发、双方近5场/主客拆分与可靠亚洲双盘；任一市场欧赔&lt;1.80/港水&lt;0.80不进；盘口未核验前不进、不加仓</x:v>
      </x:c>
      <x:c r="I501" s="66" t="n">
        <x:v>46220.82152777778</x:v>
      </x:c>
      <x:c r="J501" s="65" t="str">
        <x:v>需复核</x:v>
      </x:c>
      <x:c r="K501" s="65"/>
      <x:c r="L501" s="65"/>
      <x:c r="M501" s="65"/>
      <x:c r="N501" s="67"/>
      <x:c r="O501" s="67"/>
      <x:c r="P501" s="67" t="str">
        <x:f>IF(COUNT(N501:O501)=0,"",SUM(N501:O501))</x:f>
      </x:c>
      <x:c r="Q501" s="65" t="str">
        <x:v>赛程/状态来源｜https://www.365scores.com/football/tomorrows-matches；https://tipsterarea.com/match/atletico-nacional-deportivo-tachira-club-friendly-935837；365Scores赛事ID 4775749；查询时间：2026-07-17 19:43（北京时间）</x:v>
      </x:c>
      <x:c r="R50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1.48/4.14/5.76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2" ht="38" customHeight="1">
      <x:c r="A502" s="65" t="str">
        <x:f>IF(B502="","",TEXT(B502,"yyyy-mm-dd")&amp;"|"&amp;D502&amp;"|"&amp;E502)</x:f>
        <x:v>2026-07-18|中文名待确认（Ventura County Fusion）|中文名待确认（Project 51O）</x:v>
      </x:c>
      <x:c r="B502" s="66" t="n">
        <x:v>46221.3125</x:v>
      </x:c>
      <x:c r="C502" s="65" t="str">
        <x:v>美国USL二级联赛季后赛</x:v>
      </x:c>
      <x:c r="D502" s="65" t="str">
        <x:v>中文名待确认（Ventura County Fusion）</x:v>
      </x:c>
      <x:c r="E502" s="65" t="str">
        <x:v>中文名待确认（Project 51O）</x:v>
      </x:c>
      <x:c r="F502" s="65" t="str">
        <x:v>无可靠让球盘/只观察｜现有可审计资料不足以形成可靠让球倾向</x:v>
      </x:c>
      <x:c r="G502" s="65" t="str">
        <x:v>无可靠大小球盘/只观察｜未取得可交叉核验的总进球主盘与水位，无可靠大小球倾向</x:v>
      </x:c>
      <x:c r="H502" s="65" t="str">
        <x:v>待确认首发、双方近5场/主客拆分与可靠亚洲双盘；任一市场欧赔&lt;1.80/港水&lt;0.80不进；盘口未核验前不进、不加仓</x:v>
      </x:c>
      <x:c r="I502" s="66" t="n">
        <x:v>46220.82152777778</x:v>
      </x:c>
      <x:c r="J502" s="65" t="str">
        <x:v>需复核</x:v>
      </x:c>
      <x:c r="K502" s="65"/>
      <x:c r="L502" s="65"/>
      <x:c r="M502" s="65"/>
      <x:c r="N502" s="67"/>
      <x:c r="O502" s="67"/>
      <x:c r="P502" s="67" t="str">
        <x:f>IF(COUNT(N502:O502)=0,"",SUM(N502:O502))</x:f>
      </x:c>
      <x:c r="Q502" s="65" t="str">
        <x:v>赛程/状态来源｜https://www.livescore.mobi/football/usa/usl-league-two-play-off/ventura-county-fusion-vs-project-51o/1832393/；https://www.uslleaguetwo.com/playoffs；365Scores赛事ID —；查询时间：2026-07-17 19:43（北京时间）</x:v>
      </x:c>
      <x:c r="R502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3" ht="38" customHeight="1">
      <x:c r="A503" s="65" t="str">
        <x:f>IF(B503="","",TEXT(B503,"yyyy-mm-dd")&amp;"|"&amp;D503&amp;"|"&amp;E503)</x:f>
        <x:v>2026-07-18|中文名待确认（Temperley）|中文名待确认（Atletico Rafaela）</x:v>
      </x:c>
      <x:c r="B503" s="66" t="n">
        <x:v>46221.3125</x:v>
      </x:c>
      <x:c r="C503" s="65" t="str">
        <x:v>阿根廷全国联赛</x:v>
      </x:c>
      <x:c r="D503" s="65" t="str">
        <x:v>中文名待确认（Temperley）</x:v>
      </x:c>
      <x:c r="E503" s="65" t="str">
        <x:v>中文名待确认（Atletico Rafaela）</x:v>
      </x:c>
      <x:c r="F503" s="65" t="str">
        <x:v>无可靠让球盘/只观察｜胜负价格仅弱倾向主队侧，不换算让球盘口</x:v>
      </x:c>
      <x:c r="G503" s="65" t="str">
        <x:v>无可靠大小球盘/只观察｜未取得可交叉核验的总进球主盘与水位，无可靠大小球倾向</x:v>
      </x:c>
      <x:c r="H503" s="65" t="str">
        <x:v>待确认首发、双方近5场/主客拆分与可靠亚洲双盘；任一市场欧赔&lt;1.80/港水&lt;0.80不进；盘口未核验前不进、不加仓</x:v>
      </x:c>
      <x:c r="I503" s="66" t="n">
        <x:v>46220.82152777778</x:v>
      </x:c>
      <x:c r="J503" s="65" t="str">
        <x:v>需复核</x:v>
      </x:c>
      <x:c r="K503" s="65"/>
      <x:c r="L503" s="65"/>
      <x:c r="M503" s="65"/>
      <x:c r="N503" s="67"/>
      <x:c r="O503" s="67"/>
      <x:c r="P503" s="67" t="str">
        <x:f>IF(COUNT(N503:O503)=0,"",SUM(N503:O503))</x:f>
      </x:c>
      <x:c r="Q503" s="65" t="str">
        <x:v>赛程/状态来源｜https://www.365scores.com/football/tomorrows-matches；https://www.livescore.mobi/football/argentina/primera-nacional/temperley-vs-atletico-rafaela/1713053/；https://global.espn.com/football/scoreboard/_/date/20260718；https://tipsterarea.com/match/temperley-atletico-de-rafaela-primera-nacional-argentina-935587；365Scores赛事ID 4643962；查询时间：2026-07-17 19:43（北京时间）</x:v>
      </x:c>
      <x:c r="R50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1.81/2.90/4.97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4" ht="38" customHeight="1">
      <x:c r="A504" s="65" t="str">
        <x:f>IF(B504="","",TEXT(B504,"yyyy-mm-dd")&amp;"|"&amp;D504&amp;"|"&amp;E504)</x:f>
        <x:v>2026-07-18|中文名待确认（Lionsbridge FC）|中文名待确认（Asheville City SC）</x:v>
      </x:c>
      <x:c r="B504" s="66" t="n">
        <x:v>46221.3125</x:v>
      </x:c>
      <x:c r="C504" s="65" t="str">
        <x:v>美国USL二级联赛季后赛</x:v>
      </x:c>
      <x:c r="D504" s="65" t="str">
        <x:v>中文名待确认（Lionsbridge FC）</x:v>
      </x:c>
      <x:c r="E504" s="65" t="str">
        <x:v>中文名待确认（Asheville City SC）</x:v>
      </x:c>
      <x:c r="F504" s="65" t="str">
        <x:v>无可靠让球盘/只观察｜现有可审计资料不足以形成可靠让球倾向</x:v>
      </x:c>
      <x:c r="G504" s="65" t="str">
        <x:v>无可靠大小球盘/只观察｜未取得可交叉核验的总进球主盘与水位，无可靠大小球倾向</x:v>
      </x:c>
      <x:c r="H504" s="65" t="str">
        <x:v>待确认首发、双方近5场/主客拆分与可靠亚洲双盘；任一市场欧赔&lt;1.80/港水&lt;0.80不进；盘口未核验前不进、不加仓</x:v>
      </x:c>
      <x:c r="I504" s="66" t="n">
        <x:v>46220.82152777778</x:v>
      </x:c>
      <x:c r="J504" s="65" t="str">
        <x:v>需复核</x:v>
      </x:c>
      <x:c r="K504" s="65"/>
      <x:c r="L504" s="65"/>
      <x:c r="M504" s="65"/>
      <x:c r="N504" s="67"/>
      <x:c r="O504" s="67"/>
      <x:c r="P504" s="67" t="str">
        <x:f>IF(COUNT(N504:O504)=0,"",SUM(N504:O504))</x:f>
      </x:c>
      <x:c r="Q504" s="65" t="str">
        <x:v>赛程/状态来源｜https://www.livescore.mobi/football/usa/usl-league-two-play-off/lionsbridge-fc-vs-asheville-city-sc/1834940/；https://www.uslleaguetwo.com/playoffs；365Scores赛事ID —；查询时间：2026-07-17 19:43（北京时间）</x:v>
      </x:c>
      <x:c r="R504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5" ht="38" customHeight="1">
      <x:c r="A505" s="65" t="str">
        <x:f>IF(B505="","",TEXT(B505,"yyyy-mm-dd")&amp;"|"&amp;D505&amp;"|"&amp;E505)</x:f>
        <x:v>2026-07-18|中文名待确认（Flint City Bucks）|中文名待确认（FC Buffalo）</x:v>
      </x:c>
      <x:c r="B505" s="66" t="n">
        <x:v>46221.3125</x:v>
      </x:c>
      <x:c r="C505" s="65" t="str">
        <x:v>美国USL二级联赛季后赛</x:v>
      </x:c>
      <x:c r="D505" s="65" t="str">
        <x:v>中文名待确认（Flint City Bucks）</x:v>
      </x:c>
      <x:c r="E505" s="65" t="str">
        <x:v>中文名待确认（FC Buffalo）</x:v>
      </x:c>
      <x:c r="F505" s="65" t="str">
        <x:v>无可靠让球盘/只观察｜现有可审计资料不足以形成可靠让球倾向</x:v>
      </x:c>
      <x:c r="G505" s="65" t="str">
        <x:v>无可靠大小球盘/只观察｜未取得可交叉核验的总进球主盘与水位，无可靠大小球倾向</x:v>
      </x:c>
      <x:c r="H505" s="65" t="str">
        <x:v>待确认首发、双方近5场/主客拆分与可靠亚洲双盘；任一市场欧赔&lt;1.80/港水&lt;0.80不进；盘口未核验前不进、不加仓</x:v>
      </x:c>
      <x:c r="I505" s="66" t="n">
        <x:v>46220.82152777778</x:v>
      </x:c>
      <x:c r="J505" s="65" t="str">
        <x:v>需复核</x:v>
      </x:c>
      <x:c r="K505" s="65"/>
      <x:c r="L505" s="65"/>
      <x:c r="M505" s="65"/>
      <x:c r="N505" s="67"/>
      <x:c r="O505" s="67"/>
      <x:c r="P505" s="67" t="str">
        <x:f>IF(COUNT(N505:O505)=0,"",SUM(N505:O505))</x:f>
      </x:c>
      <x:c r="Q505" s="65" t="str">
        <x:v>赛程/状态来源｜https://www.livescore.mobi/football/usa/usl-league-two-play-off/flint-city-bucks-vs-fc-buffalo/1832396/；https://www.uslleaguetwo.com/playoffs；365Scores赛事ID —；查询时间：2026-07-17 19:43（北京时间）</x:v>
      </x:c>
      <x:c r="R505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6" ht="38" customHeight="1">
      <x:c r="A506" s="65" t="str">
        <x:f>IF(B506="","",TEXT(B506,"yyyy-mm-dd")&amp;"|"&amp;D506&amp;"|"&amp;E506)</x:f>
        <x:v>2026-07-18|中文名待确认（Vermont Green FC）|中文名待确认（Ironbound）</x:v>
      </x:c>
      <x:c r="B506" s="66" t="n">
        <x:v>46221.291666666664</x:v>
      </x:c>
      <x:c r="C506" s="65" t="str">
        <x:v>美国USL二级联赛季后赛</x:v>
      </x:c>
      <x:c r="D506" s="65" t="str">
        <x:v>中文名待确认（Vermont Green FC）</x:v>
      </x:c>
      <x:c r="E506" s="65" t="str">
        <x:v>中文名待确认（Ironbound）</x:v>
      </x:c>
      <x:c r="F506" s="65" t="str">
        <x:v>无可靠让球盘/只观察｜现有可审计资料不足以形成可靠让球倾向</x:v>
      </x:c>
      <x:c r="G506" s="65" t="str">
        <x:v>无可靠大小球盘/只观察｜未取得可交叉核验的总进球主盘与水位，无可靠大小球倾向</x:v>
      </x:c>
      <x:c r="H506" s="65" t="str">
        <x:v>待确认首发、双方近5场/主客拆分与可靠亚洲双盘；任一市场欧赔&lt;1.80/港水&lt;0.80不进；盘口未核验前不进、不加仓</x:v>
      </x:c>
      <x:c r="I506" s="66" t="n">
        <x:v>46220.82152777778</x:v>
      </x:c>
      <x:c r="J506" s="65" t="str">
        <x:v>需复核</x:v>
      </x:c>
      <x:c r="K506" s="65"/>
      <x:c r="L506" s="65"/>
      <x:c r="M506" s="65"/>
      <x:c r="N506" s="67"/>
      <x:c r="O506" s="67"/>
      <x:c r="P506" s="67" t="str">
        <x:f>IF(COUNT(N506:O506)=0,"",SUM(N506:O506))</x:f>
      </x:c>
      <x:c r="Q506" s="65" t="str">
        <x:v>赛程/状态来源｜https://www.livescore.mobi/football/usa/usl-league-two-play-off/vermont-green-fc-vs-ironbound/1834938/；https://www.uslleaguetwo.com/playoffs；365Scores赛事ID —；查询时间：2026-07-17 19:43（北京时间）</x:v>
      </x:c>
      <x:c r="R506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7" ht="38" customHeight="1">
      <x:c r="A507" s="65" t="str">
        <x:f>IF(B507="","",TEXT(B507,"yyyy-mm-dd")&amp;"|"&amp;D507&amp;"|"&amp;E507)</x:f>
        <x:v>2026-07-18|中文名待确认（Toronto FC II）|中文名待确认（Fc Cincinnati II）</x:v>
      </x:c>
      <x:c r="B507" s="66" t="n">
        <x:v>46221.291666666664</x:v>
      </x:c>
      <x:c r="C507" s="65" t="str">
        <x:v>美国MLS Next Pro联赛</x:v>
      </x:c>
      <x:c r="D507" s="65" t="str">
        <x:v>中文名待确认（Toronto FC II）</x:v>
      </x:c>
      <x:c r="E507" s="65" t="str">
        <x:v>中文名待确认（Fc Cincinnati II）</x:v>
      </x:c>
      <x:c r="F507" s="65" t="str">
        <x:v>无可靠让球盘/只观察｜现有可审计资料不足以形成可靠让球倾向</x:v>
      </x:c>
      <x:c r="G507" s="65" t="str">
        <x:v>无可靠大小球盘/只观察｜未取得可交叉核验的总进球主盘与水位，无可靠大小球倾向</x:v>
      </x:c>
      <x:c r="H507" s="65" t="str">
        <x:v>待确认首发、双方近5场/主客拆分与可靠亚洲双盘；任一市场欧赔&lt;1.80/港水&lt;0.80不进；盘口未核验前不进、不加仓</x:v>
      </x:c>
      <x:c r="I507" s="66" t="n">
        <x:v>46220.82152777778</x:v>
      </x:c>
      <x:c r="J507" s="65" t="str">
        <x:v>需复核</x:v>
      </x:c>
      <x:c r="K507" s="65"/>
      <x:c r="L507" s="65"/>
      <x:c r="M507" s="65"/>
      <x:c r="N507" s="67"/>
      <x:c r="O507" s="67"/>
      <x:c r="P507" s="67" t="str">
        <x:f>IF(COUNT(N507:O507)=0,"",SUM(N507:O507))</x:f>
      </x:c>
      <x:c r="Q507" s="65" t="str">
        <x:v>赛程/状态来源｜https://www.365scores.com/football/tomorrows-matches；https://www.livescore.mobi/football/usa/mls-next-pro/toronto-fc-ii-vs-fc-cincinnati-ii/1740382/；365Scores赛事ID 4659186；查询时间：2026-07-17 19:43（北京时间）</x:v>
      </x:c>
      <x:c r="R50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8" ht="38" customHeight="1">
      <x:c r="A508" s="65" t="str">
        <x:f>IF(B508="","",TEXT(B508,"yyyy-mm-dd")&amp;"|"&amp;D508&amp;"|"&amp;E508)</x:f>
        <x:v>2026-07-18|中文名待确认（Supra du Québec）|中文名待确认（Vancouver Fc）</x:v>
      </x:c>
      <x:c r="B508" s="66" t="n">
        <x:v>46221.291666666664</x:v>
      </x:c>
      <x:c r="C508" s="65" t="str">
        <x:v>加拿大超级联赛</x:v>
      </x:c>
      <x:c r="D508" s="65" t="str">
        <x:v>中文名待确认（Supra du Québec）</x:v>
      </x:c>
      <x:c r="E508" s="65" t="str">
        <x:v>中文名待确认（Vancouver Fc）</x:v>
      </x:c>
      <x:c r="F508" s="65" t="str">
        <x:v>无可靠让球盘/只观察｜胜负价格仅弱倾向主队侧，不换算让球盘口</x:v>
      </x:c>
      <x:c r="G508" s="65" t="str">
        <x:v>无可靠大小球盘/只观察｜未取得可交叉核验的总进球主盘与水位，无可靠大小球倾向</x:v>
      </x:c>
      <x:c r="H508" s="65" t="str">
        <x:v>待确认首发、双方近5场/主客拆分与可靠亚洲双盘；任一市场欧赔&lt;1.80/港水&lt;0.80不进；盘口未核验前不进、不加仓</x:v>
      </x:c>
      <x:c r="I508" s="66" t="n">
        <x:v>46220.82152777778</x:v>
      </x:c>
      <x:c r="J508" s="65" t="str">
        <x:v>需复核</x:v>
      </x:c>
      <x:c r="K508" s="65"/>
      <x:c r="L508" s="65"/>
      <x:c r="M508" s="65"/>
      <x:c r="N508" s="67"/>
      <x:c r="O508" s="67"/>
      <x:c r="P508" s="67" t="str">
        <x:f>IF(COUNT(N508:O508)=0,"",SUM(N508:O508))</x:f>
      </x:c>
      <x:c r="Q508" s="65" t="str">
        <x:v>赛程/状态来源｜https://www.365scores.com/football/tomorrows-matches；https://www.livescore.mobi/football/canada/premier-league/supra-du-quebec-vs-vancouver-fc/1735746/；https://tipsterarea.com/match/supra-du-quebec-vancouver-fc-premier-league-canada-935601；365Scores赛事ID 4665219；查询时间：2026-07-17 19:43（北京时间）</x:v>
      </x:c>
      <x:c r="R50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2.38/3.39/2.52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09" ht="38" customHeight="1">
      <x:c r="A509" s="65" t="str">
        <x:f>IF(B509="","",TEXT(B509,"yyyy-mm-dd")&amp;"|"&amp;D509&amp;"|"&amp;E509)</x:f>
        <x:v>2026-07-18|米拉索尔（Mirassol）|格雷米奥（Grêmio）</x:v>
      </x:c>
      <x:c r="B509" s="66" t="n">
        <x:v>46221.291666666664</x:v>
      </x:c>
      <x:c r="C509" s="65" t="str">
        <x:v>巴西甲级联赛</x:v>
      </x:c>
      <x:c r="D509" s="65" t="str">
        <x:v>米拉索尔（Mirassol）</x:v>
      </x:c>
      <x:c r="E509" s="65" t="str">
        <x:v>格雷米奥（Grêmio）</x:v>
      </x:c>
      <x:c r="F509" s="65" t="str">
        <x:v>无可靠让球盘/只观察｜胜负价格仅弱倾向主队侧，不换算让球盘口</x:v>
      </x:c>
      <x:c r="G509" s="65" t="str">
        <x:v>无可靠大小球盘/只观察｜未取得可交叉核验的总进球主盘与水位，无可靠大小球倾向</x:v>
      </x:c>
      <x:c r="H509" s="65" t="str">
        <x:v>待确认首发、双方近5场/主客拆分与可靠亚洲双盘；任一市场欧赔&lt;1.80/港水&lt;0.80不进；盘口未核验前不进、不加仓</x:v>
      </x:c>
      <x:c r="I509" s="66" t="n">
        <x:v>46220.82152777778</x:v>
      </x:c>
      <x:c r="J509" s="65" t="str">
        <x:v>需复核</x:v>
      </x:c>
      <x:c r="K509" s="65"/>
      <x:c r="L509" s="65"/>
      <x:c r="M509" s="65"/>
      <x:c r="N509" s="67"/>
      <x:c r="O509" s="67"/>
      <x:c r="P509" s="67" t="str">
        <x:f>IF(COUNT(N509:O509)=0,"",SUM(N509:O509))</x:f>
      </x:c>
      <x:c r="Q509" s="65" t="str">
        <x:v>赛程/状态来源｜https://www.365scores.com/football/tomorrows-matches；https://www.livescore.mobi/football/brazil/serie-a/mirassol-vs-gremio/1708603/；https://global.espn.com/football/scoreboard/_/date/20260718；https://tipsterarea.com/match/mirassol-sp-gremio-rs-serie-a-brazil-935504；365Scores赛事ID 4632762；查询时间：2026-07-17 19:43（北京时间）</x:v>
      </x:c>
      <x:c r="R50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1.97/3.40/3.87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0" ht="38" customHeight="1">
      <x:c r="A510" s="65" t="str">
        <x:f>IF(B510="","",TEXT(B510,"yyyy-mm-dd")&amp;"|"&amp;D510&amp;"|"&amp;E510)</x:f>
        <x:v>2026-07-18|弗鲁米嫩塞（Fluminense）|中文名待确认（RB Bragantino）</x:v>
      </x:c>
      <x:c r="B510" s="66" t="n">
        <x:v>46221.291666666664</x:v>
      </x:c>
      <x:c r="C510" s="65" t="str">
        <x:v>巴西甲级联赛</x:v>
      </x:c>
      <x:c r="D510" s="65" t="str">
        <x:v>弗鲁米嫩塞（Fluminense）</x:v>
      </x:c>
      <x:c r="E510" s="65" t="str">
        <x:v>中文名待确认（RB Bragantino）</x:v>
      </x:c>
      <x:c r="F510" s="65" t="str">
        <x:v>无可靠让球盘/只观察｜胜负价格仅弱倾向主队侧，不换算让球盘口</x:v>
      </x:c>
      <x:c r="G510" s="65" t="str">
        <x:v>无可靠大小球盘/只观察｜未取得可交叉核验的总进球主盘与水位，无可靠大小球倾向</x:v>
      </x:c>
      <x:c r="H510" s="65" t="str">
        <x:v>待确认首发、双方近5场/主客拆分与可靠亚洲双盘；任一市场欧赔&lt;1.80/港水&lt;0.80不进；盘口未核验前不进、不加仓</x:v>
      </x:c>
      <x:c r="I510" s="66" t="n">
        <x:v>46220.82152777778</x:v>
      </x:c>
      <x:c r="J510" s="65" t="str">
        <x:v>需复核</x:v>
      </x:c>
      <x:c r="K510" s="65"/>
      <x:c r="L510" s="65"/>
      <x:c r="M510" s="65"/>
      <x:c r="N510" s="67"/>
      <x:c r="O510" s="67"/>
      <x:c r="P510" s="67" t="str">
        <x:f>IF(COUNT(N510:O510)=0,"",SUM(N510:O510))</x:f>
      </x:c>
      <x:c r="Q510" s="65" t="str">
        <x:v>赛程/状态来源｜https://www.365scores.com/football/tomorrows-matches；https://www.livescore.mobi/football/brazil/serie-a/fluminense-vs-rb-bragantino/1708590/；https://global.espn.com/football/scoreboard/_/date/20260718；https://tipsterarea.com/match/fluminense-rj-bragantino-sp-serie-a-brazil-935503；365Scores赛事ID 4632765；查询时间：2026-07-17 19:43（北京时间）</x:v>
      </x:c>
      <x:c r="R51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1.93/3.39/4.15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1" ht="38" customHeight="1">
      <x:c r="A511" s="65" t="str">
        <x:f>IF(B511="","",TEXT(B511,"yyyy-mm-dd")&amp;"|"&amp;D511&amp;"|"&amp;E511)</x:f>
        <x:v>2026-07-18|弗拉门戈（Flamengo）|CD奥林匹亚（CD Olimpia）</x:v>
      </x:c>
      <x:c r="B511" s="66" t="n">
        <x:v>46221.291666666664</x:v>
      </x:c>
      <x:c r="C511" s="65" t="str">
        <x:v>国际俱乐部友谊赛</x:v>
      </x:c>
      <x:c r="D511" s="65" t="str">
        <x:v>弗拉门戈（Flamengo）</x:v>
      </x:c>
      <x:c r="E511" s="65" t="str">
        <x:v>CD奥林匹亚（CD Olimpia）</x:v>
      </x:c>
      <x:c r="F511" s="65" t="str">
        <x:v>无可靠让球盘/只观察｜现有可审计资料不足以形成可靠让球倾向</x:v>
      </x:c>
      <x:c r="G511" s="65" t="str">
        <x:v>无可靠大小球盘/只观察｜未取得可交叉核验的总进球主盘与水位，无可靠大小球倾向</x:v>
      </x:c>
      <x:c r="H511" s="65" t="str">
        <x:v>待确认首发、双方近5场/主客拆分与可靠亚洲双盘；任一市场欧赔&lt;1.80/港水&lt;0.80不进；盘口未核验前不进、不加仓</x:v>
      </x:c>
      <x:c r="I511" s="66" t="n">
        <x:v>46220.82152777778</x:v>
      </x:c>
      <x:c r="J511" s="65" t="str">
        <x:v>需复核</x:v>
      </x:c>
      <x:c r="K511" s="65"/>
      <x:c r="L511" s="65"/>
      <x:c r="M511" s="65"/>
      <x:c r="N511" s="67"/>
      <x:c r="O511" s="67"/>
      <x:c r="P511" s="67" t="str">
        <x:f>IF(COUNT(N511:O511)=0,"",SUM(N511:O511))</x:f>
      </x:c>
      <x:c r="Q511" s="65" t="str">
        <x:v>赛程/状态来源｜https://www.365scores.com/football/tomorrows-matches；365Scores赛事ID 4758272；查询时间：2026-07-17 19:43（北京时间）</x:v>
      </x:c>
      <x:c r="R51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2" ht="38" customHeight="1">
      <x:c r="A512" s="65" t="str">
        <x:f>IF(B512="","",TEXT(B512,"yyyy-mm-dd")&amp;"|"&amp;D512&amp;"|"&amp;E512)</x:f>
        <x:v>2026-07-18|中文名待确认（Ciudad De Bolivar）|中文名待确认（All Boys）</x:v>
      </x:c>
      <x:c r="B512" s="66" t="n">
        <x:v>46221.291666666664</x:v>
      </x:c>
      <x:c r="C512" s="65" t="str">
        <x:v>阿根廷全国联赛</x:v>
      </x:c>
      <x:c r="D512" s="65" t="str">
        <x:v>中文名待确认（Ciudad De Bolivar）</x:v>
      </x:c>
      <x:c r="E512" s="65" t="str">
        <x:v>中文名待确认（All Boys）</x:v>
      </x:c>
      <x:c r="F512" s="65" t="str">
        <x:v>无可靠让球盘/只观察｜胜负价格仅弱倾向主队侧，不换算让球盘口</x:v>
      </x:c>
      <x:c r="G512" s="65" t="str">
        <x:v>无可靠大小球盘/只观察｜未取得可交叉核验的总进球主盘与水位，无可靠大小球倾向</x:v>
      </x:c>
      <x:c r="H512" s="65" t="str">
        <x:v>待确认首发、双方近5场/主客拆分与可靠亚洲双盘；任一市场欧赔&lt;1.80/港水&lt;0.80不进；盘口未核验前不进、不加仓</x:v>
      </x:c>
      <x:c r="I512" s="66" t="n">
        <x:v>46220.82152777778</x:v>
      </x:c>
      <x:c r="J512" s="65" t="str">
        <x:v>需复核</x:v>
      </x:c>
      <x:c r="K512" s="65"/>
      <x:c r="L512" s="65"/>
      <x:c r="M512" s="65"/>
      <x:c r="N512" s="67"/>
      <x:c r="O512" s="67"/>
      <x:c r="P512" s="67" t="str">
        <x:f>IF(COUNT(N512:O512)=0,"",SUM(N512:O512))</x:f>
      </x:c>
      <x:c r="Q512" s="65" t="str">
        <x:v>赛程/状态来源｜https://www.365scores.com/football/tomorrows-matches；https://www.livescore.mobi/football/argentina/primera-nacional/ciudad-de-bolivar-vs-all-boys/1713347/；https://global.espn.com/football/scoreboard/_/date/20260718；https://tipsterarea.com/match/ciudad-de-bolivar-ca-all-boys-primera-nacional-argentina-935586；365Scores赛事ID 4643950；查询时间：2026-07-17 19:43（北京时间）</x:v>
      </x:c>
      <x:c r="R51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2.33/2.54/3.62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3" ht="38" customHeight="1">
      <x:c r="A513" s="65" t="str">
        <x:f>IF(B513="","",TEXT(B513,"yyyy-mm-dd")&amp;"|"&amp;D513&amp;"|"&amp;E513)</x:f>
        <x:v>2026-07-18|中文名待确认（Atlético Ottawa）|中文名待确认（Inter Toronto FC）</x:v>
      </x:c>
      <x:c r="B513" s="66" t="n">
        <x:v>46221.291666666664</x:v>
      </x:c>
      <x:c r="C513" s="65" t="str">
        <x:v>加拿大超级联赛</x:v>
      </x:c>
      <x:c r="D513" s="65" t="str">
        <x:v>中文名待确认（Atlético Ottawa）</x:v>
      </x:c>
      <x:c r="E513" s="65" t="str">
        <x:v>中文名待确认（Inter Toronto FC）</x:v>
      </x:c>
      <x:c r="F513" s="65" t="str">
        <x:v>无可靠让球盘/只观察｜胜负价格仅弱倾向主队侧，不换算让球盘口</x:v>
      </x:c>
      <x:c r="G513" s="65" t="str">
        <x:v>无可靠大小球盘/只观察｜未取得可交叉核验的总进球主盘与水位，无可靠大小球倾向</x:v>
      </x:c>
      <x:c r="H513" s="65" t="str">
        <x:v>待确认首发、双方近5场/主客拆分与可靠亚洲双盘；任一市场欧赔&lt;1.80/港水&lt;0.80不进；盘口未核验前不进、不加仓</x:v>
      </x:c>
      <x:c r="I513" s="66" t="n">
        <x:v>46220.82152777778</x:v>
      </x:c>
      <x:c r="J513" s="65" t="str">
        <x:v>需复核</x:v>
      </x:c>
      <x:c r="K513" s="65"/>
      <x:c r="L513" s="65"/>
      <x:c r="M513" s="65"/>
      <x:c r="N513" s="67"/>
      <x:c r="O513" s="67"/>
      <x:c r="P513" s="67" t="str">
        <x:f>IF(COUNT(N513:O513)=0,"",SUM(N513:O513))</x:f>
      </x:c>
      <x:c r="Q513" s="65" t="str">
        <x:v>赛程/状态来源｜https://www.365scores.com/football/tomorrows-matches；https://www.livescore.mobi/football/canada/premier-league/atletico-ottawa-vs-inter-toronto/1735745/；https://tipsterarea.com/match/atletico-ottawa-inter-toronto-premier-league-canada-935600；365Scores赛事ID 4664871；查询时间：2026-07-17 19:43（北京时间）</x:v>
      </x:c>
      <x:c r="R51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1.80/3.47/3.74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4" ht="38" customHeight="1">
      <x:c r="A514" s="65" t="str">
        <x:f>IF(B514="","",TEXT(B514,"yyyy-mm-dd")&amp;"|"&amp;D514&amp;"|"&amp;E514)</x:f>
        <x:v>2026-07-18|乌拉圭民族（Nacional）|蒙得维的亚流浪者（Montevideo Wanderers）</x:v>
      </x:c>
      <x:c r="B514" s="66" t="n">
        <x:v>46221.270833333336</x:v>
      </x:c>
      <x:c r="C514" s="65" t="str">
        <x:v>乌拉圭甲级联赛中间轮</x:v>
      </x:c>
      <x:c r="D514" s="65" t="str">
        <x:v>乌拉圭民族（Nacional）</x:v>
      </x:c>
      <x:c r="E514" s="65" t="str">
        <x:v>蒙得维的亚流浪者（Montevideo Wanderers）</x:v>
      </x:c>
      <x:c r="F514" s="65" t="str">
        <x:v>无可靠让球盘/只观察｜现有可审计资料不足以形成可靠让球倾向</x:v>
      </x:c>
      <x:c r="G514" s="65" t="str">
        <x:v>无可靠大小球盘/只观察｜未取得可交叉核验的总进球主盘与水位，无可靠大小球倾向</x:v>
      </x:c>
      <x:c r="H514" s="65" t="str">
        <x:v>待确认首发、双方近5场/主客拆分与可靠亚洲双盘；任一市场欧赔&lt;1.80/港水&lt;0.80不进；盘口未核验前不进、不加仓</x:v>
      </x:c>
      <x:c r="I514" s="66" t="n">
        <x:v>46220.82152777778</x:v>
      </x:c>
      <x:c r="J514" s="65" t="str">
        <x:v>需复核</x:v>
      </x:c>
      <x:c r="K514" s="65"/>
      <x:c r="L514" s="65"/>
      <x:c r="M514" s="65"/>
      <x:c r="N514" s="67"/>
      <x:c r="O514" s="67"/>
      <x:c r="P514" s="67" t="str">
        <x:f>IF(COUNT(N514:O514)=0,"",SUM(N514:O514))</x:f>
      </x:c>
      <x:c r="Q514" s="65" t="str">
        <x:v>赛程/状态来源｜https://www.365scores.com/football/tomorrows-matches；https://www.livescore.mobi/football/uruguay/primera-division-intermedio-group-a/nacional-vs-montevideo-wanderers/1817345/；https://global.espn.com/football/scoreboard/_/date/20260718；365Scores赛事ID 4714443；查询时间：2026-07-17 19:43（北京时间）</x:v>
      </x:c>
      <x:c r="R51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5" ht="38" customHeight="1">
      <x:c r="A515" s="65" t="str">
        <x:f>IF(B515="","",TEXT(B515,"yyyy-mm-dd")&amp;"|"&amp;D515&amp;"|"&amp;E515)</x:f>
        <x:v>2026-07-18|中文名待确认（Marília）|中文名待确认（Gremio Prudente）</x:v>
      </x:c>
      <x:c r="B515" s="66" t="n">
        <x:v>46221.270833333336</x:v>
      </x:c>
      <x:c r="C515" s="65" t="str">
        <x:v>巴西圣保罗州杯</x:v>
      </x:c>
      <x:c r="D515" s="65" t="str">
        <x:v>中文名待确认（Marília）</x:v>
      </x:c>
      <x:c r="E515" s="65" t="str">
        <x:v>中文名待确认（Gremio Prudente）</x:v>
      </x:c>
      <x:c r="F515" s="65" t="str">
        <x:v>无可靠让球盘/只观察｜现有可审计资料不足以形成可靠让球倾向</x:v>
      </x:c>
      <x:c r="G515" s="65" t="str">
        <x:v>无可靠大小球盘/只观察｜未取得可交叉核验的总进球主盘与水位，无可靠大小球倾向</x:v>
      </x:c>
      <x:c r="H515" s="65" t="str">
        <x:v>待确认首发、双方近5场/主客拆分与可靠亚洲双盘；任一市场欧赔&lt;1.80/港水&lt;0.80不进；盘口未核验前不进、不加仓</x:v>
      </x:c>
      <x:c r="I515" s="66" t="n">
        <x:v>46220.82152777778</x:v>
      </x:c>
      <x:c r="J515" s="65" t="str">
        <x:v>需复核</x:v>
      </x:c>
      <x:c r="K515" s="65"/>
      <x:c r="L515" s="65"/>
      <x:c r="M515" s="65"/>
      <x:c r="N515" s="67"/>
      <x:c r="O515" s="67"/>
      <x:c r="P515" s="67" t="str">
        <x:f>IF(COUNT(N515:O515)=0,"",SUM(N515:O515))</x:f>
      </x:c>
      <x:c r="Q515" s="65" t="str">
        <x:v>赛程/状态来源｜https://www.365scores.com/football/tomorrows-matches；365Scores赛事ID 4719901；查询时间：2026-07-17 19:43（北京时间）</x:v>
      </x:c>
      <x:c r="R51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6" ht="38" customHeight="1">
      <x:c r="A516" s="65" t="str">
        <x:f>IF(B516="","",TEXT(B516,"yyyy-mm-dd")&amp;"|"&amp;D516&amp;"|"&amp;E516)</x:f>
        <x:v>2026-07-18|中文名待确认（Ferro Carril Oeste）|中文名待确认（Colon）</x:v>
      </x:c>
      <x:c r="B516" s="66" t="n">
        <x:v>46221.270833333336</x:v>
      </x:c>
      <x:c r="C516" s="65" t="str">
        <x:v>阿根廷全国联赛</x:v>
      </x:c>
      <x:c r="D516" s="65" t="str">
        <x:v>中文名待确认（Ferro Carril Oeste）</x:v>
      </x:c>
      <x:c r="E516" s="65" t="str">
        <x:v>中文名待确认（Colon）</x:v>
      </x:c>
      <x:c r="F516" s="65" t="str">
        <x:v>无可靠让球盘/只观察｜现有可审计资料不足以形成可靠让球倾向</x:v>
      </x:c>
      <x:c r="G516" s="65" t="str">
        <x:v>无可靠大小球盘/只观察｜未取得可交叉核验的总进球主盘与水位，无可靠大小球倾向</x:v>
      </x:c>
      <x:c r="H516" s="65" t="str">
        <x:v>待确认首发、双方近5场/主客拆分与可靠亚洲双盘；任一市场欧赔&lt;1.80/港水&lt;0.80不进；盘口未核验前不进、不加仓</x:v>
      </x:c>
      <x:c r="I516" s="66" t="n">
        <x:v>46220.82152777778</x:v>
      </x:c>
      <x:c r="J516" s="65" t="str">
        <x:v>需复核</x:v>
      </x:c>
      <x:c r="K516" s="65"/>
      <x:c r="L516" s="65"/>
      <x:c r="M516" s="65"/>
      <x:c r="N516" s="67"/>
      <x:c r="O516" s="67"/>
      <x:c r="P516" s="67" t="str">
        <x:f>IF(COUNT(N516:O516)=0,"",SUM(N516:O516))</x:f>
      </x:c>
      <x:c r="Q516" s="65" t="str">
        <x:v>赛程/状态来源｜https://www.365scores.com/football/tomorrows-matches；https://global.espn.com/football/scoreboard/_/date/20260718；365Scores赛事ID 4643954；查询时间：2026-07-17 19:43（北京时间）</x:v>
      </x:c>
      <x:c r="R51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7" ht="38" customHeight="1">
      <x:c r="A517" s="65" t="str">
        <x:f>IF(B517="","",TEXT(B517,"yyyy-mm-dd")&amp;"|"&amp;D517&amp;"|"&amp;E517)</x:f>
        <x:v>2026-07-18|中文名待确认（Ferro Carril Oeste）|中文名待确认（Club Atletico Colon）</x:v>
      </x:c>
      <x:c r="B517" s="66" t="n">
        <x:v>46221.270833333336</x:v>
      </x:c>
      <x:c r="C517" s="65" t="str">
        <x:v>阿根廷全国联赛</x:v>
      </x:c>
      <x:c r="D517" s="65" t="str">
        <x:v>中文名待确认（Ferro Carril Oeste）</x:v>
      </x:c>
      <x:c r="E517" s="65" t="str">
        <x:v>中文名待确认（Club Atletico Colon）</x:v>
      </x:c>
      <x:c r="F517" s="65" t="str">
        <x:v>无可靠让球盘/只观察｜现有可审计资料不足以形成可靠让球倾向</x:v>
      </x:c>
      <x:c r="G517" s="65" t="str">
        <x:v>无可靠大小球盘/只观察｜未取得可交叉核验的总进球主盘与水位，无可靠大小球倾向</x:v>
      </x:c>
      <x:c r="H517" s="65" t="str">
        <x:v>待确认首发、双方近5场/主客拆分与可靠亚洲双盘；任一市场欧赔&lt;1.80/港水&lt;0.80不进；盘口未核验前不进、不加仓</x:v>
      </x:c>
      <x:c r="I517" s="66" t="n">
        <x:v>46220.82152777778</x:v>
      </x:c>
      <x:c r="J517" s="65" t="str">
        <x:v>需复核</x:v>
      </x:c>
      <x:c r="K517" s="65"/>
      <x:c r="L517" s="65"/>
      <x:c r="M517" s="65"/>
      <x:c r="N517" s="67"/>
      <x:c r="O517" s="67"/>
      <x:c r="P517" s="67" t="str">
        <x:f>IF(COUNT(N517:O517)=0,"",SUM(N517:O517))</x:f>
      </x:c>
      <x:c r="Q517" s="65" t="str">
        <x:v>赛程/状态来源｜https://www.livescore.mobi/football/argentina/primera-nacional/ferro-carril-oeste-vs-club-atletico-colon/1713348/；365Scores赛事ID —；查询时间：2026-07-17 19:43（北京时间）</x:v>
      </x:c>
      <x:c r="R51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8" ht="38" customHeight="1">
      <x:c r="A518" s="65" t="str">
        <x:f>IF(B518="","",TEXT(B518,"yyyy-mm-dd")&amp;"|"&amp;D518&amp;"|"&amp;E518)</x:f>
        <x:v>2026-07-18|巴伊亚（Bahia）|沙佩科恩斯（Chapecoense）</x:v>
      </x:c>
      <x:c r="B518" s="66" t="n">
        <x:v>46221.270833333336</x:v>
      </x:c>
      <x:c r="C518" s="65" t="str">
        <x:v>巴西甲级联赛</x:v>
      </x:c>
      <x:c r="D518" s="65" t="str">
        <x:v>巴伊亚（Bahia）</x:v>
      </x:c>
      <x:c r="E518" s="65" t="str">
        <x:v>沙佩科恩斯（Chapecoense）</x:v>
      </x:c>
      <x:c r="F518" s="65" t="str">
        <x:v>无可靠让球盘/只观察｜胜负价格仅弱倾向主队侧，不换算让球盘口</x:v>
      </x:c>
      <x:c r="G518" s="65" t="str">
        <x:v>无可靠大小球盘/只观察｜未取得可交叉核验的总进球主盘与水位，无可靠大小球倾向</x:v>
      </x:c>
      <x:c r="H518" s="65" t="str">
        <x:v>待确认首发、双方近5场/主客拆分与可靠亚洲双盘；任一市场欧赔&lt;1.80/港水&lt;0.80不进；盘口未核验前不进、不加仓</x:v>
      </x:c>
      <x:c r="I518" s="66" t="n">
        <x:v>46220.82152777778</x:v>
      </x:c>
      <x:c r="J518" s="65" t="str">
        <x:v>需复核</x:v>
      </x:c>
      <x:c r="K518" s="65"/>
      <x:c r="L518" s="65"/>
      <x:c r="M518" s="65"/>
      <x:c r="N518" s="67"/>
      <x:c r="O518" s="67"/>
      <x:c r="P518" s="67" t="str">
        <x:f>IF(COUNT(N518:O518)=0,"",SUM(N518:O518))</x:f>
      </x:c>
      <x:c r="Q518" s="65" t="str">
        <x:v>赛程/状态来源｜https://www.365scores.com/football/tomorrows-matches；https://www.livescore.mobi/football/brazil/serie-a/bahia-vs-chapecoense-af/1708455/；https://global.espn.com/football/scoreboard/_/date/20260718；https://tipsterarea.com/match/bahia-ba-chapecoense-sc-serie-a-brazil-935502；365Scores赛事ID 4632908；查询时间：2026-07-17 19:43（北京时间）</x:v>
      </x:c>
      <x:c r="R51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1.43/4.76/6.86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19" ht="38" customHeight="1">
      <x:c r="A519" s="65" t="str">
        <x:f>IF(B519="","",TEXT(B519,"yyyy-mm-dd")&amp;"|"&amp;D519&amp;"|"&amp;E519)</x:f>
        <x:v>2026-07-18|中文名待确认（12 De Junio Vh）|中文名待确认（General Caballero JLM）</x:v>
      </x:c>
      <x:c r="B519" s="66" t="n">
        <x:v>46221.270833333336</x:v>
      </x:c>
      <x:c r="C519" s="65" t="str">
        <x:v>巴拉圭乙级联赛</x:v>
      </x:c>
      <x:c r="D519" s="65" t="str">
        <x:v>中文名待确认（12 De Junio Vh）</x:v>
      </x:c>
      <x:c r="E519" s="65" t="str">
        <x:v>中文名待确认（General Caballero JLM）</x:v>
      </x:c>
      <x:c r="F519" s="65" t="str">
        <x:v>无可靠让球盘/只观察｜现有可审计资料不足以形成可靠让球倾向</x:v>
      </x:c>
      <x:c r="G519" s="65" t="str">
        <x:v>无可靠大小球盘/只观察｜未取得可交叉核验的总进球主盘与水位，无可靠大小球倾向</x:v>
      </x:c>
      <x:c r="H519" s="65" t="str">
        <x:v>待确认首发、双方近5场/主客拆分与可靠亚洲双盘；任一市场欧赔&lt;1.80/港水&lt;0.80不进；盘口未核验前不进、不加仓</x:v>
      </x:c>
      <x:c r="I519" s="66" t="n">
        <x:v>46220.82152777778</x:v>
      </x:c>
      <x:c r="J519" s="65" t="str">
        <x:v>需复核</x:v>
      </x:c>
      <x:c r="K519" s="65"/>
      <x:c r="L519" s="65"/>
      <x:c r="M519" s="65"/>
      <x:c r="N519" s="67"/>
      <x:c r="O519" s="67"/>
      <x:c r="P519" s="67" t="str">
        <x:f>IF(COUNT(N519:O519)=0,"",SUM(N519:O519))</x:f>
      </x:c>
      <x:c r="Q519" s="65" t="str">
        <x:v>赛程/状态来源｜https://www.365scores.com/football/tomorrows-matches；https://www.livescore.mobi/football/paraguay/division-intermedia/12-de-junio-vs-club-general-caballero-jlm/1825972/；365Scores赛事ID 4770573；查询时间：2026-07-17 19:43（北京时间）</x:v>
      </x:c>
      <x:c r="R51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0" ht="38" customHeight="1">
      <x:c r="A520" s="65" t="str">
        <x:f>IF(B520="","",TEXT(B520,"yyyy-mm-dd")&amp;"|"&amp;D520&amp;"|"&amp;E520)</x:f>
        <x:v>2026-07-18|中文名待确认（São Bernardo）|中文名待确认（Avai）</x:v>
      </x:c>
      <x:c r="B520" s="66" t="n">
        <x:v>46221.25</x:v>
      </x:c>
      <x:c r="C520" s="65" t="str">
        <x:v>巴西乙级联赛</x:v>
      </x:c>
      <x:c r="D520" s="65" t="str">
        <x:v>中文名待确认（São Bernardo）</x:v>
      </x:c>
      <x:c r="E520" s="65" t="str">
        <x:v>中文名待确认（Avai）</x:v>
      </x:c>
      <x:c r="F520" s="65" t="str">
        <x:v>无可靠让球盘/只观察｜胜负价格仅弱倾向主队侧，不换算让球盘口</x:v>
      </x:c>
      <x:c r="G520" s="65" t="str">
        <x:v>无可靠大小球盘/只观察｜未取得可交叉核验的总进球主盘与水位，无可靠大小球倾向</x:v>
      </x:c>
      <x:c r="H520" s="65" t="str">
        <x:v>待确认首发、双方近5场/主客拆分与可靠亚洲双盘；任一市场欧赔&lt;1.80/港水&lt;0.80不进；盘口未核验前不进、不加仓</x:v>
      </x:c>
      <x:c r="I520" s="66" t="n">
        <x:v>46220.82152777778</x:v>
      </x:c>
      <x:c r="J520" s="65" t="str">
        <x:v>需复核</x:v>
      </x:c>
      <x:c r="K520" s="65"/>
      <x:c r="L520" s="65"/>
      <x:c r="M520" s="65"/>
      <x:c r="N520" s="67"/>
      <x:c r="O520" s="67"/>
      <x:c r="P520" s="67" t="str">
        <x:f>IF(COUNT(N520:O520)=0,"",SUM(N520:O520))</x:f>
      </x:c>
      <x:c r="Q520" s="65" t="str">
        <x:v>赛程/状态来源｜https://www.365scores.com/football/tomorrows-matches；https://www.livescore.mobi/football/brazil/serie-b/sao-bernardo-vs-avai-fc/1741253/；https://global.espn.com/football/scoreboard/_/date/20260718；https://tipsterarea.com/match/sao-bernardo-sp-avai-sc-serie-b-brazil-935594；365Scores赛事ID 4669815；查询时间：2026-07-17 19:43（北京时间）</x:v>
      </x:c>
      <x:c r="R52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1.92/3.23/3.92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1" ht="38" customHeight="1">
      <x:c r="A521" s="65" t="str">
        <x:f>IF(B521="","",TEXT(B521,"yyyy-mm-dd")&amp;"|"&amp;D521&amp;"|"&amp;E521)</x:f>
        <x:v>2026-07-18|中文名待确认（Juventude）|中文名待确认（Cuiabá）</x:v>
      </x:c>
      <x:c r="B521" s="66" t="n">
        <x:v>46221.25</x:v>
      </x:c>
      <x:c r="C521" s="65" t="str">
        <x:v>巴西乙级联赛</x:v>
      </x:c>
      <x:c r="D521" s="65" t="str">
        <x:v>中文名待确认（Juventude）</x:v>
      </x:c>
      <x:c r="E521" s="65" t="str">
        <x:v>中文名待确认（Cuiabá）</x:v>
      </x:c>
      <x:c r="F521" s="65" t="str">
        <x:v>无可靠让球盘/只观察｜胜负价格仅弱倾向主队侧，不换算让球盘口</x:v>
      </x:c>
      <x:c r="G521" s="65" t="str">
        <x:v>无可靠大小球盘/只观察｜未取得可交叉核验的总进球主盘与水位，无可靠大小球倾向</x:v>
      </x:c>
      <x:c r="H521" s="65" t="str">
        <x:v>待确认首发、双方近5场/主客拆分与可靠亚洲双盘；任一市场欧赔&lt;1.80/港水&lt;0.80不进；盘口未核验前不进、不加仓</x:v>
      </x:c>
      <x:c r="I521" s="66" t="n">
        <x:v>46220.82152777778</x:v>
      </x:c>
      <x:c r="J521" s="65" t="str">
        <x:v>需复核</x:v>
      </x:c>
      <x:c r="K521" s="65"/>
      <x:c r="L521" s="65"/>
      <x:c r="M521" s="65"/>
      <x:c r="N521" s="67"/>
      <x:c r="O521" s="67"/>
      <x:c r="P521" s="67" t="str">
        <x:f>IF(COUNT(N521:O521)=0,"",SUM(N521:O521))</x:f>
      </x:c>
      <x:c r="Q521" s="65" t="str">
        <x:v>赛程/状态来源｜https://www.365scores.com/football/tomorrows-matches；https://www.livescore.mobi/football/brazil/serie-b/juventude-vs-cuiaba/1741279/；https://global.espn.com/football/scoreboard/_/date/20260718；https://tipsterarea.com/match/juventude-rs-cuiaba-mt-serie-b-brazil-935593；365Scores赛事ID 4669821；查询时间：2026-07-17 19:43（北京时间）</x:v>
      </x:c>
      <x:c r="R52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2.05/2.85/4.03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2" ht="38" customHeight="1">
      <x:c r="A522" s="65" t="str">
        <x:f>IF(B522="","",TEXT(B522,"yyyy-mm-dd")&amp;"|"&amp;D522&amp;"|"&amp;E522)</x:f>
        <x:v>2026-07-18|中文名待确认（Corinthians (W)）|中文名待确认（Ferroviária (W)）</x:v>
      </x:c>
      <x:c r="B522" s="66" t="n">
        <x:v>46221.25</x:v>
      </x:c>
      <x:c r="C522" s="65" t="str">
        <x:v>巴西圣保罗州女子联赛</x:v>
      </x:c>
      <x:c r="D522" s="65" t="str">
        <x:v>中文名待确认（Corinthians (W)）</x:v>
      </x:c>
      <x:c r="E522" s="65" t="str">
        <x:v>中文名待确认（Ferroviária (W)）</x:v>
      </x:c>
      <x:c r="F522" s="65" t="str">
        <x:v>无可靠让球盘/只观察｜现有可审计资料不足以形成可靠让球倾向</x:v>
      </x:c>
      <x:c r="G522" s="65" t="str">
        <x:v>无可靠大小球盘/只观察｜未取得可交叉核验的总进球主盘与水位，无可靠大小球倾向</x:v>
      </x:c>
      <x:c r="H522" s="65" t="str">
        <x:v>待确认首发、双方近5场/主客拆分与可靠亚洲双盘；任一市场欧赔&lt;1.80/港水&lt;0.80不进；盘口未核验前不进、不加仓</x:v>
      </x:c>
      <x:c r="I522" s="66" t="n">
        <x:v>46220.82152777778</x:v>
      </x:c>
      <x:c r="J522" s="65" t="str">
        <x:v>需复核</x:v>
      </x:c>
      <x:c r="K522" s="65"/>
      <x:c r="L522" s="65"/>
      <x:c r="M522" s="65"/>
      <x:c r="N522" s="67"/>
      <x:c r="O522" s="67"/>
      <x:c r="P522" s="67" t="str">
        <x:f>IF(COUNT(N522:O522)=0,"",SUM(N522:O522))</x:f>
      </x:c>
      <x:c r="Q522" s="65" t="str">
        <x:v>赛程/状态来源｜https://www.365scores.com/football/tomorrows-matches；365Scores赛事ID 4705278；查询时间：2026-07-17 19:43（北京时间）</x:v>
      </x:c>
      <x:c r="R522" s="65" t="str">
        <x:v>证据卡：女子赛事，公开阵容和低级别样本完整度通常低于主流男子联赛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3" ht="38" customHeight="1">
      <x:c r="A523" s="65" t="str">
        <x:f>IF(B523="","",TEXT(B523,"yyyy-mm-dd")&amp;"|"&amp;D523&amp;"|"&amp;E523)</x:f>
        <x:v>2026-07-18|中文名待确认（América Mineiro）|中文名待确认（Ceara）</x:v>
      </x:c>
      <x:c r="B523" s="66" t="n">
        <x:v>46221.25</x:v>
      </x:c>
      <x:c r="C523" s="65" t="str">
        <x:v>巴西乙级联赛</x:v>
      </x:c>
      <x:c r="D523" s="65" t="str">
        <x:v>中文名待确认（América Mineiro）</x:v>
      </x:c>
      <x:c r="E523" s="65" t="str">
        <x:v>中文名待确认（Ceara）</x:v>
      </x:c>
      <x:c r="F523" s="65" t="str">
        <x:v>无可靠让球盘/只观察｜现有可审计资料不足以形成可靠让球倾向</x:v>
      </x:c>
      <x:c r="G523" s="65" t="str">
        <x:v>无可靠大小球盘/只观察｜未取得可交叉核验的总进球主盘与水位，无可靠大小球倾向</x:v>
      </x:c>
      <x:c r="H523" s="65" t="str">
        <x:v>待确认首发、双方近5场/主客拆分与可靠亚洲双盘；任一市场欧赔&lt;1.80/港水&lt;0.80不进；盘口未核验前不进、不加仓</x:v>
      </x:c>
      <x:c r="I523" s="66" t="n">
        <x:v>46220.82152777778</x:v>
      </x:c>
      <x:c r="J523" s="65" t="str">
        <x:v>需复核</x:v>
      </x:c>
      <x:c r="K523" s="65"/>
      <x:c r="L523" s="65"/>
      <x:c r="M523" s="65"/>
      <x:c r="N523" s="67"/>
      <x:c r="O523" s="67"/>
      <x:c r="P523" s="67" t="str">
        <x:f>IF(COUNT(N523:O523)=0,"",SUM(N523:O523))</x:f>
      </x:c>
      <x:c r="Q523" s="65" t="str">
        <x:v>赛程/状态来源｜https://www.365scores.com/football/tomorrows-matches；https://www.livescore.mobi/football/brazil/serie-b/america-mg-vs-ceara/1741266/；https://global.espn.com/football/scoreboard/_/date/20260718；365Scores赛事ID 4669816；查询时间：2026-07-17 19:43（北京时间）</x:v>
      </x:c>
      <x:c r="R52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4" ht="38" customHeight="1">
      <x:c r="A524" s="65" t="str">
        <x:f>IF(B524="","",TEXT(B524,"yyyy-mm-dd")&amp;"|"&amp;D524&amp;"|"&amp;E524)</x:f>
        <x:v>2026-07-18|中文名待确认（San Lorenzo de Almagro）|利斯特雷（Deportivo Riestra）</x:v>
      </x:c>
      <x:c r="B524" s="66" t="n">
        <x:v>46221.239583333336</x:v>
      </x:c>
      <x:c r="C524" s="65" t="str">
        <x:v>阿根廷杯（Copa Argentina）</x:v>
      </x:c>
      <x:c r="D524" s="65" t="str">
        <x:v>中文名待确认（San Lorenzo de Almagro）</x:v>
      </x:c>
      <x:c r="E524" s="65" t="str">
        <x:v>利斯特雷（Deportivo Riestra）</x:v>
      </x:c>
      <x:c r="F524" s="65" t="str">
        <x:v>无可靠让球盘/只观察｜胜负价格仅弱倾向主队侧，不换算让球盘口</x:v>
      </x:c>
      <x:c r="G524" s="65" t="str">
        <x:v>无可靠大小球盘/只观察｜未取得可交叉核验的总进球主盘与水位，无可靠大小球倾向</x:v>
      </x:c>
      <x:c r="H524" s="65" t="str">
        <x:v>待确认首发、双方近5场/主客拆分与可靠亚洲双盘；任一市场欧赔&lt;1.80/港水&lt;0.80不进；盘口未核验前不进、不加仓</x:v>
      </x:c>
      <x:c r="I524" s="66" t="n">
        <x:v>46220.82152777778</x:v>
      </x:c>
      <x:c r="J524" s="65" t="str">
        <x:v>需复核</x:v>
      </x:c>
      <x:c r="K524" s="65"/>
      <x:c r="L524" s="65"/>
      <x:c r="M524" s="65"/>
      <x:c r="N524" s="67"/>
      <x:c r="O524" s="67"/>
      <x:c r="P524" s="67" t="str">
        <x:f>IF(COUNT(N524:O524)=0,"",SUM(N524:O524))</x:f>
      </x:c>
      <x:c r="Q524" s="65" t="str">
        <x:v>赛程/状态来源｜https://www.livescore.mobi/football/argentina/copa-argentina/san-lorenzo-de-almagro-vs-deportivo-riestra/1767501/；https://tipsterarea.com/match/san-lorenzo-de-almagro-deportivo-riestra-copa-argentina-935505；365Scores赛事ID —；查询时间：2026-07-17 19:43（北京时间）</x:v>
      </x:c>
      <x:c r="R52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2.40/2.74/3.27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5" ht="38" customHeight="1">
      <x:c r="A525" s="65" t="str">
        <x:f>IF(B525="","",TEXT(B525,"yyyy-mm-dd")&amp;"|"&amp;D525&amp;"|"&amp;E525)</x:f>
        <x:v>2026-07-18|圣洛伦索（San Lorenzo）|中文名待确认（Riestra）</x:v>
      </x:c>
      <x:c r="B525" s="66" t="n">
        <x:v>46221.239583333336</x:v>
      </x:c>
      <x:c r="C525" s="65" t="str">
        <x:v>阿根廷杯32强</x:v>
      </x:c>
      <x:c r="D525" s="65" t="str">
        <x:v>圣洛伦索（San Lorenzo）</x:v>
      </x:c>
      <x:c r="E525" s="65" t="str">
        <x:v>中文名待确认（Riestra）</x:v>
      </x:c>
      <x:c r="F525" s="65" t="str">
        <x:v>无可靠让球盘/只观察｜现有可审计资料不足以形成可靠让球倾向</x:v>
      </x:c>
      <x:c r="G525" s="65" t="str">
        <x:v>无可靠大小球盘/只观察｜未取得可交叉核验的总进球主盘与水位，无可靠大小球倾向</x:v>
      </x:c>
      <x:c r="H525" s="65" t="str">
        <x:v>待确认首发、双方近5场/主客拆分与可靠亚洲双盘；任一市场欧赔&lt;1.80/港水&lt;0.80不进；盘口未核验前不进、不加仓</x:v>
      </x:c>
      <x:c r="I525" s="66" t="n">
        <x:v>46220.82152777778</x:v>
      </x:c>
      <x:c r="J525" s="65" t="str">
        <x:v>需复核</x:v>
      </x:c>
      <x:c r="K525" s="65"/>
      <x:c r="L525" s="65"/>
      <x:c r="M525" s="65"/>
      <x:c r="N525" s="67"/>
      <x:c r="O525" s="67"/>
      <x:c r="P525" s="67" t="str">
        <x:f>IF(COUNT(N525:O525)=0,"",SUM(N525:O525))</x:f>
      </x:c>
      <x:c r="Q525" s="65" t="str">
        <x:v>赛程/状态来源｜https://www.365scores.com/football/tomorrows-matches；https://global.espn.com/football/scoreboard/_/date/20260718；365Scores赛事ID 4691123；查询时间：2026-07-17 19:43（北京时间）</x:v>
      </x:c>
      <x:c r="R52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6" ht="38" customHeight="1">
      <x:c r="A526" s="65" t="str">
        <x:f>IF(B526="","",TEXT(B526,"yyyy-mm-dd")&amp;"|"&amp;D526&amp;"|"&amp;E526)</x:f>
        <x:v>2026-07-18|中文名待确认（LDU Portoviejo）|中文名待确认（Independiente Juniors）</x:v>
      </x:c>
      <x:c r="B526" s="66" t="n">
        <x:v>46221.229166666664</x:v>
      </x:c>
      <x:c r="C526" s="65" t="str">
        <x:v>巴西乙级联赛</x:v>
      </x:c>
      <x:c r="D526" s="65" t="str">
        <x:v>中文名待确认（LDU Portoviejo）</x:v>
      </x:c>
      <x:c r="E526" s="65" t="str">
        <x:v>中文名待确认（Independiente Juniors）</x:v>
      </x:c>
      <x:c r="F526" s="65" t="str">
        <x:v>无可靠让球盘/只观察｜现有可审计资料不足以形成可靠让球倾向</x:v>
      </x:c>
      <x:c r="G526" s="65" t="str">
        <x:v>无可靠大小球盘/只观察｜未取得可交叉核验的总进球主盘与水位，无可靠大小球倾向</x:v>
      </x:c>
      <x:c r="H526" s="65" t="str">
        <x:v>待确认首发、双方近5场/主客拆分与可靠亚洲双盘；任一市场欧赔&lt;1.80/港水&lt;0.80不进；盘口未核验前不进、不加仓</x:v>
      </x:c>
      <x:c r="I526" s="66" t="n">
        <x:v>46220.82152777778</x:v>
      </x:c>
      <x:c r="J526" s="65" t="str">
        <x:v>需复核</x:v>
      </x:c>
      <x:c r="K526" s="65"/>
      <x:c r="L526" s="65"/>
      <x:c r="M526" s="65"/>
      <x:c r="N526" s="67"/>
      <x:c r="O526" s="67"/>
      <x:c r="P526" s="67" t="str">
        <x:f>IF(COUNT(N526:O526)=0,"",SUM(N526:O526))</x:f>
      </x:c>
      <x:c r="Q526" s="65" t="str">
        <x:v>赛程/状态来源｜https://www.365scores.com/football/tomorrows-matches；https://www.livescore.mobi/football/ecuador/liga-pro-serie-b/ldu-portoviejo-vs-independiente-juniors/1754745/；365Scores赛事ID 4677416；查询时间：2026-07-17 19:43（北京时间）</x:v>
      </x:c>
      <x:c r="R52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7" ht="38" customHeight="1">
      <x:c r="A527" s="65" t="str">
        <x:f>IF(B527="","",TEXT(B527,"yyyy-mm-dd")&amp;"|"&amp;D527&amp;"|"&amp;E527)</x:f>
        <x:v>2026-07-18|中文名待确认（Nueva Chicago）|中文名待确认（Agropecuario）</x:v>
      </x:c>
      <x:c r="B527" s="66" t="n">
        <x:v>46221.208333333336</x:v>
      </x:c>
      <x:c r="C527" s="65" t="str">
        <x:v>阿根廷全国联赛</x:v>
      </x:c>
      <x:c r="D527" s="65" t="str">
        <x:v>中文名待确认（Nueva Chicago）</x:v>
      </x:c>
      <x:c r="E527" s="65" t="str">
        <x:v>中文名待确认（Agropecuario）</x:v>
      </x:c>
      <x:c r="F527" s="65" t="str">
        <x:v>无可靠让球盘/只观察｜现有可审计资料不足以形成可靠让球倾向</x:v>
      </x:c>
      <x:c r="G527" s="65" t="str">
        <x:v>无可靠大小球盘/只观察｜未取得可交叉核验的总进球主盘与水位，无可靠大小球倾向</x:v>
      </x:c>
      <x:c r="H527" s="65" t="str">
        <x:v>待确认首发、双方近5场/主客拆分与可靠亚洲双盘；任一市场欧赔&lt;1.80/港水&lt;0.80不进；盘口未核验前不进、不加仓</x:v>
      </x:c>
      <x:c r="I527" s="66" t="n">
        <x:v>46220.82152777778</x:v>
      </x:c>
      <x:c r="J527" s="65" t="str">
        <x:v>需复核</x:v>
      </x:c>
      <x:c r="K527" s="65"/>
      <x:c r="L527" s="65"/>
      <x:c r="M527" s="65"/>
      <x:c r="N527" s="67"/>
      <x:c r="O527" s="67"/>
      <x:c r="P527" s="67" t="str">
        <x:f>IF(COUNT(N527:O527)=0,"",SUM(N527:O527))</x:f>
      </x:c>
      <x:c r="Q527" s="65" t="str">
        <x:v>赛程/状态来源｜https://www.365scores.com/football/tomorrows-matches；https://www.livescore.mobi/football/argentina/primera-nacional/nueva-chicago-vs-agropecuario/1713024/；https://global.espn.com/football/scoreboard/_/date/20260718；365Scores赛事ID 4643964；查询时间：2026-07-17 19:43（北京时间）</x:v>
      </x:c>
      <x:c r="R52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8" ht="38" customHeight="1">
      <x:c r="A528" s="65" t="str">
        <x:f>IF(B528="","",TEXT(B528,"yyyy-mm-dd")&amp;"|"&amp;D528&amp;"|"&amp;E528)</x:f>
        <x:v>2026-07-18|中文名待确认（Espuce (W)）|中文名待确认（Macara (W)）</x:v>
      </x:c>
      <x:c r="B528" s="66" t="n">
        <x:v>46221.208333333336</x:v>
      </x:c>
      <x:c r="C528" s="65" t="str">
        <x:v>女子超级联赛（国家待确认）</x:v>
      </x:c>
      <x:c r="D528" s="65" t="str">
        <x:v>中文名待确认（Espuce (W)）</x:v>
      </x:c>
      <x:c r="E528" s="65" t="str">
        <x:v>中文名待确认（Macara (W)）</x:v>
      </x:c>
      <x:c r="F528" s="65" t="str">
        <x:v>无可靠让球盘/只观察｜现有可审计资料不足以形成可靠让球倾向</x:v>
      </x:c>
      <x:c r="G528" s="65" t="str">
        <x:v>无可靠大小球盘/只观察｜未取得可交叉核验的总进球主盘与水位，无可靠大小球倾向</x:v>
      </x:c>
      <x:c r="H528" s="65" t="str">
        <x:v>待确认首发、双方近5场/主客拆分与可靠亚洲双盘；任一市场欧赔&lt;1.80/港水&lt;0.80不进；盘口未核验前不进、不加仓</x:v>
      </x:c>
      <x:c r="I528" s="66" t="n">
        <x:v>46220.82152777778</x:v>
      </x:c>
      <x:c r="J528" s="65" t="str">
        <x:v>需复核</x:v>
      </x:c>
      <x:c r="K528" s="65"/>
      <x:c r="L528" s="65"/>
      <x:c r="M528" s="65"/>
      <x:c r="N528" s="67"/>
      <x:c r="O528" s="67"/>
      <x:c r="P528" s="67" t="str">
        <x:f>IF(COUNT(N528:O528)=0,"",SUM(N528:O528))</x:f>
      </x:c>
      <x:c r="Q528" s="65" t="str">
        <x:v>赛程/状态来源｜https://www.365scores.com/football/tomorrows-matches；365Scores赛事ID 4696139；查询时间：2026-07-17 19:43（北京时间）</x:v>
      </x:c>
      <x:c r="R528" s="65" t="str">
        <x:v>证据卡：女子赛事，公开阵容和低级别样本完整度通常低于主流男子联赛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29" ht="38" customHeight="1">
      <x:c r="A529" s="65" t="str">
        <x:f>IF(B529="","",TEXT(B529,"yyyy-mm-dd")&amp;"|"&amp;D529&amp;"|"&amp;E529)</x:f>
        <x:v>2026-07-18|中文名待确认（Diriangen U19）|中文名待确认（FC San Marcos U19）</x:v>
      </x:c>
      <x:c r="B529" s="66" t="n">
        <x:v>46221.208333333336</x:v>
      </x:c>
      <x:c r="C529" s="65" t="str">
        <x:v>青年一级联赛（Apertura，国家待确认）</x:v>
      </x:c>
      <x:c r="D529" s="65" t="str">
        <x:v>中文名待确认（Diriangen U19）</x:v>
      </x:c>
      <x:c r="E529" s="65" t="str">
        <x:v>中文名待确认（FC San Marcos U19）</x:v>
      </x:c>
      <x:c r="F529" s="65" t="str">
        <x:v>无可靠让球盘/只观察｜现有可审计资料不足以形成可靠让球倾向</x:v>
      </x:c>
      <x:c r="G529" s="65" t="str">
        <x:v>无可靠大小球盘/只观察｜未取得可交叉核验的总进球主盘与水位，无可靠大小球倾向</x:v>
      </x:c>
      <x:c r="H529" s="65" t="str">
        <x:v>待确认首发、双方近5场/主客拆分与可靠亚洲双盘；任一市场欧赔&lt;1.80/港水&lt;0.80不进；盘口未核验前不进、不加仓</x:v>
      </x:c>
      <x:c r="I529" s="66" t="n">
        <x:v>46220.82152777778</x:v>
      </x:c>
      <x:c r="J529" s="65" t="str">
        <x:v>需复核</x:v>
      </x:c>
      <x:c r="K529" s="65"/>
      <x:c r="L529" s="65"/>
      <x:c r="M529" s="65"/>
      <x:c r="N529" s="67"/>
      <x:c r="O529" s="67"/>
      <x:c r="P529" s="67" t="str">
        <x:f>IF(COUNT(N529:O529)=0,"",SUM(N529:O529))</x:f>
      </x:c>
      <x:c r="Q529" s="65" t="str">
        <x:v>赛程/状态来源｜https://www.365scores.com/football/tomorrows-matches；365Scores赛事ID 4763798；查询时间：2026-07-17 19:43（北京时间）</x:v>
      </x:c>
      <x:c r="R529" s="65" t="str">
        <x:v>证据卡：青年赛事，阵容变化和样本波动高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0" ht="38" customHeight="1">
      <x:c r="A530" s="65" t="str">
        <x:f>IF(B530="","",TEXT(B530,"yyyy-mm-dd")&amp;"|"&amp;D530&amp;"|"&amp;E530)</x:f>
        <x:v>2026-07-18|中文名待确认（Colorado Storm）|中文名待确认（Snohomish United）</x:v>
      </x:c>
      <x:c r="B530" s="66" t="n">
        <x:v>46221.208333333336</x:v>
      </x:c>
      <x:c r="C530" s="65" t="str">
        <x:v>美国USL二级联赛季后赛</x:v>
      </x:c>
      <x:c r="D530" s="65" t="str">
        <x:v>中文名待确认（Colorado Storm）</x:v>
      </x:c>
      <x:c r="E530" s="65" t="str">
        <x:v>中文名待确认（Snohomish United）</x:v>
      </x:c>
      <x:c r="F530" s="65" t="str">
        <x:v>无可靠让球盘/只观察｜现有可审计资料不足以形成可靠让球倾向</x:v>
      </x:c>
      <x:c r="G530" s="65" t="str">
        <x:v>无可靠大小球盘/只观察｜未取得可交叉核验的总进球主盘与水位，无可靠大小球倾向</x:v>
      </x:c>
      <x:c r="H530" s="65" t="str">
        <x:v>待确认首发、双方近5场/主客拆分与可靠亚洲双盘；任一市场欧赔&lt;1.80/港水&lt;0.80不进；盘口未核验前不进、不加仓</x:v>
      </x:c>
      <x:c r="I530" s="66" t="n">
        <x:v>46220.82152777778</x:v>
      </x:c>
      <x:c r="J530" s="65" t="str">
        <x:v>需复核</x:v>
      </x:c>
      <x:c r="K530" s="65"/>
      <x:c r="L530" s="65"/>
      <x:c r="M530" s="65"/>
      <x:c r="N530" s="67"/>
      <x:c r="O530" s="67"/>
      <x:c r="P530" s="67" t="str">
        <x:f>IF(COUNT(N530:O530)=0,"",SUM(N530:O530))</x:f>
      </x:c>
      <x:c r="Q530" s="65" t="str">
        <x:v>赛程/状态来源｜https://www.livescore.mobi/football/usa/usl-league-two-play-off/colorado-storm-vs-snohomish-united/1832390/；https://www.uslleaguetwo.com/playoffs；365Scores赛事ID —；查询时间：2026-07-17 19:43（北京时间）</x:v>
      </x:c>
      <x:c r="R530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1" ht="38" customHeight="1">
      <x:c r="A531" s="65" t="str">
        <x:f>IF(B531="","",TEXT(B531,"yyyy-mm-dd")&amp;"|"&amp;D531&amp;"|"&amp;E531)</x:f>
        <x:v>2026-07-18|水晶竞技（Sporting Cristal）|中文名待确认（Deportivo Garcilaso）</x:v>
      </x:c>
      <x:c r="B531" s="66" t="n">
        <x:v>46221.177083333336</x:v>
      </x:c>
      <x:c r="C531" s="65" t="str">
        <x:v>秘鲁甲级联赛（Clausura）</x:v>
      </x:c>
      <x:c r="D531" s="65" t="str">
        <x:v>水晶竞技（Sporting Cristal）</x:v>
      </x:c>
      <x:c r="E531" s="65" t="str">
        <x:v>中文名待确认（Deportivo Garcilaso）</x:v>
      </x:c>
      <x:c r="F531" s="65" t="str">
        <x:v>无可靠让球盘/只观察｜胜负价格仅弱倾向主队侧，不换算让球盘口</x:v>
      </x:c>
      <x:c r="G531" s="65" t="str">
        <x:v>无可靠大小球盘/只观察｜未取得可交叉核验的总进球主盘与水位，无可靠大小球倾向</x:v>
      </x:c>
      <x:c r="H531" s="65" t="str">
        <x:v>待确认首发、双方近5场/主客拆分与可靠亚洲双盘；任一市场欧赔&lt;1.80/港水&lt;0.80不进；盘口未核验前不进、不加仓</x:v>
      </x:c>
      <x:c r="I531" s="66" t="n">
        <x:v>46220.82152777778</x:v>
      </x:c>
      <x:c r="J531" s="65" t="str">
        <x:v>需复核</x:v>
      </x:c>
      <x:c r="K531" s="65"/>
      <x:c r="L531" s="65"/>
      <x:c r="M531" s="65"/>
      <x:c r="N531" s="67"/>
      <x:c r="O531" s="67"/>
      <x:c r="P531" s="67" t="str">
        <x:f>IF(COUNT(N531:O531)=0,"",SUM(N531:O531))</x:f>
      </x:c>
      <x:c r="Q531" s="65" t="str">
        <x:v>赛程/状态来源｜https://www.365scores.com/football/tomorrows-matches；https://www.livescore.mobi/football/peru/primera-division-clausura/sporting-cristal-vs-deportivo-garcilaso/1806562/；https://global.espn.com/football/scoreboard/_/date/20260718；https://tipsterarea.com/match/sporting-cristal-deportivo-garcilaso-liga-1-peru-935452；365Scores赛事ID 4729730；查询时间：2026-07-17 19:43（北京时间）</x:v>
      </x:c>
      <x:c r="R53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1.37/4.46/7.36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2" ht="38" customHeight="1">
      <x:c r="A532" s="65" t="str">
        <x:f>IF(B532="","",TEXT(B532,"yyyy-mm-dd")&amp;"|"&amp;D532&amp;"|"&amp;E532)</x:f>
        <x:v>2026-07-18|中文名待确认（Steel City）|中文名待确认（Northern Indiana FC）</x:v>
      </x:c>
      <x:c r="B532" s="66" t="n">
        <x:v>46221.166666666664</x:v>
      </x:c>
      <x:c r="C532" s="65" t="str">
        <x:v>美国USL二级联赛季后赛</x:v>
      </x:c>
      <x:c r="D532" s="65" t="str">
        <x:v>中文名待确认（Steel City）</x:v>
      </x:c>
      <x:c r="E532" s="65" t="str">
        <x:v>中文名待确认（Northern Indiana FC）</x:v>
      </x:c>
      <x:c r="F532" s="65" t="str">
        <x:v>无可靠让球盘/只观察｜现有可审计资料不足以形成可靠让球倾向</x:v>
      </x:c>
      <x:c r="G532" s="65" t="str">
        <x:v>无可靠大小球盘/只观察｜未取得可交叉核验的总进球主盘与水位，无可靠大小球倾向</x:v>
      </x:c>
      <x:c r="H532" s="65" t="str">
        <x:v>待确认首发、双方近5场/主客拆分与可靠亚洲双盘；任一市场欧赔&lt;1.80/港水&lt;0.80不进；盘口未核验前不进、不加仓</x:v>
      </x:c>
      <x:c r="I532" s="66" t="n">
        <x:v>46220.82152777778</x:v>
      </x:c>
      <x:c r="J532" s="65" t="str">
        <x:v>需复核</x:v>
      </x:c>
      <x:c r="K532" s="65"/>
      <x:c r="L532" s="65"/>
      <x:c r="M532" s="65"/>
      <x:c r="N532" s="67"/>
      <x:c r="O532" s="67"/>
      <x:c r="P532" s="67" t="str">
        <x:f>IF(COUNT(N532:O532)=0,"",SUM(N532:O532))</x:f>
      </x:c>
      <x:c r="Q532" s="65" t="str">
        <x:v>赛程/状态来源｜https://www.livescore.mobi/football/usa/usl-league-two-play-off/steel-city-vs-northern-indiana-fc/1832392/；https://www.uslleaguetwo.com/playoffs；365Scores赛事ID —；查询时间：2026-07-17 19:43（北京时间）</x:v>
      </x:c>
      <x:c r="R532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3" ht="38" customHeight="1">
      <x:c r="A533" s="65" t="str">
        <x:f>IF(B533="","",TEXT(B533,"yyyy-mm-dd")&amp;"|"&amp;D533&amp;"|"&amp;E533)</x:f>
        <x:v>2026-07-18|中文名待确认（Ocean City Nor'easters）|中文名待确认（FC Motown II）</x:v>
      </x:c>
      <x:c r="B533" s="66" t="n">
        <x:v>46221.166666666664</x:v>
      </x:c>
      <x:c r="C533" s="65" t="str">
        <x:v>美国USL二级联赛季后赛</x:v>
      </x:c>
      <x:c r="D533" s="65" t="str">
        <x:v>中文名待确认（Ocean City Nor'easters）</x:v>
      </x:c>
      <x:c r="E533" s="65" t="str">
        <x:v>中文名待确认（FC Motown II）</x:v>
      </x:c>
      <x:c r="F533" s="65" t="str">
        <x:v>无可靠让球盘/只观察｜现有可审计资料不足以形成可靠让球倾向</x:v>
      </x:c>
      <x:c r="G533" s="65" t="str">
        <x:v>无可靠大小球盘/只观察｜未取得可交叉核验的总进球主盘与水位，无可靠大小球倾向</x:v>
      </x:c>
      <x:c r="H533" s="65" t="str">
        <x:v>待确认首发、双方近5场/主客拆分与可靠亚洲双盘；任一市场欧赔&lt;1.80/港水&lt;0.80不进；盘口未核验前不进、不加仓</x:v>
      </x:c>
      <x:c r="I533" s="66" t="n">
        <x:v>46220.82152777778</x:v>
      </x:c>
      <x:c r="J533" s="65" t="str">
        <x:v>需复核</x:v>
      </x:c>
      <x:c r="K533" s="65"/>
      <x:c r="L533" s="65"/>
      <x:c r="M533" s="65"/>
      <x:c r="N533" s="67"/>
      <x:c r="O533" s="67"/>
      <x:c r="P533" s="67" t="str">
        <x:f>IF(COUNT(N533:O533)=0,"",SUM(N533:O533))</x:f>
      </x:c>
      <x:c r="Q533" s="65" t="str">
        <x:v>赛程/状态来源｜https://www.livescore.mobi/football/usa/usl-league-two-play-off/ocean-city-noreasters-vs-fc-motown-ii/1834958/；https://www.uslleaguetwo.com/playoffs；365Scores赛事ID —；查询时间：2026-07-17 19:43（北京时间）</x:v>
      </x:c>
      <x:c r="R533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4" ht="38" customHeight="1">
      <x:c r="A534" s="65" t="str">
        <x:f>IF(B534="","",TEXT(B534,"yyyy-mm-dd")&amp;"|"&amp;D534&amp;"|"&amp;E534)</x:f>
        <x:v>2026-07-18|中文名待确认（Hviti Riddarinn）|中文名待确认（Vikingur Olafsvik）</x:v>
      </x:c>
      <x:c r="B534" s="66" t="n">
        <x:v>46221.166666666664</x:v>
      </x:c>
      <x:c r="C534" s="65" t="str">
        <x:v>冰岛乙级联赛</x:v>
      </x:c>
      <x:c r="D534" s="65" t="str">
        <x:v>中文名待确认（Hviti Riddarinn）</x:v>
      </x:c>
      <x:c r="E534" s="65" t="str">
        <x:v>中文名待确认（Vikingur Olafsvik）</x:v>
      </x:c>
      <x:c r="F534" s="65" t="str">
        <x:v>无可靠让球盘/只观察｜现有可审计资料不足以形成可靠让球倾向</x:v>
      </x:c>
      <x:c r="G534" s="65" t="str">
        <x:v>无可靠大小球盘/只观察｜未取得可交叉核验的总进球主盘与水位，无可靠大小球倾向</x:v>
      </x:c>
      <x:c r="H534" s="65" t="str">
        <x:v>待确认首发、双方近5场/主客拆分与可靠亚洲双盘；任一市场欧赔&lt;1.80/港水&lt;0.80不进；盘口未核验前不进、不加仓</x:v>
      </x:c>
      <x:c r="I534" s="66" t="n">
        <x:v>46220.82152777778</x:v>
      </x:c>
      <x:c r="J534" s="65" t="str">
        <x:v>需复核</x:v>
      </x:c>
      <x:c r="K534" s="65"/>
      <x:c r="L534" s="65"/>
      <x:c r="M534" s="65"/>
      <x:c r="N534" s="67"/>
      <x:c r="O534" s="67"/>
      <x:c r="P534" s="67" t="str">
        <x:f>IF(COUNT(N534:O534)=0,"",SUM(N534:O534))</x:f>
      </x:c>
      <x:c r="Q534" s="65" t="str">
        <x:v>赛程/状态来源｜https://www.livescore.mobi/football/iceland/2-deild/hviti-riddarinn-vs-vikingur-olafsvik/1751005/；365Scores赛事ID —；查询时间：2026-07-17 19:43（北京时间）</x:v>
      </x:c>
      <x:c r="R53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5" ht="38" customHeight="1">
      <x:c r="A535" s="65" t="str">
        <x:f>IF(B535="","",TEXT(B535,"yyyy-mm-dd")&amp;"|"&amp;D535&amp;"|"&amp;E535)</x:f>
        <x:v>2026-07-18|中文名待确认（Cesar Vallejo Reserve）|中文名待确认（Deportivo Lute）</x:v>
      </x:c>
      <x:c r="B535" s="66" t="n">
        <x:v>46221.166666666664</x:v>
      </x:c>
      <x:c r="C535" s="65" t="str">
        <x:v>三级联赛（国家待确认）</x:v>
      </x:c>
      <x:c r="D535" s="65" t="str">
        <x:v>中文名待确认（Cesar Vallejo Reserve）</x:v>
      </x:c>
      <x:c r="E535" s="65" t="str">
        <x:v>中文名待确认（Deportivo Lute）</x:v>
      </x:c>
      <x:c r="F535" s="65" t="str">
        <x:v>无可靠让球盘/只观察｜现有可审计资料不足以形成可靠让球倾向</x:v>
      </x:c>
      <x:c r="G535" s="65" t="str">
        <x:v>无可靠大小球盘/只观察｜未取得可交叉核验的总进球主盘与水位，无可靠大小球倾向</x:v>
      </x:c>
      <x:c r="H535" s="65" t="str">
        <x:v>待确认首发、双方近5场/主客拆分与可靠亚洲双盘；任一市场欧赔&lt;1.80/港水&lt;0.80不进；盘口未核验前不进、不加仓</x:v>
      </x:c>
      <x:c r="I535" s="66" t="n">
        <x:v>46220.82152777778</x:v>
      </x:c>
      <x:c r="J535" s="65" t="str">
        <x:v>需复核</x:v>
      </x:c>
      <x:c r="K535" s="65"/>
      <x:c r="L535" s="65"/>
      <x:c r="M535" s="65"/>
      <x:c r="N535" s="67"/>
      <x:c r="O535" s="67"/>
      <x:c r="P535" s="67" t="str">
        <x:f>IF(COUNT(N535:O535)=0,"",SUM(N535:O535))</x:f>
      </x:c>
      <x:c r="Q535" s="65" t="str">
        <x:v>赛程/状态来源｜https://www.365scores.com/football/tomorrows-matches；365Scores赛事ID 4773166；查询时间：2026-07-17 19:43（北京时间）</x:v>
      </x:c>
      <x:c r="R53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6" ht="38" customHeight="1">
      <x:c r="A536" s="65" t="str">
        <x:f>IF(B536="","",TEXT(B536,"yyyy-mm-dd")&amp;"|"&amp;D536&amp;"|"&amp;E536)</x:f>
        <x:v>2026-07-18|中文名待确认（KFG Gardabaer）|中文名待确认（Kari）</x:v>
      </x:c>
      <x:c r="B536" s="66" t="n">
        <x:v>46221.135416666664</x:v>
      </x:c>
      <x:c r="C536" s="65" t="str">
        <x:v>冰岛乙级联赛</x:v>
      </x:c>
      <x:c r="D536" s="65" t="str">
        <x:v>中文名待确认（KFG Gardabaer）</x:v>
      </x:c>
      <x:c r="E536" s="65" t="str">
        <x:v>中文名待确认（Kari）</x:v>
      </x:c>
      <x:c r="F536" s="65" t="str">
        <x:v>无可靠让球盘/只观察｜现有可审计资料不足以形成可靠让球倾向</x:v>
      </x:c>
      <x:c r="G536" s="65" t="str">
        <x:v>无可靠大小球盘/只观察｜未取得可交叉核验的总进球主盘与水位，无可靠大小球倾向</x:v>
      </x:c>
      <x:c r="H536" s="65" t="str">
        <x:v>待确认首发、双方近5场/主客拆分与可靠亚洲双盘；任一市场欧赔&lt;1.80/港水&lt;0.80不进；盘口未核验前不进、不加仓</x:v>
      </x:c>
      <x:c r="I536" s="66" t="n">
        <x:v>46220.82152777778</x:v>
      </x:c>
      <x:c r="J536" s="65" t="str">
        <x:v>需复核</x:v>
      </x:c>
      <x:c r="K536" s="65"/>
      <x:c r="L536" s="65"/>
      <x:c r="M536" s="65"/>
      <x:c r="N536" s="67"/>
      <x:c r="O536" s="67"/>
      <x:c r="P536" s="67" t="str">
        <x:f>IF(COUNT(N536:O536)=0,"",SUM(N536:O536))</x:f>
      </x:c>
      <x:c r="Q536" s="65" t="str">
        <x:v>赛程/状态来源｜https://www.livescore.mobi/football/iceland/2-deild/kfg-gardabaer-vs-kari/1751010/；365Scores赛事ID —；查询时间：2026-07-17 19:43（北京时间）</x:v>
      </x:c>
      <x:c r="R53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7" ht="38" customHeight="1">
      <x:c r="A537" s="65" t="str">
        <x:f>IF(B537="","",TEXT(B537,"yyyy-mm-dd")&amp;"|"&amp;D537&amp;"|"&amp;E537)</x:f>
        <x:v>2026-07-18|中文名待确认（Haukar）|中文名待确认（Throttur Vogum）</x:v>
      </x:c>
      <x:c r="B537" s="66" t="n">
        <x:v>46221.135416666664</x:v>
      </x:c>
      <x:c r="C537" s="65" t="str">
        <x:v>冰岛乙级联赛</x:v>
      </x:c>
      <x:c r="D537" s="65" t="str">
        <x:v>中文名待确认（Haukar）</x:v>
      </x:c>
      <x:c r="E537" s="65" t="str">
        <x:v>中文名待确认（Throttur Vogum）</x:v>
      </x:c>
      <x:c r="F537" s="65" t="str">
        <x:v>无可靠让球盘/只观察｜现有可审计资料不足以形成可靠让球倾向</x:v>
      </x:c>
      <x:c r="G537" s="65" t="str">
        <x:v>无可靠大小球盘/只观察｜未取得可交叉核验的总进球主盘与水位，无可靠大小球倾向</x:v>
      </x:c>
      <x:c r="H537" s="65" t="str">
        <x:v>待确认首发、双方近5场/主客拆分与可靠亚洲双盘；任一市场欧赔&lt;1.80/港水&lt;0.80不进；盘口未核验前不进、不加仓</x:v>
      </x:c>
      <x:c r="I537" s="66" t="n">
        <x:v>46220.82152777778</x:v>
      </x:c>
      <x:c r="J537" s="65" t="str">
        <x:v>需复核</x:v>
      </x:c>
      <x:c r="K537" s="65"/>
      <x:c r="L537" s="65"/>
      <x:c r="M537" s="65"/>
      <x:c r="N537" s="67"/>
      <x:c r="O537" s="67"/>
      <x:c r="P537" s="67" t="str">
        <x:f>IF(COUNT(N537:O537)=0,"",SUM(N537:O537))</x:f>
      </x:c>
      <x:c r="Q537" s="65" t="str">
        <x:v>赛程/状态来源｜https://www.livescore.mobi/football/iceland/2-deild/haukar-vs-throttur-vogum/1751003/；365Scores赛事ID —；查询时间：2026-07-17 19:43（北京时间）</x:v>
      </x:c>
      <x:c r="R53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8" ht="38" customHeight="1">
      <x:c r="A538" s="65" t="str">
        <x:f>IF(B538="","",TEXT(B538,"yyyy-mm-dd")&amp;"|"&amp;D538&amp;"|"&amp;E538)</x:f>
        <x:v>2026-07-18|中文名待确认（Fylkir）|中文名待确认（Njardvik）</x:v>
      </x:c>
      <x:c r="B538" s="66" t="n">
        <x:v>46221.135416666664</x:v>
      </x:c>
      <x:c r="C538" s="65" t="str">
        <x:v>冰岛甲级联赛</x:v>
      </x:c>
      <x:c r="D538" s="65" t="str">
        <x:v>中文名待确认（Fylkir）</x:v>
      </x:c>
      <x:c r="E538" s="65" t="str">
        <x:v>中文名待确认（Njardvik）</x:v>
      </x:c>
      <x:c r="F538" s="65" t="str">
        <x:v>无可靠让球盘/只观察｜现有可审计资料不足以形成可靠让球倾向</x:v>
      </x:c>
      <x:c r="G538" s="65" t="str">
        <x:v>无可靠大小球盘/只观察｜未取得可交叉核验的总进球主盘与水位，无可靠大小球倾向</x:v>
      </x:c>
      <x:c r="H538" s="65" t="str">
        <x:v>待确认首发、双方近5场/主客拆分与可靠亚洲双盘；任一市场欧赔&lt;1.80/港水&lt;0.80不进；盘口未核验前不进、不加仓</x:v>
      </x:c>
      <x:c r="I538" s="66" t="n">
        <x:v>46220.82152777778</x:v>
      </x:c>
      <x:c r="J538" s="65" t="str">
        <x:v>需复核</x:v>
      </x:c>
      <x:c r="K538" s="65"/>
      <x:c r="L538" s="65"/>
      <x:c r="M538" s="65"/>
      <x:c r="N538" s="67"/>
      <x:c r="O538" s="67"/>
      <x:c r="P538" s="67" t="str">
        <x:f>IF(COUNT(N538:O538)=0,"",SUM(N538:O538))</x:f>
      </x:c>
      <x:c r="Q538" s="65" t="str">
        <x:v>赛程/状态来源｜https://www.365scores.com/football/tomorrows-matches；https://www.livescore.mobi/football/iceland/1-deild/fylkir-vs-njardvik/1750757/；365Scores赛事ID 4662017；查询时间：2026-07-17 19:43（北京时间）</x:v>
      </x:c>
      <x:c r="R53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39" ht="38" customHeight="1">
      <x:c r="A539" s="65" t="str">
        <x:f>IF(B539="","",TEXT(B539,"yyyy-mm-dd")&amp;"|"&amp;D539&amp;"|"&amp;E539)</x:f>
        <x:v>2026-07-18|中文名待确认（Yamoussoukro FC）|中文名待确认（Marseille）</x:v>
      </x:c>
      <x:c r="B539" s="66" t="n">
        <x:v>46221.125</x:v>
      </x:c>
      <x:c r="C539" s="65" t="str">
        <x:v>国际俱乐部友谊赛</x:v>
      </x:c>
      <x:c r="D539" s="65" t="str">
        <x:v>中文名待确认（Yamoussoukro FC）</x:v>
      </x:c>
      <x:c r="E539" s="65" t="str">
        <x:v>中文名待确认（Marseille）</x:v>
      </x:c>
      <x:c r="F539" s="65" t="str">
        <x:v>无可靠让球盘/只观察｜现有可审计资料不足以形成可靠让球倾向</x:v>
      </x:c>
      <x:c r="G539" s="65" t="str">
        <x:v>无可靠大小球盘/只观察｜未取得可交叉核验的总进球主盘与水位，无可靠大小球倾向</x:v>
      </x:c>
      <x:c r="H539" s="65" t="str">
        <x:v>待确认首发、双方近5场/主客拆分与可靠亚洲双盘；任一市场欧赔&lt;1.80/港水&lt;0.80不进；盘口未核验前不进、不加仓</x:v>
      </x:c>
      <x:c r="I539" s="66" t="n">
        <x:v>46220.82152777778</x:v>
      </x:c>
      <x:c r="J539" s="65" t="str">
        <x:v>需复核</x:v>
      </x:c>
      <x:c r="K539" s="65"/>
      <x:c r="L539" s="65"/>
      <x:c r="M539" s="65"/>
      <x:c r="N539" s="67"/>
      <x:c r="O539" s="67"/>
      <x:c r="P539" s="67" t="str">
        <x:f>IF(COUNT(N539:O539)=0,"",SUM(N539:O539))</x:f>
      </x:c>
      <x:c r="Q539" s="65" t="str">
        <x:v>赛程/状态来源｜https://www.livescore.mobi/football/club-friendlies/club-friendlies-2026/yamoussoukro-fc-vs-marseille/1836518/；365Scores赛事ID —；查询时间：2026-07-17 19:43（北京时间）</x:v>
      </x:c>
      <x:c r="R53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0" ht="38" customHeight="1">
      <x:c r="A540" s="65" t="str">
        <x:f>IF(B540="","",TEXT(B540,"yyyy-mm-dd")&amp;"|"&amp;D540&amp;"|"&amp;E540)</x:f>
        <x:v>2026-07-18|中文名待确认（Mitre SdE）|中文名待确认（Racing Cordoba）</x:v>
      </x:c>
      <x:c r="B540" s="66" t="n">
        <x:v>46221.125</x:v>
      </x:c>
      <x:c r="C540" s="65" t="str">
        <x:v>阿根廷全国联赛</x:v>
      </x:c>
      <x:c r="D540" s="65" t="str">
        <x:v>中文名待确认（Mitre SdE）</x:v>
      </x:c>
      <x:c r="E540" s="65" t="str">
        <x:v>中文名待确认（Racing Cordoba）</x:v>
      </x:c>
      <x:c r="F540" s="65" t="str">
        <x:v>无可靠让球盘/只观察｜现有可审计资料不足以形成可靠让球倾向</x:v>
      </x:c>
      <x:c r="G540" s="65" t="str">
        <x:v>无可靠大小球盘/只观察｜未取得可交叉核验的总进球主盘与水位，无可靠大小球倾向</x:v>
      </x:c>
      <x:c r="H540" s="65" t="str">
        <x:v>待确认首发、双方近5场/主客拆分与可靠亚洲双盘；任一市场欧赔&lt;1.80/港水&lt;0.80不进；盘口未核验前不进、不加仓</x:v>
      </x:c>
      <x:c r="I540" s="66" t="n">
        <x:v>46220.82152777778</x:v>
      </x:c>
      <x:c r="J540" s="65" t="str">
        <x:v>需复核</x:v>
      </x:c>
      <x:c r="K540" s="65"/>
      <x:c r="L540" s="65"/>
      <x:c r="M540" s="65"/>
      <x:c r="N540" s="67"/>
      <x:c r="O540" s="67"/>
      <x:c r="P540" s="67" t="str">
        <x:f>IF(COUNT(N540:O540)=0,"",SUM(N540:O540))</x:f>
      </x:c>
      <x:c r="Q540" s="65" t="str">
        <x:v>赛程/状态来源｜https://www.365scores.com/football/tomorrows-matches；365Scores赛事ID 4643948；查询时间：2026-07-17 19:43（北京时间）</x:v>
      </x:c>
      <x:c r="R54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1" ht="38" customHeight="1">
      <x:c r="A541" s="65" t="str">
        <x:f>IF(B541="","",TEXT(B541,"yyyy-mm-dd")&amp;"|"&amp;D541&amp;"|"&amp;E541)</x:f>
        <x:v>2026-07-18|中文名待确认（Mitre (Santiago del Estero)）|中文名待确认（Racing (Córdoba)）</x:v>
      </x:c>
      <x:c r="B541" s="66" t="n">
        <x:v>46221.125</x:v>
      </x:c>
      <x:c r="C541" s="65" t="str">
        <x:v>乌兹别克斯坦超级联赛</x:v>
      </x:c>
      <x:c r="D541" s="65" t="str">
        <x:v>中文名待确认（Mitre (Santiago del Estero)）</x:v>
      </x:c>
      <x:c r="E541" s="65" t="str">
        <x:v>中文名待确认（Racing (Córdoba)）</x:v>
      </x:c>
      <x:c r="F541" s="65" t="str">
        <x:v>无可靠让球盘/只观察｜现有可审计资料不足以形成可靠让球倾向</x:v>
      </x:c>
      <x:c r="G541" s="65" t="str">
        <x:v>无可靠大小球盘/只观察｜未取得可交叉核验的总进球主盘与水位，无可靠大小球倾向</x:v>
      </x:c>
      <x:c r="H541" s="65" t="str">
        <x:v>待确认首发、双方近5场/主客拆分与可靠亚洲双盘；任一市场欧赔&lt;1.80/港水&lt;0.80不进；盘口未核验前不进、不加仓</x:v>
      </x:c>
      <x:c r="I541" s="66" t="n">
        <x:v>46220.82152777778</x:v>
      </x:c>
      <x:c r="J541" s="65" t="str">
        <x:v>需复核</x:v>
      </x:c>
      <x:c r="K541" s="65"/>
      <x:c r="L541" s="65"/>
      <x:c r="M541" s="65"/>
      <x:c r="N541" s="67"/>
      <x:c r="O541" s="67"/>
      <x:c r="P541" s="67" t="str">
        <x:f>IF(COUNT(N541:O541)=0,"",SUM(N541:O541))</x:f>
      </x:c>
      <x:c r="Q541" s="65" t="str">
        <x:v>赛程/状态来源｜https://global.espn.com/football/scoreboard/_/date/20260718；365Scores赛事ID —；查询时间：2026-07-17 19:43（北京时间）</x:v>
      </x:c>
      <x:c r="R54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2" ht="38" customHeight="1">
      <x:c r="A542" s="65" t="str">
        <x:f>IF(B542="","",TEXT(B542,"yyyy-mm-dd")&amp;"|"&amp;D542&amp;"|"&amp;E542)</x:f>
        <x:v>2026-07-18|中文名待确认（Jeunesse Massira）|中文名待确认（Union Touarga Sport）</x:v>
      </x:c>
      <x:c r="B542" s="66" t="n">
        <x:v>46221.125</x:v>
      </x:c>
      <x:c r="C542" s="65" t="str">
        <x:v>摩洛哥甲级联赛资格赛</x:v>
      </x:c>
      <x:c r="D542" s="65" t="str">
        <x:v>中文名待确认（Jeunesse Massira）</x:v>
      </x:c>
      <x:c r="E542" s="65" t="str">
        <x:v>中文名待确认（Union Touarga Sport）</x:v>
      </x:c>
      <x:c r="F542" s="65" t="str">
        <x:v>无可靠让球盘/只观察｜现有可审计资料不足以形成可靠让球倾向</x:v>
      </x:c>
      <x:c r="G542" s="65" t="str">
        <x:v>无可靠大小球盘/只观察｜未取得可交叉核验的总进球主盘与水位，无可靠大小球倾向</x:v>
      </x:c>
      <x:c r="H542" s="65" t="str">
        <x:v>待确认首发、双方近5场/主客拆分与可靠亚洲双盘；任一市场欧赔&lt;1.80/港水&lt;0.80不进；盘口未核验前不进、不加仓</x:v>
      </x:c>
      <x:c r="I542" s="66" t="n">
        <x:v>46220.82152777778</x:v>
      </x:c>
      <x:c r="J542" s="65" t="str">
        <x:v>需复核</x:v>
      </x:c>
      <x:c r="K542" s="65"/>
      <x:c r="L542" s="65"/>
      <x:c r="M542" s="65"/>
      <x:c r="N542" s="67"/>
      <x:c r="O542" s="67"/>
      <x:c r="P542" s="67" t="str">
        <x:f>IF(COUNT(N542:O542)=0,"",SUM(N542:O542))</x:f>
      </x:c>
      <x:c r="Q542" s="65" t="str">
        <x:v>赛程/状态来源｜https://www.livescore.mobi/football/morocco/botola-pro-qualification/jeunesse-massira-vs-union-touarga-sport/1834398/；365Scores赛事ID —；查询时间：2026-07-17 19:43（北京时间）</x:v>
      </x:c>
      <x:c r="R54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3" ht="38" customHeight="1">
      <x:c r="A543" s="65" t="str">
        <x:f>IF(B543="","",TEXT(B543,"yyyy-mm-dd")&amp;"|"&amp;D543&amp;"|"&amp;E543)</x:f>
        <x:v>2026-07-18|中文名待确认（Club Atletico Mitre）|中文名待确认（Racing de Cordoba）</x:v>
      </x:c>
      <x:c r="B543" s="66" t="n">
        <x:v>46221.125</x:v>
      </x:c>
      <x:c r="C543" s="65" t="str">
        <x:v>阿根廷全国联赛</x:v>
      </x:c>
      <x:c r="D543" s="65" t="str">
        <x:v>中文名待确认（Club Atletico Mitre）</x:v>
      </x:c>
      <x:c r="E543" s="65" t="str">
        <x:v>中文名待确认（Racing de Cordoba）</x:v>
      </x:c>
      <x:c r="F543" s="65" t="str">
        <x:v>无可靠让球盘/只观察｜胜负价格仅弱倾向主队侧，不换算让球盘口</x:v>
      </x:c>
      <x:c r="G543" s="65" t="str">
        <x:v>无可靠大小球盘/只观察｜未取得可交叉核验的总进球主盘与水位，无可靠大小球倾向</x:v>
      </x:c>
      <x:c r="H543" s="65" t="str">
        <x:v>待确认首发、双方近5场/主客拆分与可靠亚洲双盘；任一市场欧赔&lt;1.80/港水&lt;0.80不进；盘口未核验前不进、不加仓</x:v>
      </x:c>
      <x:c r="I543" s="66" t="n">
        <x:v>46220.82152777778</x:v>
      </x:c>
      <x:c r="J543" s="65" t="str">
        <x:v>需复核</x:v>
      </x:c>
      <x:c r="K543" s="65"/>
      <x:c r="L543" s="65"/>
      <x:c r="M543" s="65"/>
      <x:c r="N543" s="67"/>
      <x:c r="O543" s="67"/>
      <x:c r="P543" s="67" t="str">
        <x:f>IF(COUNT(N543:O543)=0,"",SUM(N543:O543))</x:f>
      </x:c>
      <x:c r="Q543" s="65" t="str">
        <x:v>赛程/状态来源｜https://www.livescore.mobi/football/argentina/primera-nacional/club-atletico-mitre-vs-racing-de-cordoba/1713346/；https://tipsterarea.com/match/atletico-mitre-racing-de-cordoba-primera-nacional-argentina-935588；365Scores赛事ID —；查询时间：2026-07-17 19:43（北京时间）</x:v>
      </x:c>
      <x:c r="R54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2.34/2.71/3.34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4" ht="38" customHeight="1">
      <x:c r="A544" s="65" t="str">
        <x:f>IF(B544="","",TEXT(B544,"yyyy-mm-dd")&amp;"|"&amp;D544&amp;"|"&amp;E544)</x:f>
        <x:v>2026-07-18|中文名待确认（Waterford FC）|中文名待确认（Cobh Ramblers）</x:v>
      </x:c>
      <x:c r="B544" s="66" t="n">
        <x:v>46221.114583333336</x:v>
      </x:c>
      <x:c r="C544" s="65" t="str">
        <x:v>爱尔兰足协杯</x:v>
      </x:c>
      <x:c r="D544" s="65" t="str">
        <x:v>中文名待确认（Waterford FC）</x:v>
      </x:c>
      <x:c r="E544" s="65" t="str">
        <x:v>中文名待确认（Cobh Ramblers）</x:v>
      </x:c>
      <x:c r="F544" s="65" t="str">
        <x:v>无可靠让球盘/只观察｜胜负价格仅弱倾向主队侧，不换算让球盘口</x:v>
      </x:c>
      <x:c r="G544" s="65" t="str">
        <x:v>无可靠大小球盘/只观察｜未取得可交叉核验的总进球主盘与水位，无可靠大小球倾向</x:v>
      </x:c>
      <x:c r="H544" s="65" t="str">
        <x:v>待确认首发、双方近5场/主客拆分与可靠亚洲双盘；任一市场欧赔&lt;1.80/港水&lt;0.80不进；盘口未核验前不进、不加仓</x:v>
      </x:c>
      <x:c r="I544" s="66" t="n">
        <x:v>46220.82152777778</x:v>
      </x:c>
      <x:c r="J544" s="65" t="str">
        <x:v>需复核</x:v>
      </x:c>
      <x:c r="K544" s="65"/>
      <x:c r="L544" s="65"/>
      <x:c r="M544" s="65"/>
      <x:c r="N544" s="67"/>
      <x:c r="O544" s="67"/>
      <x:c r="P544" s="67" t="str">
        <x:f>IF(COUNT(N544:O544)=0,"",SUM(N544:O544))</x:f>
      </x:c>
      <x:c r="Q544" s="65" t="str">
        <x:v>赛程/状态来源｜https://www.365scores.com/football/tomorrows-matches；https://www.livescore.mobi/football/ireland/fai-cup/waterford-fc-vs-cobh-ramblers/1784343/；https://tipsterarea.com/match/waterford-cobh-ramblers-fai-cup-ireland-935449；365Scores赛事ID 4730903；查询时间：2026-07-17 19:43（北京时间）</x:v>
      </x:c>
      <x:c r="R544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1.46/4.13/5.37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5" ht="38" customHeight="1">
      <x:c r="A545" s="65" t="str">
        <x:f>IF(B545="","",TEXT(B545,"yyyy-mm-dd")&amp;"|"&amp;D545&amp;"|"&amp;E545)</x:f>
        <x:v>2026-07-18|中文名待确认（Treaty United）|中文名待确认（UC Dublin FC）</x:v>
      </x:c>
      <x:c r="B545" s="66" t="n">
        <x:v>46221.114583333336</x:v>
      </x:c>
      <x:c r="C545" s="65" t="str">
        <x:v>爱尔兰足协杯</x:v>
      </x:c>
      <x:c r="D545" s="65" t="str">
        <x:v>中文名待确认（Treaty United）</x:v>
      </x:c>
      <x:c r="E545" s="65" t="str">
        <x:v>中文名待确认（UC Dublin FC）</x:v>
      </x:c>
      <x:c r="F545" s="65" t="str">
        <x:v>无可靠让球盘/只观察｜胜负价格仅弱倾向客队侧，不换算让球盘口</x:v>
      </x:c>
      <x:c r="G545" s="65" t="str">
        <x:v>无可靠大小球盘/只观察｜未取得可交叉核验的总进球主盘与水位，无可靠大小球倾向</x:v>
      </x:c>
      <x:c r="H545" s="65" t="str">
        <x:v>待确认首发、双方近5场/主客拆分与可靠亚洲双盘；任一市场欧赔&lt;1.80/港水&lt;0.80不进；盘口未核验前不进、不加仓</x:v>
      </x:c>
      <x:c r="I545" s="66" t="n">
        <x:v>46220.82152777778</x:v>
      </x:c>
      <x:c r="J545" s="65" t="str">
        <x:v>需复核</x:v>
      </x:c>
      <x:c r="K545" s="65"/>
      <x:c r="L545" s="65"/>
      <x:c r="M545" s="65"/>
      <x:c r="N545" s="67"/>
      <x:c r="O545" s="67"/>
      <x:c r="P545" s="67" t="str">
        <x:f>IF(COUNT(N545:O545)=0,"",SUM(N545:O545))</x:f>
      </x:c>
      <x:c r="Q545" s="65" t="str">
        <x:v>赛程/状态来源｜https://www.365scores.com/football/tomorrows-matches；https://tipsterarea.com/match/treaty-united-uc-dublin-fai-cup-ireland-935448；365Scores赛事ID 4730900；查询时间：2026-07-17 19:43（北京时间）</x:v>
      </x:c>
      <x:c r="R545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3.01/3.32/2.06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6" ht="38" customHeight="1">
      <x:c r="A546" s="65" t="str">
        <x:f>IF(B546="","",TEXT(B546,"yyyy-mm-dd")&amp;"|"&amp;D546&amp;"|"&amp;E546)</x:f>
        <x:v>2026-07-18|中文名待确认（Treaty United）|中文名待确认（UCD）</x:v>
      </x:c>
      <x:c r="B546" s="66" t="n">
        <x:v>46221.114583333336</x:v>
      </x:c>
      <x:c r="C546" s="65" t="str">
        <x:v>爱尔兰足协杯</x:v>
      </x:c>
      <x:c r="D546" s="65" t="str">
        <x:v>中文名待确认（Treaty United）</x:v>
      </x:c>
      <x:c r="E546" s="65" t="str">
        <x:v>中文名待确认（UCD）</x:v>
      </x:c>
      <x:c r="F546" s="65" t="str">
        <x:v>无可靠让球盘/只观察｜现有可审计资料不足以形成可靠让球倾向</x:v>
      </x:c>
      <x:c r="G546" s="65" t="str">
        <x:v>无可靠大小球盘/只观察｜未取得可交叉核验的总进球主盘与水位，无可靠大小球倾向</x:v>
      </x:c>
      <x:c r="H546" s="65" t="str">
        <x:v>待确认首发、双方近5场/主客拆分与可靠亚洲双盘；任一市场欧赔&lt;1.80/港水&lt;0.80不进；盘口未核验前不进、不加仓</x:v>
      </x:c>
      <x:c r="I546" s="66" t="n">
        <x:v>46220.82152777778</x:v>
      </x:c>
      <x:c r="J546" s="65" t="str">
        <x:v>需复核</x:v>
      </x:c>
      <x:c r="K546" s="65"/>
      <x:c r="L546" s="65"/>
      <x:c r="M546" s="65"/>
      <x:c r="N546" s="67"/>
      <x:c r="O546" s="67"/>
      <x:c r="P546" s="67" t="str">
        <x:f>IF(COUNT(N546:O546)=0,"",SUM(N546:O546))</x:f>
      </x:c>
      <x:c r="Q546" s="65" t="str">
        <x:v>赛程/状态来源｜https://www.livescore.mobi/football/ireland/fai-cup/treaty-united-vs-ucd/1784353/；365Scores赛事ID —；查询时间：2026-07-17 19:43（北京时间）</x:v>
      </x:c>
      <x:c r="R546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7" ht="38" customHeight="1">
      <x:c r="A547" s="65" t="str">
        <x:f>IF(B547="","",TEXT(B547,"yyyy-mm-dd")&amp;"|"&amp;D547&amp;"|"&amp;E547)</x:f>
        <x:v>2026-07-18|中文名待确认（St. Patricks）|中文名待确认（Wexford Youths）</x:v>
      </x:c>
      <x:c r="B547" s="66" t="n">
        <x:v>46221.114583333336</x:v>
      </x:c>
      <x:c r="C547" s="65" t="str">
        <x:v>爱尔兰足协杯</x:v>
      </x:c>
      <x:c r="D547" s="65" t="str">
        <x:v>中文名待确认（St. Patricks）</x:v>
      </x:c>
      <x:c r="E547" s="65" t="str">
        <x:v>中文名待确认（Wexford Youths）</x:v>
      </x:c>
      <x:c r="F547" s="65" t="str">
        <x:v>无可靠让球盘/只观察｜现有可审计资料不足以形成可靠让球倾向</x:v>
      </x:c>
      <x:c r="G547" s="65" t="str">
        <x:v>无可靠大小球盘/只观察｜未取得可交叉核验的总进球主盘与水位，无可靠大小球倾向</x:v>
      </x:c>
      <x:c r="H547" s="65" t="str">
        <x:v>待确认首发、双方近5场/主客拆分与可靠亚洲双盘；任一市场欧赔&lt;1.80/港水&lt;0.80不进；盘口未核验前不进、不加仓</x:v>
      </x:c>
      <x:c r="I547" s="66" t="n">
        <x:v>46220.82152777778</x:v>
      </x:c>
      <x:c r="J547" s="65" t="str">
        <x:v>需复核</x:v>
      </x:c>
      <x:c r="K547" s="65"/>
      <x:c r="L547" s="65"/>
      <x:c r="M547" s="65"/>
      <x:c r="N547" s="67"/>
      <x:c r="O547" s="67"/>
      <x:c r="P547" s="67" t="str">
        <x:f>IF(COUNT(N547:O547)=0,"",SUM(N547:O547))</x:f>
      </x:c>
      <x:c r="Q547" s="65" t="str">
        <x:v>赛程/状态来源｜https://www.365scores.com/football/tomorrows-matches；https://www.livescore.mobi/football/ireland/fai-cup/st-patricks-athletic-vs-wexford-fc/1784342/；365Scores赛事ID 4730906；查询时间：2026-07-17 19:43（北京时间）</x:v>
      </x:c>
      <x:c r="R547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8" ht="38" customHeight="1">
      <x:c r="A548" s="65" t="str">
        <x:f>IF(B548="","",TEXT(B548,"yyyy-mm-dd")&amp;"|"&amp;D548&amp;"|"&amp;E548)</x:f>
        <x:v>2026-07-18|中文名待确认（St. Mochtas）|中文名待确认（Dundalk）</x:v>
      </x:c>
      <x:c r="B548" s="66" t="n">
        <x:v>46221.114583333336</x:v>
      </x:c>
      <x:c r="C548" s="65" t="str">
        <x:v>爱尔兰足协杯</x:v>
      </x:c>
      <x:c r="D548" s="65" t="str">
        <x:v>中文名待确认（St. Mochtas）</x:v>
      </x:c>
      <x:c r="E548" s="65" t="str">
        <x:v>中文名待确认（Dundalk）</x:v>
      </x:c>
      <x:c r="F548" s="65" t="str">
        <x:v>无可靠让球盘/只观察｜现有可审计资料不足以形成可靠让球倾向</x:v>
      </x:c>
      <x:c r="G548" s="65" t="str">
        <x:v>无可靠大小球盘/只观察｜未取得可交叉核验的总进球主盘与水位，无可靠大小球倾向</x:v>
      </x:c>
      <x:c r="H548" s="65" t="str">
        <x:v>待确认首发、双方近5场/主客拆分与可靠亚洲双盘；任一市场欧赔&lt;1.80/港水&lt;0.80不进；盘口未核验前不进、不加仓</x:v>
      </x:c>
      <x:c r="I548" s="66" t="n">
        <x:v>46220.82152777778</x:v>
      </x:c>
      <x:c r="J548" s="65" t="str">
        <x:v>需复核</x:v>
      </x:c>
      <x:c r="K548" s="65"/>
      <x:c r="L548" s="65"/>
      <x:c r="M548" s="65"/>
      <x:c r="N548" s="67"/>
      <x:c r="O548" s="67"/>
      <x:c r="P548" s="67" t="str">
        <x:f>IF(COUNT(N548:O548)=0,"",SUM(N548:O548))</x:f>
      </x:c>
      <x:c r="Q548" s="65" t="str">
        <x:v>赛程/状态来源｜https://www.365scores.com/football/tomorrows-matches；https://www.livescore.mobi/football/ireland/fai-cup/st-mochtas-vs-dundalk/1784347/；365Scores赛事ID 4730902；查询时间：2026-07-17 19:43（北京时间）</x:v>
      </x:c>
      <x:c r="R548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49" ht="38" customHeight="1">
      <x:c r="A549" s="65" t="str">
        <x:f>IF(B549="","",TEXT(B549,"yyyy-mm-dd")&amp;"|"&amp;D549&amp;"|"&amp;E549)</x:f>
        <x:v>2026-07-18|中文名待确认（Shamrock）|中文名待确认（Cork City）</x:v>
      </x:c>
      <x:c r="B549" s="66" t="n">
        <x:v>46221.114583333336</x:v>
      </x:c>
      <x:c r="C549" s="65" t="str">
        <x:v>爱尔兰足协杯</x:v>
      </x:c>
      <x:c r="D549" s="65" t="str">
        <x:v>中文名待确认（Shamrock）</x:v>
      </x:c>
      <x:c r="E549" s="65" t="str">
        <x:v>中文名待确认（Cork City）</x:v>
      </x:c>
      <x:c r="F549" s="65" t="str">
        <x:v>无可靠让球盘/只观察｜现有可审计资料不足以形成可靠让球倾向</x:v>
      </x:c>
      <x:c r="G549" s="65" t="str">
        <x:v>无可靠大小球盘/只观察｜未取得可交叉核验的总进球主盘与水位，无可靠大小球倾向</x:v>
      </x:c>
      <x:c r="H549" s="65" t="str">
        <x:v>待确认首发、双方近5场/主客拆分与可靠亚洲双盘；任一市场欧赔&lt;1.80/港水&lt;0.80不进；盘口未核验前不进、不加仓</x:v>
      </x:c>
      <x:c r="I549" s="66" t="n">
        <x:v>46220.82152777778</x:v>
      </x:c>
      <x:c r="J549" s="65" t="str">
        <x:v>需复核</x:v>
      </x:c>
      <x:c r="K549" s="65"/>
      <x:c r="L549" s="65"/>
      <x:c r="M549" s="65"/>
      <x:c r="N549" s="67"/>
      <x:c r="O549" s="67"/>
      <x:c r="P549" s="67" t="str">
        <x:f>IF(COUNT(N549:O549)=0,"",SUM(N549:O549))</x:f>
      </x:c>
      <x:c r="Q549" s="65" t="str">
        <x:v>赛程/状态来源｜https://www.365scores.com/football/tomorrows-matches；https://www.livescore.mobi/football/ireland/fai-cup/shamrock-rovers-vs-cork-city/1784349/；365Scores赛事ID 4730899；查询时间：2026-07-17 19:43（北京时间）</x:v>
      </x:c>
      <x:c r="R549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0" ht="38" customHeight="1">
      <x:c r="A550" s="65" t="str">
        <x:f>IF(B550="","",TEXT(B550,"yyyy-mm-dd")&amp;"|"&amp;D550&amp;"|"&amp;E550)</x:f>
        <x:v>2026-07-18|中文名待确认（Kerry）|中文名待确认（Shelbourne）</x:v>
      </x:c>
      <x:c r="B550" s="66" t="n">
        <x:v>46221.114583333336</x:v>
      </x:c>
      <x:c r="C550" s="65" t="str">
        <x:v>爱尔兰足协杯</x:v>
      </x:c>
      <x:c r="D550" s="65" t="str">
        <x:v>中文名待确认（Kerry）</x:v>
      </x:c>
      <x:c r="E550" s="65" t="str">
        <x:v>中文名待确认（Shelbourne）</x:v>
      </x:c>
      <x:c r="F550" s="65" t="str">
        <x:v>无可靠让球盘/只观察｜胜负价格仅弱倾向客队侧，不换算让球盘口</x:v>
      </x:c>
      <x:c r="G550" s="65" t="str">
        <x:v>无可靠大小球盘/只观察｜未取得可交叉核验的总进球主盘与水位，无可靠大小球倾向</x:v>
      </x:c>
      <x:c r="H550" s="65" t="str">
        <x:v>待确认首发、双方近5场/主客拆分与可靠亚洲双盘；任一市场欧赔&lt;1.80/港水&lt;0.80不进；盘口未核验前不进、不加仓</x:v>
      </x:c>
      <x:c r="I550" s="66" t="n">
        <x:v>46220.82152777778</x:v>
      </x:c>
      <x:c r="J550" s="65" t="str">
        <x:v>需复核</x:v>
      </x:c>
      <x:c r="K550" s="65"/>
      <x:c r="L550" s="65"/>
      <x:c r="M550" s="65"/>
      <x:c r="N550" s="67"/>
      <x:c r="O550" s="67"/>
      <x:c r="P550" s="67" t="str">
        <x:f>IF(COUNT(N550:O550)=0,"",SUM(N550:O550))</x:f>
      </x:c>
      <x:c r="Q550" s="65" t="str">
        <x:v>赛程/状态来源｜https://www.365scores.com/football/tomorrows-matches；https://www.livescore.mobi/football/ireland/fai-cup/kerry-vs-shelbourne/1784354/；https://tipsterarea.com/match/kerry-shelbourne-fai-cup-ireland-935446；365Scores赛事ID 4730897；查询时间：2026-07-17 19:43（北京时间）</x:v>
      </x:c>
      <x:c r="R550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5.39/4.22/1.45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1" ht="38" customHeight="1">
      <x:c r="A551" s="65" t="str">
        <x:f>IF(B551="","",TEXT(B551,"yyyy-mm-dd")&amp;"|"&amp;D551&amp;"|"&amp;E551)</x:f>
        <x:v>2026-07-18|哈茨（Hearts）|中文名待确认（Rayo Vallecano）</x:v>
      </x:c>
      <x:c r="B551" s="66" t="n">
        <x:v>46221.114583333336</x:v>
      </x:c>
      <x:c r="C551" s="65" t="str">
        <x:v>国际俱乐部友谊赛</x:v>
      </x:c>
      <x:c r="D551" s="65" t="str">
        <x:v>哈茨（Hearts）</x:v>
      </x:c>
      <x:c r="E551" s="65" t="str">
        <x:v>中文名待确认（Rayo Vallecano）</x:v>
      </x:c>
      <x:c r="F551" s="65" t="str">
        <x:v>无可靠让球盘/只观察｜现有可审计资料不足以形成可靠让球倾向</x:v>
      </x:c>
      <x:c r="G551" s="65" t="str">
        <x:v>无可靠大小球盘/只观察｜未取得可交叉核验的总进球主盘与水位，无可靠大小球倾向</x:v>
      </x:c>
      <x:c r="H551" s="65" t="str">
        <x:v>待确认首发、双方近5场/主客拆分与可靠亚洲双盘；任一市场欧赔&lt;1.80/港水&lt;0.80不进；盘口未核验前不进、不加仓</x:v>
      </x:c>
      <x:c r="I551" s="66" t="n">
        <x:v>46220.82152777778</x:v>
      </x:c>
      <x:c r="J551" s="65" t="str">
        <x:v>需复核</x:v>
      </x:c>
      <x:c r="K551" s="65"/>
      <x:c r="L551" s="65"/>
      <x:c r="M551" s="65"/>
      <x:c r="N551" s="67"/>
      <x:c r="O551" s="67"/>
      <x:c r="P551" s="67" t="str">
        <x:f>IF(COUNT(N551:O551)=0,"",SUM(N551:O551))</x:f>
      </x:c>
      <x:c r="Q551" s="65" t="str">
        <x:v>赛程/状态来源｜https://www.365scores.com/football/tomorrows-matches；https://www.livescore.mobi/football/club-friendlies/club-friendlies-2026/hearts-vs-rayo-vallecano/1822054/；365Scores赛事ID 4767954；查询时间：2026-07-17 19:43（北京时间）</x:v>
      </x:c>
      <x:c r="R55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2" ht="38" customHeight="1">
      <x:c r="A552" s="65" t="str">
        <x:f>IF(B552="","",TEXT(B552,"yyyy-mm-dd")&amp;"|"&amp;D552&amp;"|"&amp;E552)</x:f>
        <x:v>2026-07-18|中文名待确认（Galway United）|中文名待确认（Crumlin United）</x:v>
      </x:c>
      <x:c r="B552" s="66" t="n">
        <x:v>46221.114583333336</x:v>
      </x:c>
      <x:c r="C552" s="65" t="str">
        <x:v>爱尔兰足协杯</x:v>
      </x:c>
      <x:c r="D552" s="65" t="str">
        <x:v>中文名待确认（Galway United）</x:v>
      </x:c>
      <x:c r="E552" s="65" t="str">
        <x:v>中文名待确认（Crumlin United）</x:v>
      </x:c>
      <x:c r="F552" s="65" t="str">
        <x:v>无可靠让球盘/只观察｜现有可审计资料不足以形成可靠让球倾向</x:v>
      </x:c>
      <x:c r="G552" s="65" t="str">
        <x:v>无可靠大小球盘/只观察｜未取得可交叉核验的总进球主盘与水位，无可靠大小球倾向</x:v>
      </x:c>
      <x:c r="H552" s="65" t="str">
        <x:v>待确认首发、双方近5场/主客拆分与可靠亚洲双盘；任一市场欧赔&lt;1.80/港水&lt;0.80不进；盘口未核验前不进、不加仓</x:v>
      </x:c>
      <x:c r="I552" s="66" t="n">
        <x:v>46220.82152777778</x:v>
      </x:c>
      <x:c r="J552" s="65" t="str">
        <x:v>需复核</x:v>
      </x:c>
      <x:c r="K552" s="65"/>
      <x:c r="L552" s="65"/>
      <x:c r="M552" s="65"/>
      <x:c r="N552" s="67"/>
      <x:c r="O552" s="67"/>
      <x:c r="P552" s="67" t="str">
        <x:f>IF(COUNT(N552:O552)=0,"",SUM(N552:O552))</x:f>
      </x:c>
      <x:c r="Q552" s="65" t="str">
        <x:v>赛程/状态来源｜https://www.365scores.com/football/tomorrows-matches；https://www.livescore.mobi/football/ireland/fai-cup/galway-united-fc-vs-crumlin-united/1784348/；365Scores赛事ID 4730910；查询时间：2026-07-17 19:43（北京时间）</x:v>
      </x:c>
      <x:c r="R552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3" ht="38" customHeight="1">
      <x:c r="A553" s="65" t="str">
        <x:f>IF(B553="","",TEXT(B553,"yyyy-mm-dd")&amp;"|"&amp;D553&amp;"|"&amp;E553)</x:f>
        <x:v>2026-07-18|中文名待确认（Finn Harps）|中文名待确认（Bray Wanderers）</x:v>
      </x:c>
      <x:c r="B553" s="66" t="n">
        <x:v>46221.114583333336</x:v>
      </x:c>
      <x:c r="C553" s="65" t="str">
        <x:v>爱尔兰足协杯</x:v>
      </x:c>
      <x:c r="D553" s="65" t="str">
        <x:v>中文名待确认（Finn Harps）</x:v>
      </x:c>
      <x:c r="E553" s="65" t="str">
        <x:v>中文名待确认（Bray Wanderers）</x:v>
      </x:c>
      <x:c r="F553" s="65" t="str">
        <x:v>无可靠让球盘/只观察｜胜负价格仅弱倾向客队侧，不换算让球盘口</x:v>
      </x:c>
      <x:c r="G553" s="65" t="str">
        <x:v>无可靠大小球盘/只观察｜未取得可交叉核验的总进球主盘与水位，无可靠大小球倾向</x:v>
      </x:c>
      <x:c r="H553" s="65" t="str">
        <x:v>待确认首发、双方近5场/主客拆分与可靠亚洲双盘；任一市场欧赔&lt;1.80/港水&lt;0.80不进；盘口未核验前不进、不加仓</x:v>
      </x:c>
      <x:c r="I553" s="66" t="n">
        <x:v>46220.82152777778</x:v>
      </x:c>
      <x:c r="J553" s="65" t="str">
        <x:v>需复核</x:v>
      </x:c>
      <x:c r="K553" s="65"/>
      <x:c r="L553" s="65"/>
      <x:c r="M553" s="65"/>
      <x:c r="N553" s="67"/>
      <x:c r="O553" s="67"/>
      <x:c r="P553" s="67" t="str">
        <x:f>IF(COUNT(N553:O553)=0,"",SUM(N553:O553))</x:f>
      </x:c>
      <x:c r="Q553" s="65" t="str">
        <x:v>赛程/状态来源｜https://www.365scores.com/football/tomorrows-matches；https://www.livescore.mobi/football/ireland/fai-cup/finn-harps-vs-bray-wanderers/1784352/；https://tipsterarea.com/match/finn-harps-bray-wanderers-fai-cup-ireland-935445；365Scores赛事ID 4730909；查询时间：2026-07-17 19:43（北京时间）</x:v>
      </x:c>
      <x:c r="R553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3.66/3.63/1.77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4" ht="38" customHeight="1">
      <x:c r="A554" s="65" t="str">
        <x:f>IF(B554="","",TEXT(B554,"yyyy-mm-dd")&amp;"|"&amp;D554&amp;"|"&amp;E554)</x:f>
        <x:v>2026-07-18|中文名待确认（Drogheda Utd）|中文名待确认（Lucan United）</x:v>
      </x:c>
      <x:c r="B554" s="66" t="n">
        <x:v>46221.114583333336</x:v>
      </x:c>
      <x:c r="C554" s="65" t="str">
        <x:v>爱尔兰足协杯</x:v>
      </x:c>
      <x:c r="D554" s="65" t="str">
        <x:v>中文名待确认（Drogheda Utd）</x:v>
      </x:c>
      <x:c r="E554" s="65" t="str">
        <x:v>中文名待确认（Lucan United）</x:v>
      </x:c>
      <x:c r="F554" s="65" t="str">
        <x:v>无可靠让球盘/只观察｜现有可审计资料不足以形成可靠让球倾向</x:v>
      </x:c>
      <x:c r="G554" s="65" t="str">
        <x:v>无可靠大小球盘/只观察｜未取得可交叉核验的总进球主盘与水位，无可靠大小球倾向</x:v>
      </x:c>
      <x:c r="H554" s="65" t="str">
        <x:v>待确认首发、双方近5场/主客拆分与可靠亚洲双盘；任一市场欧赔&lt;1.80/港水&lt;0.80不进；盘口未核验前不进、不加仓</x:v>
      </x:c>
      <x:c r="I554" s="66" t="n">
        <x:v>46220.82152777778</x:v>
      </x:c>
      <x:c r="J554" s="65" t="str">
        <x:v>需复核</x:v>
      </x:c>
      <x:c r="K554" s="65"/>
      <x:c r="L554" s="65"/>
      <x:c r="M554" s="65"/>
      <x:c r="N554" s="67"/>
      <x:c r="O554" s="67"/>
      <x:c r="P554" s="67" t="str">
        <x:f>IF(COUNT(N554:O554)=0,"",SUM(N554:O554))</x:f>
      </x:c>
      <x:c r="Q554" s="65" t="str">
        <x:v>赛程/状态来源｜https://www.365scores.com/football/tomorrows-matches；https://www.livescore.mobi/football/ireland/fai-cup/drogheda-united-vs-lucan-united/1784341/；365Scores赛事ID 4730898；查询时间：2026-07-17 19:43（北京时间）</x:v>
      </x:c>
      <x:c r="R554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5" ht="38" customHeight="1">
      <x:c r="A555" s="65" t="str">
        <x:f>IF(B555="","",TEXT(B555,"yyyy-mm-dd")&amp;"|"&amp;D555&amp;"|"&amp;E555)</x:f>
        <x:v>2026-07-18|本菲卡（Benfica）|比利亚雷亚尔（Villarreal）</x:v>
      </x:c>
      <x:c r="B555" s="66" t="n">
        <x:v>46221.114583333336</x:v>
      </x:c>
      <x:c r="C555" s="65" t="str">
        <x:v>国际俱乐部友谊赛</x:v>
      </x:c>
      <x:c r="D555" s="65" t="str">
        <x:v>本菲卡（Benfica）</x:v>
      </x:c>
      <x:c r="E555" s="65" t="str">
        <x:v>比利亚雷亚尔（Villarreal）</x:v>
      </x:c>
      <x:c r="F555" s="65" t="str">
        <x:v>无可靠让球盘/只观察｜现有可审计资料不足以形成可靠让球倾向</x:v>
      </x:c>
      <x:c r="G555" s="65" t="str">
        <x:v>无可靠大小球盘/只观察｜未取得可交叉核验的总进球主盘与水位，无可靠大小球倾向</x:v>
      </x:c>
      <x:c r="H555" s="65" t="str">
        <x:v>待确认首发、双方近5场/主客拆分与可靠亚洲双盘；任一市场欧赔&lt;1.80/港水&lt;0.80不进；盘口未核验前不进、不加仓</x:v>
      </x:c>
      <x:c r="I555" s="66" t="n">
        <x:v>46220.82152777778</x:v>
      </x:c>
      <x:c r="J555" s="65" t="str">
        <x:v>需复核</x:v>
      </x:c>
      <x:c r="K555" s="65"/>
      <x:c r="L555" s="65"/>
      <x:c r="M555" s="65"/>
      <x:c r="N555" s="67"/>
      <x:c r="O555" s="67"/>
      <x:c r="P555" s="67" t="str">
        <x:f>IF(COUNT(N555:O555)=0,"",SUM(N555:O555))</x:f>
      </x:c>
      <x:c r="Q555" s="65" t="str">
        <x:v>赛程/状态来源｜https://www.365scores.com/football/tomorrows-matches；https://www.livescore.mobi/football/club-friendlies/featured-club-friendlies/benfica-vs-villarreal/1821797/；365Scores赛事ID 4767952；查询时间：2026-07-17 19:43（北京时间）</x:v>
      </x:c>
      <x:c r="R55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6" ht="38" customHeight="1">
      <x:c r="A556" s="65" t="str">
        <x:f>IF(B556="","",TEXT(B556,"yyyy-mm-dd")&amp;"|"&amp;D556&amp;"|"&amp;E556)</x:f>
        <x:v>2026-07-18|中文名待确认（Athlone Town）|中文名待确认（Midleton）</x:v>
      </x:c>
      <x:c r="B556" s="66" t="n">
        <x:v>46221.114583333336</x:v>
      </x:c>
      <x:c r="C556" s="65" t="str">
        <x:v>爱尔兰足协杯</x:v>
      </x:c>
      <x:c r="D556" s="65" t="str">
        <x:v>中文名待确认（Athlone Town）</x:v>
      </x:c>
      <x:c r="E556" s="65" t="str">
        <x:v>中文名待确认（Midleton）</x:v>
      </x:c>
      <x:c r="F556" s="65" t="str">
        <x:v>无可靠让球盘/只观察｜现有可审计资料不足以形成可靠让球倾向</x:v>
      </x:c>
      <x:c r="G556" s="65" t="str">
        <x:v>无可靠大小球盘/只观察｜未取得可交叉核验的总进球主盘与水位，无可靠大小球倾向</x:v>
      </x:c>
      <x:c r="H556" s="65" t="str">
        <x:v>待确认首发、双方近5场/主客拆分与可靠亚洲双盘；任一市场欧赔&lt;1.80/港水&lt;0.80不进；盘口未核验前不进、不加仓</x:v>
      </x:c>
      <x:c r="I556" s="66" t="n">
        <x:v>46220.82152777778</x:v>
      </x:c>
      <x:c r="J556" s="65" t="str">
        <x:v>需复核</x:v>
      </x:c>
      <x:c r="K556" s="65"/>
      <x:c r="L556" s="65"/>
      <x:c r="M556" s="65"/>
      <x:c r="N556" s="67"/>
      <x:c r="O556" s="67"/>
      <x:c r="P556" s="67" t="str">
        <x:f>IF(COUNT(N556:O556)=0,"",SUM(N556:O556))</x:f>
      </x:c>
      <x:c r="Q556" s="65" t="str">
        <x:v>赛程/状态来源｜https://www.365scores.com/football/tomorrows-matches；https://www.livescore.mobi/football/ireland/fai-cup/athlone-town-vs-midleton/1784346/；365Scores赛事ID 4730904；查询时间：2026-07-17 19:43（北京时间）</x:v>
      </x:c>
      <x:c r="R556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7" ht="38" customHeight="1">
      <x:c r="A557" s="65" t="str">
        <x:f>IF(B557="","",TEXT(B557,"yyyy-mm-dd")&amp;"|"&amp;D557&amp;"|"&amp;E557)</x:f>
        <x:v>2026-07-18|中文名待确认（Leamington）|中文名待确认（Coventry U21）</x:v>
      </x:c>
      <x:c r="B557" s="66" t="n">
        <x:v>46221.104166666664</x:v>
      </x:c>
      <x:c r="C557" s="65" t="str">
        <x:v>国际俱乐部友谊赛</x:v>
      </x:c>
      <x:c r="D557" s="65" t="str">
        <x:v>中文名待确认（Leamington）</x:v>
      </x:c>
      <x:c r="E557" s="65" t="str">
        <x:v>中文名待确认（Coventry U21）</x:v>
      </x:c>
      <x:c r="F557" s="65" t="str">
        <x:v>无可靠让球盘/只观察｜现有可审计资料不足以形成可靠让球倾向</x:v>
      </x:c>
      <x:c r="G557" s="65" t="str">
        <x:v>无可靠大小球盘/只观察｜未取得可交叉核验的总进球主盘与水位，无可靠大小球倾向</x:v>
      </x:c>
      <x:c r="H557" s="65" t="str">
        <x:v>待确认首发、双方近5场/主客拆分与可靠亚洲双盘；任一市场欧赔&lt;1.80/港水&lt;0.80不进；盘口未核验前不进、不加仓</x:v>
      </x:c>
      <x:c r="I557" s="66" t="n">
        <x:v>46220.82152777778</x:v>
      </x:c>
      <x:c r="J557" s="65" t="str">
        <x:v>需复核</x:v>
      </x:c>
      <x:c r="K557" s="65"/>
      <x:c r="L557" s="65"/>
      <x:c r="M557" s="65"/>
      <x:c r="N557" s="67"/>
      <x:c r="O557" s="67"/>
      <x:c r="P557" s="67" t="str">
        <x:f>IF(COUNT(N557:O557)=0,"",SUM(N557:O557))</x:f>
      </x:c>
      <x:c r="Q557" s="65" t="str">
        <x:v>赛程/状态来源｜https://www.365scores.com/football/tomorrows-matches；365Scores赛事ID 4773586；查询时间：2026-07-17 19:43（北京时间）</x:v>
      </x:c>
      <x:c r="R55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8" ht="38" customHeight="1">
      <x:c r="A558" s="65" t="str">
        <x:f>IF(B558="","",TEXT(B558,"yyyy-mm-dd")&amp;"|"&amp;D558&amp;"|"&amp;E558)</x:f>
        <x:v>2026-07-18|中文名待确认（Guiseley AFC）|中文名待确认（Stocksbridge PS）</x:v>
      </x:c>
      <x:c r="B558" s="66" t="n">
        <x:v>46221.104166666664</x:v>
      </x:c>
      <x:c r="C558" s="65" t="str">
        <x:v>国际俱乐部友谊赛</x:v>
      </x:c>
      <x:c r="D558" s="65" t="str">
        <x:v>中文名待确认（Guiseley AFC）</x:v>
      </x:c>
      <x:c r="E558" s="65" t="str">
        <x:v>中文名待确认（Stocksbridge PS）</x:v>
      </x:c>
      <x:c r="F558" s="65" t="str">
        <x:v>无可靠让球盘/只观察｜现有可审计资料不足以形成可靠让球倾向</x:v>
      </x:c>
      <x:c r="G558" s="65" t="str">
        <x:v>无可靠大小球盘/只观察｜未取得可交叉核验的总进球主盘与水位，无可靠大小球倾向</x:v>
      </x:c>
      <x:c r="H558" s="65" t="str">
        <x:v>待确认首发、双方近5场/主客拆分与可靠亚洲双盘；任一市场欧赔&lt;1.80/港水&lt;0.80不进；盘口未核验前不进、不加仓</x:v>
      </x:c>
      <x:c r="I558" s="66" t="n">
        <x:v>46220.82152777778</x:v>
      </x:c>
      <x:c r="J558" s="65" t="str">
        <x:v>需复核</x:v>
      </x:c>
      <x:c r="K558" s="65"/>
      <x:c r="L558" s="65"/>
      <x:c r="M558" s="65"/>
      <x:c r="N558" s="67"/>
      <x:c r="O558" s="67"/>
      <x:c r="P558" s="67" t="str">
        <x:f>IF(COUNT(N558:O558)=0,"",SUM(N558:O558))</x:f>
      </x:c>
      <x:c r="Q558" s="65" t="str">
        <x:v>赛程/状态来源｜https://www.365scores.com/football/tomorrows-matches；365Scores赛事ID 4771382；查询时间：2026-07-17 19:43（北京时间）</x:v>
      </x:c>
      <x:c r="R55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59" ht="38" customHeight="1">
      <x:c r="A559" s="65" t="str">
        <x:f>IF(B559="","",TEXT(B559,"yyyy-mm-dd")&amp;"|"&amp;D559&amp;"|"&amp;E559)</x:f>
        <x:v>2026-07-18|中文名待确认（FCSB）|中文名待确认（FC Arges Pitesti）</x:v>
      </x:c>
      <x:c r="B559" s="66" t="n">
        <x:v>46221.104166666664</x:v>
      </x:c>
      <x:c r="C559" s="65" t="str">
        <x:v>印度尼西亚超级联赛（印尼超/Liga 1 Indonesia）</x:v>
      </x:c>
      <x:c r="D559" s="65" t="str">
        <x:v>中文名待确认（FCSB）</x:v>
      </x:c>
      <x:c r="E559" s="65" t="str">
        <x:v>中文名待确认（FC Arges Pitesti）</x:v>
      </x:c>
      <x:c r="F559" s="65" t="str">
        <x:v>无可靠让球盘/只观察｜胜负价格仅弱倾向主队侧，不换算让球盘口</x:v>
      </x:c>
      <x:c r="G559" s="65" t="str">
        <x:v>无可靠大小球盘/只观察｜未取得可交叉核验的总进球主盘与水位，无可靠大小球倾向</x:v>
      </x:c>
      <x:c r="H559" s="65" t="str">
        <x:v>待确认首发、双方近5场/主客拆分与可靠亚洲双盘；任一市场欧赔&lt;1.80/港水&lt;0.80不进；盘口未核验前不进、不加仓</x:v>
      </x:c>
      <x:c r="I559" s="66" t="n">
        <x:v>46220.82152777778</x:v>
      </x:c>
      <x:c r="J559" s="65" t="str">
        <x:v>需复核</x:v>
      </x:c>
      <x:c r="K559" s="65"/>
      <x:c r="L559" s="65"/>
      <x:c r="M559" s="65"/>
      <x:c r="N559" s="67"/>
      <x:c r="O559" s="67"/>
      <x:c r="P559" s="67" t="str">
        <x:f>IF(COUNT(N559:O559)=0,"",SUM(N559:O559))</x:f>
      </x:c>
      <x:c r="Q559" s="65" t="str">
        <x:v>赛程/状态来源｜https://www.365scores.com/football/tomorrows-matches；https://tipsterarea.com/match/fc-fcsb-arges-pitesti-liga-i-romania-935414；365Scores赛事ID 4748510；查询时间：2026-07-17 19:43（北京时间）</x:v>
      </x:c>
      <x:c r="R55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1.60/3.93/4.79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0" ht="38" customHeight="1">
      <x:c r="A560" s="65" t="str">
        <x:f>IF(B560="","",TEXT(B560,"yyyy-mm-dd")&amp;"|"&amp;D560&amp;"|"&amp;E560)</x:f>
        <x:v>2026-07-18|中文名待确认（FCSB）|中文名待确认（ACS Champions FC Arges）</x:v>
      </x:c>
      <x:c r="B560" s="66" t="n">
        <x:v>46221.104166666664</x:v>
      </x:c>
      <x:c r="C560" s="65" t="str">
        <x:v>印度尼西亚超级联赛（印尼超/Liga 1 Indonesia）</x:v>
      </x:c>
      <x:c r="D560" s="65" t="str">
        <x:v>中文名待确认（FCSB）</x:v>
      </x:c>
      <x:c r="E560" s="65" t="str">
        <x:v>中文名待确认（ACS Champions FC Arges）</x:v>
      </x:c>
      <x:c r="F560" s="65" t="str">
        <x:v>无可靠让球盘/只观察｜现有可审计资料不足以形成可靠让球倾向</x:v>
      </x:c>
      <x:c r="G560" s="65" t="str">
        <x:v>无可靠大小球盘/只观察｜未取得可交叉核验的总进球主盘与水位，无可靠大小球倾向</x:v>
      </x:c>
      <x:c r="H560" s="65" t="str">
        <x:v>待确认首发、双方近5场/主客拆分与可靠亚洲双盘；任一市场欧赔&lt;1.80/港水&lt;0.80不进；盘口未核验前不进、不加仓</x:v>
      </x:c>
      <x:c r="I560" s="66" t="n">
        <x:v>46220.82152777778</x:v>
      </x:c>
      <x:c r="J560" s="65" t="str">
        <x:v>需复核</x:v>
      </x:c>
      <x:c r="K560" s="65"/>
      <x:c r="L560" s="65"/>
      <x:c r="M560" s="65"/>
      <x:c r="N560" s="67"/>
      <x:c r="O560" s="67"/>
      <x:c r="P560" s="67" t="str">
        <x:f>IF(COUNT(N560:O560)=0,"",SUM(N560:O560))</x:f>
      </x:c>
      <x:c r="Q560" s="65" t="str">
        <x:v>赛程/状态来源｜https://www.livescore.mobi/football/romania/liga-1/fcsb-vs-acs-champions-fc-arges/1807207/；365Scores赛事ID —；查询时间：2026-07-17 19:43（北京时间）</x:v>
      </x:c>
      <x:c r="R56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1" ht="38" customHeight="1">
      <x:c r="A561" s="65" t="str">
        <x:f>IF(B561="","",TEXT(B561,"yyyy-mm-dd")&amp;"|"&amp;D561&amp;"|"&amp;E561)</x:f>
        <x:v>2026-07-18|中文名待确认（Denbigh Town）|中文名待确认（Airbus UK）</x:v>
      </x:c>
      <x:c r="B561" s="66" t="n">
        <x:v>46221.104166666664</x:v>
      </x:c>
      <x:c r="C561" s="65" t="str">
        <x:v>国际俱乐部友谊赛</x:v>
      </x:c>
      <x:c r="D561" s="65" t="str">
        <x:v>中文名待确认（Denbigh Town）</x:v>
      </x:c>
      <x:c r="E561" s="65" t="str">
        <x:v>中文名待确认（Airbus UK）</x:v>
      </x:c>
      <x:c r="F561" s="65" t="str">
        <x:v>无可靠让球盘/只观察｜现有可审计资料不足以形成可靠让球倾向</x:v>
      </x:c>
      <x:c r="G561" s="65" t="str">
        <x:v>无可靠大小球盘/只观察｜未取得可交叉核验的总进球主盘与水位，无可靠大小球倾向</x:v>
      </x:c>
      <x:c r="H561" s="65" t="str">
        <x:v>待确认首发、双方近5场/主客拆分与可靠亚洲双盘；任一市场欧赔&lt;1.80/港水&lt;0.80不进；盘口未核验前不进、不加仓</x:v>
      </x:c>
      <x:c r="I561" s="66" t="n">
        <x:v>46220.82152777778</x:v>
      </x:c>
      <x:c r="J561" s="65" t="str">
        <x:v>需复核</x:v>
      </x:c>
      <x:c r="K561" s="65"/>
      <x:c r="L561" s="65"/>
      <x:c r="M561" s="65"/>
      <x:c r="N561" s="67"/>
      <x:c r="O561" s="67"/>
      <x:c r="P561" s="67" t="str">
        <x:f>IF(COUNT(N561:O561)=0,"",SUM(N561:O561))</x:f>
      </x:c>
      <x:c r="Q561" s="65" t="str">
        <x:v>赛程/状态来源｜https://www.365scores.com/football/tomorrows-matches；365Scores赛事ID 4775699；查询时间：2026-07-17 19:43（北京时间）</x:v>
      </x:c>
      <x:c r="R56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2" ht="38" customHeight="1">
      <x:c r="A562" s="65" t="str">
        <x:f>IF(B562="","",TEXT(B562,"yyyy-mm-dd")&amp;"|"&amp;D562&amp;"|"&amp;E562)</x:f>
        <x:v>2026-07-18|中文名待确认（Accrington）|中文名待确认（Bradford）</x:v>
      </x:c>
      <x:c r="B562" s="66" t="n">
        <x:v>46221.104166666664</x:v>
      </x:c>
      <x:c r="C562" s="65" t="str">
        <x:v>国际俱乐部友谊赛</x:v>
      </x:c>
      <x:c r="D562" s="65" t="str">
        <x:v>中文名待确认（Accrington）</x:v>
      </x:c>
      <x:c r="E562" s="65" t="str">
        <x:v>中文名待确认（Bradford）</x:v>
      </x:c>
      <x:c r="F562" s="65" t="str">
        <x:v>无可靠让球盘/只观察｜胜负价格仅弱倾向客队侧，不换算让球盘口</x:v>
      </x:c>
      <x:c r="G562" s="65" t="str">
        <x:v>无可靠大小球盘/只观察｜未取得可交叉核验的总进球主盘与水位，无可靠大小球倾向</x:v>
      </x:c>
      <x:c r="H562" s="65" t="str">
        <x:v>待确认首发、双方近5场/主客拆分与可靠亚洲双盘；任一市场欧赔&lt;1.80/港水&lt;0.80不进；盘口未核验前不进、不加仓</x:v>
      </x:c>
      <x:c r="I562" s="66" t="n">
        <x:v>46220.82152777778</x:v>
      </x:c>
      <x:c r="J562" s="65" t="str">
        <x:v>需复核</x:v>
      </x:c>
      <x:c r="K562" s="65"/>
      <x:c r="L562" s="65"/>
      <x:c r="M562" s="65"/>
      <x:c r="N562" s="67"/>
      <x:c r="O562" s="67"/>
      <x:c r="P562" s="67" t="str">
        <x:f>IF(COUNT(N562:O562)=0,"",SUM(N562:O562))</x:f>
      </x:c>
      <x:c r="Q562" s="65" t="str">
        <x:v>赛程/状态来源｜https://www.365scores.com/football/tomorrows-matches；https://tipsterarea.com/match/accrington-bradford-club-friendly-935836；365Scores赛事ID 4767955；查询时间：2026-07-17 19:43（北京时间）</x:v>
      </x:c>
      <x:c r="R56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6.08/4.50/1.39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3" ht="38" customHeight="1">
      <x:c r="A563" s="65" t="str">
        <x:f>IF(B563="","",TEXT(B563,"yyyy-mm-dd")&amp;"|"&amp;D563&amp;"|"&amp;E563)</x:f>
        <x:v>2026-07-18|中文名待确认（FC Vaduz）|中文名待确认（Lugano）</x:v>
      </x:c>
      <x:c r="B563" s="66" t="n">
        <x:v>46221.09375</x:v>
      </x:c>
      <x:c r="C563" s="65" t="str">
        <x:v>国际俱乐部友谊赛</x:v>
      </x:c>
      <x:c r="D563" s="65" t="str">
        <x:v>中文名待确认（FC Vaduz）</x:v>
      </x:c>
      <x:c r="E563" s="65" t="str">
        <x:v>中文名待确认（Lugano）</x:v>
      </x:c>
      <x:c r="F563" s="65" t="str">
        <x:v>无可靠让球盘/只观察｜现有可审计资料不足以形成可靠让球倾向</x:v>
      </x:c>
      <x:c r="G563" s="65" t="str">
        <x:v>无可靠大小球盘/只观察｜未取得可交叉核验的总进球主盘与水位，无可靠大小球倾向</x:v>
      </x:c>
      <x:c r="H563" s="65" t="str">
        <x:v>待确认首发、双方近5场/主客拆分与可靠亚洲双盘；任一市场欧赔&lt;1.80/港水&lt;0.80不进；盘口未核验前不进、不加仓</x:v>
      </x:c>
      <x:c r="I563" s="66" t="n">
        <x:v>46220.82152777778</x:v>
      </x:c>
      <x:c r="J563" s="65" t="str">
        <x:v>需复核</x:v>
      </x:c>
      <x:c r="K563" s="65"/>
      <x:c r="L563" s="65"/>
      <x:c r="M563" s="65"/>
      <x:c r="N563" s="67"/>
      <x:c r="O563" s="67"/>
      <x:c r="P563" s="67" t="str">
        <x:f>IF(COUNT(N563:O563)=0,"",SUM(N563:O563))</x:f>
      </x:c>
      <x:c r="Q563" s="65" t="str">
        <x:v>赛程/状态来源｜https://www.livescore.mobi/football/club-friendlies/club-friendlies-2026/fc-vaduz-vs-lugano/1821777/；365Scores赛事ID —；查询时间：2026-07-17 19:43（北京时间）</x:v>
      </x:c>
      <x:c r="R56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4" ht="38" customHeight="1">
      <x:c r="A564" s="65" t="str">
        <x:f>IF(B564="","",TEXT(B564,"yyyy-mm-dd")&amp;"|"&amp;D564&amp;"|"&amp;E564)</x:f>
        <x:v>2026-07-18|中文名待确认（NK Celje）|中文名待确认（Mura 05）</x:v>
      </x:c>
      <x:c r="B564" s="66" t="n">
        <x:v>46221.09375</x:v>
      </x:c>
      <x:c r="C564" s="65" t="str">
        <x:v>斯洛文尼亚甲级联赛</x:v>
      </x:c>
      <x:c r="D564" s="65" t="str">
        <x:v>中文名待确认（NK Celje）</x:v>
      </x:c>
      <x:c r="E564" s="65" t="str">
        <x:v>中文名待确认（Mura 05）</x:v>
      </x:c>
      <x:c r="F564" s="65" t="str">
        <x:v>无可靠让球盘/只观察｜现有可审计资料不足以形成可靠让球倾向</x:v>
      </x:c>
      <x:c r="G564" s="65" t="str">
        <x:v>无可靠大小球盘/只观察｜未取得可交叉核验的总进球主盘与水位，无可靠大小球倾向</x:v>
      </x:c>
      <x:c r="H564" s="65" t="str">
        <x:v>待确认首发、双方近5场/主客拆分与可靠亚洲双盘；任一市场欧赔&lt;1.80/港水&lt;0.80不进；盘口未核验前不进、不加仓</x:v>
      </x:c>
      <x:c r="I564" s="66" t="n">
        <x:v>46220.82152777778</x:v>
      </x:c>
      <x:c r="J564" s="65" t="str">
        <x:v>需复核</x:v>
      </x:c>
      <x:c r="K564" s="65"/>
      <x:c r="L564" s="65"/>
      <x:c r="M564" s="65"/>
      <x:c r="N564" s="67"/>
      <x:c r="O564" s="67"/>
      <x:c r="P564" s="67" t="str">
        <x:f>IF(COUNT(N564:O564)=0,"",SUM(N564:O564))</x:f>
      </x:c>
      <x:c r="Q564" s="65" t="str">
        <x:v>赛程/状态来源｜https://www.365scores.com/football/tomorrows-matches；https://www.livescore.mobi/football/slovenia/prva-liga/nk-celje-vs-mura/1800800/；365Scores赛事ID 4742859；查询时间：2026-07-17 19:43（北京时间）</x:v>
      </x:c>
      <x:c r="R56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5" ht="38" customHeight="1">
      <x:c r="A565" s="65" t="str">
        <x:f>IF(B565="","",TEXT(B565,"yyyy-mm-dd")&amp;"|"&amp;D565&amp;"|"&amp;E565)</x:f>
        <x:v>2026-07-18|中文名待确认（FC Lugano）|中文名待确认（FC Vaduz）</x:v>
      </x:c>
      <x:c r="B565" s="66" t="n">
        <x:v>46221.09375</x:v>
      </x:c>
      <x:c r="C565" s="65" t="str">
        <x:v>国际俱乐部友谊赛</x:v>
      </x:c>
      <x:c r="D565" s="65" t="str">
        <x:v>中文名待确认（FC Lugano）</x:v>
      </x:c>
      <x:c r="E565" s="65" t="str">
        <x:v>中文名待确认（FC Vaduz）</x:v>
      </x:c>
      <x:c r="F565" s="65" t="str">
        <x:v>无可靠让球盘/只观察｜现有可审计资料不足以形成可靠让球倾向</x:v>
      </x:c>
      <x:c r="G565" s="65" t="str">
        <x:v>无可靠大小球盘/只观察｜未取得可交叉核验的总进球主盘与水位，无可靠大小球倾向</x:v>
      </x:c>
      <x:c r="H565" s="65" t="str">
        <x:v>待确认首发、双方近5场/主客拆分与可靠亚洲双盘；任一市场欧赔&lt;1.80/港水&lt;0.80不进；盘口未核验前不进、不加仓</x:v>
      </x:c>
      <x:c r="I565" s="66" t="n">
        <x:v>46220.82152777778</x:v>
      </x:c>
      <x:c r="J565" s="65" t="str">
        <x:v>需复核</x:v>
      </x:c>
      <x:c r="K565" s="65"/>
      <x:c r="L565" s="65"/>
      <x:c r="M565" s="65"/>
      <x:c r="N565" s="67"/>
      <x:c r="O565" s="67"/>
      <x:c r="P565" s="67" t="str">
        <x:f>IF(COUNT(N565:O565)=0,"",SUM(N565:O565))</x:f>
      </x:c>
      <x:c r="Q565" s="65" t="str">
        <x:v>赛程/状态来源｜https://www.365scores.com/football/tomorrows-matches；365Scores赛事ID 4767956；查询时间：2026-07-17 19:43（北京时间）</x:v>
      </x:c>
      <x:c r="R56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6" ht="38" customHeight="1">
      <x:c r="A566" s="65" t="str">
        <x:f>IF(B566="","",TEXT(B566,"yyyy-mm-dd")&amp;"|"&amp;D566&amp;"|"&amp;E566)</x:f>
        <x:v>2026-07-18|索菲亚列夫斯基（Levski Sofia）|中文名待确认（Dunav Rousse）</x:v>
      </x:c>
      <x:c r="B566" s="66" t="n">
        <x:v>46221.09375</x:v>
      </x:c>
      <x:c r="C566" s="65" t="str">
        <x:v>保加利亚甲级联赛</x:v>
      </x:c>
      <x:c r="D566" s="65" t="str">
        <x:v>索菲亚列夫斯基（Levski Sofia）</x:v>
      </x:c>
      <x:c r="E566" s="65" t="str">
        <x:v>中文名待确认（Dunav Rousse）</x:v>
      </x:c>
      <x:c r="F566" s="65" t="str">
        <x:v>无可靠让球盘/只观察｜胜负价格仅弱倾向主队侧，不换算让球盘口</x:v>
      </x:c>
      <x:c r="G566" s="65" t="str">
        <x:v>无可靠大小球盘/只观察｜未取得可交叉核验的总进球主盘与水位，无可靠大小球倾向</x:v>
      </x:c>
      <x:c r="H566" s="65" t="str">
        <x:v>待确认首发、双方近5场/主客拆分与可靠亚洲双盘；任一市场欧赔&lt;1.80/港水&lt;0.80不进；盘口未核验前不进、不加仓</x:v>
      </x:c>
      <x:c r="I566" s="66" t="n">
        <x:v>46220.82152777778</x:v>
      </x:c>
      <x:c r="J566" s="65" t="str">
        <x:v>需复核</x:v>
      </x:c>
      <x:c r="K566" s="65"/>
      <x:c r="L566" s="65"/>
      <x:c r="M566" s="65"/>
      <x:c r="N566" s="67"/>
      <x:c r="O566" s="67"/>
      <x:c r="P566" s="67" t="str">
        <x:f>IF(COUNT(N566:O566)=0,"",SUM(N566:O566))</x:f>
      </x:c>
      <x:c r="Q566" s="65" t="str">
        <x:v>赛程/状态来源｜https://www.365scores.com/football/tomorrows-matches；https://www.livescore.mobi/football/bulgaria/parva-liga/levski-sofia-vs-dunav-ruse/1786287/；https://tipsterarea.com/match/levski-sofia-dunav-ruse-first-pfl-bulgaria-935412；365Scores赛事ID 4733630；查询时间：2026-07-17 19:43（北京时间）</x:v>
      </x:c>
      <x:c r="R56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1.13/7.28/16.27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7" ht="38" customHeight="1">
      <x:c r="A567" s="65" t="str">
        <x:f>IF(B567="","",TEXT(B567,"yyyy-mm-dd")&amp;"|"&amp;D567&amp;"|"&amp;E567)</x:f>
        <x:v>2026-07-18|中文名待确认（Zeleznicar Pancevo）|中文名待确认（Radnicki NIS）</x:v>
      </x:c>
      <x:c r="B567" s="66" t="n">
        <x:v>46221.083333333336</x:v>
      </x:c>
      <x:c r="C567" s="65" t="str">
        <x:v>塞尔维亚超级联赛</x:v>
      </x:c>
      <x:c r="D567" s="65" t="str">
        <x:v>中文名待确认（Zeleznicar Pancevo）</x:v>
      </x:c>
      <x:c r="E567" s="65" t="str">
        <x:v>中文名待确认（Radnicki NIS）</x:v>
      </x:c>
      <x:c r="F567" s="65" t="str">
        <x:v>无可靠让球盘/只观察｜胜负价格仅弱倾向主队侧，不换算让球盘口</x:v>
      </x:c>
      <x:c r="G567" s="65" t="str">
        <x:v>无可靠大小球盘/只观察｜未取得可交叉核验的总进球主盘与水位，无可靠大小球倾向</x:v>
      </x:c>
      <x:c r="H567" s="65" t="str">
        <x:v>待确认首发、双方近5场/主客拆分与可靠亚洲双盘；任一市场欧赔&lt;1.80/港水&lt;0.80不进；盘口未核验前不进、不加仓</x:v>
      </x:c>
      <x:c r="I567" s="66" t="n">
        <x:v>46220.82152777778</x:v>
      </x:c>
      <x:c r="J567" s="65" t="str">
        <x:v>需复核</x:v>
      </x:c>
      <x:c r="K567" s="65"/>
      <x:c r="L567" s="65"/>
      <x:c r="M567" s="65"/>
      <x:c r="N567" s="67"/>
      <x:c r="O567" s="67"/>
      <x:c r="P567" s="67" t="str">
        <x:f>IF(COUNT(N567:O567)=0,"",SUM(N567:O567))</x:f>
      </x:c>
      <x:c r="Q567" s="65" t="str">
        <x:v>赛程/状态来源｜https://www.365scores.com/football/tomorrows-matches；https://www.livescore.mobi/football/serbia/super-liga/zeleznicar-pancevo-vs-radnicki-nis/1799097/；https://tipsterarea.com/match/zeleznicar-pancevo-radnicki-nis-superliga-serbia-935454；365Scores赛事ID 4737664；查询时间：2026-07-17 19:43（北京时间）</x:v>
      </x:c>
      <x:c r="R56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1.72/3.45/4.06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8" ht="38" customHeight="1">
      <x:c r="A568" s="65" t="str">
        <x:f>IF(B568="","",TEXT(B568,"yyyy-mm-dd")&amp;"|"&amp;D568&amp;"|"&amp;E568)</x:f>
        <x:v>2026-07-18|中文名待确认（Yupanqui）|中文名待确认（Argentino Rosario）</x:v>
      </x:c>
      <x:c r="B568" s="66" t="n">
        <x:v>46221.083333333336</x:v>
      </x:c>
      <x:c r="C568" s="65" t="str">
        <x:v>阿根廷丙级联赛B区</x:v>
      </x:c>
      <x:c r="D568" s="65" t="str">
        <x:v>中文名待确认（Yupanqui）</x:v>
      </x:c>
      <x:c r="E568" s="65" t="str">
        <x:v>中文名待确认（Argentino Rosario）</x:v>
      </x:c>
      <x:c r="F568" s="65" t="str">
        <x:v>无可靠让球盘/只观察｜现有可审计资料不足以形成可靠让球倾向</x:v>
      </x:c>
      <x:c r="G568" s="65" t="str">
        <x:v>无可靠大小球盘/只观察｜未取得可交叉核验的总进球主盘与水位，无可靠大小球倾向</x:v>
      </x:c>
      <x:c r="H568" s="65" t="str">
        <x:v>待确认首发、双方近5场/主客拆分与可靠亚洲双盘；任一市场欧赔&lt;1.80/港水&lt;0.80不进；盘口未核验前不进、不加仓</x:v>
      </x:c>
      <x:c r="I568" s="66" t="n">
        <x:v>46220.82152777778</x:v>
      </x:c>
      <x:c r="J568" s="65" t="str">
        <x:v>需复核</x:v>
      </x:c>
      <x:c r="K568" s="65"/>
      <x:c r="L568" s="65"/>
      <x:c r="M568" s="65"/>
      <x:c r="N568" s="67"/>
      <x:c r="O568" s="67"/>
      <x:c r="P568" s="67" t="str">
        <x:f>IF(COUNT(N568:O568)=0,"",SUM(N568:O568))</x:f>
      </x:c>
      <x:c r="Q568" s="65" t="str">
        <x:v>赛程/状态来源｜https://www.365scores.com/football/tomorrows-matches；https://www.livescore.mobi/football/argentina/primera-c-2026/yupanqui-vs-argentino-de-rosario/1715515/；365Scores赛事ID 4639593；查询时间：2026-07-17 19:43（北京时间）</x:v>
      </x:c>
      <x:c r="R56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69" ht="38" customHeight="1">
      <x:c r="A569" s="65" t="str">
        <x:f>IF(B569="","",TEXT(B569,"yyyy-mm-dd")&amp;"|"&amp;D569&amp;"|"&amp;E569)</x:f>
        <x:v>2026-07-18|中文名待确认（West Brom）|中文名待确认（Bromley）</x:v>
      </x:c>
      <x:c r="B569" s="66" t="n">
        <x:v>46221.083333333336</x:v>
      </x:c>
      <x:c r="C569" s="65" t="str">
        <x:v>国际俱乐部友谊赛</x:v>
      </x:c>
      <x:c r="D569" s="65" t="str">
        <x:v>中文名待确认（West Brom）</x:v>
      </x:c>
      <x:c r="E569" s="65" t="str">
        <x:v>中文名待确认（Bromley）</x:v>
      </x:c>
      <x:c r="F569" s="65" t="str">
        <x:v>无可靠让球盘/只观察｜现有可审计资料不足以形成可靠让球倾向</x:v>
      </x:c>
      <x:c r="G569" s="65" t="str">
        <x:v>无可靠大小球盘/只观察｜未取得可交叉核验的总进球主盘与水位，无可靠大小球倾向</x:v>
      </x:c>
      <x:c r="H569" s="65" t="str">
        <x:v>待确认首发、双方近5场/主客拆分与可靠亚洲双盘；任一市场欧赔&lt;1.80/港水&lt;0.80不进；盘口未核验前不进、不加仓</x:v>
      </x:c>
      <x:c r="I569" s="66" t="n">
        <x:v>46220.82152777778</x:v>
      </x:c>
      <x:c r="J569" s="65" t="str">
        <x:v>需复核</x:v>
      </x:c>
      <x:c r="K569" s="65"/>
      <x:c r="L569" s="65"/>
      <x:c r="M569" s="65"/>
      <x:c r="N569" s="67"/>
      <x:c r="O569" s="67"/>
      <x:c r="P569" s="67" t="str">
        <x:f>IF(COUNT(N569:O569)=0,"",SUM(N569:O569))</x:f>
      </x:c>
      <x:c r="Q569" s="65" t="str">
        <x:v>赛程/状态来源｜https://www.365scores.com/football/tomorrows-matches；365Scores赛事ID 4767957；查询时间：2026-07-17 19:43（北京时间）</x:v>
      </x:c>
      <x:c r="R56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0" ht="38" customHeight="1">
      <x:c r="A570" s="65" t="str">
        <x:f>IF(B570="","",TEXT(B570,"yyyy-mm-dd")&amp;"|"&amp;D570&amp;"|"&amp;E570)</x:f>
        <x:v>2026-07-18|中文名待确认（Vitoria-BA (W)）|中文名待确认（Botafogo (W)）</x:v>
      </x:c>
      <x:c r="B570" s="66" t="n">
        <x:v>46221.083333333336</x:v>
      </x:c>
      <x:c r="C570" s="65" t="str">
        <x:v>巴西女子甲级联赛</x:v>
      </x:c>
      <x:c r="D570" s="65" t="str">
        <x:v>中文名待确认（Vitoria-BA (W)）</x:v>
      </x:c>
      <x:c r="E570" s="65" t="str">
        <x:v>中文名待确认（Botafogo (W)）</x:v>
      </x:c>
      <x:c r="F570" s="65" t="str">
        <x:v>无可靠让球盘/只观察｜现有可审计资料不足以形成可靠让球倾向</x:v>
      </x:c>
      <x:c r="G570" s="65" t="str">
        <x:v>无可靠大小球盘/只观察｜未取得可交叉核验的总进球主盘与水位，无可靠大小球倾向</x:v>
      </x:c>
      <x:c r="H570" s="65" t="str">
        <x:v>待确认首发、双方近5场/主客拆分与可靠亚洲双盘；任一市场欧赔&lt;1.80/港水&lt;0.80不进；盘口未核验前不进、不加仓</x:v>
      </x:c>
      <x:c r="I570" s="66" t="n">
        <x:v>46220.82152777778</x:v>
      </x:c>
      <x:c r="J570" s="65" t="str">
        <x:v>需复核</x:v>
      </x:c>
      <x:c r="K570" s="65"/>
      <x:c r="L570" s="65"/>
      <x:c r="M570" s="65"/>
      <x:c r="N570" s="67"/>
      <x:c r="O570" s="67"/>
      <x:c r="P570" s="67" t="str">
        <x:f>IF(COUNT(N570:O570)=0,"",SUM(N570:O570))</x:f>
      </x:c>
      <x:c r="Q570" s="65" t="str">
        <x:v>赛程/状态来源｜https://www.365scores.com/football/tomorrows-matches；365Scores赛事ID 4660908；查询时间：2026-07-17 19:43（北京时间）</x:v>
      </x:c>
      <x:c r="R570" s="65" t="str">
        <x:v>证据卡：女子赛事，公开阵容和低级别样本完整度通常低于主流男子联赛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1" ht="38" customHeight="1">
      <x:c r="A571" s="65" t="str">
        <x:f>IF(B571="","",TEXT(B571,"yyyy-mm-dd")&amp;"|"&amp;D571&amp;"|"&amp;E571)</x:f>
        <x:v>2026-07-18|中文名待确认（Ümraniyespor）|加拉塔萨雷（Galatasaray）</x:v>
      </x:c>
      <x:c r="B571" s="66" t="n">
        <x:v>46221.083333333336</x:v>
      </x:c>
      <x:c r="C571" s="65" t="str">
        <x:v>国际俱乐部友谊赛</x:v>
      </x:c>
      <x:c r="D571" s="65" t="str">
        <x:v>中文名待确认（Ümraniyespor）</x:v>
      </x:c>
      <x:c r="E571" s="65" t="str">
        <x:v>加拉塔萨雷（Galatasaray）</x:v>
      </x:c>
      <x:c r="F571" s="65" t="str">
        <x:v>无可靠让球盘/只观察｜现有可审计资料不足以形成可靠让球倾向</x:v>
      </x:c>
      <x:c r="G571" s="65" t="str">
        <x:v>无可靠大小球盘/只观察｜未取得可交叉核验的总进球主盘与水位，无可靠大小球倾向</x:v>
      </x:c>
      <x:c r="H571" s="65" t="str">
        <x:v>待确认首发、双方近5场/主客拆分与可靠亚洲双盘；任一市场欧赔&lt;1.80/港水&lt;0.80不进；盘口未核验前不进、不加仓</x:v>
      </x:c>
      <x:c r="I571" s="66" t="n">
        <x:v>46220.82152777778</x:v>
      </x:c>
      <x:c r="J571" s="65" t="str">
        <x:v>需复核</x:v>
      </x:c>
      <x:c r="K571" s="65"/>
      <x:c r="L571" s="65"/>
      <x:c r="M571" s="65"/>
      <x:c r="N571" s="67"/>
      <x:c r="O571" s="67"/>
      <x:c r="P571" s="67" t="str">
        <x:f>IF(COUNT(N571:O571)=0,"",SUM(N571:O571))</x:f>
      </x:c>
      <x:c r="Q571" s="65" t="str">
        <x:v>赛程/状态来源｜https://www.365scores.com/football/tomorrows-matches；https://www.livescore.mobi/football/club-friendlies/club-friendlies-2026/umraniyespor-vs-galatasaray/1834959/；https://global.espn.com/football/scoreboard/_/date/20260718；https://tipsterarea.com/match/umraniyespor-galatasaray-club-friendly-935795；365Scores赛事ID 4770191；查询时间：2026-07-17 19:43（北京时间）</x:v>
      </x:c>
      <x:c r="R57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2" ht="38" customHeight="1">
      <x:c r="A572" s="65" t="str">
        <x:f>IF(B572="","",TEXT(B572,"yyyy-mm-dd")&amp;"|"&amp;D572&amp;"|"&amp;E572)</x:f>
        <x:v>2026-07-18|中文名待确认（FC St. Gallen）|中文名待确认（Norwich）</x:v>
      </x:c>
      <x:c r="B572" s="66" t="n">
        <x:v>46221.083333333336</x:v>
      </x:c>
      <x:c r="C572" s="65" t="str">
        <x:v>国际俱乐部友谊赛</x:v>
      </x:c>
      <x:c r="D572" s="65" t="str">
        <x:v>中文名待确认（FC St. Gallen）</x:v>
      </x:c>
      <x:c r="E572" s="65" t="str">
        <x:v>中文名待确认（Norwich）</x:v>
      </x:c>
      <x:c r="F572" s="65" t="str">
        <x:v>无可靠让球盘/只观察｜现有可审计资料不足以形成可靠让球倾向</x:v>
      </x:c>
      <x:c r="G572" s="65" t="str">
        <x:v>无可靠大小球盘/只观察｜未取得可交叉核验的总进球主盘与水位，无可靠大小球倾向</x:v>
      </x:c>
      <x:c r="H572" s="65" t="str">
        <x:v>待确认首发、双方近5场/主客拆分与可靠亚洲双盘；任一市场欧赔&lt;1.80/港水&lt;0.80不进；盘口未核验前不进、不加仓</x:v>
      </x:c>
      <x:c r="I572" s="66" t="n">
        <x:v>46220.82152777778</x:v>
      </x:c>
      <x:c r="J572" s="65" t="str">
        <x:v>需复核</x:v>
      </x:c>
      <x:c r="K572" s="65"/>
      <x:c r="L572" s="65"/>
      <x:c r="M572" s="65"/>
      <x:c r="N572" s="67"/>
      <x:c r="O572" s="67"/>
      <x:c r="P572" s="67" t="str">
        <x:f>IF(COUNT(N572:O572)=0,"",SUM(N572:O572))</x:f>
      </x:c>
      <x:c r="Q572" s="65" t="str">
        <x:v>赛程/状态来源｜https://www.365scores.com/football/tomorrows-matches；https://www.livescore.mobi/football/club-friendlies/club-friendlies-2026/st-gallen-vs-norwich-city/1832886/；365Scores赛事ID 4767960；查询时间：2026-07-17 19:43（北京时间）</x:v>
      </x:c>
      <x:c r="R57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3" ht="38" customHeight="1">
      <x:c r="A573" s="65" t="str">
        <x:f>IF(B573="","",TEXT(B573,"yyyy-mm-dd")&amp;"|"&amp;D573&amp;"|"&amp;E573)</x:f>
        <x:v>2026-07-18|中文名待确认（Puerto Nuevo）|中文名待确认（CA Fenix）</x:v>
      </x:c>
      <x:c r="B573" s="66" t="n">
        <x:v>46221.083333333336</x:v>
      </x:c>
      <x:c r="C573" s="65" t="str">
        <x:v>阿根廷丙级联赛</x:v>
      </x:c>
      <x:c r="D573" s="65" t="str">
        <x:v>中文名待确认（Puerto Nuevo）</x:v>
      </x:c>
      <x:c r="E573" s="65" t="str">
        <x:v>中文名待确认（CA Fenix）</x:v>
      </x:c>
      <x:c r="F573" s="65" t="str">
        <x:v>无可靠让球盘/只观察｜现有可审计资料不足以形成可靠让球倾向</x:v>
      </x:c>
      <x:c r="G573" s="65" t="str">
        <x:v>无可靠大小球盘/只观察｜未取得可交叉核验的总进球主盘与水位，无可靠大小球倾向</x:v>
      </x:c>
      <x:c r="H573" s="65" t="str">
        <x:v>待确认首发、双方近5场/主客拆分与可靠亚洲双盘；任一市场欧赔&lt;1.80/港水&lt;0.80不进；盘口未核验前不进、不加仓</x:v>
      </x:c>
      <x:c r="I573" s="66" t="n">
        <x:v>46220.82152777778</x:v>
      </x:c>
      <x:c r="J573" s="65" t="str">
        <x:v>需复核</x:v>
      </x:c>
      <x:c r="K573" s="65"/>
      <x:c r="L573" s="65"/>
      <x:c r="M573" s="65"/>
      <x:c r="N573" s="67"/>
      <x:c r="O573" s="67"/>
      <x:c r="P573" s="67" t="str">
        <x:f>IF(COUNT(N573:O573)=0,"",SUM(N573:O573))</x:f>
      </x:c>
      <x:c r="Q573" s="65" t="str">
        <x:v>赛程/状态来源｜https://www.livescore.mobi/football/argentina/primera-c-2026/puerto-nuevo-vs-ca-fenix/1715291/；365Scores赛事ID —；查询时间：2026-07-17 19:43（北京时间）</x:v>
      </x:c>
      <x:c r="R57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4" ht="38" customHeight="1">
      <x:c r="A574" s="65" t="str">
        <x:f>IF(B574="","",TEXT(B574,"yyyy-mm-dd")&amp;"|"&amp;D574&amp;"|"&amp;E574)</x:f>
        <x:v>2026-07-18|中文名待确认（Motherwell）|中文名待确认（KRC Genk）</x:v>
      </x:c>
      <x:c r="B574" s="66" t="n">
        <x:v>46221.083333333336</x:v>
      </x:c>
      <x:c r="C574" s="65" t="str">
        <x:v>国际俱乐部友谊赛</x:v>
      </x:c>
      <x:c r="D574" s="65" t="str">
        <x:v>中文名待确认（Motherwell）</x:v>
      </x:c>
      <x:c r="E574" s="65" t="str">
        <x:v>中文名待确认（KRC Genk）</x:v>
      </x:c>
      <x:c r="F574" s="65" t="str">
        <x:v>无可靠让球盘/只观察｜现有可审计资料不足以形成可靠让球倾向</x:v>
      </x:c>
      <x:c r="G574" s="65" t="str">
        <x:v>无可靠大小球盘/只观察｜未取得可交叉核验的总进球主盘与水位，无可靠大小球倾向</x:v>
      </x:c>
      <x:c r="H574" s="65" t="str">
        <x:v>待确认首发、双方近5场/主客拆分与可靠亚洲双盘；任一市场欧赔&lt;1.80/港水&lt;0.80不进；盘口未核验前不进、不加仓</x:v>
      </x:c>
      <x:c r="I574" s="66" t="n">
        <x:v>46220.82152777778</x:v>
      </x:c>
      <x:c r="J574" s="65" t="str">
        <x:v>需复核</x:v>
      </x:c>
      <x:c r="K574" s="65"/>
      <x:c r="L574" s="65"/>
      <x:c r="M574" s="65"/>
      <x:c r="N574" s="67"/>
      <x:c r="O574" s="67"/>
      <x:c r="P574" s="67" t="str">
        <x:f>IF(COUNT(N574:O574)=0,"",SUM(N574:O574))</x:f>
      </x:c>
      <x:c r="Q574" s="65" t="str">
        <x:v>赛程/状态来源｜https://www.365scores.com/football/tomorrows-matches；https://www.livescore.mobi/football/club-friendlies/club-friendlies-2026/motherwell-vs-genk/1822109/；365Scores赛事ID 4767961；查询时间：2026-07-17 19:43（北京时间）</x:v>
      </x:c>
      <x:c r="R57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5" ht="38" customHeight="1">
      <x:c r="A575" s="65" t="str">
        <x:f>IF(B575="","",TEXT(B575,"yyyy-mm-dd")&amp;"|"&amp;D575&amp;"|"&amp;E575)</x:f>
        <x:v>2026-07-18|中文名待确认（CA Lugano）|中文名待确认（Sportivo Barracas）</x:v>
      </x:c>
      <x:c r="B575" s="66" t="n">
        <x:v>46221.083333333336</x:v>
      </x:c>
      <x:c r="C575" s="65" t="str">
        <x:v>阿根廷丙级联赛A区</x:v>
      </x:c>
      <x:c r="D575" s="65" t="str">
        <x:v>中文名待确认（CA Lugano）</x:v>
      </x:c>
      <x:c r="E575" s="65" t="str">
        <x:v>中文名待确认（Sportivo Barracas）</x:v>
      </x:c>
      <x:c r="F575" s="65" t="str">
        <x:v>无可靠让球盘/只观察｜现有可审计资料不足以形成可靠让球倾向</x:v>
      </x:c>
      <x:c r="G575" s="65" t="str">
        <x:v>无可靠大小球盘/只观察｜未取得可交叉核验的总进球主盘与水位，无可靠大小球倾向</x:v>
      </x:c>
      <x:c r="H575" s="65" t="str">
        <x:v>待确认首发、双方近5场/主客拆分与可靠亚洲双盘；任一市场欧赔&lt;1.80/港水&lt;0.80不进；盘口未核验前不进、不加仓</x:v>
      </x:c>
      <x:c r="I575" s="66" t="n">
        <x:v>46220.82152777778</x:v>
      </x:c>
      <x:c r="J575" s="65" t="str">
        <x:v>需复核</x:v>
      </x:c>
      <x:c r="K575" s="65"/>
      <x:c r="L575" s="65"/>
      <x:c r="M575" s="65"/>
      <x:c r="N575" s="67"/>
      <x:c r="O575" s="67"/>
      <x:c r="P575" s="67" t="str">
        <x:f>IF(COUNT(N575:O575)=0,"",SUM(N575:O575))</x:f>
      </x:c>
      <x:c r="Q575" s="65" t="str">
        <x:v>赛程/状态来源｜https://www.365scores.com/football/tomorrows-matches；https://www.livescore.mobi/football/argentina/primera-c-2026/lugano-vs-sportivo-barracas/1715510/；365Scores赛事ID 4639585；查询时间：2026-07-17 19:43（北京时间）</x:v>
      </x:c>
      <x:c r="R57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6" ht="38" customHeight="1">
      <x:c r="A576" s="65" t="str">
        <x:f>IF(B576="","",TEXT(B576,"yyyy-mm-dd")&amp;"|"&amp;D576&amp;"|"&amp;E576)</x:f>
        <x:v>2026-07-18|中文名待确认（Deportivo Maipu）|中文名待确认（Club Atletico San Martin (Tucuman)）</x:v>
      </x:c>
      <x:c r="B576" s="66" t="n">
        <x:v>46221.083333333336</x:v>
      </x:c>
      <x:c r="C576" s="65" t="str">
        <x:v>阿根廷全国联赛</x:v>
      </x:c>
      <x:c r="D576" s="65" t="str">
        <x:v>中文名待确认（Deportivo Maipu）</x:v>
      </x:c>
      <x:c r="E576" s="65" t="str">
        <x:v>中文名待确认（Club Atletico San Martin (Tucuman)）</x:v>
      </x:c>
      <x:c r="F576" s="65" t="str">
        <x:v>无可靠让球盘/只观察｜现有可审计资料不足以形成可靠让球倾向</x:v>
      </x:c>
      <x:c r="G576" s="65" t="str">
        <x:v>无可靠大小球盘/只观察｜未取得可交叉核验的总进球主盘与水位，无可靠大小球倾向</x:v>
      </x:c>
      <x:c r="H576" s="65" t="str">
        <x:v>待确认首发、双方近5场/主客拆分与可靠亚洲双盘；任一市场欧赔&lt;1.80/港水&lt;0.80不进；盘口未核验前不进、不加仓</x:v>
      </x:c>
      <x:c r="I576" s="66" t="n">
        <x:v>46220.82152777778</x:v>
      </x:c>
      <x:c r="J576" s="65" t="str">
        <x:v>需复核</x:v>
      </x:c>
      <x:c r="K576" s="65"/>
      <x:c r="L576" s="65"/>
      <x:c r="M576" s="65"/>
      <x:c r="N576" s="67"/>
      <x:c r="O576" s="67"/>
      <x:c r="P576" s="67" t="str">
        <x:f>IF(COUNT(N576:O576)=0,"",SUM(N576:O576))</x:f>
      </x:c>
      <x:c r="Q576" s="65" t="str">
        <x:v>赛程/状态来源｜https://www.365scores.com/football/tomorrows-matches；https://www.livescore.mobi/football/argentina/primera-nacional/deportivo-maipu-vs-san-martin-de-tucuman/1713025/；https://global.espn.com/football/scoreboard/_/date/20260718；365Scores赛事ID 4643961；查询时间：2026-07-17 19:43（北京时间）</x:v>
      </x:c>
      <x:c r="R57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7" ht="38" customHeight="1">
      <x:c r="A577" s="65" t="str">
        <x:f>IF(B577="","",TEXT(B577,"yyyy-mm-dd")&amp;"|"&amp;D577&amp;"|"&amp;E577)</x:f>
        <x:v>2026-07-18|中文名待确认（Deportivo Espanol）|中文名待确认（Victoriano Arenas）</x:v>
      </x:c>
      <x:c r="B577" s="66" t="n">
        <x:v>46221.083333333336</x:v>
      </x:c>
      <x:c r="C577" s="65" t="str">
        <x:v>阿根廷丙级联赛B区</x:v>
      </x:c>
      <x:c r="D577" s="65" t="str">
        <x:v>中文名待确认（Deportivo Espanol）</x:v>
      </x:c>
      <x:c r="E577" s="65" t="str">
        <x:v>中文名待确认（Victoriano Arenas）</x:v>
      </x:c>
      <x:c r="F577" s="65" t="str">
        <x:v>无可靠让球盘/只观察｜现有可审计资料不足以形成可靠让球倾向</x:v>
      </x:c>
      <x:c r="G577" s="65" t="str">
        <x:v>无可靠大小球盘/只观察｜未取得可交叉核验的总进球主盘与水位，无可靠大小球倾向</x:v>
      </x:c>
      <x:c r="H577" s="65" t="str">
        <x:v>待确认首发、双方近5场/主客拆分与可靠亚洲双盘；任一市场欧赔&lt;1.80/港水&lt;0.80不进；盘口未核验前不进、不加仓</x:v>
      </x:c>
      <x:c r="I577" s="66" t="n">
        <x:v>46220.82152777778</x:v>
      </x:c>
      <x:c r="J577" s="65" t="str">
        <x:v>需复核</x:v>
      </x:c>
      <x:c r="K577" s="65"/>
      <x:c r="L577" s="65"/>
      <x:c r="M577" s="65"/>
      <x:c r="N577" s="67"/>
      <x:c r="O577" s="67"/>
      <x:c r="P577" s="67" t="str">
        <x:f>IF(COUNT(N577:O577)=0,"",SUM(N577:O577))</x:f>
      </x:c>
      <x:c r="Q577" s="65" t="str">
        <x:v>赛程/状态来源｜https://www.365scores.com/football/tomorrows-matches；https://www.livescore.mobi/football/argentina/primera-c-2026/deportivo-espanol-vs-victoriano-arenas/1715493/；365Scores赛事ID 4639591；查询时间：2026-07-17 19:43（北京时间）</x:v>
      </x:c>
      <x:c r="R57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8" ht="38" customHeight="1">
      <x:c r="A578" s="65" t="str">
        <x:f>IF(B578="","",TEXT(B578,"yyyy-mm-dd")&amp;"|"&amp;D578&amp;"|"&amp;E578)</x:f>
        <x:v>2026-07-18|中文名待确认（Defensores Cambaceres）|中文名待确认（General Lamadrid）</x:v>
      </x:c>
      <x:c r="B578" s="66" t="n">
        <x:v>46221.083333333336</x:v>
      </x:c>
      <x:c r="C578" s="65" t="str">
        <x:v>阿根廷丙级联赛A区</x:v>
      </x:c>
      <x:c r="D578" s="65" t="str">
        <x:v>中文名待确认（Defensores Cambaceres）</x:v>
      </x:c>
      <x:c r="E578" s="65" t="str">
        <x:v>中文名待确认（General Lamadrid）</x:v>
      </x:c>
      <x:c r="F578" s="65" t="str">
        <x:v>无可靠让球盘/只观察｜现有可审计资料不足以形成可靠让球倾向</x:v>
      </x:c>
      <x:c r="G578" s="65" t="str">
        <x:v>无可靠大小球盘/只观察｜未取得可交叉核验的总进球主盘与水位，无可靠大小球倾向</x:v>
      </x:c>
      <x:c r="H578" s="65" t="str">
        <x:v>待确认首发、双方近5场/主客拆分与可靠亚洲双盘；任一市场欧赔&lt;1.80/港水&lt;0.80不进；盘口未核验前不进、不加仓</x:v>
      </x:c>
      <x:c r="I578" s="66" t="n">
        <x:v>46220.82152777778</x:v>
      </x:c>
      <x:c r="J578" s="65" t="str">
        <x:v>需复核</x:v>
      </x:c>
      <x:c r="K578" s="65"/>
      <x:c r="L578" s="65"/>
      <x:c r="M578" s="65"/>
      <x:c r="N578" s="67"/>
      <x:c r="O578" s="67"/>
      <x:c r="P578" s="67" t="str">
        <x:f>IF(COUNT(N578:O578)=0,"",SUM(N578:O578))</x:f>
      </x:c>
      <x:c r="Q578" s="65" t="str">
        <x:v>赛程/状态来源｜https://www.365scores.com/football/tomorrows-matches；https://www.livescore.mobi/football/argentina/primera-c-2026/defensores-de-cambaceres-vs-general-lamadrid/1715492/；365Scores赛事ID 4639589；查询时间：2026-07-17 19:43（北京时间）</x:v>
      </x:c>
      <x:c r="R57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79" ht="38" customHeight="1">
      <x:c r="A579" s="65" t="str">
        <x:f>IF(B579="","",TEXT(B579,"yyyy-mm-dd")&amp;"|"&amp;D579&amp;"|"&amp;E579)</x:f>
        <x:v>2026-07-18|中文名待确认（FK Crvena zvezda）|中文名待确认（Macva）</x:v>
      </x:c>
      <x:c r="B579" s="66" t="n">
        <x:v>46221.083333333336</x:v>
      </x:c>
      <x:c r="C579" s="65" t="str">
        <x:v>塞尔维亚超级联赛</x:v>
      </x:c>
      <x:c r="D579" s="65" t="str">
        <x:v>中文名待确认（FK Crvena zvezda）</x:v>
      </x:c>
      <x:c r="E579" s="65" t="str">
        <x:v>中文名待确认（Macva）</x:v>
      </x:c>
      <x:c r="F579" s="65" t="str">
        <x:v>无可靠让球盘/只观察｜现有可审计资料不足以形成可靠让球倾向</x:v>
      </x:c>
      <x:c r="G579" s="65" t="str">
        <x:v>无可靠大小球盘/只观察｜未取得可交叉核验的总进球主盘与水位，无可靠大小球倾向</x:v>
      </x:c>
      <x:c r="H579" s="65" t="str">
        <x:v>待确认首发、双方近5场/主客拆分与可靠亚洲双盘；任一市场欧赔&lt;1.80/港水&lt;0.80不进；盘口未核验前不进、不加仓</x:v>
      </x:c>
      <x:c r="I579" s="66" t="n">
        <x:v>46220.82152777778</x:v>
      </x:c>
      <x:c r="J579" s="65" t="str">
        <x:v>需复核</x:v>
      </x:c>
      <x:c r="K579" s="65"/>
      <x:c r="L579" s="65"/>
      <x:c r="M579" s="65"/>
      <x:c r="N579" s="67"/>
      <x:c r="O579" s="67"/>
      <x:c r="P579" s="67" t="str">
        <x:f>IF(COUNT(N579:O579)=0,"",SUM(N579:O579))</x:f>
      </x:c>
      <x:c r="Q579" s="65" t="str">
        <x:v>赛程/状态来源｜https://www.365scores.com/football/tomorrows-matches；https://www.livescore.mobi/football/serbia/super-liga/fk-crvena-zvezda-vs-macva-sabac/1799095/；365Scores赛事ID 4737668；查询时间：2026-07-17 19:43（北京时间）</x:v>
      </x:c>
      <x:c r="R57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0" ht="38" customHeight="1">
      <x:c r="A580" s="65" t="str">
        <x:f>IF(B580="","",TEXT(B580,"yyyy-mm-dd")&amp;"|"&amp;D580&amp;"|"&amp;E580)</x:f>
        <x:v>2026-07-18|中文名待确认（FC Cajamarca）|中文名待确认（Juan Pablo II College）</x:v>
      </x:c>
      <x:c r="B580" s="66" t="n">
        <x:v>46221.083333333336</x:v>
      </x:c>
      <x:c r="C580" s="65" t="str">
        <x:v>秘鲁甲级联赛（Clausura）</x:v>
      </x:c>
      <x:c r="D580" s="65" t="str">
        <x:v>中文名待确认（FC Cajamarca）</x:v>
      </x:c>
      <x:c r="E580" s="65" t="str">
        <x:v>中文名待确认（Juan Pablo II College）</x:v>
      </x:c>
      <x:c r="F580" s="65" t="str">
        <x:v>无可靠让球盘/只观察｜胜负价格仅弱倾向主队侧，不换算让球盘口</x:v>
      </x:c>
      <x:c r="G580" s="65" t="str">
        <x:v>无可靠大小球盘/只观察｜未取得可交叉核验的总进球主盘与水位，无可靠大小球倾向</x:v>
      </x:c>
      <x:c r="H580" s="65" t="str">
        <x:v>待确认首发、双方近5场/主客拆分与可靠亚洲双盘；任一市场欧赔&lt;1.80/港水&lt;0.80不进；盘口未核验前不进、不加仓</x:v>
      </x:c>
      <x:c r="I580" s="66" t="n">
        <x:v>46220.82152777778</x:v>
      </x:c>
      <x:c r="J580" s="65" t="str">
        <x:v>需复核</x:v>
      </x:c>
      <x:c r="K580" s="65"/>
      <x:c r="L580" s="65"/>
      <x:c r="M580" s="65"/>
      <x:c r="N580" s="67"/>
      <x:c r="O580" s="67"/>
      <x:c r="P580" s="67" t="str">
        <x:f>IF(COUNT(N580:O580)=0,"",SUM(N580:O580))</x:f>
      </x:c>
      <x:c r="Q580" s="65" t="str">
        <x:v>赛程/状态来源｜https://www.365scores.com/football/tomorrows-matches；https://www.livescore.mobi/football/peru/primera-division-clausura/fc-cajamarca-vs-adc-juan-pablo-ii/1806560/；https://global.espn.com/football/scoreboard/_/date/20260718；https://tipsterarea.com/match/fc-cajamarca-juan-pablo-ii-college-liga-1-peru-935451；365Scores赛事ID 4729734；查询时间：2026-07-17 19:43（北京时间）</x:v>
      </x:c>
      <x:c r="R58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2.04/3.42/3.20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1" ht="38" customHeight="1">
      <x:c r="A581" s="65" t="str">
        <x:f>IF(B581="","",TEXT(B581,"yyyy-mm-dd")&amp;"|"&amp;D581&amp;"|"&amp;E581)</x:f>
        <x:v>2026-07-18|中文名待确认（Bromley）|西布罗姆维奇（West Bromwich Albion）</x:v>
      </x:c>
      <x:c r="B581" s="66" t="n">
        <x:v>46221.083333333336</x:v>
      </x:c>
      <x:c r="C581" s="65" t="str">
        <x:v>国际俱乐部友谊赛</x:v>
      </x:c>
      <x:c r="D581" s="65" t="str">
        <x:v>中文名待确认（Bromley）</x:v>
      </x:c>
      <x:c r="E581" s="65" t="str">
        <x:v>西布罗姆维奇（West Bromwich Albion）</x:v>
      </x:c>
      <x:c r="F581" s="65" t="str">
        <x:v>无可靠让球盘/只观察｜现有可审计资料不足以形成可靠让球倾向</x:v>
      </x:c>
      <x:c r="G581" s="65" t="str">
        <x:v>无可靠大小球盘/只观察｜未取得可交叉核验的总进球主盘与水位，无可靠大小球倾向</x:v>
      </x:c>
      <x:c r="H581" s="65" t="str">
        <x:v>待确认首发、双方近5场/主客拆分与可靠亚洲双盘；任一市场欧赔&lt;1.80/港水&lt;0.80不进；盘口未核验前不进、不加仓</x:v>
      </x:c>
      <x:c r="I581" s="66" t="n">
        <x:v>46220.82152777778</x:v>
      </x:c>
      <x:c r="J581" s="65" t="str">
        <x:v>需复核</x:v>
      </x:c>
      <x:c r="K581" s="65"/>
      <x:c r="L581" s="65"/>
      <x:c r="M581" s="65"/>
      <x:c r="N581" s="67"/>
      <x:c r="O581" s="67"/>
      <x:c r="P581" s="67" t="str">
        <x:f>IF(COUNT(N581:O581)=0,"",SUM(N581:O581))</x:f>
      </x:c>
      <x:c r="Q581" s="65" t="str">
        <x:v>赛程/状态来源｜https://www.livescore.mobi/football/club-friendlies/club-friendlies-2026/bromley-vs-west-bromwich-albion/1834961/；365Scores赛事ID —；查询时间：2026-07-17 19:43（北京时间）</x:v>
      </x:c>
      <x:c r="R58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2" ht="38" customHeight="1">
      <x:c r="A582" s="65" t="str">
        <x:f>IF(B582="","",TEXT(B582,"yyyy-mm-dd")&amp;"|"&amp;D582&amp;"|"&amp;E582)</x:f>
        <x:v>2026-07-18|中文名待确认（Boreham Wood）|阿森纳（Arsenal）</x:v>
      </x:c>
      <x:c r="B582" s="66" t="n">
        <x:v>46221.083333333336</x:v>
      </x:c>
      <x:c r="C582" s="65" t="str">
        <x:v>国际俱乐部友谊赛</x:v>
      </x:c>
      <x:c r="D582" s="65" t="str">
        <x:v>中文名待确认（Boreham Wood）</x:v>
      </x:c>
      <x:c r="E582" s="65" t="str">
        <x:v>阿森纳（Arsenal）</x:v>
      </x:c>
      <x:c r="F582" s="65" t="str">
        <x:v>无可靠让球盘/只观察｜现有可审计资料不足以形成可靠让球倾向</x:v>
      </x:c>
      <x:c r="G582" s="65" t="str">
        <x:v>无可靠大小球盘/只观察｜未取得可交叉核验的总进球主盘与水位，无可靠大小球倾向</x:v>
      </x:c>
      <x:c r="H582" s="65" t="str">
        <x:v>待确认首发、双方近5场/主客拆分与可靠亚洲双盘；任一市场欧赔&lt;1.80/港水&lt;0.80不进；盘口未核验前不进、不加仓</x:v>
      </x:c>
      <x:c r="I582" s="66" t="n">
        <x:v>46220.82152777778</x:v>
      </x:c>
      <x:c r="J582" s="65" t="str">
        <x:v>需复核</x:v>
      </x:c>
      <x:c r="K582" s="65"/>
      <x:c r="L582" s="65"/>
      <x:c r="M582" s="65"/>
      <x:c r="N582" s="67"/>
      <x:c r="O582" s="67"/>
      <x:c r="P582" s="67" t="str">
        <x:f>IF(COUNT(N582:O582)=0,"",SUM(N582:O582))</x:f>
      </x:c>
      <x:c r="Q582" s="65" t="str">
        <x:v>赛程/状态来源｜https://www.365scores.com/football/tomorrows-matches；365Scores赛事ID 4769485；查询时间：2026-07-17 19:43（北京时间）</x:v>
      </x:c>
      <x:c r="R58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3" ht="38" customHeight="1">
      <x:c r="A583" s="65" t="str">
        <x:f>IF(B583="","",TEXT(B583,"yyyy-mm-dd")&amp;"|"&amp;D583&amp;"|"&amp;E583)</x:f>
        <x:v>2026-07-18|中文名待确认（Austria Vienna）|帕克斯（Paksi）</x:v>
      </x:c>
      <x:c r="B583" s="66" t="n">
        <x:v>46221.083333333336</x:v>
      </x:c>
      <x:c r="C583" s="65" t="str">
        <x:v>国际俱乐部友谊赛</x:v>
      </x:c>
      <x:c r="D583" s="65" t="str">
        <x:v>中文名待确认（Austria Vienna）</x:v>
      </x:c>
      <x:c r="E583" s="65" t="str">
        <x:v>帕克斯（Paksi）</x:v>
      </x:c>
      <x:c r="F583" s="65" t="str">
        <x:v>无可靠让球盘/只观察｜现有可审计资料不足以形成可靠让球倾向</x:v>
      </x:c>
      <x:c r="G583" s="65" t="str">
        <x:v>无可靠大小球盘/只观察｜未取得可交叉核验的总进球主盘与水位，无可靠大小球倾向</x:v>
      </x:c>
      <x:c r="H583" s="65" t="str">
        <x:v>待确认首发、双方近5场/主客拆分与可靠亚洲双盘；任一市场欧赔&lt;1.80/港水&lt;0.80不进；盘口未核验前不进、不加仓</x:v>
      </x:c>
      <x:c r="I583" s="66" t="n">
        <x:v>46220.82152777778</x:v>
      </x:c>
      <x:c r="J583" s="65" t="str">
        <x:v>需复核</x:v>
      </x:c>
      <x:c r="K583" s="65"/>
      <x:c r="L583" s="65"/>
      <x:c r="M583" s="65"/>
      <x:c r="N583" s="67"/>
      <x:c r="O583" s="67"/>
      <x:c r="P583" s="67" t="str">
        <x:f>IF(COUNT(N583:O583)=0,"",SUM(N583:O583))</x:f>
      </x:c>
      <x:c r="Q583" s="65" t="str">
        <x:v>赛程/状态来源｜https://www.365scores.com/football/tomorrows-matches；https://www.livescore.mobi/football/club-friendlies/club-friendlies-2026/austria-wien-vs-paksi-se/1836419/；365Scores赛事ID 4767958；查询时间：2026-07-17 19:43（北京时间）</x:v>
      </x:c>
      <x:c r="R58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4" ht="38" customHeight="1">
      <x:c r="A584" s="65" t="str">
        <x:f>IF(B584="","",TEXT(B584,"yyyy-mm-dd")&amp;"|"&amp;D584&amp;"|"&amp;E584)</x:f>
        <x:v>2026-07-18|中文名待确认（Club Atlético Belgrano (Zarate)）|中文名待确认（Alumni (Los Hornos)）</x:v>
      </x:c>
      <x:c r="B584" s="66" t="n">
        <x:v>46221.083333333336</x:v>
      </x:c>
      <x:c r="C584" s="65" t="str">
        <x:v>阿根廷业余晋级联赛</x:v>
      </x:c>
      <x:c r="D584" s="65" t="str">
        <x:v>中文名待确认（Club Atlético Belgrano (Zarate)）</x:v>
      </x:c>
      <x:c r="E584" s="65" t="str">
        <x:v>中文名待确认（Alumni (Los Hornos)）</x:v>
      </x:c>
      <x:c r="F584" s="65" t="str">
        <x:v>无可靠让球盘/只观察｜现有可审计资料不足以形成可靠让球倾向</x:v>
      </x:c>
      <x:c r="G584" s="65" t="str">
        <x:v>无可靠大小球盘/只观察｜未取得可交叉核验的总进球主盘与水位，无可靠大小球倾向</x:v>
      </x:c>
      <x:c r="H584" s="65" t="str">
        <x:v>待确认首发、双方近5场/主客拆分与可靠亚洲双盘；任一市场欧赔&lt;1.80/港水&lt;0.80不进；盘口未核验前不进、不加仓</x:v>
      </x:c>
      <x:c r="I584" s="66" t="n">
        <x:v>46220.82152777778</x:v>
      </x:c>
      <x:c r="J584" s="65" t="str">
        <x:v>需复核</x:v>
      </x:c>
      <x:c r="K584" s="65"/>
      <x:c r="L584" s="65"/>
      <x:c r="M584" s="65"/>
      <x:c r="N584" s="67"/>
      <x:c r="O584" s="67"/>
      <x:c r="P584" s="67" t="str">
        <x:f>IF(COUNT(N584:O584)=0,"",SUM(N584:O584))</x:f>
      </x:c>
      <x:c r="Q584" s="65" t="str">
        <x:v>赛程/状态来源｜https://www.365scores.com/football/tomorrows-matches；365Scores赛事ID 4731838；查询时间：2026-07-17 19:43（北京时间）</x:v>
      </x:c>
      <x:c r="R58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5" ht="38" customHeight="1">
      <x:c r="A585" s="65" t="str">
        <x:f>IF(B585="","",TEXT(B585,"yyyy-mm-dd")&amp;"|"&amp;D585&amp;"|"&amp;E585)</x:f>
        <x:v>2026-07-18|中文名待确认（Almirante Brown）|中文名待确认（Estudiantes Buenos Aires）</x:v>
      </x:c>
      <x:c r="B585" s="66" t="n">
        <x:v>46221.083333333336</x:v>
      </x:c>
      <x:c r="C585" s="65" t="str">
        <x:v>阿根廷全国联赛</x:v>
      </x:c>
      <x:c r="D585" s="65" t="str">
        <x:v>中文名待确认（Almirante Brown）</x:v>
      </x:c>
      <x:c r="E585" s="65" t="str">
        <x:v>中文名待确认（Estudiantes Buenos Aires）</x:v>
      </x:c>
      <x:c r="F585" s="65" t="str">
        <x:v>无可靠让球盘/只观察｜胜负价格仅弱倾向主队侧，不换算让球盘口</x:v>
      </x:c>
      <x:c r="G585" s="65" t="str">
        <x:v>无可靠大小球盘/只观察｜未取得可交叉核验的总进球主盘与水位，无可靠大小球倾向</x:v>
      </x:c>
      <x:c r="H585" s="65" t="str">
        <x:v>待确认首发、双方近5场/主客拆分与可靠亚洲双盘；任一市场欧赔&lt;1.80/港水&lt;0.80不进；盘口未核验前不进、不加仓</x:v>
      </x:c>
      <x:c r="I585" s="66" t="n">
        <x:v>46220.82152777778</x:v>
      </x:c>
      <x:c r="J585" s="65" t="str">
        <x:v>需复核</x:v>
      </x:c>
      <x:c r="K585" s="65"/>
      <x:c r="L585" s="65"/>
      <x:c r="M585" s="65"/>
      <x:c r="N585" s="67"/>
      <x:c r="O585" s="67"/>
      <x:c r="P585" s="67" t="str">
        <x:f>IF(COUNT(N585:O585)=0,"",SUM(N585:O585))</x:f>
      </x:c>
      <x:c r="Q585" s="65" t="str">
        <x:v>赛程/状态来源｜https://www.365scores.com/football/tomorrows-matches；https://global.espn.com/football/scoreboard/_/date/20260718；https://tipsterarea.com/match/almirante-brown-estudiantes-buenos-aires-primera-nacional-argentina-935491；365Scores赛事ID 4643949；查询时间：2026-07-17 19:43（北京时间）</x:v>
      </x:c>
      <x:c r="R58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2.59/2.55/3.14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6" ht="38" customHeight="1">
      <x:c r="A586" s="65" t="str">
        <x:f>IF(B586="","",TEXT(B586,"yyyy-mm-dd")&amp;"|"&amp;D586&amp;"|"&amp;E586)</x:f>
        <x:v>2026-07-18|中文名待确认（Almirante Brown）|中文名待确认（Club Atletico Estudiantes）</x:v>
      </x:c>
      <x:c r="B586" s="66" t="n">
        <x:v>46221.083333333336</x:v>
      </x:c>
      <x:c r="C586" s="65" t="str">
        <x:v>阿根廷全国联赛</x:v>
      </x:c>
      <x:c r="D586" s="65" t="str">
        <x:v>中文名待确认（Almirante Brown）</x:v>
      </x:c>
      <x:c r="E586" s="65" t="str">
        <x:v>中文名待确认（Club Atletico Estudiantes）</x:v>
      </x:c>
      <x:c r="F586" s="65" t="str">
        <x:v>无可靠让球盘/只观察｜现有可审计资料不足以形成可靠让球倾向</x:v>
      </x:c>
      <x:c r="G586" s="65" t="str">
        <x:v>无可靠大小球盘/只观察｜未取得可交叉核验的总进球主盘与水位，无可靠大小球倾向</x:v>
      </x:c>
      <x:c r="H586" s="65" t="str">
        <x:v>待确认首发、双方近5场/主客拆分与可靠亚洲双盘；任一市场欧赔&lt;1.80/港水&lt;0.80不进；盘口未核验前不进、不加仓</x:v>
      </x:c>
      <x:c r="I586" s="66" t="n">
        <x:v>46220.82152777778</x:v>
      </x:c>
      <x:c r="J586" s="65" t="str">
        <x:v>需复核</x:v>
      </x:c>
      <x:c r="K586" s="65"/>
      <x:c r="L586" s="65"/>
      <x:c r="M586" s="65"/>
      <x:c r="N586" s="67"/>
      <x:c r="O586" s="67"/>
      <x:c r="P586" s="67" t="str">
        <x:f>IF(COUNT(N586:O586)=0,"",SUM(N586:O586))</x:f>
      </x:c>
      <x:c r="Q586" s="65" t="str">
        <x:v>赛程/状态来源｜https://www.livescore.mobi/football/argentina/primera-nacional/almirante-brown-vs-club-atletico-estudiantes/1713343/；365Scores赛事ID —；查询时间：2026-07-17 19:43（北京时间）</x:v>
      </x:c>
      <x:c r="R58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7" ht="38" customHeight="1">
      <x:c r="A587" s="65" t="str">
        <x:f>IF(B587="","",TEXT(B587,"yyyy-mm-dd")&amp;"|"&amp;D587&amp;"|"&amp;E587)</x:f>
        <x:v>2026-07-18|中文名待确认（Alfreton）|中文名待确认（Derby）</x:v>
      </x:c>
      <x:c r="B587" s="66" t="n">
        <x:v>46221.083333333336</x:v>
      </x:c>
      <x:c r="C587" s="65" t="str">
        <x:v>国际俱乐部友谊赛</x:v>
      </x:c>
      <x:c r="D587" s="65" t="str">
        <x:v>中文名待确认（Alfreton）</x:v>
      </x:c>
      <x:c r="E587" s="65" t="str">
        <x:v>中文名待确认（Derby）</x:v>
      </x:c>
      <x:c r="F587" s="65" t="str">
        <x:v>无可靠让球盘/只观察｜现有可审计资料不足以形成可靠让球倾向</x:v>
      </x:c>
      <x:c r="G587" s="65" t="str">
        <x:v>无可靠大小球盘/只观察｜未取得可交叉核验的总进球主盘与水位，无可靠大小球倾向</x:v>
      </x:c>
      <x:c r="H587" s="65" t="str">
        <x:v>待确认首发、双方近5场/主客拆分与可靠亚洲双盘；任一市场欧赔&lt;1.80/港水&lt;0.80不进；盘口未核验前不进、不加仓</x:v>
      </x:c>
      <x:c r="I587" s="66" t="n">
        <x:v>46220.82152777778</x:v>
      </x:c>
      <x:c r="J587" s="65" t="str">
        <x:v>需复核</x:v>
      </x:c>
      <x:c r="K587" s="65"/>
      <x:c r="L587" s="65"/>
      <x:c r="M587" s="65"/>
      <x:c r="N587" s="67"/>
      <x:c r="O587" s="67"/>
      <x:c r="P587" s="67" t="str">
        <x:f>IF(COUNT(N587:O587)=0,"",SUM(N587:O587))</x:f>
      </x:c>
      <x:c r="Q587" s="65" t="str">
        <x:v>赛程/状态来源｜https://www.365scores.com/football/tomorrows-matches；https://www.livescore.mobi/football/club-friendlies/club-friendlies-2026/alfreton-town-vs-derby-county/1834956/；365Scores赛事ID 4767959；查询时间：2026-07-17 19:43（北京时间）</x:v>
      </x:c>
      <x:c r="R58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8" ht="38" customHeight="1">
      <x:c r="A588" s="65" t="str">
        <x:f>IF(B588="","",TEXT(B588,"yyyy-mm-dd")&amp;"|"&amp;D588&amp;"|"&amp;E588)</x:f>
        <x:v>2026-07-18|中文名待确认（Albion）|中文名待确认（Juventud）</x:v>
      </x:c>
      <x:c r="B588" s="66" t="n">
        <x:v>46221.083333333336</x:v>
      </x:c>
      <x:c r="C588" s="65" t="str">
        <x:v>乌拉圭甲级联赛中间轮</x:v>
      </x:c>
      <x:c r="D588" s="65" t="str">
        <x:v>中文名待确认（Albion）</x:v>
      </x:c>
      <x:c r="E588" s="65" t="str">
        <x:v>中文名待确认（Juventud）</x:v>
      </x:c>
      <x:c r="F588" s="65" t="str">
        <x:v>无可靠让球盘/只观察｜现有可审计资料不足以形成可靠让球倾向</x:v>
      </x:c>
      <x:c r="G588" s="65" t="str">
        <x:v>无可靠大小球盘/只观察｜未取得可交叉核验的总进球主盘与水位，无可靠大小球倾向</x:v>
      </x:c>
      <x:c r="H588" s="65" t="str">
        <x:v>待确认首发、双方近5场/主客拆分与可靠亚洲双盘；任一市场欧赔&lt;1.80/港水&lt;0.80不进；盘口未核验前不进、不加仓</x:v>
      </x:c>
      <x:c r="I588" s="66" t="n">
        <x:v>46220.82152777778</x:v>
      </x:c>
      <x:c r="J588" s="65" t="str">
        <x:v>需复核</x:v>
      </x:c>
      <x:c r="K588" s="65"/>
      <x:c r="L588" s="65"/>
      <x:c r="M588" s="65"/>
      <x:c r="N588" s="67"/>
      <x:c r="O588" s="67"/>
      <x:c r="P588" s="67" t="str">
        <x:f>IF(COUNT(N588:O588)=0,"",SUM(N588:O588))</x:f>
      </x:c>
      <x:c r="Q588" s="65" t="str">
        <x:v>赛程/状态来源｜https://www.365scores.com/football/tomorrows-matches；https://www.livescore.mobi/football/uruguay/primera-division-intermedio-group-b/albion-vs-juventud-de-las-piedras/1817339/；https://global.espn.com/football/scoreboard/_/date/20260718；365Scores赛事ID 4714444；查询时间：2026-07-17 19:43（北京时间）</x:v>
      </x:c>
      <x:c r="R58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89" ht="38" customHeight="1">
      <x:c r="A589" s="65" t="str">
        <x:f>IF(B589="","",TEXT(B589,"yyyy-mm-dd")&amp;"|"&amp;D589&amp;"|"&amp;E589)</x:f>
        <x:v>2026-07-18|莱昂（León）|阿特拉斯（Atlas）</x:v>
      </x:c>
      <x:c r="B589" s="66" t="n">
        <x:v>46221.0625</x:v>
      </x:c>
      <x:c r="C589" s="65" t="str">
        <x:v>墨西哥U19联赛（Apertura）</x:v>
      </x:c>
      <x:c r="D589" s="65" t="str">
        <x:v>莱昂（León）</x:v>
      </x:c>
      <x:c r="E589" s="65" t="str">
        <x:v>阿特拉斯（Atlas）</x:v>
      </x:c>
      <x:c r="F589" s="65" t="str">
        <x:v>无可靠让球盘/只观察｜现有可审计资料不足以形成可靠让球倾向</x:v>
      </x:c>
      <x:c r="G589" s="65" t="str">
        <x:v>无可靠大小球盘/只观察｜未取得可交叉核验的总进球主盘与水位，无可靠大小球倾向</x:v>
      </x:c>
      <x:c r="H589" s="65" t="str">
        <x:v>待确认首发、双方近5场/主客拆分与可靠亚洲双盘；任一市场欧赔&lt;1.80/港水&lt;0.80不进；盘口未核验前不进、不加仓</x:v>
      </x:c>
      <x:c r="I589" s="66" t="n">
        <x:v>46220.82152777778</x:v>
      </x:c>
      <x:c r="J589" s="65" t="str">
        <x:v>需复核</x:v>
      </x:c>
      <x:c r="K589" s="65"/>
      <x:c r="L589" s="65"/>
      <x:c r="M589" s="65"/>
      <x:c r="N589" s="67"/>
      <x:c r="O589" s="67"/>
      <x:c r="P589" s="67" t="str">
        <x:f>IF(COUNT(N589:O589)=0,"",SUM(N589:O589))</x:f>
      </x:c>
      <x:c r="Q589" s="65" t="str">
        <x:v>赛程/状态来源｜https://www.365scores.com/football/tomorrows-matches；365Scores赛事ID 4761287；查询时间：2026-07-17 19:43（北京时间）</x:v>
      </x:c>
      <x:c r="R589" s="65" t="str">
        <x:v>证据卡：青年赛事，阵容变化和样本波动高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0" ht="38" customHeight="1">
      <x:c r="A590" s="65" t="str">
        <x:f>IF(B590="","",TEXT(B590,"yyyy-mm-dd")&amp;"|"&amp;D590&amp;"|"&amp;E590)</x:f>
        <x:v>2026-07-18|华雷斯（FC Juárez）|普布埃拉（Puebla）</x:v>
      </x:c>
      <x:c r="B590" s="66" t="n">
        <x:v>46221.0625</x:v>
      </x:c>
      <x:c r="C590" s="65" t="str">
        <x:v>墨西哥U19联赛（Apertura）</x:v>
      </x:c>
      <x:c r="D590" s="65" t="str">
        <x:v>华雷斯（FC Juárez）</x:v>
      </x:c>
      <x:c r="E590" s="65" t="str">
        <x:v>普布埃拉（Puebla）</x:v>
      </x:c>
      <x:c r="F590" s="65" t="str">
        <x:v>无可靠让球盘/只观察｜胜负价格仅弱倾向主队侧，不换算让球盘口</x:v>
      </x:c>
      <x:c r="G590" s="65" t="str">
        <x:v>无可靠大小球盘/只观察｜未取得可交叉核验的总进球主盘与水位，无可靠大小球倾向</x:v>
      </x:c>
      <x:c r="H590" s="65" t="str">
        <x:v>待确认首发、双方近5场/主客拆分与可靠亚洲双盘；任一市场欧赔&lt;1.80/港水&lt;0.80不进；盘口未核验前不进、不加仓</x:v>
      </x:c>
      <x:c r="I590" s="66" t="n">
        <x:v>46220.82152777778</x:v>
      </x:c>
      <x:c r="J590" s="65" t="str">
        <x:v>需复核</x:v>
      </x:c>
      <x:c r="K590" s="65"/>
      <x:c r="L590" s="65"/>
      <x:c r="M590" s="65"/>
      <x:c r="N590" s="67"/>
      <x:c r="O590" s="67"/>
      <x:c r="P590" s="67" t="str">
        <x:f>IF(COUNT(N590:O590)=0,"",SUM(N590:O590))</x:f>
      </x:c>
      <x:c r="Q590" s="65" t="str">
        <x:v>赛程/状态来源｜https://www.365scores.com/football/tomorrows-matches；https://tipsterarea.com/match/juarez-puebla-liga-mx-mexico-935517；365Scores赛事ID 4761286；查询时间：2026-07-17 19:43（北京时间）</x:v>
      </x:c>
      <x:c r="R590" s="65" t="str">
        <x:v>证据卡：青年赛事，阵容变化和样本波动高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1.65/3.90/4.78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1" ht="38" customHeight="1">
      <x:c r="A591" s="65" t="str">
        <x:f>IF(B591="","",TEXT(B591,"yyyy-mm-dd")&amp;"|"&amp;D591&amp;"|"&amp;E591)</x:f>
        <x:v>2026-07-18|圣路易斯（Atlético San Luis）|蓝十字（Cruz Azul）</x:v>
      </x:c>
      <x:c r="B591" s="66" t="n">
        <x:v>46221.0625</x:v>
      </x:c>
      <x:c r="C591" s="65" t="str">
        <x:v>墨西哥U19联赛（Apertura）</x:v>
      </x:c>
      <x:c r="D591" s="65" t="str">
        <x:v>圣路易斯（Atlético San Luis）</x:v>
      </x:c>
      <x:c r="E591" s="65" t="str">
        <x:v>蓝十字（Cruz Azul）</x:v>
      </x:c>
      <x:c r="F591" s="65" t="str">
        <x:v>无可靠让球盘/只观察｜胜负价格仅弱倾向客队侧，不换算让球盘口</x:v>
      </x:c>
      <x:c r="G591" s="65" t="str">
        <x:v>无可靠大小球盘/只观察｜未取得可交叉核验的总进球主盘与水位，无可靠大小球倾向</x:v>
      </x:c>
      <x:c r="H591" s="65" t="str">
        <x:v>待确认首发、双方近5场/主客拆分与可靠亚洲双盘；任一市场欧赔&lt;1.80/港水&lt;0.80不进；盘口未核验前不进、不加仓</x:v>
      </x:c>
      <x:c r="I591" s="66" t="n">
        <x:v>46220.82152777778</x:v>
      </x:c>
      <x:c r="J591" s="65" t="str">
        <x:v>需复核</x:v>
      </x:c>
      <x:c r="K591" s="65"/>
      <x:c r="L591" s="65"/>
      <x:c r="M591" s="65"/>
      <x:c r="N591" s="67"/>
      <x:c r="O591" s="67"/>
      <x:c r="P591" s="67" t="str">
        <x:f>IF(COUNT(N591:O591)=0,"",SUM(N591:O591))</x:f>
      </x:c>
      <x:c r="Q591" s="65" t="str">
        <x:v>赛程/状态来源｜https://www.365scores.com/football/tomorrows-matches；https://tipsterarea.com/match/atletico-san-luis-cruz-azul-liga-mx-mexico-935515；365Scores赛事ID 4761288；查询时间：2026-07-17 19:43（北京时间）</x:v>
      </x:c>
      <x:c r="R591" s="65" t="str">
        <x:v>证据卡：青年赛事，阵容变化和样本波动高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3.85/3.64/1.86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2" ht="38" customHeight="1">
      <x:c r="A592" s="65" t="str">
        <x:f>IF(B592="","",TEXT(B592,"yyyy-mm-dd")&amp;"|"&amp;D592&amp;"|"&amp;E592)</x:f>
        <x:v>2026-07-18|中文名待确认（Bodo Glimt）|中文名待确认（Fredrikstad）</x:v>
      </x:c>
      <x:c r="B592" s="66" t="n">
        <x:v>46221.052083333336</x:v>
      </x:c>
      <x:c r="C592" s="65" t="str">
        <x:v>挪威超级联赛（Eliteserien）</x:v>
      </x:c>
      <x:c r="D592" s="65" t="str">
        <x:v>中文名待确认（Bodo Glimt）</x:v>
      </x:c>
      <x:c r="E592" s="65" t="str">
        <x:v>中文名待确认（Fredrikstad）</x:v>
      </x:c>
      <x:c r="F592" s="65" t="str">
        <x:v>无可靠让球盘/只观察｜胜负价格仅弱倾向主队侧，不换算让球盘口</x:v>
      </x:c>
      <x:c r="G592" s="65" t="str">
        <x:v>无可靠大小球盘/只观察｜未取得可交叉核验的总进球主盘与水位，无可靠大小球倾向</x:v>
      </x:c>
      <x:c r="H592" s="65" t="str">
        <x:v>待确认首发、双方近5场/主客拆分与可靠亚洲双盘；任一市场欧赔&lt;1.80/港水&lt;0.80不进；盘口未核验前不进、不加仓</x:v>
      </x:c>
      <x:c r="I592" s="66" t="n">
        <x:v>46220.82152777778</x:v>
      </x:c>
      <x:c r="J592" s="65" t="str">
        <x:v>需复核</x:v>
      </x:c>
      <x:c r="K592" s="65"/>
      <x:c r="L592" s="65"/>
      <x:c r="M592" s="65"/>
      <x:c r="N592" s="67"/>
      <x:c r="O592" s="67"/>
      <x:c r="P592" s="67" t="str">
        <x:f>IF(COUNT(N592:O592)=0,"",SUM(N592:O592))</x:f>
      </x:c>
      <x:c r="Q592" s="65" t="str">
        <x:v>赛程/状态来源｜https://www.365scores.com/football/tomorrows-matches；https://www.livescore.mobi/football/norway/eliteserien/bodoeglimt-vs-fredrikstad/1709202/；https://global.espn.com/football/scoreboard/_/date/20260718；https://tipsterarea.com/match/bodo-glimt-fredrikstad-eliteserien-norway-935407；365Scores赛事ID 4637334；查询时间：2026-07-17 19:43（北京时间）</x:v>
      </x:c>
      <x:c r="R59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1.14/8.66/15.15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3" ht="38" customHeight="1">
      <x:c r="A593" s="65" t="str">
        <x:f>IF(B593="","",TEXT(B593,"yyyy-mm-dd")&amp;"|"&amp;D593&amp;"|"&amp;E593)</x:f>
        <x:v>2026-07-18|中文名待确认（FC Winterthur）|柏林联合（Union Berlin）</x:v>
      </x:c>
      <x:c r="B593" s="66" t="n">
        <x:v>46221.041666666664</x:v>
      </x:c>
      <x:c r="C593" s="65" t="str">
        <x:v>国际俱乐部友谊赛</x:v>
      </x:c>
      <x:c r="D593" s="65" t="str">
        <x:v>中文名待确认（FC Winterthur）</x:v>
      </x:c>
      <x:c r="E593" s="65" t="str">
        <x:v>柏林联合（Union Berlin）</x:v>
      </x:c>
      <x:c r="F593" s="65" t="str">
        <x:v>无可靠让球盘/只观察｜胜负价格仅弱倾向客队侧，不换算让球盘口</x:v>
      </x:c>
      <x:c r="G593" s="65" t="str">
        <x:v>无可靠大小球盘/只观察｜未取得可交叉核验的总进球主盘与水位，无可靠大小球倾向</x:v>
      </x:c>
      <x:c r="H593" s="65" t="str">
        <x:v>待确认首发、双方近5场/主客拆分与可靠亚洲双盘；任一市场欧赔&lt;1.80/港水&lt;0.80不进；盘口未核验前不进、不加仓</x:v>
      </x:c>
      <x:c r="I593" s="66" t="n">
        <x:v>46220.82152777778</x:v>
      </x:c>
      <x:c r="J593" s="65" t="str">
        <x:v>需复核</x:v>
      </x:c>
      <x:c r="K593" s="65"/>
      <x:c r="L593" s="65"/>
      <x:c r="M593" s="65"/>
      <x:c r="N593" s="67"/>
      <x:c r="O593" s="67"/>
      <x:c r="P593" s="67" t="str">
        <x:f>IF(COUNT(N593:O593)=0,"",SUM(N593:O593))</x:f>
      </x:c>
      <x:c r="Q593" s="65" t="str">
        <x:v>赛程/状态来源｜https://www.365scores.com/football/tomorrows-matches；https://www.livescore.mobi/football/club-friendlies/club-friendlies-2026/winterthur-vs-union-berlin/1821712/；https://tipsterarea.com/match/winterthur-union-berlin-club-friendly-935433；365Scores赛事ID 4767971；查询时间：2026-07-17 19:43（北京时间）</x:v>
      </x:c>
      <x:c r="R59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5.47/4.69/1.44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4" ht="38" customHeight="1">
      <x:c r="A594" s="65" t="str">
        <x:f>IF(B594="","",TEXT(B594,"yyyy-mm-dd")&amp;"|"&amp;D594&amp;"|"&amp;E594)</x:f>
        <x:v>2026-07-18|中文名待确认（FC Utrecht）|长崎成功丸（V-Varen Nagasaki）</x:v>
      </x:c>
      <x:c r="B594" s="66" t="n">
        <x:v>46221.041666666664</x:v>
      </x:c>
      <x:c r="C594" s="65" t="str">
        <x:v>国际俱乐部友谊赛</x:v>
      </x:c>
      <x:c r="D594" s="65" t="str">
        <x:v>中文名待确认（FC Utrecht）</x:v>
      </x:c>
      <x:c r="E594" s="65" t="str">
        <x:v>长崎成功丸（V-Varen Nagasaki）</x:v>
      </x:c>
      <x:c r="F594" s="65" t="str">
        <x:v>无可靠让球盘/只观察｜现有可审计资料不足以形成可靠让球倾向</x:v>
      </x:c>
      <x:c r="G594" s="65" t="str">
        <x:v>无可靠大小球盘/只观察｜未取得可交叉核验的总进球主盘与水位，无可靠大小球倾向</x:v>
      </x:c>
      <x:c r="H594" s="65" t="str">
        <x:v>待确认首发、双方近5场/主客拆分与可靠亚洲双盘；任一市场欧赔&lt;1.80/港水&lt;0.80不进；盘口未核验前不进、不加仓</x:v>
      </x:c>
      <x:c r="I594" s="66" t="n">
        <x:v>46220.82152777778</x:v>
      </x:c>
      <x:c r="J594" s="65" t="str">
        <x:v>需复核</x:v>
      </x:c>
      <x:c r="K594" s="65"/>
      <x:c r="L594" s="65"/>
      <x:c r="M594" s="65"/>
      <x:c r="N594" s="67"/>
      <x:c r="O594" s="67"/>
      <x:c r="P594" s="67" t="str">
        <x:f>IF(COUNT(N594:O594)=0,"",SUM(N594:O594))</x:f>
      </x:c>
      <x:c r="Q594" s="65" t="str">
        <x:v>赛程/状态来源｜https://www.livescore.mobi/football/club-friendlies/club-friendlies-2026/fc-utrecht-vs-v-varen-nagasaki/1834955/；365Scores赛事ID —；查询时间：2026-07-17 19:43（北京时间）</x:v>
      </x:c>
      <x:c r="R59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5" ht="38" customHeight="1">
      <x:c r="A595" s="65" t="str">
        <x:f>IF(B595="","",TEXT(B595,"yyyy-mm-dd")&amp;"|"&amp;D595&amp;"|"&amp;E595)</x:f>
        <x:v>2026-07-18|中文名待确认（Trinec）|中文名待确认（Sigma Olomouc Ii）</x:v>
      </x:c>
      <x:c r="B595" s="66" t="n">
        <x:v>46221.041666666664</x:v>
      </x:c>
      <x:c r="C595" s="65" t="str">
        <x:v>国际俱乐部友谊赛</x:v>
      </x:c>
      <x:c r="D595" s="65" t="str">
        <x:v>中文名待确认（Trinec）</x:v>
      </x:c>
      <x:c r="E595" s="65" t="str">
        <x:v>中文名待确认（Sigma Olomouc Ii）</x:v>
      </x:c>
      <x:c r="F595" s="65" t="str">
        <x:v>无可靠让球盘/只观察｜现有可审计资料不足以形成可靠让球倾向</x:v>
      </x:c>
      <x:c r="G595" s="65" t="str">
        <x:v>无可靠大小球盘/只观察｜未取得可交叉核验的总进球主盘与水位，无可靠大小球倾向</x:v>
      </x:c>
      <x:c r="H595" s="65" t="str">
        <x:v>待确认首发、双方近5场/主客拆分与可靠亚洲双盘；任一市场欧赔&lt;1.80/港水&lt;0.80不进；盘口未核验前不进、不加仓</x:v>
      </x:c>
      <x:c r="I595" s="66" t="n">
        <x:v>46220.82152777778</x:v>
      </x:c>
      <x:c r="J595" s="65" t="str">
        <x:v>需复核</x:v>
      </x:c>
      <x:c r="K595" s="65"/>
      <x:c r="L595" s="65"/>
      <x:c r="M595" s="65"/>
      <x:c r="N595" s="67"/>
      <x:c r="O595" s="67"/>
      <x:c r="P595" s="67" t="str">
        <x:f>IF(COUNT(N595:O595)=0,"",SUM(N595:O595))</x:f>
      </x:c>
      <x:c r="Q595" s="65" t="str">
        <x:v>赛程/状态来源｜https://www.365scores.com/football/tomorrows-matches；365Scores赛事ID 4768021；查询时间：2026-07-17 19:43（北京时间）</x:v>
      </x:c>
      <x:c r="R59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6" ht="38" customHeight="1">
      <x:c r="A596" s="65" t="str">
        <x:f>IF(B596="","",TEXT(B596,"yyyy-mm-dd")&amp;"|"&amp;D596&amp;"|"&amp;E596)</x:f>
        <x:v>2026-07-18|中文名待确认（Sv Wildon）|中文名待确认（Wolfsberger AC II）</x:v>
      </x:c>
      <x:c r="B596" s="66" t="n">
        <x:v>46221.041666666664</x:v>
      </x:c>
      <x:c r="C596" s="65" t="str">
        <x:v>国际俱乐部友谊赛</x:v>
      </x:c>
      <x:c r="D596" s="65" t="str">
        <x:v>中文名待确认（Sv Wildon）</x:v>
      </x:c>
      <x:c r="E596" s="65" t="str">
        <x:v>中文名待确认（Wolfsberger AC II）</x:v>
      </x:c>
      <x:c r="F596" s="65" t="str">
        <x:v>无可靠让球盘/只观察｜现有可审计资料不足以形成可靠让球倾向</x:v>
      </x:c>
      <x:c r="G596" s="65" t="str">
        <x:v>无可靠大小球盘/只观察｜未取得可交叉核验的总进球主盘与水位，无可靠大小球倾向</x:v>
      </x:c>
      <x:c r="H596" s="65" t="str">
        <x:v>待确认首发、双方近5场/主客拆分与可靠亚洲双盘；任一市场欧赔&lt;1.80/港水&lt;0.80不进；盘口未核验前不进、不加仓</x:v>
      </x:c>
      <x:c r="I596" s="66" t="n">
        <x:v>46220.82152777778</x:v>
      </x:c>
      <x:c r="J596" s="65" t="str">
        <x:v>需复核</x:v>
      </x:c>
      <x:c r="K596" s="65"/>
      <x:c r="L596" s="65"/>
      <x:c r="M596" s="65"/>
      <x:c r="N596" s="67"/>
      <x:c r="O596" s="67"/>
      <x:c r="P596" s="67" t="str">
        <x:f>IF(COUNT(N596:O596)=0,"",SUM(N596:O596))</x:f>
      </x:c>
      <x:c r="Q596" s="65" t="str">
        <x:v>赛程/状态来源｜https://www.365scores.com/football/tomorrows-matches；365Scores赛事ID 4771384；查询时间：2026-07-17 19:43（北京时间）</x:v>
      </x:c>
      <x:c r="R59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7" ht="38" customHeight="1">
      <x:c r="A597" s="65" t="str">
        <x:f>IF(B597="","",TEXT(B597,"yyyy-mm-dd")&amp;"|"&amp;D597&amp;"|"&amp;E597)</x:f>
        <x:v>2026-07-18|艾禾斯堡（SV 07 Elversberg）|中文名待确认（Viktoria Köln）</x:v>
      </x:c>
      <x:c r="B597" s="66" t="n">
        <x:v>46221.041666666664</x:v>
      </x:c>
      <x:c r="C597" s="65" t="str">
        <x:v>国际俱乐部友谊赛</x:v>
      </x:c>
      <x:c r="D597" s="65" t="str">
        <x:v>艾禾斯堡（SV 07 Elversberg）</x:v>
      </x:c>
      <x:c r="E597" s="65" t="str">
        <x:v>中文名待确认（Viktoria Köln）</x:v>
      </x:c>
      <x:c r="F597" s="65" t="str">
        <x:v>无可靠让球盘/只观察｜现有可审计资料不足以形成可靠让球倾向</x:v>
      </x:c>
      <x:c r="G597" s="65" t="str">
        <x:v>无可靠大小球盘/只观察｜未取得可交叉核验的总进球主盘与水位，无可靠大小球倾向</x:v>
      </x:c>
      <x:c r="H597" s="65" t="str">
        <x:v>待确认首发、双方近5场/主客拆分与可靠亚洲双盘；任一市场欧赔&lt;1.80/港水&lt;0.80不进；盘口未核验前不进、不加仓</x:v>
      </x:c>
      <x:c r="I597" s="66" t="n">
        <x:v>46220.82152777778</x:v>
      </x:c>
      <x:c r="J597" s="65" t="str">
        <x:v>需复核</x:v>
      </x:c>
      <x:c r="K597" s="65"/>
      <x:c r="L597" s="65"/>
      <x:c r="M597" s="65"/>
      <x:c r="N597" s="67"/>
      <x:c r="O597" s="67"/>
      <x:c r="P597" s="67" t="str">
        <x:f>IF(COUNT(N597:O597)=0,"",SUM(N597:O597))</x:f>
      </x:c>
      <x:c r="Q597" s="65" t="str">
        <x:v>赛程/状态来源｜https://www.365scores.com/football/tomorrows-matches；365Scores赛事ID 4767986；查询时间：2026-07-17 19:43（北京时间）</x:v>
      </x:c>
      <x:c r="R59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8" ht="38" customHeight="1">
      <x:c r="A598" s="65" t="str">
        <x:f>IF(B598="","",TEXT(B598,"yyyy-mm-dd")&amp;"|"&amp;D598&amp;"|"&amp;E598)</x:f>
        <x:v>2026-07-18|中文名待确认（FC St. Pauli II）|中文名待确认（Altona 93）</x:v>
      </x:c>
      <x:c r="B598" s="66" t="n">
        <x:v>46221.041666666664</x:v>
      </x:c>
      <x:c r="C598" s="65" t="str">
        <x:v>国际俱乐部友谊赛</x:v>
      </x:c>
      <x:c r="D598" s="65" t="str">
        <x:v>中文名待确认（FC St. Pauli II）</x:v>
      </x:c>
      <x:c r="E598" s="65" t="str">
        <x:v>中文名待确认（Altona 93）</x:v>
      </x:c>
      <x:c r="F598" s="65" t="str">
        <x:v>无可靠让球盘/只观察｜现有可审计资料不足以形成可靠让球倾向</x:v>
      </x:c>
      <x:c r="G598" s="65" t="str">
        <x:v>无可靠大小球盘/只观察｜未取得可交叉核验的总进球主盘与水位，无可靠大小球倾向</x:v>
      </x:c>
      <x:c r="H598" s="65" t="str">
        <x:v>待确认首发、双方近5场/主客拆分与可靠亚洲双盘；任一市场欧赔&lt;1.80/港水&lt;0.80不进；盘口未核验前不进、不加仓</x:v>
      </x:c>
      <x:c r="I598" s="66" t="n">
        <x:v>46220.82152777778</x:v>
      </x:c>
      <x:c r="J598" s="65" t="str">
        <x:v>需复核</x:v>
      </x:c>
      <x:c r="K598" s="65"/>
      <x:c r="L598" s="65"/>
      <x:c r="M598" s="65"/>
      <x:c r="N598" s="67"/>
      <x:c r="O598" s="67"/>
      <x:c r="P598" s="67" t="str">
        <x:f>IF(COUNT(N598:O598)=0,"",SUM(N598:O598))</x:f>
      </x:c>
      <x:c r="Q598" s="65" t="str">
        <x:v>赛程/状态来源｜https://www.365scores.com/football/tomorrows-matches；365Scores赛事ID 4768016；查询时间：2026-07-17 19:43（北京时间）</x:v>
      </x:c>
      <x:c r="R59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599" ht="38" customHeight="1">
      <x:c r="A599" s="65" t="str">
        <x:f>IF(B599="","",TEXT(B599,"yyyy-mm-dd")&amp;"|"&amp;D599&amp;"|"&amp;E599)</x:f>
        <x:v>2026-07-18|中文名待确认（Pogoń Grodzisk）|中文名待确认（Wigry Suwalki）</x:v>
      </x:c>
      <x:c r="B599" s="66" t="n">
        <x:v>46221.041666666664</x:v>
      </x:c>
      <x:c r="C599" s="65" t="str">
        <x:v>国际俱乐部友谊赛</x:v>
      </x:c>
      <x:c r="D599" s="65" t="str">
        <x:v>中文名待确认（Pogoń Grodzisk）</x:v>
      </x:c>
      <x:c r="E599" s="65" t="str">
        <x:v>中文名待确认（Wigry Suwalki）</x:v>
      </x:c>
      <x:c r="F599" s="65" t="str">
        <x:v>无可靠让球盘/只观察｜现有可审计资料不足以形成可靠让球倾向</x:v>
      </x:c>
      <x:c r="G599" s="65" t="str">
        <x:v>无可靠大小球盘/只观察｜未取得可交叉核验的总进球主盘与水位，无可靠大小球倾向</x:v>
      </x:c>
      <x:c r="H599" s="65" t="str">
        <x:v>待确认首发、双方近5场/主客拆分与可靠亚洲双盘；任一市场欧赔&lt;1.80/港水&lt;0.80不进；盘口未核验前不进、不加仓</x:v>
      </x:c>
      <x:c r="I599" s="66" t="n">
        <x:v>46220.82152777778</x:v>
      </x:c>
      <x:c r="J599" s="65" t="str">
        <x:v>需复核</x:v>
      </x:c>
      <x:c r="K599" s="65"/>
      <x:c r="L599" s="65"/>
      <x:c r="M599" s="65"/>
      <x:c r="N599" s="67"/>
      <x:c r="O599" s="67"/>
      <x:c r="P599" s="67" t="str">
        <x:f>IF(COUNT(N599:O599)=0,"",SUM(N599:O599))</x:f>
      </x:c>
      <x:c r="Q599" s="65" t="str">
        <x:v>赛程/状态来源｜https://www.365scores.com/football/tomorrows-matches；365Scores赛事ID 4768018；查询时间：2026-07-17 19:43（北京时间）</x:v>
      </x:c>
      <x:c r="R59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0" ht="38" customHeight="1">
      <x:c r="A600" s="65" t="str">
        <x:f>IF(B600="","",TEXT(B600,"yyyy-mm-dd")&amp;"|"&amp;D600&amp;"|"&amp;E600)</x:f>
        <x:v>2026-07-18|中文名待确认（Piast Gliwice）|中文名待确认（Polonia Bytom）</x:v>
      </x:c>
      <x:c r="B600" s="66" t="n">
        <x:v>46221.041666666664</x:v>
      </x:c>
      <x:c r="C600" s="65" t="str">
        <x:v>国际俱乐部友谊赛</x:v>
      </x:c>
      <x:c r="D600" s="65" t="str">
        <x:v>中文名待确认（Piast Gliwice）</x:v>
      </x:c>
      <x:c r="E600" s="65" t="str">
        <x:v>中文名待确认（Polonia Bytom）</x:v>
      </x:c>
      <x:c r="F600" s="65" t="str">
        <x:v>无可靠让球盘/只观察｜现有可审计资料不足以形成可靠让球倾向</x:v>
      </x:c>
      <x:c r="G600" s="65" t="str">
        <x:v>无可靠大小球盘/只观察｜未取得可交叉核验的总进球主盘与水位，无可靠大小球倾向</x:v>
      </x:c>
      <x:c r="H600" s="65" t="str">
        <x:v>待确认首发、双方近5场/主客拆分与可靠亚洲双盘；任一市场欧赔&lt;1.80/港水&lt;0.80不进；盘口未核验前不进、不加仓</x:v>
      </x:c>
      <x:c r="I600" s="66" t="n">
        <x:v>46220.82152777778</x:v>
      </x:c>
      <x:c r="J600" s="65" t="str">
        <x:v>需复核</x:v>
      </x:c>
      <x:c r="K600" s="65"/>
      <x:c r="L600" s="65"/>
      <x:c r="M600" s="65"/>
      <x:c r="N600" s="67"/>
      <x:c r="O600" s="67"/>
      <x:c r="P600" s="67" t="str">
        <x:f>IF(COUNT(N600:O600)=0,"",SUM(N600:O600))</x:f>
      </x:c>
      <x:c r="Q600" s="65" t="str">
        <x:v>赛程/状态来源｜https://www.365scores.com/football/tomorrows-matches；365Scores赛事ID 4768024；查询时间：2026-07-17 19:43（北京时间）</x:v>
      </x:c>
      <x:c r="R60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1" ht="38" customHeight="1">
      <x:c r="A601" s="65" t="str">
        <x:f>IF(B601="","",TEXT(B601,"yyyy-mm-dd")&amp;"|"&amp;D601&amp;"|"&amp;E601)</x:f>
        <x:v>2026-07-18|中文名待确认（NEOM SC）|中文名待确认（Peterborough）</x:v>
      </x:c>
      <x:c r="B601" s="66" t="n">
        <x:v>46221.041666666664</x:v>
      </x:c>
      <x:c r="C601" s="65" t="str">
        <x:v>国际俱乐部友谊赛</x:v>
      </x:c>
      <x:c r="D601" s="65" t="str">
        <x:v>中文名待确认（NEOM SC）</x:v>
      </x:c>
      <x:c r="E601" s="65" t="str">
        <x:v>中文名待确认（Peterborough）</x:v>
      </x:c>
      <x:c r="F601" s="65" t="str">
        <x:v>无可靠让球盘/只观察｜现有可审计资料不足以形成可靠让球倾向</x:v>
      </x:c>
      <x:c r="G601" s="65" t="str">
        <x:v>无可靠大小球盘/只观察｜未取得可交叉核验的总进球主盘与水位，无可靠大小球倾向</x:v>
      </x:c>
      <x:c r="H601" s="65" t="str">
        <x:v>待确认首发、双方近5场/主客拆分与可靠亚洲双盘；任一市场欧赔&lt;1.80/港水&lt;0.80不进；盘口未核验前不进、不加仓</x:v>
      </x:c>
      <x:c r="I601" s="66" t="n">
        <x:v>46220.82152777778</x:v>
      </x:c>
      <x:c r="J601" s="65" t="str">
        <x:v>需复核</x:v>
      </x:c>
      <x:c r="K601" s="65"/>
      <x:c r="L601" s="65"/>
      <x:c r="M601" s="65"/>
      <x:c r="N601" s="67"/>
      <x:c r="O601" s="67"/>
      <x:c r="P601" s="67" t="str">
        <x:f>IF(COUNT(N601:O601)=0,"",SUM(N601:O601))</x:f>
      </x:c>
      <x:c r="Q601" s="65" t="str">
        <x:v>赛程/状态来源｜https://www.365scores.com/football/tomorrows-matches；365Scores赛事ID 4767963；查询时间：2026-07-17 19:43（北京时间）</x:v>
      </x:c>
      <x:c r="R60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2" ht="38" customHeight="1">
      <x:c r="A602" s="65" t="str">
        <x:f>IF(B602="","",TEXT(B602,"yyyy-mm-dd")&amp;"|"&amp;D602&amp;"|"&amp;E602)</x:f>
        <x:v>2026-07-18|米亚尔比AIF（Mjällby AIF）|瓦斯特拉斯（Västerås SK）</x:v>
      </x:c>
      <x:c r="B602" s="66" t="n">
        <x:v>46221.041666666664</x:v>
      </x:c>
      <x:c r="C602" s="65" t="str">
        <x:v>瑞典超级联赛（Allsvenskan）</x:v>
      </x:c>
      <x:c r="D602" s="65" t="str">
        <x:v>米亚尔比AIF（Mjällby AIF）</x:v>
      </x:c>
      <x:c r="E602" s="65" t="str">
        <x:v>瓦斯特拉斯（Västerås SK）</x:v>
      </x:c>
      <x:c r="F602" s="65" t="str">
        <x:v>无可靠让球盘/只观察｜现有可审计资料不足以形成可靠让球倾向</x:v>
      </x:c>
      <x:c r="G602" s="65" t="str">
        <x:v>无可靠大小球盘/只观察｜未取得可交叉核验的总进球主盘与水位，无可靠大小球倾向</x:v>
      </x:c>
      <x:c r="H602" s="65" t="str">
        <x:v>待确认首发、双方近5场/主客拆分与可靠亚洲双盘；任一市场欧赔&lt;1.80/港水&lt;0.80不进；盘口未核验前不进、不加仓</x:v>
      </x:c>
      <x:c r="I602" s="66" t="n">
        <x:v>46220.82152777778</x:v>
      </x:c>
      <x:c r="J602" s="65" t="str">
        <x:v>需复核</x:v>
      </x:c>
      <x:c r="K602" s="65"/>
      <x:c r="L602" s="65"/>
      <x:c r="M602" s="65"/>
      <x:c r="N602" s="67"/>
      <x:c r="O602" s="67"/>
      <x:c r="P602" s="67" t="str">
        <x:f>IF(COUNT(N602:O602)=0,"",SUM(N602:O602))</x:f>
      </x:c>
      <x:c r="Q602" s="65" t="str">
        <x:v>赛程/状态来源｜https://www.365scores.com/football/tomorrows-matches；https://www.livescore.mobi/football/sweden/allsvenskan/mjaellby-vs-vasteraas-sk/1710368/；https://global.espn.com/football/scoreboard/_/date/20260718；365Scores赛事ID 4636080；查询时间：2026-07-17 19:43（北京时间）</x:v>
      </x:c>
      <x:c r="R60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3" ht="38" customHeight="1">
      <x:c r="A603" s="65" t="str">
        <x:f>IF(B603="","",TEXT(B603,"yyyy-mm-dd")&amp;"|"&amp;D603&amp;"|"&amp;E603)</x:f>
        <x:v>2026-07-18|中文名待确认（IFK Gothenburg）|中文名待确认（Brommapojkarna）</x:v>
      </x:c>
      <x:c r="B603" s="66" t="n">
        <x:v>46221.041666666664</x:v>
      </x:c>
      <x:c r="C603" s="65" t="str">
        <x:v>瑞典超级联赛（Allsvenskan）</x:v>
      </x:c>
      <x:c r="D603" s="65" t="str">
        <x:v>中文名待确认（IFK Gothenburg）</x:v>
      </x:c>
      <x:c r="E603" s="65" t="str">
        <x:v>中文名待确认（Brommapojkarna）</x:v>
      </x:c>
      <x:c r="F603" s="65" t="str">
        <x:v>无可靠让球盘/只观察｜胜负价格仅弱倾向主队侧，不换算让球盘口</x:v>
      </x:c>
      <x:c r="G603" s="65" t="str">
        <x:v>无可靠大小球盘/只观察｜未取得可交叉核验的总进球主盘与水位，无可靠大小球倾向</x:v>
      </x:c>
      <x:c r="H603" s="65" t="str">
        <x:v>待确认首发、双方近5场/主客拆分与可靠亚洲双盘；任一市场欧赔&lt;1.80/港水&lt;0.80不进；盘口未核验前不进、不加仓</x:v>
      </x:c>
      <x:c r="I603" s="66" t="n">
        <x:v>46220.82152777778</x:v>
      </x:c>
      <x:c r="J603" s="65" t="str">
        <x:v>需复核</x:v>
      </x:c>
      <x:c r="K603" s="65"/>
      <x:c r="L603" s="65"/>
      <x:c r="M603" s="65"/>
      <x:c r="N603" s="67"/>
      <x:c r="O603" s="67"/>
      <x:c r="P603" s="67" t="str">
        <x:f>IF(COUNT(N603:O603)=0,"",SUM(N603:O603))</x:f>
      </x:c>
      <x:c r="Q603" s="65" t="str">
        <x:v>赛程/状态来源｜https://www.livescore.mobi/football/sweden/allsvenskan/ifk-gothenburg-vs-brommapojkarna/1710366/；https://global.espn.com/football/scoreboard/_/date/20260718；https://tipsterarea.com/match/ifk-goteborg-brommapojkarna-allsvenskan-sweden-935405；365Scores赛事ID —；查询时间：2026-07-17 19:43（北京时间）</x:v>
      </x:c>
      <x:c r="R60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1.91/3.61/3.62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4" ht="38" customHeight="1">
      <x:c r="A604" s="65" t="str">
        <x:f>IF(B604="","",TEXT(B604,"yyyy-mm-dd")&amp;"|"&amp;D604&amp;"|"&amp;E604)</x:f>
        <x:v>2026-07-18|中文名待确认（Getafe）|中文名待确认（Reading）</x:v>
      </x:c>
      <x:c r="B604" s="66" t="n">
        <x:v>46221.041666666664</x:v>
      </x:c>
      <x:c r="C604" s="65" t="str">
        <x:v>国际俱乐部友谊赛</x:v>
      </x:c>
      <x:c r="D604" s="65" t="str">
        <x:v>中文名待确认（Getafe）</x:v>
      </x:c>
      <x:c r="E604" s="65" t="str">
        <x:v>中文名待确认（Reading）</x:v>
      </x:c>
      <x:c r="F604" s="65" t="str">
        <x:v>无可靠让球盘/只观察｜现有可审计资料不足以形成可靠让球倾向</x:v>
      </x:c>
      <x:c r="G604" s="65" t="str">
        <x:v>无可靠大小球盘/只观察｜未取得可交叉核验的总进球主盘与水位，无可靠大小球倾向</x:v>
      </x:c>
      <x:c r="H604" s="65" t="str">
        <x:v>待确认首发、双方近5场/主客拆分与可靠亚洲双盘；任一市场欧赔&lt;1.80/港水&lt;0.80不进；盘口未核验前不进、不加仓</x:v>
      </x:c>
      <x:c r="I604" s="66" t="n">
        <x:v>46220.82152777778</x:v>
      </x:c>
      <x:c r="J604" s="65" t="str">
        <x:v>需复核</x:v>
      </x:c>
      <x:c r="K604" s="65"/>
      <x:c r="L604" s="65"/>
      <x:c r="M604" s="65"/>
      <x:c r="N604" s="67"/>
      <x:c r="O604" s="67"/>
      <x:c r="P604" s="67" t="str">
        <x:f>IF(COUNT(N604:O604)=0,"",SUM(N604:O604))</x:f>
      </x:c>
      <x:c r="Q604" s="65" t="str">
        <x:v>赛程/状态来源｜https://www.365scores.com/football/tomorrows-matches；https://www.livescore.mobi/football/club-friendlies/club-friendlies-2026/getafe-vs-reading/1836418/；365Scores赛事ID 4767968；查询时间：2026-07-17 19:43（北京时间）</x:v>
      </x:c>
      <x:c r="R60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5" ht="38" customHeight="1">
      <x:c r="A605" s="65" t="str">
        <x:f>IF(B605="","",TEXT(B605,"yyyy-mm-dd")&amp;"|"&amp;D605&amp;"|"&amp;E605)</x:f>
        <x:v>2026-07-18|中文名待确认（Erzurum BB）|中文名待确认（Rizespor）</x:v>
      </x:c>
      <x:c r="B605" s="66" t="n">
        <x:v>46221.041666666664</x:v>
      </x:c>
      <x:c r="C605" s="65" t="str">
        <x:v>国际俱乐部友谊赛</x:v>
      </x:c>
      <x:c r="D605" s="65" t="str">
        <x:v>中文名待确认（Erzurum BB）</x:v>
      </x:c>
      <x:c r="E605" s="65" t="str">
        <x:v>中文名待确认（Rizespor）</x:v>
      </x:c>
      <x:c r="F605" s="65" t="str">
        <x:v>无可靠让球盘/只观察｜现有可审计资料不足以形成可靠让球倾向</x:v>
      </x:c>
      <x:c r="G605" s="65" t="str">
        <x:v>无可靠大小球盘/只观察｜未取得可交叉核验的总进球主盘与水位，无可靠大小球倾向</x:v>
      </x:c>
      <x:c r="H605" s="65" t="str">
        <x:v>待确认首发、双方近5场/主客拆分与可靠亚洲双盘；任一市场欧赔&lt;1.80/港水&lt;0.80不进；盘口未核验前不进、不加仓</x:v>
      </x:c>
      <x:c r="I605" s="66" t="n">
        <x:v>46220.82152777778</x:v>
      </x:c>
      <x:c r="J605" s="65" t="str">
        <x:v>需复核</x:v>
      </x:c>
      <x:c r="K605" s="65"/>
      <x:c r="L605" s="65"/>
      <x:c r="M605" s="65"/>
      <x:c r="N605" s="67"/>
      <x:c r="O605" s="67"/>
      <x:c r="P605" s="67" t="str">
        <x:f>IF(COUNT(N605:O605)=0,"",SUM(N605:O605))</x:f>
      </x:c>
      <x:c r="Q605" s="65" t="str">
        <x:v>赛程/状态来源｜https://www.365scores.com/football/tomorrows-matches；365Scores赛事ID 4771140；查询时间：2026-07-17 19:43（北京时间）</x:v>
      </x:c>
      <x:c r="R60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6" ht="38" customHeight="1">
      <x:c r="A606" s="65" t="str">
        <x:f>IF(B606="","",TEXT(B606,"yyyy-mm-dd")&amp;"|"&amp;D606&amp;"|"&amp;E606)</x:f>
        <x:v>2026-07-18|中文名待确认（Deutschlandsberger SC）|中文名待确认（Treibach）</x:v>
      </x:c>
      <x:c r="B606" s="66" t="n">
        <x:v>46221.041666666664</x:v>
      </x:c>
      <x:c r="C606" s="65" t="str">
        <x:v>国际俱乐部友谊赛</x:v>
      </x:c>
      <x:c r="D606" s="65" t="str">
        <x:v>中文名待确认（Deutschlandsberger SC）</x:v>
      </x:c>
      <x:c r="E606" s="65" t="str">
        <x:v>中文名待确认（Treibach）</x:v>
      </x:c>
      <x:c r="F606" s="65" t="str">
        <x:v>无可靠让球盘/只观察｜现有可审计资料不足以形成可靠让球倾向</x:v>
      </x:c>
      <x:c r="G606" s="65" t="str">
        <x:v>无可靠大小球盘/只观察｜未取得可交叉核验的总进球主盘与水位，无可靠大小球倾向</x:v>
      </x:c>
      <x:c r="H606" s="65" t="str">
        <x:v>待确认首发、双方近5场/主客拆分与可靠亚洲双盘；任一市场欧赔&lt;1.80/港水&lt;0.80不进；盘口未核验前不进、不加仓</x:v>
      </x:c>
      <x:c r="I606" s="66" t="n">
        <x:v>46220.82152777778</x:v>
      </x:c>
      <x:c r="J606" s="65" t="str">
        <x:v>需复核</x:v>
      </x:c>
      <x:c r="K606" s="65"/>
      <x:c r="L606" s="65"/>
      <x:c r="M606" s="65"/>
      <x:c r="N606" s="67"/>
      <x:c r="O606" s="67"/>
      <x:c r="P606" s="67" t="str">
        <x:f>IF(COUNT(N606:O606)=0,"",SUM(N606:O606))</x:f>
      </x:c>
      <x:c r="Q606" s="65" t="str">
        <x:v>赛程/状态来源｜https://www.365scores.com/football/tomorrows-matches；365Scores赛事ID 4773716；查询时间：2026-07-17 19:43（北京时间）</x:v>
      </x:c>
      <x:c r="R60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7" ht="38" customHeight="1">
      <x:c r="A607" s="65" t="str">
        <x:f>IF(B607="","",TEXT(B607,"yyyy-mm-dd")&amp;"|"&amp;D607&amp;"|"&amp;E607)</x:f>
        <x:v>2026-07-18|布鲁日（Club Brugge）|中文名待确认（Heerenveen）</x:v>
      </x:c>
      <x:c r="B607" s="66" t="n">
        <x:v>46221.041666666664</x:v>
      </x:c>
      <x:c r="C607" s="65" t="str">
        <x:v>国际俱乐部友谊赛</x:v>
      </x:c>
      <x:c r="D607" s="65" t="str">
        <x:v>布鲁日（Club Brugge）</x:v>
      </x:c>
      <x:c r="E607" s="65" t="str">
        <x:v>中文名待确认（Heerenveen）</x:v>
      </x:c>
      <x:c r="F607" s="65" t="str">
        <x:v>无可靠让球盘/只观察｜现有可审计资料不足以形成可靠让球倾向</x:v>
      </x:c>
      <x:c r="G607" s="65" t="str">
        <x:v>无可靠大小球盘/只观察｜未取得可交叉核验的总进球主盘与水位，无可靠大小球倾向</x:v>
      </x:c>
      <x:c r="H607" s="65" t="str">
        <x:v>待确认首发、双方近5场/主客拆分与可靠亚洲双盘；任一市场欧赔&lt;1.80/港水&lt;0.80不进；盘口未核验前不进、不加仓</x:v>
      </x:c>
      <x:c r="I607" s="66" t="n">
        <x:v>46220.82152777778</x:v>
      </x:c>
      <x:c r="J607" s="65" t="str">
        <x:v>需复核</x:v>
      </x:c>
      <x:c r="K607" s="65"/>
      <x:c r="L607" s="65"/>
      <x:c r="M607" s="65"/>
      <x:c r="N607" s="67"/>
      <x:c r="O607" s="67"/>
      <x:c r="P607" s="67" t="str">
        <x:f>IF(COUNT(N607:O607)=0,"",SUM(N607:O607))</x:f>
      </x:c>
      <x:c r="Q607" s="65" t="str">
        <x:v>赛程/状态来源｜https://www.365scores.com/football/tomorrows-matches；https://www.livescore.mobi/football/club-friendlies/club-friendlies-2026/club-brugge-vs-sc-heerenveen/1821934/；365Scores赛事ID 4767973；查询时间：2026-07-17 19:43（北京时间）</x:v>
      </x:c>
      <x:c r="R60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8" ht="38" customHeight="1">
      <x:c r="A608" s="65" t="str">
        <x:f>IF(B608="","",TEXT(B608,"yyyy-mm-dd")&amp;"|"&amp;D608&amp;"|"&amp;E608)</x:f>
        <x:v>2026-07-18|中文名待确认（1860 Munich II）|中文名待确认（Geretsried）</x:v>
      </x:c>
      <x:c r="B608" s="66" t="n">
        <x:v>46221.041666666664</x:v>
      </x:c>
      <x:c r="C608" s="65" t="str">
        <x:v>德国巴伐利亚高级联赛南区</x:v>
      </x:c>
      <x:c r="D608" s="65" t="str">
        <x:v>中文名待确认（1860 Munich II）</x:v>
      </x:c>
      <x:c r="E608" s="65" t="str">
        <x:v>中文名待确认（Geretsried）</x:v>
      </x:c>
      <x:c r="F608" s="65" t="str">
        <x:v>无可靠让球盘/只观察｜现有可审计资料不足以形成可靠让球倾向</x:v>
      </x:c>
      <x:c r="G608" s="65" t="str">
        <x:v>无可靠大小球盘/只观察｜未取得可交叉核验的总进球主盘与水位，无可靠大小球倾向</x:v>
      </x:c>
      <x:c r="H608" s="65" t="str">
        <x:v>待确认首发、双方近5场/主客拆分与可靠亚洲双盘；任一市场欧赔&lt;1.80/港水&lt;0.80不进；盘口未核验前不进、不加仓</x:v>
      </x:c>
      <x:c r="I608" s="66" t="n">
        <x:v>46220.82152777778</x:v>
      </x:c>
      <x:c r="J608" s="65" t="str">
        <x:v>需复核</x:v>
      </x:c>
      <x:c r="K608" s="65"/>
      <x:c r="L608" s="65"/>
      <x:c r="M608" s="65"/>
      <x:c r="N608" s="67"/>
      <x:c r="O608" s="67"/>
      <x:c r="P608" s="67" t="str">
        <x:f>IF(COUNT(N608:O608)=0,"",SUM(N608:O608))</x:f>
      </x:c>
      <x:c r="Q608" s="65" t="str">
        <x:v>赛程/状态来源｜https://www.livescore.mobi/football/germany/oberliga-bayern-south/1860-munich-ii-vs-geretsried/1827836/；365Scores赛事ID —；查询时间：2026-07-17 19:43（北京时间）</x:v>
      </x:c>
      <x:c r="R60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09" ht="38" customHeight="1">
      <x:c r="A609" s="65" t="str">
        <x:f>IF(B609="","",TEXT(B609,"yyyy-mm-dd")&amp;"|"&amp;D609&amp;"|"&amp;E609)</x:f>
        <x:v>2026-07-18|中文名待确认（WSG Tirol）|中文名待确认（Hertha Berlin）</x:v>
      </x:c>
      <x:c r="B609" s="66" t="n">
        <x:v>46221.020833333336</x:v>
      </x:c>
      <x:c r="C609" s="65" t="str">
        <x:v>国际俱乐部友谊赛</x:v>
      </x:c>
      <x:c r="D609" s="65" t="str">
        <x:v>中文名待确认（WSG Tirol）</x:v>
      </x:c>
      <x:c r="E609" s="65" t="str">
        <x:v>中文名待确认（Hertha Berlin）</x:v>
      </x:c>
      <x:c r="F609" s="65" t="str">
        <x:v>无可靠让球盘/只观察｜现有可审计资料不足以形成可靠让球倾向</x:v>
      </x:c>
      <x:c r="G609" s="65" t="str">
        <x:v>无可靠大小球盘/只观察｜未取得可交叉核验的总进球主盘与水位，无可靠大小球倾向</x:v>
      </x:c>
      <x:c r="H609" s="65" t="str">
        <x:v>待确认首发、双方近5场/主客拆分与可靠亚洲双盘；任一市场欧赔&lt;1.80/港水&lt;0.80不进；盘口未核验前不进、不加仓</x:v>
      </x:c>
      <x:c r="I609" s="66" t="n">
        <x:v>46220.82152777778</x:v>
      </x:c>
      <x:c r="J609" s="65" t="str">
        <x:v>需复核</x:v>
      </x:c>
      <x:c r="K609" s="65"/>
      <x:c r="L609" s="65"/>
      <x:c r="M609" s="65"/>
      <x:c r="N609" s="67"/>
      <x:c r="O609" s="67"/>
      <x:c r="P609" s="67" t="str">
        <x:f>IF(COUNT(N609:O609)=0,"",SUM(N609:O609))</x:f>
      </x:c>
      <x:c r="Q609" s="65" t="str">
        <x:v>赛程/状态来源｜https://www.365scores.com/football/tomorrows-matches；https://www.livescore.mobi/football/club-friendlies/club-friendlies-2026/wsg-tirol-vs-hertha-berlin/1836417/；365Scores赛事ID 4767977；查询时间：2026-07-17 19:43（北京时间）</x:v>
      </x:c>
      <x:c r="R60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0" ht="38" customHeight="1">
      <x:c r="A610" s="65" t="str">
        <x:f>IF(B610="","",TEXT(B610,"yyyy-mm-dd")&amp;"|"&amp;D610&amp;"|"&amp;E610)</x:f>
        <x:v>2026-07-18|中文名待确认（Wolfsberger AC）|中文名待确认（Kapfenberger SV）</x:v>
      </x:c>
      <x:c r="B610" s="66" t="n">
        <x:v>46221.020833333336</x:v>
      </x:c>
      <x:c r="C610" s="65" t="str">
        <x:v>国际俱乐部友谊赛</x:v>
      </x:c>
      <x:c r="D610" s="65" t="str">
        <x:v>中文名待确认（Wolfsberger AC）</x:v>
      </x:c>
      <x:c r="E610" s="65" t="str">
        <x:v>中文名待确认（Kapfenberger SV）</x:v>
      </x:c>
      <x:c r="F610" s="65" t="str">
        <x:v>无可靠让球盘/只观察｜现有可审计资料不足以形成可靠让球倾向</x:v>
      </x:c>
      <x:c r="G610" s="65" t="str">
        <x:v>无可靠大小球盘/只观察｜未取得可交叉核验的总进球主盘与水位，无可靠大小球倾向</x:v>
      </x:c>
      <x:c r="H610" s="65" t="str">
        <x:v>待确认首发、双方近5场/主客拆分与可靠亚洲双盘；任一市场欧赔&lt;1.80/港水&lt;0.80不进；盘口未核验前不进、不加仓</x:v>
      </x:c>
      <x:c r="I610" s="66" t="n">
        <x:v>46220.82152777778</x:v>
      </x:c>
      <x:c r="J610" s="65" t="str">
        <x:v>需复核</x:v>
      </x:c>
      <x:c r="K610" s="65"/>
      <x:c r="L610" s="65"/>
      <x:c r="M610" s="65"/>
      <x:c r="N610" s="67"/>
      <x:c r="O610" s="67"/>
      <x:c r="P610" s="67" t="str">
        <x:f>IF(COUNT(N610:O610)=0,"",SUM(N610:O610))</x:f>
      </x:c>
      <x:c r="Q610" s="65" t="str">
        <x:v>赛程/状态来源｜https://www.livescore.mobi/football/club-friendlies/club-friendlies-2026/wolfsberger-ac-vs-kapfenberger-sv/1822360/；365Scores赛事ID —；查询时间：2026-07-17 19:43（北京时间）</x:v>
      </x:c>
      <x:c r="R61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1" ht="38" customHeight="1">
      <x:c r="A611" s="65" t="str">
        <x:f>IF(B611="","",TEXT(B611,"yyyy-mm-dd")&amp;"|"&amp;D611&amp;"|"&amp;E611)</x:f>
        <x:v>2026-07-18|中文名待确认（Rapid Wien II）|中文名待确认（Wiener Sportklub）</x:v>
      </x:c>
      <x:c r="B611" s="66" t="n">
        <x:v>46221.020833333336</x:v>
      </x:c>
      <x:c r="C611" s="65" t="str">
        <x:v>国际俱乐部友谊赛</x:v>
      </x:c>
      <x:c r="D611" s="65" t="str">
        <x:v>中文名待确认（Rapid Wien II）</x:v>
      </x:c>
      <x:c r="E611" s="65" t="str">
        <x:v>中文名待确认（Wiener Sportklub）</x:v>
      </x:c>
      <x:c r="F611" s="65" t="str">
        <x:v>无可靠让球盘/只观察｜现有可审计资料不足以形成可靠让球倾向</x:v>
      </x:c>
      <x:c r="G611" s="65" t="str">
        <x:v>无可靠大小球盘/只观察｜未取得可交叉核验的总进球主盘与水位，无可靠大小球倾向</x:v>
      </x:c>
      <x:c r="H611" s="65" t="str">
        <x:v>待确认首发、双方近5场/主客拆分与可靠亚洲双盘；任一市场欧赔&lt;1.80/港水&lt;0.80不进；盘口未核验前不进、不加仓</x:v>
      </x:c>
      <x:c r="I611" s="66" t="n">
        <x:v>46220.82152777778</x:v>
      </x:c>
      <x:c r="J611" s="65" t="str">
        <x:v>需复核</x:v>
      </x:c>
      <x:c r="K611" s="65"/>
      <x:c r="L611" s="65"/>
      <x:c r="M611" s="65"/>
      <x:c r="N611" s="67"/>
      <x:c r="O611" s="67"/>
      <x:c r="P611" s="67" t="str">
        <x:f>IF(COUNT(N611:O611)=0,"",SUM(N611:O611))</x:f>
      </x:c>
      <x:c r="Q611" s="65" t="str">
        <x:v>赛程/状态来源｜https://www.365scores.com/football/tomorrows-matches；365Scores赛事ID 4767978；查询时间：2026-07-17 19:43（北京时间）</x:v>
      </x:c>
      <x:c r="R61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2" ht="38" customHeight="1">
      <x:c r="A612" s="65" t="str">
        <x:f>IF(B612="","",TEXT(B612,"yyyy-mm-dd")&amp;"|"&amp;D612&amp;"|"&amp;E612)</x:f>
        <x:v>2026-07-18|中文名待确认（Olympiacos）|中文名待确认（Fortuna Sittard）</x:v>
      </x:c>
      <x:c r="B612" s="66" t="n">
        <x:v>46221.020833333336</x:v>
      </x:c>
      <x:c r="C612" s="65" t="str">
        <x:v>国际俱乐部友谊赛</x:v>
      </x:c>
      <x:c r="D612" s="65" t="str">
        <x:v>中文名待确认（Olympiacos）</x:v>
      </x:c>
      <x:c r="E612" s="65" t="str">
        <x:v>中文名待确认（Fortuna Sittard）</x:v>
      </x:c>
      <x:c r="F612" s="65" t="str">
        <x:v>无可靠让球盘/只观察｜现有可审计资料不足以形成可靠让球倾向</x:v>
      </x:c>
      <x:c r="G612" s="65" t="str">
        <x:v>无可靠大小球盘/只观察｜未取得可交叉核验的总进球主盘与水位，无可靠大小球倾向</x:v>
      </x:c>
      <x:c r="H612" s="65" t="str">
        <x:v>待确认首发、双方近5场/主客拆分与可靠亚洲双盘；任一市场欧赔&lt;1.80/港水&lt;0.80不进；盘口未核验前不进、不加仓</x:v>
      </x:c>
      <x:c r="I612" s="66" t="n">
        <x:v>46220.82152777778</x:v>
      </x:c>
      <x:c r="J612" s="65" t="str">
        <x:v>需复核</x:v>
      </x:c>
      <x:c r="K612" s="65"/>
      <x:c r="L612" s="65"/>
      <x:c r="M612" s="65"/>
      <x:c r="N612" s="67"/>
      <x:c r="O612" s="67"/>
      <x:c r="P612" s="67" t="str">
        <x:f>IF(COUNT(N612:O612)=0,"",SUM(N612:O612))</x:f>
      </x:c>
      <x:c r="Q612" s="65" t="str">
        <x:v>赛程/状态来源｜https://www.365scores.com/football/tomorrows-matches；https://www.livescore.mobi/football/club-friendlies/club-friendlies-2026/olympiacos-vs-fortuna-sittard/1822115/；365Scores赛事ID 4767981；查询时间：2026-07-17 19:43（北京时间）</x:v>
      </x:c>
      <x:c r="R61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3" ht="38" customHeight="1">
      <x:c r="A613" s="65" t="str">
        <x:f>IF(B613="","",TEXT(B613,"yyyy-mm-dd")&amp;"|"&amp;D613&amp;"|"&amp;E613)</x:f>
        <x:v>2026-07-18|中文名待确认（Epicentr）|中文名待确认（Zalaegerszegi TE）</x:v>
      </x:c>
      <x:c r="B613" s="66" t="n">
        <x:v>46221.020833333336</x:v>
      </x:c>
      <x:c r="C613" s="65" t="str">
        <x:v>国际俱乐部友谊赛</x:v>
      </x:c>
      <x:c r="D613" s="65" t="str">
        <x:v>中文名待确认（Epicentr）</x:v>
      </x:c>
      <x:c r="E613" s="65" t="str">
        <x:v>中文名待确认（Zalaegerszegi TE）</x:v>
      </x:c>
      <x:c r="F613" s="65" t="str">
        <x:v>无可靠让球盘/只观察｜现有可审计资料不足以形成可靠让球倾向</x:v>
      </x:c>
      <x:c r="G613" s="65" t="str">
        <x:v>无可靠大小球盘/只观察｜未取得可交叉核验的总进球主盘与水位，无可靠大小球倾向</x:v>
      </x:c>
      <x:c r="H613" s="65" t="str">
        <x:v>待确认首发、双方近5场/主客拆分与可靠亚洲双盘；任一市场欧赔&lt;1.80/港水&lt;0.80不进；盘口未核验前不进、不加仓</x:v>
      </x:c>
      <x:c r="I613" s="66" t="n">
        <x:v>46220.82152777778</x:v>
      </x:c>
      <x:c r="J613" s="65" t="str">
        <x:v>需复核</x:v>
      </x:c>
      <x:c r="K613" s="65"/>
      <x:c r="L613" s="65"/>
      <x:c r="M613" s="65"/>
      <x:c r="N613" s="67"/>
      <x:c r="O613" s="67"/>
      <x:c r="P613" s="67" t="str">
        <x:f>IF(COUNT(N613:O613)=0,"",SUM(N613:O613))</x:f>
      </x:c>
      <x:c r="Q613" s="65" t="str">
        <x:v>赛程/状态来源｜https://www.365scores.com/football/tomorrows-matches；365Scores赛事ID 4772494；查询时间：2026-07-17 19:43（北京时间）</x:v>
      </x:c>
      <x:c r="R61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4" ht="38" customHeight="1">
      <x:c r="A614" s="65" t="str">
        <x:f>IF(B614="","",TEXT(B614,"yyyy-mm-dd")&amp;"|"&amp;D614&amp;"|"&amp;E614)</x:f>
        <x:v>2026-07-18|中文名待确认（CD Eldense）|中文名待确认（Millwall）</x:v>
      </x:c>
      <x:c r="B614" s="66" t="n">
        <x:v>46221.020833333336</x:v>
      </x:c>
      <x:c r="C614" s="65" t="str">
        <x:v>国际俱乐部友谊赛</x:v>
      </x:c>
      <x:c r="D614" s="65" t="str">
        <x:v>中文名待确认（CD Eldense）</x:v>
      </x:c>
      <x:c r="E614" s="65" t="str">
        <x:v>中文名待确认（Millwall）</x:v>
      </x:c>
      <x:c r="F614" s="65" t="str">
        <x:v>无可靠让球盘/只观察｜现有可审计资料不足以形成可靠让球倾向</x:v>
      </x:c>
      <x:c r="G614" s="65" t="str">
        <x:v>无可靠大小球盘/只观察｜未取得可交叉核验的总进球主盘与水位，无可靠大小球倾向</x:v>
      </x:c>
      <x:c r="H614" s="65" t="str">
        <x:v>待确认首发、双方近5场/主客拆分与可靠亚洲双盘；任一市场欧赔&lt;1.80/港水&lt;0.80不进；盘口未核验前不进、不加仓</x:v>
      </x:c>
      <x:c r="I614" s="66" t="n">
        <x:v>46220.82152777778</x:v>
      </x:c>
      <x:c r="J614" s="65" t="str">
        <x:v>需复核</x:v>
      </x:c>
      <x:c r="K614" s="65"/>
      <x:c r="L614" s="65"/>
      <x:c r="M614" s="65"/>
      <x:c r="N614" s="67"/>
      <x:c r="O614" s="67"/>
      <x:c r="P614" s="67" t="str">
        <x:f>IF(COUNT(N614:O614)=0,"",SUM(N614:O614))</x:f>
      </x:c>
      <x:c r="Q614" s="65" t="str">
        <x:v>赛程/状态来源｜https://www.365scores.com/football/tomorrows-matches；https://www.livescore.mobi/football/club-friendlies/club-friendlies-2026/cd-eldense-vs-millwall/1831720/；365Scores赛事ID 4767975；查询时间：2026-07-17 19:43（北京时间）</x:v>
      </x:c>
      <x:c r="R61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5" ht="38" customHeight="1">
      <x:c r="A615" s="65" t="str">
        <x:f>IF(B615="","",TEXT(B615,"yyyy-mm-dd")&amp;"|"&amp;D615&amp;"|"&amp;E615)</x:f>
        <x:v>2026-07-18|中文名待确认（Dunajska Streda）|中文名待确认（Bolton）</x:v>
      </x:c>
      <x:c r="B615" s="66" t="n">
        <x:v>46221.020833333336</x:v>
      </x:c>
      <x:c r="C615" s="65" t="str">
        <x:v>国际俱乐部友谊赛</x:v>
      </x:c>
      <x:c r="D615" s="65" t="str">
        <x:v>中文名待确认（Dunajska Streda）</x:v>
      </x:c>
      <x:c r="E615" s="65" t="str">
        <x:v>中文名待确认（Bolton）</x:v>
      </x:c>
      <x:c r="F615" s="65" t="str">
        <x:v>无可靠让球盘/只观察｜现有可审计资料不足以形成可靠让球倾向</x:v>
      </x:c>
      <x:c r="G615" s="65" t="str">
        <x:v>无可靠大小球盘/只观察｜未取得可交叉核验的总进球主盘与水位，无可靠大小球倾向</x:v>
      </x:c>
      <x:c r="H615" s="65" t="str">
        <x:v>待确认首发、双方近5场/主客拆分与可靠亚洲双盘；任一市场欧赔&lt;1.80/港水&lt;0.80不进；盘口未核验前不进、不加仓</x:v>
      </x:c>
      <x:c r="I615" s="66" t="n">
        <x:v>46220.82152777778</x:v>
      </x:c>
      <x:c r="J615" s="65" t="str">
        <x:v>需复核</x:v>
      </x:c>
      <x:c r="K615" s="65"/>
      <x:c r="L615" s="65"/>
      <x:c r="M615" s="65"/>
      <x:c r="N615" s="67"/>
      <x:c r="O615" s="67"/>
      <x:c r="P615" s="67" t="str">
        <x:f>IF(COUNT(N615:O615)=0,"",SUM(N615:O615))</x:f>
      </x:c>
      <x:c r="Q615" s="65" t="str">
        <x:v>赛程/状态来源｜https://www.365scores.com/football/tomorrows-matches；365Scores赛事ID 4767972；查询时间：2026-07-17 19:43（北京时间）</x:v>
      </x:c>
      <x:c r="R61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6" ht="38" customHeight="1">
      <x:c r="A616" s="65" t="str">
        <x:f>IF(B616="","",TEXT(B616,"yyyy-mm-dd")&amp;"|"&amp;D616&amp;"|"&amp;E616)</x:f>
        <x:v>2026-07-18|中文名待确认（DAC 1904 Dunajska Streda）|中文名待确认（Bolton Wanderers）</x:v>
      </x:c>
      <x:c r="B616" s="66" t="n">
        <x:v>46221.020833333336</x:v>
      </x:c>
      <x:c r="C616" s="65" t="str">
        <x:v>国际俱乐部友谊赛</x:v>
      </x:c>
      <x:c r="D616" s="65" t="str">
        <x:v>中文名待确认（DAC 1904 Dunajska Streda）</x:v>
      </x:c>
      <x:c r="E616" s="65" t="str">
        <x:v>中文名待确认（Bolton Wanderers）</x:v>
      </x:c>
      <x:c r="F616" s="65" t="str">
        <x:v>无可靠让球盘/只观察｜现有可审计资料不足以形成可靠让球倾向</x:v>
      </x:c>
      <x:c r="G616" s="65" t="str">
        <x:v>无可靠大小球盘/只观察｜未取得可交叉核验的总进球主盘与水位，无可靠大小球倾向</x:v>
      </x:c>
      <x:c r="H616" s="65" t="str">
        <x:v>待确认首发、双方近5场/主客拆分与可靠亚洲双盘；任一市场欧赔&lt;1.80/港水&lt;0.80不进；盘口未核验前不进、不加仓</x:v>
      </x:c>
      <x:c r="I616" s="66" t="n">
        <x:v>46220.82152777778</x:v>
      </x:c>
      <x:c r="J616" s="65" t="str">
        <x:v>需复核</x:v>
      </x:c>
      <x:c r="K616" s="65"/>
      <x:c r="L616" s="65"/>
      <x:c r="M616" s="65"/>
      <x:c r="N616" s="67"/>
      <x:c r="O616" s="67"/>
      <x:c r="P616" s="67" t="str">
        <x:f>IF(COUNT(N616:O616)=0,"",SUM(N616:O616))</x:f>
      </x:c>
      <x:c r="Q616" s="65" t="str">
        <x:v>赛程/状态来源｜https://www.livescore.mobi/football/club-friendlies/club-friendlies-2026/dac-1904-dunajska-streda-vs-bolton-wanderers/1834957/；365Scores赛事ID —；查询时间：2026-07-17 19:43（北京时间）</x:v>
      </x:c>
      <x:c r="R61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7" ht="38" customHeight="1">
      <x:c r="A617" s="65" t="str">
        <x:f>IF(B617="","",TEXT(B617,"yyyy-mm-dd")&amp;"|"&amp;D617&amp;"|"&amp;E617)</x:f>
        <x:v>2026-07-18|中文名待确认（Balzan Youths FC）|中文名待确认（Gzira United）</x:v>
      </x:c>
      <x:c r="B617" s="66" t="n">
        <x:v>46221.010416666664</x:v>
      </x:c>
      <x:c r="C617" s="65" t="str">
        <x:v>国际俱乐部友谊赛</x:v>
      </x:c>
      <x:c r="D617" s="65" t="str">
        <x:v>中文名待确认（Balzan Youths FC）</x:v>
      </x:c>
      <x:c r="E617" s="65" t="str">
        <x:v>中文名待确认（Gzira United）</x:v>
      </x:c>
      <x:c r="F617" s="65" t="str">
        <x:v>无可靠让球盘/只观察｜现有可审计资料不足以形成可靠让球倾向</x:v>
      </x:c>
      <x:c r="G617" s="65" t="str">
        <x:v>无可靠大小球盘/只观察｜未取得可交叉核验的总进球主盘与水位，无可靠大小球倾向</x:v>
      </x:c>
      <x:c r="H617" s="65" t="str">
        <x:v>待确认首发、双方近5场/主客拆分与可靠亚洲双盘；任一市场欧赔&lt;1.80/港水&lt;0.80不进；盘口未核验前不进、不加仓</x:v>
      </x:c>
      <x:c r="I617" s="66" t="n">
        <x:v>46220.82152777778</x:v>
      </x:c>
      <x:c r="J617" s="65" t="str">
        <x:v>需复核</x:v>
      </x:c>
      <x:c r="K617" s="65"/>
      <x:c r="L617" s="65"/>
      <x:c r="M617" s="65"/>
      <x:c r="N617" s="67"/>
      <x:c r="O617" s="67"/>
      <x:c r="P617" s="67" t="str">
        <x:f>IF(COUNT(N617:O617)=0,"",SUM(N617:O617))</x:f>
      </x:c>
      <x:c r="Q617" s="65" t="str">
        <x:v>赛程/状态来源｜https://www.365scores.com/football/tomorrows-matches；365Scores赛事ID 4773602；查询时间：2026-07-17 19:43（北京时间）</x:v>
      </x:c>
      <x:c r="R61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8" ht="38" customHeight="1">
      <x:c r="A618" s="65" t="str">
        <x:f>IF(B618="","",TEXT(B618,"yyyy-mm-dd")&amp;"|"&amp;D618&amp;"|"&amp;E618)</x:f>
        <x:v>2026-07-18|中文名待确认（Viktoria Cologne）|中文名待确认（Elversberg）</x:v>
      </x:c>
      <x:c r="B618" s="66" t="n">
        <x:v>46221</x:v>
      </x:c>
      <x:c r="C618" s="65" t="str">
        <x:v>国际俱乐部友谊赛</x:v>
      </x:c>
      <x:c r="D618" s="65" t="str">
        <x:v>中文名待确认（Viktoria Cologne）</x:v>
      </x:c>
      <x:c r="E618" s="65" t="str">
        <x:v>中文名待确认（Elversberg）</x:v>
      </x:c>
      <x:c r="F618" s="65" t="str">
        <x:v>无可靠让球盘/只观察｜现有可审计资料不足以形成可靠让球倾向</x:v>
      </x:c>
      <x:c r="G618" s="65" t="str">
        <x:v>无可靠大小球盘/只观察｜未取得可交叉核验的总进球主盘与水位，无可靠大小球倾向</x:v>
      </x:c>
      <x:c r="H618" s="65" t="str">
        <x:v>待确认首发、双方近5场/主客拆分与可靠亚洲双盘；任一市场欧赔&lt;1.80/港水&lt;0.80不进；盘口未核验前不进、不加仓</x:v>
      </x:c>
      <x:c r="I618" s="66" t="n">
        <x:v>46220.82152777778</x:v>
      </x:c>
      <x:c r="J618" s="65" t="str">
        <x:v>需复核</x:v>
      </x:c>
      <x:c r="K618" s="65"/>
      <x:c r="L618" s="65"/>
      <x:c r="M618" s="65"/>
      <x:c r="N618" s="67"/>
      <x:c r="O618" s="67"/>
      <x:c r="P618" s="67" t="str">
        <x:f>IF(COUNT(N618:O618)=0,"",SUM(N618:O618))</x:f>
      </x:c>
      <x:c r="Q618" s="65" t="str">
        <x:v>赛程/状态来源｜https://www.livescore.mobi/football/club-friendlies/club-friendlies-2026/viktoria-cologne-vs-elversberg/1821690/；365Scores赛事ID —；查询时间：2026-07-17 19:43（北京时间）</x:v>
      </x:c>
      <x:c r="R61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19" ht="38" customHeight="1">
      <x:c r="A619" s="65" t="str">
        <x:f>IF(B619="","",TEXT(B619,"yyyy-mm-dd")&amp;"|"&amp;D619&amp;"|"&amp;E619)</x:f>
        <x:v>2026-07-18|中文名待确认（Usti Nad Labem）|中文名待确认（Dukla Praha）</x:v>
      </x:c>
      <x:c r="B619" s="66" t="n">
        <x:v>46221</x:v>
      </x:c>
      <x:c r="C619" s="65" t="str">
        <x:v>国际俱乐部友谊赛</x:v>
      </x:c>
      <x:c r="D619" s="65" t="str">
        <x:v>中文名待确认（Usti Nad Labem）</x:v>
      </x:c>
      <x:c r="E619" s="65" t="str">
        <x:v>中文名待确认（Dukla Praha）</x:v>
      </x:c>
      <x:c r="F619" s="65" t="str">
        <x:v>无可靠让球盘/只观察｜现有可审计资料不足以形成可靠让球倾向</x:v>
      </x:c>
      <x:c r="G619" s="65" t="str">
        <x:v>无可靠大小球盘/只观察｜未取得可交叉核验的总进球主盘与水位，无可靠大小球倾向</x:v>
      </x:c>
      <x:c r="H619" s="65" t="str">
        <x:v>待确认首发、双方近5场/主客拆分与可靠亚洲双盘；任一市场欧赔&lt;1.80/港水&lt;0.80不进；盘口未核验前不进、不加仓</x:v>
      </x:c>
      <x:c r="I619" s="66" t="n">
        <x:v>46220.82152777778</x:v>
      </x:c>
      <x:c r="J619" s="65" t="str">
        <x:v>需复核</x:v>
      </x:c>
      <x:c r="K619" s="65"/>
      <x:c r="L619" s="65"/>
      <x:c r="M619" s="65"/>
      <x:c r="N619" s="67"/>
      <x:c r="O619" s="67"/>
      <x:c r="P619" s="67" t="str">
        <x:f>IF(COUNT(N619:O619)=0,"",SUM(N619:O619))</x:f>
      </x:c>
      <x:c r="Q619" s="65" t="str">
        <x:v>赛程/状态来源｜https://www.365scores.com/football/tomorrows-matches；365Scores赛事ID 4767763；查询时间：2026-07-17 19:43（北京时间）</x:v>
      </x:c>
      <x:c r="R61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0" ht="38" customHeight="1">
      <x:c r="A620" s="65" t="str">
        <x:f>IF(B620="","",TEXT(B620,"yyyy-mm-dd")&amp;"|"&amp;D620&amp;"|"&amp;E620)</x:f>
        <x:v>2026-07-18|中文名待确认（SpVgg Bayreuth）|中文名待确认（Carl Zeiss Jena）</x:v>
      </x:c>
      <x:c r="B620" s="66" t="n">
        <x:v>46221</x:v>
      </x:c>
      <x:c r="C620" s="65" t="str">
        <x:v>国际俱乐部友谊赛</x:v>
      </x:c>
      <x:c r="D620" s="65" t="str">
        <x:v>中文名待确认（SpVgg Bayreuth）</x:v>
      </x:c>
      <x:c r="E620" s="65" t="str">
        <x:v>中文名待确认（Carl Zeiss Jena）</x:v>
      </x:c>
      <x:c r="F620" s="65" t="str">
        <x:v>无可靠让球盘/只观察｜现有可审计资料不足以形成可靠让球倾向</x:v>
      </x:c>
      <x:c r="G620" s="65" t="str">
        <x:v>无可靠大小球盘/只观察｜未取得可交叉核验的总进球主盘与水位，无可靠大小球倾向</x:v>
      </x:c>
      <x:c r="H620" s="65" t="str">
        <x:v>待确认首发、双方近5场/主客拆分与可靠亚洲双盘；任一市场欧赔&lt;1.80/港水&lt;0.80不进；盘口未核验前不进、不加仓</x:v>
      </x:c>
      <x:c r="I620" s="66" t="n">
        <x:v>46220.82152777778</x:v>
      </x:c>
      <x:c r="J620" s="65" t="str">
        <x:v>需复核</x:v>
      </x:c>
      <x:c r="K620" s="65"/>
      <x:c r="L620" s="65"/>
      <x:c r="M620" s="65"/>
      <x:c r="N620" s="67"/>
      <x:c r="O620" s="67"/>
      <x:c r="P620" s="67" t="str">
        <x:f>IF(COUNT(N620:O620)=0,"",SUM(N620:O620))</x:f>
      </x:c>
      <x:c r="Q620" s="65" t="str">
        <x:v>赛程/状态来源｜https://www.365scores.com/football/tomorrows-matches；365Scores赛事ID 4767984；查询时间：2026-07-17 19:43（北京时间）</x:v>
      </x:c>
      <x:c r="R62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1" ht="38" customHeight="1">
      <x:c r="A621" s="65" t="str">
        <x:f>IF(B621="","",TEXT(B621,"yyyy-mm-dd")&amp;"|"&amp;D621&amp;"|"&amp;E621)</x:f>
        <x:v>2026-07-18|中文名待确认（Spartak Varna）|中文名待确认（CSKA 1948 Sofia）</x:v>
      </x:c>
      <x:c r="B621" s="66" t="n">
        <x:v>46221</x:v>
      </x:c>
      <x:c r="C621" s="65" t="str">
        <x:v>保加利亚甲级联赛</x:v>
      </x:c>
      <x:c r="D621" s="65" t="str">
        <x:v>中文名待确认（Spartak Varna）</x:v>
      </x:c>
      <x:c r="E621" s="65" t="str">
        <x:v>中文名待确认（CSKA 1948 Sofia）</x:v>
      </x:c>
      <x:c r="F621" s="65" t="str">
        <x:v>无可靠让球盘/只观察｜胜负价格仅弱倾向客队侧，不换算让球盘口</x:v>
      </x:c>
      <x:c r="G621" s="65" t="str">
        <x:v>无可靠大小球盘/只观察｜未取得可交叉核验的总进球主盘与水位，无可靠大小球倾向</x:v>
      </x:c>
      <x:c r="H621" s="65" t="str">
        <x:v>待确认首发、双方近5场/主客拆分与可靠亚洲双盘；任一市场欧赔&lt;1.80/港水&lt;0.80不进；盘口未核验前不进、不加仓</x:v>
      </x:c>
      <x:c r="I621" s="66" t="n">
        <x:v>46220.82152777778</x:v>
      </x:c>
      <x:c r="J621" s="65" t="str">
        <x:v>需复核</x:v>
      </x:c>
      <x:c r="K621" s="65"/>
      <x:c r="L621" s="65"/>
      <x:c r="M621" s="65"/>
      <x:c r="N621" s="67"/>
      <x:c r="O621" s="67"/>
      <x:c r="P621" s="67" t="str">
        <x:f>IF(COUNT(N621:O621)=0,"",SUM(N621:O621))</x:f>
      </x:c>
      <x:c r="Q621" s="65" t="str">
        <x:v>赛程/状态来源｜https://www.365scores.com/football/tomorrows-matches；https://www.livescore.mobi/football/bulgaria/parva-liga/spartak-varna-vs-cska-1948-sofia/1786286/；https://tipsterarea.com/match/spartak-varna-cska-1948-sofia-first-pfl-bulgaria-935411；365Scores赛事ID 4733631；查询时间：2026-07-17 19:43（北京时间）</x:v>
      </x:c>
      <x:c r="R62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5.20/3.73/1.60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2" ht="38" customHeight="1">
      <x:c r="A622" s="65" t="str">
        <x:f>IF(B622="","",TEXT(B622,"yyyy-mm-dd")&amp;"|"&amp;D622&amp;"|"&amp;E622)</x:f>
        <x:v>2026-07-18|帕德博恩（SC Paderborn 07）|中文名待确认（Okayama）</x:v>
      </x:c>
      <x:c r="B622" s="66" t="n">
        <x:v>46221</x:v>
      </x:c>
      <x:c r="C622" s="65" t="str">
        <x:v>国际俱乐部友谊赛</x:v>
      </x:c>
      <x:c r="D622" s="65" t="str">
        <x:v>帕德博恩（SC Paderborn 07）</x:v>
      </x:c>
      <x:c r="E622" s="65" t="str">
        <x:v>中文名待确认（Okayama）</x:v>
      </x:c>
      <x:c r="F622" s="65" t="str">
        <x:v>无可靠让球盘/只观察｜现有可审计资料不足以形成可靠让球倾向</x:v>
      </x:c>
      <x:c r="G622" s="65" t="str">
        <x:v>无可靠大小球盘/只观察｜未取得可交叉核验的总进球主盘与水位，无可靠大小球倾向</x:v>
      </x:c>
      <x:c r="H622" s="65" t="str">
        <x:v>待确认首发、双方近5场/主客拆分与可靠亚洲双盘；任一市场欧赔&lt;1.80/港水&lt;0.80不进；盘口未核验前不进、不加仓</x:v>
      </x:c>
      <x:c r="I622" s="66" t="n">
        <x:v>46220.82152777778</x:v>
      </x:c>
      <x:c r="J622" s="65" t="str">
        <x:v>需复核</x:v>
      </x:c>
      <x:c r="K622" s="65"/>
      <x:c r="L622" s="65"/>
      <x:c r="M622" s="65"/>
      <x:c r="N622" s="67"/>
      <x:c r="O622" s="67"/>
      <x:c r="P622" s="67" t="str">
        <x:f>IF(COUNT(N622:O622)=0,"",SUM(N622:O622))</x:f>
      </x:c>
      <x:c r="Q622" s="65" t="str">
        <x:v>赛程/状态来源｜https://www.365scores.com/football/tomorrows-matches；https://www.livescore.mobi/football/club-friendlies/club-friendlies-2026/paderborn-vs-fagiano-okayama-fc/1836416/；365Scores赛事ID 4773587；查询时间：2026-07-17 19:43（北京时间）</x:v>
      </x:c>
      <x:c r="R62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3" ht="38" customHeight="1">
      <x:c r="A623" s="65" t="str">
        <x:f>IF(B623="","",TEXT(B623,"yyyy-mm-dd")&amp;"|"&amp;D623&amp;"|"&amp;E623)</x:f>
        <x:v>2026-07-18|中文名待确认（Oudenaarde）|中文名待确认（Club NXT）</x:v>
      </x:c>
      <x:c r="B623" s="66" t="n">
        <x:v>46221</x:v>
      </x:c>
      <x:c r="C623" s="65" t="str">
        <x:v>国际俱乐部友谊赛</x:v>
      </x:c>
      <x:c r="D623" s="65" t="str">
        <x:v>中文名待确认（Oudenaarde）</x:v>
      </x:c>
      <x:c r="E623" s="65" t="str">
        <x:v>中文名待确认（Club NXT）</x:v>
      </x:c>
      <x:c r="F623" s="65" t="str">
        <x:v>无可靠让球盘/只观察｜现有可审计资料不足以形成可靠让球倾向</x:v>
      </x:c>
      <x:c r="G623" s="65" t="str">
        <x:v>无可靠大小球盘/只观察｜未取得可交叉核验的总进球主盘与水位，无可靠大小球倾向</x:v>
      </x:c>
      <x:c r="H623" s="65" t="str">
        <x:v>待确认首发、双方近5场/主客拆分与可靠亚洲双盘；任一市场欧赔&lt;1.80/港水&lt;0.80不进；盘口未核验前不进、不加仓</x:v>
      </x:c>
      <x:c r="I623" s="66" t="n">
        <x:v>46220.82152777778</x:v>
      </x:c>
      <x:c r="J623" s="65" t="str">
        <x:v>需复核</x:v>
      </x:c>
      <x:c r="K623" s="65"/>
      <x:c r="L623" s="65"/>
      <x:c r="M623" s="65"/>
      <x:c r="N623" s="67"/>
      <x:c r="O623" s="67"/>
      <x:c r="P623" s="67" t="str">
        <x:f>IF(COUNT(N623:O623)=0,"",SUM(N623:O623))</x:f>
      </x:c>
      <x:c r="Q623" s="65" t="str">
        <x:v>赛程/状态来源｜https://www.365scores.com/football/tomorrows-matches；365Scores赛事ID 4767985；查询时间：2026-07-17 19:43（北京时间）</x:v>
      </x:c>
      <x:c r="R62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4" ht="38" customHeight="1">
      <x:c r="A624" s="65" t="str">
        <x:f>IF(B624="","",TEXT(B624,"yyyy-mm-dd")&amp;"|"&amp;D624&amp;"|"&amp;E624)</x:f>
        <x:v>2026-07-18|中文名待确认（Nassaji Mazandaran）|中文名待确认（Ario Eslamshahr）</x:v>
      </x:c>
      <x:c r="B624" s="66" t="n">
        <x:v>46221</x:v>
      </x:c>
      <x:c r="C624" s="65" t="str">
        <x:v>伊朗甲级联赛</x:v>
      </x:c>
      <x:c r="D624" s="65" t="str">
        <x:v>中文名待确认（Nassaji Mazandaran）</x:v>
      </x:c>
      <x:c r="E624" s="65" t="str">
        <x:v>中文名待确认（Ario Eslamshahr）</x:v>
      </x:c>
      <x:c r="F624" s="65" t="str">
        <x:v>无可靠让球盘/只观察｜现有可审计资料不足以形成可靠让球倾向</x:v>
      </x:c>
      <x:c r="G624" s="65" t="str">
        <x:v>无可靠大小球盘/只观察｜未取得可交叉核验的总进球主盘与水位，无可靠大小球倾向</x:v>
      </x:c>
      <x:c r="H624" s="65" t="str">
        <x:v>待确认首发、双方近5场/主客拆分与可靠亚洲双盘；任一市场欧赔&lt;1.80/港水&lt;0.80不进；盘口未核验前不进、不加仓</x:v>
      </x:c>
      <x:c r="I624" s="66" t="n">
        <x:v>46220.82152777778</x:v>
      </x:c>
      <x:c r="J624" s="65" t="str">
        <x:v>需复核</x:v>
      </x:c>
      <x:c r="K624" s="65"/>
      <x:c r="L624" s="65"/>
      <x:c r="M624" s="65"/>
      <x:c r="N624" s="67"/>
      <x:c r="O624" s="67"/>
      <x:c r="P624" s="67" t="str">
        <x:f>IF(COUNT(N624:O624)=0,"",SUM(N624:O624))</x:f>
      </x:c>
      <x:c r="Q624" s="65" t="str">
        <x:v>赛程/状态来源｜https://www.365scores.com/football/tomorrows-matches；https://www.livescore.mobi/football/iran/azadegan-league/nassaji-mazandaran-fc-vs-ario-islamshahr/1808063/；365Scores赛事ID 4737264；查询时间：2026-07-17 19:43（北京时间）</x:v>
      </x:c>
      <x:c r="R62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5" ht="38" customHeight="1">
      <x:c r="A625" s="65" t="str">
        <x:f>IF(B625="","",TEXT(B625,"yyyy-mm-dd")&amp;"|"&amp;D625&amp;"|"&amp;E625)</x:f>
        <x:v>2026-07-18|中文名待确认（Nafta）|中文名待确认（Luka Koper）</x:v>
      </x:c>
      <x:c r="B625" s="66" t="n">
        <x:v>46221</x:v>
      </x:c>
      <x:c r="C625" s="65" t="str">
        <x:v>斯洛文尼亚甲级联赛</x:v>
      </x:c>
      <x:c r="D625" s="65" t="str">
        <x:v>中文名待确认（Nafta）</x:v>
      </x:c>
      <x:c r="E625" s="65" t="str">
        <x:v>中文名待确认（Luka Koper）</x:v>
      </x:c>
      <x:c r="F625" s="65" t="str">
        <x:v>无可靠让球盘/只观察｜现有可审计资料不足以形成可靠让球倾向</x:v>
      </x:c>
      <x:c r="G625" s="65" t="str">
        <x:v>无可靠大小球盘/只观察｜未取得可交叉核验的总进球主盘与水位，无可靠大小球倾向</x:v>
      </x:c>
      <x:c r="H625" s="65" t="str">
        <x:v>待确认首发、双方近5场/主客拆分与可靠亚洲双盘；任一市场欧赔&lt;1.80/港水&lt;0.80不进；盘口未核验前不进、不加仓</x:v>
      </x:c>
      <x:c r="I625" s="66" t="n">
        <x:v>46220.82152777778</x:v>
      </x:c>
      <x:c r="J625" s="65" t="str">
        <x:v>需复核</x:v>
      </x:c>
      <x:c r="K625" s="65"/>
      <x:c r="L625" s="65"/>
      <x:c r="M625" s="65"/>
      <x:c r="N625" s="67"/>
      <x:c r="O625" s="67"/>
      <x:c r="P625" s="67" t="str">
        <x:f>IF(COUNT(N625:O625)=0,"",SUM(N625:O625))</x:f>
      </x:c>
      <x:c r="Q625" s="65" t="str">
        <x:v>赛程/状态来源｜https://www.365scores.com/football/tomorrows-matches；https://www.livescore.mobi/football/slovenia/prva-liga/nafta-vs-koper/1800798/；365Scores赛事ID 4742857；查询时间：2026-07-17 19:43（北京时间）</x:v>
      </x:c>
      <x:c r="R625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6" ht="38" customHeight="1">
      <x:c r="A626" s="65" t="str">
        <x:f>IF(B626="","",TEXT(B626,"yyyy-mm-dd")&amp;"|"&amp;D626&amp;"|"&amp;E626)</x:f>
        <x:v>2026-07-18|中文名待确认（Klubi 04）|哈卡（FC Haka）</x:v>
      </x:c>
      <x:c r="B626" s="66" t="n">
        <x:v>46221</x:v>
      </x:c>
      <x:c r="C626" s="65" t="str">
        <x:v>芬兰足球甲级联赛（Ykkösliiga，芬兰第二级别）</x:v>
      </x:c>
      <x:c r="D626" s="65" t="str">
        <x:v>中文名待确认（Klubi 04）</x:v>
      </x:c>
      <x:c r="E626" s="65" t="str">
        <x:v>哈卡（FC Haka）</x:v>
      </x:c>
      <x:c r="F626" s="65" t="str">
        <x:v>无可靠让球盘/只观察｜现有可审计资料不足以形成可靠让球倾向</x:v>
      </x:c>
      <x:c r="G626" s="65" t="str">
        <x:v>无可靠大小球盘/只观察｜未取得可交叉核验的总进球主盘与水位，无可靠大小球倾向</x:v>
      </x:c>
      <x:c r="H626" s="65" t="str">
        <x:v>待确认首发、双方近5场/主客拆分与可靠亚洲双盘；任一市场欧赔&lt;1.80/港水&lt;0.80不进；盘口未核验前不进、不加仓</x:v>
      </x:c>
      <x:c r="I626" s="66" t="n">
        <x:v>46220.82152777778</x:v>
      </x:c>
      <x:c r="J626" s="65" t="str">
        <x:v>需复核</x:v>
      </x:c>
      <x:c r="K626" s="65"/>
      <x:c r="L626" s="65"/>
      <x:c r="M626" s="65"/>
      <x:c r="N626" s="67"/>
      <x:c r="O626" s="67"/>
      <x:c r="P626" s="67" t="str">
        <x:f>IF(COUNT(N626:O626)=0,"",SUM(N626:O626))</x:f>
      </x:c>
      <x:c r="Q626" s="65" t="str">
        <x:v>赛程/状态来源｜https://www.365scores.com/football/tomorrows-matches；https://www.livescore.mobi/football/finland/ykkosliiga/klubi-04-vs-fc-haka-j/1732623/；365Scores赛事ID 4651931；查询时间：2026-07-17 19:43（北京时间）</x:v>
      </x:c>
      <x:c r="R62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7" ht="38" customHeight="1">
      <x:c r="A627" s="65" t="str">
        <x:f>IF(B627="","",TEXT(B627,"yyyy-mm-dd")&amp;"|"&amp;D627&amp;"|"&amp;E627)</x:f>
        <x:v>2026-07-18|中文名待确认（KaPa Kapylan Pallo）|中文名待确认（SJK Akatemia）</x:v>
      </x:c>
      <x:c r="B627" s="66" t="n">
        <x:v>46221</x:v>
      </x:c>
      <x:c r="C627" s="65" t="str">
        <x:v>芬兰足球甲级联赛（Ykkösliiga，芬兰第二级别）</x:v>
      </x:c>
      <x:c r="D627" s="65" t="str">
        <x:v>中文名待确认（KaPa Kapylan Pallo）</x:v>
      </x:c>
      <x:c r="E627" s="65" t="str">
        <x:v>中文名待确认（SJK Akatemia）</x:v>
      </x:c>
      <x:c r="F627" s="65" t="str">
        <x:v>无可靠让球盘/只观察｜现有可审计资料不足以形成可靠让球倾向</x:v>
      </x:c>
      <x:c r="G627" s="65" t="str">
        <x:v>无可靠大小球盘/只观察｜未取得可交叉核验的总进球主盘与水位，无可靠大小球倾向</x:v>
      </x:c>
      <x:c r="H627" s="65" t="str">
        <x:v>待确认首发、双方近5场/主客拆分与可靠亚洲双盘；任一市场欧赔&lt;1.80/港水&lt;0.80不进；盘口未核验前不进、不加仓</x:v>
      </x:c>
      <x:c r="I627" s="66" t="n">
        <x:v>46220.82152777778</x:v>
      </x:c>
      <x:c r="J627" s="65" t="str">
        <x:v>需复核</x:v>
      </x:c>
      <x:c r="K627" s="65"/>
      <x:c r="L627" s="65"/>
      <x:c r="M627" s="65"/>
      <x:c r="N627" s="67"/>
      <x:c r="O627" s="67"/>
      <x:c r="P627" s="67" t="str">
        <x:f>IF(COUNT(N627:O627)=0,"",SUM(N627:O627))</x:f>
      </x:c>
      <x:c r="Q627" s="65" t="str">
        <x:v>赛程/状态来源｜https://www.livescore.mobi/football/finland/ykkosliiga/kapa-kapylan-pallo-vs-sjk-akatemia/1732620/；365Scores赛事ID —；查询时间：2026-07-17 19:43（北京时间）</x:v>
      </x:c>
      <x:c r="R62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8" ht="38" customHeight="1">
      <x:c r="A628" s="65" t="str">
        <x:f>IF(B628="","",TEXT(B628,"yyyy-mm-dd")&amp;"|"&amp;D628&amp;"|"&amp;E628)</x:f>
        <x:v>2026-07-18|中文名待确认（Kapa）|中文名待确认（SJK Akatemia）</x:v>
      </x:c>
      <x:c r="B628" s="66" t="n">
        <x:v>46221</x:v>
      </x:c>
      <x:c r="C628" s="65" t="str">
        <x:v>芬兰足球甲级联赛（Ykkösliiga，芬兰第二级别）</x:v>
      </x:c>
      <x:c r="D628" s="65" t="str">
        <x:v>中文名待确认（Kapa）</x:v>
      </x:c>
      <x:c r="E628" s="65" t="str">
        <x:v>中文名待确认（SJK Akatemia）</x:v>
      </x:c>
      <x:c r="F628" s="65" t="str">
        <x:v>无可靠让球盘/只观察｜现有可审计资料不足以形成可靠让球倾向</x:v>
      </x:c>
      <x:c r="G628" s="65" t="str">
        <x:v>无可靠大小球盘/只观察｜未取得可交叉核验的总进球主盘与水位，无可靠大小球倾向</x:v>
      </x:c>
      <x:c r="H628" s="65" t="str">
        <x:v>待确认首发、双方近5场/主客拆分与可靠亚洲双盘；任一市场欧赔&lt;1.80/港水&lt;0.80不进；盘口未核验前不进、不加仓</x:v>
      </x:c>
      <x:c r="I628" s="66" t="n">
        <x:v>46220.82152777778</x:v>
      </x:c>
      <x:c r="J628" s="65" t="str">
        <x:v>需复核</x:v>
      </x:c>
      <x:c r="K628" s="65"/>
      <x:c r="L628" s="65"/>
      <x:c r="M628" s="65"/>
      <x:c r="N628" s="67"/>
      <x:c r="O628" s="67"/>
      <x:c r="P628" s="67" t="str">
        <x:f>IF(COUNT(N628:O628)=0,"",SUM(N628:O628))</x:f>
      </x:c>
      <x:c r="Q628" s="65" t="str">
        <x:v>赛程/状态来源｜https://www.365scores.com/football/tomorrows-matches；365Scores赛事ID 4649916；查询时间：2026-07-17 19:43（北京时间）</x:v>
      </x:c>
      <x:c r="R62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29" ht="38" customHeight="1">
      <x:c r="A629" s="65" t="str">
        <x:f>IF(B629="","",TEXT(B629,"yyyy-mm-dd")&amp;"|"&amp;D629&amp;"|"&amp;E629)</x:f>
        <x:v>2026-07-18|塔林弗洛拉（Flora Tallinn）|中文名待确认（Nõmme United）</x:v>
      </x:c>
      <x:c r="B629" s="66" t="n">
        <x:v>46221</x:v>
      </x:c>
      <x:c r="C629" s="65" t="str">
        <x:v>爱沙尼亚甲级联赛</x:v>
      </x:c>
      <x:c r="D629" s="65" t="str">
        <x:v>塔林弗洛拉（Flora Tallinn）</x:v>
      </x:c>
      <x:c r="E629" s="65" t="str">
        <x:v>中文名待确认（Nõmme United）</x:v>
      </x:c>
      <x:c r="F629" s="65" t="str">
        <x:v>无可靠让球盘/只观察｜胜负价格仅弱倾向主队侧，不换算让球盘口</x:v>
      </x:c>
      <x:c r="G629" s="65" t="str">
        <x:v>无可靠大小球盘/只观察｜未取得可交叉核验的总进球主盘与水位，无可靠大小球倾向</x:v>
      </x:c>
      <x:c r="H629" s="65" t="str">
        <x:v>待确认首发、双方近5场/主客拆分与可靠亚洲双盘；任一市场欧赔&lt;1.80/港水&lt;0.80不进；盘口未核验前不进、不加仓</x:v>
      </x:c>
      <x:c r="I629" s="66" t="n">
        <x:v>46220.82152777778</x:v>
      </x:c>
      <x:c r="J629" s="65" t="str">
        <x:v>需复核</x:v>
      </x:c>
      <x:c r="K629" s="65"/>
      <x:c r="L629" s="65"/>
      <x:c r="M629" s="65"/>
      <x:c r="N629" s="67"/>
      <x:c r="O629" s="67"/>
      <x:c r="P629" s="67" t="str">
        <x:f>IF(COUNT(N629:O629)=0,"",SUM(N629:O629))</x:f>
      </x:c>
      <x:c r="Q629" s="65" t="str">
        <x:v>赛程/状态来源｜https://www.365scores.com/football/tomorrows-matches；https://www.livescore.mobi/football/estonia/meistriliiga/flora-tallinn-vs-nomme-united/1733035/；https://tipsterarea.com/match/flora-tallinn-nomme-united-meistriliiga-estonia-935441；365Scores赛事ID 4661063；查询时间：2026-07-17 19:43（北京时间）</x:v>
      </x:c>
      <x:c r="R62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1.22/6.14/8.33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0" ht="38" customHeight="1">
      <x:c r="A630" s="65" t="str">
        <x:f>IF(B630="","",TEXT(B630,"yyyy-mm-dd")&amp;"|"&amp;D630&amp;"|"&amp;E630)</x:f>
        <x:v>2026-07-18|中文名待确认（Coquimbo Unido (W)）|中文名待确认（Huachipato (W)）</x:v>
      </x:c>
      <x:c r="B630" s="66" t="n">
        <x:v>46221</x:v>
      </x:c>
      <x:c r="C630" s="65" t="str">
        <x:v>女子冠军联赛（国家待确认）</x:v>
      </x:c>
      <x:c r="D630" s="65" t="str">
        <x:v>中文名待确认（Coquimbo Unido (W)）</x:v>
      </x:c>
      <x:c r="E630" s="65" t="str">
        <x:v>中文名待确认（Huachipato (W)）</x:v>
      </x:c>
      <x:c r="F630" s="65" t="str">
        <x:v>无可靠让球盘/只观察｜现有可审计资料不足以形成可靠让球倾向</x:v>
      </x:c>
      <x:c r="G630" s="65" t="str">
        <x:v>无可靠大小球盘/只观察｜未取得可交叉核验的总进球主盘与水位，无可靠大小球倾向</x:v>
      </x:c>
      <x:c r="H630" s="65" t="str">
        <x:v>待确认首发、双方近5场/主客拆分与可靠亚洲双盘；任一市场欧赔&lt;1.80/港水&lt;0.80不进；盘口未核验前不进、不加仓</x:v>
      </x:c>
      <x:c r="I630" s="66" t="n">
        <x:v>46220.82152777778</x:v>
      </x:c>
      <x:c r="J630" s="65" t="str">
        <x:v>需复核</x:v>
      </x:c>
      <x:c r="K630" s="65"/>
      <x:c r="L630" s="65"/>
      <x:c r="M630" s="65"/>
      <x:c r="N630" s="67"/>
      <x:c r="O630" s="67"/>
      <x:c r="P630" s="67" t="str">
        <x:f>IF(COUNT(N630:O630)=0,"",SUM(N630:O630))</x:f>
      </x:c>
      <x:c r="Q630" s="65" t="str">
        <x:v>赛程/状态来源｜https://www.365scores.com/football/tomorrows-matches；365Scores赛事ID 4679212；查询时间：2026-07-17 19:43（北京时间）</x:v>
      </x:c>
      <x:c r="R630" s="65" t="str">
        <x:v>证据卡：女子赛事，公开阵容和低级别样本完整度通常低于主流男子联赛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1" ht="38" customHeight="1">
      <x:c r="A631" s="65" t="str">
        <x:f>IF(B631="","",TEXT(B631,"yyyy-mm-dd")&amp;"|"&amp;D631&amp;"|"&amp;E631)</x:f>
        <x:v>2026-07-18|中文名待确认（Charlotte Independence 2）|中文名待确认（Appalachian）</x:v>
      </x:c>
      <x:c r="B631" s="66" t="n">
        <x:v>46221</x:v>
      </x:c>
      <x:c r="C631" s="65" t="str">
        <x:v>美国USL二级联赛季后赛</x:v>
      </x:c>
      <x:c r="D631" s="65" t="str">
        <x:v>中文名待确认（Charlotte Independence 2）</x:v>
      </x:c>
      <x:c r="E631" s="65" t="str">
        <x:v>中文名待确认（Appalachian）</x:v>
      </x:c>
      <x:c r="F631" s="65" t="str">
        <x:v>无可靠让球盘/只观察｜现有可审计资料不足以形成可靠让球倾向</x:v>
      </x:c>
      <x:c r="G631" s="65" t="str">
        <x:v>无可靠大小球盘/只观察｜未取得可交叉核验的总进球主盘与水位，无可靠大小球倾向</x:v>
      </x:c>
      <x:c r="H631" s="65" t="str">
        <x:v>待确认首发、双方近5场/主客拆分与可靠亚洲双盘；任一市场欧赔&lt;1.80/港水&lt;0.80不进；盘口未核验前不进、不加仓</x:v>
      </x:c>
      <x:c r="I631" s="66" t="n">
        <x:v>46220.82152777778</x:v>
      </x:c>
      <x:c r="J631" s="65" t="str">
        <x:v>需复核</x:v>
      </x:c>
      <x:c r="K631" s="65"/>
      <x:c r="L631" s="65"/>
      <x:c r="M631" s="65"/>
      <x:c r="N631" s="67"/>
      <x:c r="O631" s="67"/>
      <x:c r="P631" s="67" t="str">
        <x:f>IF(COUNT(N631:O631)=0,"",SUM(N631:O631))</x:f>
      </x:c>
      <x:c r="Q631" s="65" t="str">
        <x:v>赛程/状态来源｜https://www.livescore.mobi/football/usa/usl-league-two-play-off/charlotte-independence-2-vs-appalachian/1834939/；https://www.uslleaguetwo.com/playoffs；365Scores赛事ID —；查询时间：2026-07-17 19:43（北京时间）</x:v>
      </x:c>
      <x:c r="R631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2" ht="38" customHeight="1">
      <x:c r="A632" s="65" t="str">
        <x:f>IF(B632="","",TEXT(B632,"yyyy-mm-dd")&amp;"|"&amp;D632&amp;"|"&amp;E632)</x:f>
        <x:v>2026-07-18|中文名待确认（FC Astoria Walldorf）|达姆施塔特98（SV Darmstadt 98）</x:v>
      </x:c>
      <x:c r="B632" s="66" t="n">
        <x:v>46221</x:v>
      </x:c>
      <x:c r="C632" s="65" t="str">
        <x:v>国际俱乐部友谊赛</x:v>
      </x:c>
      <x:c r="D632" s="65" t="str">
        <x:v>中文名待确认（FC Astoria Walldorf）</x:v>
      </x:c>
      <x:c r="E632" s="65" t="str">
        <x:v>达姆施塔特98（SV Darmstadt 98）</x:v>
      </x:c>
      <x:c r="F632" s="65" t="str">
        <x:v>无可靠让球盘/只观察｜现有可审计资料不足以形成可靠让球倾向</x:v>
      </x:c>
      <x:c r="G632" s="65" t="str">
        <x:v>无可靠大小球盘/只观察｜未取得可交叉核验的总进球主盘与水位，无可靠大小球倾向</x:v>
      </x:c>
      <x:c r="H632" s="65" t="str">
        <x:v>待确认首发、双方近5场/主客拆分与可靠亚洲双盘；任一市场欧赔&lt;1.80/港水&lt;0.80不进；盘口未核验前不进、不加仓</x:v>
      </x:c>
      <x:c r="I632" s="66" t="n">
        <x:v>46220.82152777778</x:v>
      </x:c>
      <x:c r="J632" s="65" t="str">
        <x:v>需复核</x:v>
      </x:c>
      <x:c r="K632" s="65"/>
      <x:c r="L632" s="65"/>
      <x:c r="M632" s="65"/>
      <x:c r="N632" s="67"/>
      <x:c r="O632" s="67"/>
      <x:c r="P632" s="67" t="str">
        <x:f>IF(COUNT(N632:O632)=0,"",SUM(N632:O632))</x:f>
      </x:c>
      <x:c r="Q632" s="65" t="str">
        <x:v>赛程/状态来源｜https://www.365scores.com/football/tomorrows-matches；365Scores赛事ID 4767988；查询时间：2026-07-17 19:43（北京时间）</x:v>
      </x:c>
      <x:c r="R63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3" ht="38" customHeight="1">
      <x:c r="A633" s="65" t="str">
        <x:f>IF(B633="","",TEXT(B633,"yyyy-mm-dd")&amp;"|"&amp;D633&amp;"|"&amp;E633)</x:f>
        <x:v>2026-07-17|中文名待确认（FC Voluntari）|中文名待确认（FC Botosani）</x:v>
      </x:c>
      <x:c r="B633" s="66" t="n">
        <x:v>46220.979166666664</x:v>
      </x:c>
      <x:c r="C633" s="65" t="str">
        <x:v>印度尼西亚超级联赛（印尼超/Liga 1 Indonesia）</x:v>
      </x:c>
      <x:c r="D633" s="65" t="str">
        <x:v>中文名待确认（FC Voluntari）</x:v>
      </x:c>
      <x:c r="E633" s="65" t="str">
        <x:v>中文名待确认（FC Botosani）</x:v>
      </x:c>
      <x:c r="F633" s="65" t="str">
        <x:v>无可靠让球盘/只观察｜胜负价格仅弱倾向主队侧，不换算让球盘口</x:v>
      </x:c>
      <x:c r="G633" s="65" t="str">
        <x:v>无可靠大小球盘/只观察｜未取得可交叉核验的总进球主盘与水位，无可靠大小球倾向</x:v>
      </x:c>
      <x:c r="H633" s="65" t="str">
        <x:v>待确认首发、双方近5场/主客拆分与可靠亚洲双盘；任一市场欧赔&lt;1.80/港水&lt;0.80不进；盘口未核验前不进、不加仓</x:v>
      </x:c>
      <x:c r="I633" s="66" t="n">
        <x:v>46220.82152777778</x:v>
      </x:c>
      <x:c r="J633" s="65" t="str">
        <x:v>需复核</x:v>
      </x:c>
      <x:c r="K633" s="65"/>
      <x:c r="L633" s="65"/>
      <x:c r="M633" s="65"/>
      <x:c r="N633" s="67"/>
      <x:c r="O633" s="67"/>
      <x:c r="P633" s="67" t="str">
        <x:f>IF(COUNT(N633:O633)=0,"",SUM(N633:O633))</x:f>
      </x:c>
      <x:c r="Q633" s="65" t="str">
        <x:v>赛程/状态来源｜https://www.365scores.com/football/tomorrows-matches；https://www.livescore.mobi/football/romania/liga-1/fc-voluntari-vs-botosani/1807208/；https://tipsterarea.com/match/fc-voluntari-fc-botosani-liga-i-romania-935413；365Scores赛事ID 4748506；查询时间：2026-07-17 19:43（北京时间）</x:v>
      </x:c>
      <x:c r="R63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2.41/3.09/2.83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4" ht="38" customHeight="1">
      <x:c r="A634" s="65" t="str">
        <x:f>IF(B634="","",TEXT(B634,"yyyy-mm-dd")&amp;"|"&amp;D634&amp;"|"&amp;E634)</x:f>
        <x:v>2026-07-17|中文名待确认（Rennes）|中文名待确认（Guingamp）</x:v>
      </x:c>
      <x:c r="B634" s="66" t="n">
        <x:v>46220.979166666664</x:v>
      </x:c>
      <x:c r="C634" s="65" t="str">
        <x:v>国际俱乐部友谊赛</x:v>
      </x:c>
      <x:c r="D634" s="65" t="str">
        <x:v>中文名待确认（Rennes）</x:v>
      </x:c>
      <x:c r="E634" s="65" t="str">
        <x:v>中文名待确认（Guingamp）</x:v>
      </x:c>
      <x:c r="F634" s="65" t="str">
        <x:v>无可靠让球盘/只观察｜现有可审计资料不足以形成可靠让球倾向</x:v>
      </x:c>
      <x:c r="G634" s="65" t="str">
        <x:v>无可靠大小球盘/只观察｜未取得可交叉核验的总进球主盘与水位，无可靠大小球倾向</x:v>
      </x:c>
      <x:c r="H634" s="65" t="str">
        <x:v>待确认首发、双方近5场/主客拆分与可靠亚洲双盘；任一市场欧赔&lt;1.80/港水&lt;0.80不进；盘口未核验前不进、不加仓</x:v>
      </x:c>
      <x:c r="I634" s="66" t="n">
        <x:v>46220.82152777778</x:v>
      </x:c>
      <x:c r="J634" s="65" t="str">
        <x:v>需复核</x:v>
      </x:c>
      <x:c r="K634" s="65"/>
      <x:c r="L634" s="65"/>
      <x:c r="M634" s="65"/>
      <x:c r="N634" s="67"/>
      <x:c r="O634" s="67"/>
      <x:c r="P634" s="67" t="str">
        <x:f>IF(COUNT(N634:O634)=0,"",SUM(N634:O634))</x:f>
      </x:c>
      <x:c r="Q634" s="65" t="str">
        <x:v>赛程/状态来源｜https://www.365scores.com/football/tomorrows-matches；https://www.livescore.mobi/football/club-friendlies/club-friendlies-2026/rennes-vs-guingamp/1822014/；365Scores赛事ID 4767989；查询时间：2026-07-17 19:43（北京时间）</x:v>
      </x:c>
      <x:c r="R63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5" ht="38" customHeight="1">
      <x:c r="A635" s="65" t="str">
        <x:f>IF(B635="","",TEXT(B635,"yyyy-mm-dd")&amp;"|"&amp;D635&amp;"|"&amp;E635)</x:f>
        <x:v>2026-07-17|中文名待确认（NK Lokomotiva Zagreb）|中文名待确认（Karpaty Lviv）</x:v>
      </x:c>
      <x:c r="B635" s="66" t="n">
        <x:v>46220.979166666664</x:v>
      </x:c>
      <x:c r="C635" s="65" t="str">
        <x:v>国际俱乐部友谊赛</x:v>
      </x:c>
      <x:c r="D635" s="65" t="str">
        <x:v>中文名待确认（NK Lokomotiva Zagreb）</x:v>
      </x:c>
      <x:c r="E635" s="65" t="str">
        <x:v>中文名待确认（Karpaty Lviv）</x:v>
      </x:c>
      <x:c r="F635" s="65" t="str">
        <x:v>无可靠让球盘/只观察｜胜负价格仅弱倾向主队侧，不换算让球盘口</x:v>
      </x:c>
      <x:c r="G635" s="65" t="str">
        <x:v>无可靠大小球盘/只观察｜未取得可交叉核验的总进球主盘与水位，无可靠大小球倾向</x:v>
      </x:c>
      <x:c r="H635" s="65" t="str">
        <x:v>待确认首发、双方近5场/主客拆分与可靠亚洲双盘；任一市场欧赔&lt;1.80/港水&lt;0.80不进；盘口未核验前不进、不加仓</x:v>
      </x:c>
      <x:c r="I635" s="66" t="n">
        <x:v>46220.82152777778</x:v>
      </x:c>
      <x:c r="J635" s="65" t="str">
        <x:v>需复核</x:v>
      </x:c>
      <x:c r="K635" s="65"/>
      <x:c r="L635" s="65"/>
      <x:c r="M635" s="65"/>
      <x:c r="N635" s="67"/>
      <x:c r="O635" s="67"/>
      <x:c r="P635" s="67" t="str">
        <x:f>IF(COUNT(N635:O635)=0,"",SUM(N635:O635))</x:f>
      </x:c>
      <x:c r="Q635" s="65" t="str">
        <x:v>赛程/状态来源｜https://www.365scores.com/football/tomorrows-matches；https://tipsterarea.com/match/lokomotiva-zagreb-karpaty-lviv-club-friendly-935768；365Scores赛事ID 4767999；查询时间：2026-07-17 19:43（北京时间）</x:v>
      </x:c>
      <x:c r="R63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2.24/3.25/2.83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6" ht="38" customHeight="1">
      <x:c r="A636" s="65" t="str">
        <x:f>IF(B636="","",TEXT(B636,"yyyy-mm-dd")&amp;"|"&amp;D636&amp;"|"&amp;E636)</x:f>
        <x:v>2026-07-17|中文名待确认（SV Ried）|中文名待确认（RW Essen）</x:v>
      </x:c>
      <x:c r="B636" s="66" t="n">
        <x:v>46220.958333333336</x:v>
      </x:c>
      <x:c r="C636" s="65" t="str">
        <x:v>国际俱乐部友谊赛</x:v>
      </x:c>
      <x:c r="D636" s="65" t="str">
        <x:v>中文名待确认（SV Ried）</x:v>
      </x:c>
      <x:c r="E636" s="65" t="str">
        <x:v>中文名待确认（RW Essen）</x:v>
      </x:c>
      <x:c r="F636" s="65" t="str">
        <x:v>无可靠让球盘/只观察｜现有可审计资料不足以形成可靠让球倾向</x:v>
      </x:c>
      <x:c r="G636" s="65" t="str">
        <x:v>无可靠大小球盘/只观察｜未取得可交叉核验的总进球主盘与水位，无可靠大小球倾向</x:v>
      </x:c>
      <x:c r="H636" s="65" t="str">
        <x:v>待确认首发、双方近5场/主客拆分与可靠亚洲双盘；任一市场欧赔&lt;1.80/港水&lt;0.80不进；盘口未核验前不进、不加仓</x:v>
      </x:c>
      <x:c r="I636" s="66" t="n">
        <x:v>46220.82152777778</x:v>
      </x:c>
      <x:c r="J636" s="65" t="str">
        <x:v>需复核</x:v>
      </x:c>
      <x:c r="K636" s="65"/>
      <x:c r="L636" s="65"/>
      <x:c r="M636" s="65"/>
      <x:c r="N636" s="67"/>
      <x:c r="O636" s="67"/>
      <x:c r="P636" s="67" t="str">
        <x:f>IF(COUNT(N636:O636)=0,"",SUM(N636:O636))</x:f>
      </x:c>
      <x:c r="Q636" s="65" t="str">
        <x:v>赛程/状态来源｜https://www.livescore.mobi/football/club-friendlies/club-friendlies-2026/sv-ried-vs-rw-essen/1821762/；365Scores赛事ID —；查询时间：2026-07-17 19:43（北京时间）</x:v>
      </x:c>
      <x:c r="R63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7" ht="38" customHeight="1">
      <x:c r="A637" s="65" t="str">
        <x:f>IF(B637="","",TEXT(B637,"yyyy-mm-dd")&amp;"|"&amp;D637&amp;"|"&amp;E637)</x:f>
        <x:v>2026-07-17|中文名待确认（Sion）|中文名待确认（FC Annecy）</x:v>
      </x:c>
      <x:c r="B637" s="66" t="n">
        <x:v>46220.958333333336</x:v>
      </x:c>
      <x:c r="C637" s="65" t="str">
        <x:v>国际俱乐部友谊赛</x:v>
      </x:c>
      <x:c r="D637" s="65" t="str">
        <x:v>中文名待确认（Sion）</x:v>
      </x:c>
      <x:c r="E637" s="65" t="str">
        <x:v>中文名待确认（FC Annecy）</x:v>
      </x:c>
      <x:c r="F637" s="65" t="str">
        <x:v>无可靠让球盘/只观察｜现有可审计资料不足以形成可靠让球倾向</x:v>
      </x:c>
      <x:c r="G637" s="65" t="str">
        <x:v>无可靠大小球盘/只观察｜未取得可交叉核验的总进球主盘与水位，无可靠大小球倾向</x:v>
      </x:c>
      <x:c r="H637" s="65" t="str">
        <x:v>待确认首发、双方近5场/主客拆分与可靠亚洲双盘；任一市场欧赔&lt;1.80/港水&lt;0.80不进；盘口未核验前不进、不加仓</x:v>
      </x:c>
      <x:c r="I637" s="66" t="n">
        <x:v>46220.82152777778</x:v>
      </x:c>
      <x:c r="J637" s="65" t="str">
        <x:v>需复核</x:v>
      </x:c>
      <x:c r="K637" s="65"/>
      <x:c r="L637" s="65"/>
      <x:c r="M637" s="65"/>
      <x:c r="N637" s="67"/>
      <x:c r="O637" s="67"/>
      <x:c r="P637" s="67" t="str">
        <x:f>IF(COUNT(N637:O637)=0,"",SUM(N637:O637))</x:f>
      </x:c>
      <x:c r="Q637" s="65" t="str">
        <x:v>赛程/状态来源｜https://www.livescore.mobi/football/club-friendlies/club-friendlies-2026/sion-vs-fc-annecy/1822200/；365Scores赛事ID —；查询时间：2026-07-17 19:43（北京时间）</x:v>
      </x:c>
      <x:c r="R63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8" ht="38" customHeight="1">
      <x:c r="A638" s="65" t="str">
        <x:f>IF(B638="","",TEXT(B638,"yyyy-mm-dd")&amp;"|"&amp;D638&amp;"|"&amp;E638)</x:f>
        <x:v>2026-07-17|中文名待确认（Radomiak Radom）|中文名待确认（Legia Ii Warszawa）</x:v>
      </x:c>
      <x:c r="B638" s="66" t="n">
        <x:v>46220.958333333336</x:v>
      </x:c>
      <x:c r="C638" s="65" t="str">
        <x:v>国际俱乐部友谊赛</x:v>
      </x:c>
      <x:c r="D638" s="65" t="str">
        <x:v>中文名待确认（Radomiak Radom）</x:v>
      </x:c>
      <x:c r="E638" s="65" t="str">
        <x:v>中文名待确认（Legia Ii Warszawa）</x:v>
      </x:c>
      <x:c r="F638" s="65" t="str">
        <x:v>无可靠让球盘/只观察｜现有可审计资料不足以形成可靠让球倾向</x:v>
      </x:c>
      <x:c r="G638" s="65" t="str">
        <x:v>无可靠大小球盘/只观察｜未取得可交叉核验的总进球主盘与水位，无可靠大小球倾向</x:v>
      </x:c>
      <x:c r="H638" s="65" t="str">
        <x:v>待确认首发、双方近5场/主客拆分与可靠亚洲双盘；任一市场欧赔&lt;1.80/港水&lt;0.80不进；盘口未核验前不进、不加仓</x:v>
      </x:c>
      <x:c r="I638" s="66" t="n">
        <x:v>46220.82152777778</x:v>
      </x:c>
      <x:c r="J638" s="65" t="str">
        <x:v>需复核</x:v>
      </x:c>
      <x:c r="K638" s="65"/>
      <x:c r="L638" s="65"/>
      <x:c r="M638" s="65"/>
      <x:c r="N638" s="67"/>
      <x:c r="O638" s="67"/>
      <x:c r="P638" s="67" t="str">
        <x:f>IF(COUNT(N638:O638)=0,"",SUM(N638:O638))</x:f>
      </x:c>
      <x:c r="Q638" s="65" t="str">
        <x:v>赛程/状态来源｜https://www.365scores.com/football/tomorrows-matches；365Scores赛事ID 4771141；查询时间：2026-07-17 19:43（北京时间）</x:v>
      </x:c>
      <x:c r="R63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39" ht="38" customHeight="1">
      <x:c r="A639" s="65" t="str">
        <x:f>IF(B639="","",TEXT(B639,"yyyy-mm-dd")&amp;"|"&amp;D639&amp;"|"&amp;E639)</x:f>
        <x:v>2026-07-17|中文名待确认（Pakhtakor）|中文名待确认（Lokomotiv Tashkent）</x:v>
      </x:c>
      <x:c r="B639" s="66" t="n">
        <x:v>46220.958333333336</x:v>
      </x:c>
      <x:c r="C639" s="65" t="str">
        <x:v>超级联赛（国家待确认）</x:v>
      </x:c>
      <x:c r="D639" s="65" t="str">
        <x:v>中文名待确认（Pakhtakor）</x:v>
      </x:c>
      <x:c r="E639" s="65" t="str">
        <x:v>中文名待确认（Lokomotiv Tashkent）</x:v>
      </x:c>
      <x:c r="F639" s="65" t="str">
        <x:v>无可靠让球盘/只观察｜现有可审计资料不足以形成可靠让球倾向</x:v>
      </x:c>
      <x:c r="G639" s="65" t="str">
        <x:v>无可靠大小球盘/只观察｜未取得可交叉核验的总进球主盘与水位，无可靠大小球倾向</x:v>
      </x:c>
      <x:c r="H639" s="65" t="str">
        <x:v>待确认首发、双方近5场/主客拆分与可靠亚洲双盘；任一市场欧赔&lt;1.80/港水&lt;0.80不进；盘口未核验前不进、不加仓</x:v>
      </x:c>
      <x:c r="I639" s="66" t="n">
        <x:v>46220.82152777778</x:v>
      </x:c>
      <x:c r="J639" s="65" t="str">
        <x:v>需复核</x:v>
      </x:c>
      <x:c r="K639" s="65"/>
      <x:c r="L639" s="65"/>
      <x:c r="M639" s="65"/>
      <x:c r="N639" s="67"/>
      <x:c r="O639" s="67"/>
      <x:c r="P639" s="67" t="str">
        <x:f>IF(COUNT(N639:O639)=0,"",SUM(N639:O639))</x:f>
      </x:c>
      <x:c r="Q639" s="65" t="str">
        <x:v>赛程/状态来源｜https://www.365scores.com/football/tomorrows-matches；https://www.livescore.mobi/football/uzbekistan/superliga/pakhtakor-tashkent-vs-lokomotiv-tashkent/1743464/；365Scores赛事ID 4663742；查询时间：2026-07-17 19:43（北京时间）</x:v>
      </x:c>
      <x:c r="R63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0" ht="38" customHeight="1">
      <x:c r="A640" s="65" t="str">
        <x:f>IF(B640="","",TEXT(B640,"yyyy-mm-dd")&amp;"|"&amp;D640&amp;"|"&amp;E640)</x:f>
        <x:v>2026-07-17|中文名待确认（Navbahor）|中文名待确认（AGMK）</x:v>
      </x:c>
      <x:c r="B640" s="66" t="n">
        <x:v>46220.958333333336</x:v>
      </x:c>
      <x:c r="C640" s="65" t="str">
        <x:v>超级联赛（国家待确认）</x:v>
      </x:c>
      <x:c r="D640" s="65" t="str">
        <x:v>中文名待确认（Navbahor）</x:v>
      </x:c>
      <x:c r="E640" s="65" t="str">
        <x:v>中文名待确认（AGMK）</x:v>
      </x:c>
      <x:c r="F640" s="65" t="str">
        <x:v>无可靠让球盘/只观察｜现有可审计资料不足以形成可靠让球倾向</x:v>
      </x:c>
      <x:c r="G640" s="65" t="str">
        <x:v>无可靠大小球盘/只观察｜未取得可交叉核验的总进球主盘与水位，无可靠大小球倾向</x:v>
      </x:c>
      <x:c r="H640" s="65" t="str">
        <x:v>待确认首发、双方近5场/主客拆分与可靠亚洲双盘；任一市场欧赔&lt;1.80/港水&lt;0.80不进；盘口未核验前不进、不加仓</x:v>
      </x:c>
      <x:c r="I640" s="66" t="n">
        <x:v>46220.82152777778</x:v>
      </x:c>
      <x:c r="J640" s="65" t="str">
        <x:v>需复核</x:v>
      </x:c>
      <x:c r="K640" s="65"/>
      <x:c r="L640" s="65"/>
      <x:c r="M640" s="65"/>
      <x:c r="N640" s="67"/>
      <x:c r="O640" s="67"/>
      <x:c r="P640" s="67" t="str">
        <x:f>IF(COUNT(N640:O640)=0,"",SUM(N640:O640))</x:f>
      </x:c>
      <x:c r="Q640" s="65" t="str">
        <x:v>赛程/状态来源｜https://www.365scores.com/football/tomorrows-matches；https://www.livescore.mobi/football/uzbekistan/superliga/navbahor-namangan-vs-agmk/1743468/；365Scores赛事ID 4663749；查询时间：2026-07-17 19:43（北京时间）</x:v>
      </x:c>
      <x:c r="R64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1" ht="38" customHeight="1">
      <x:c r="A641" s="65" t="str">
        <x:f>IF(B641="","",TEXT(B641,"yyyy-mm-dd")&amp;"|"&amp;D641&amp;"|"&amp;E641)</x:f>
        <x:v>2026-07-17|中文名待确认（Montpellier）|中文名待确认（Le Puy）</x:v>
      </x:c>
      <x:c r="B641" s="66" t="n">
        <x:v>46220.958333333336</x:v>
      </x:c>
      <x:c r="C641" s="65" t="str">
        <x:v>国际俱乐部友谊赛</x:v>
      </x:c>
      <x:c r="D641" s="65" t="str">
        <x:v>中文名待确认（Montpellier）</x:v>
      </x:c>
      <x:c r="E641" s="65" t="str">
        <x:v>中文名待确认（Le Puy）</x:v>
      </x:c>
      <x:c r="F641" s="65" t="str">
        <x:v>无可靠让球盘/只观察｜现有可审计资料不足以形成可靠让球倾向</x:v>
      </x:c>
      <x:c r="G641" s="65" t="str">
        <x:v>无可靠大小球盘/只观察｜未取得可交叉核验的总进球主盘与水位，无可靠大小球倾向</x:v>
      </x:c>
      <x:c r="H641" s="65" t="str">
        <x:v>待确认首发、双方近5场/主客拆分与可靠亚洲双盘；任一市场欧赔&lt;1.80/港水&lt;0.80不进；盘口未核验前不进、不加仓</x:v>
      </x:c>
      <x:c r="I641" s="66" t="n">
        <x:v>46220.82152777778</x:v>
      </x:c>
      <x:c r="J641" s="65" t="str">
        <x:v>需复核</x:v>
      </x:c>
      <x:c r="K641" s="65"/>
      <x:c r="L641" s="65"/>
      <x:c r="M641" s="65"/>
      <x:c r="N641" s="67"/>
      <x:c r="O641" s="67"/>
      <x:c r="P641" s="67" t="str">
        <x:f>IF(COUNT(N641:O641)=0,"",SUM(N641:O641))</x:f>
      </x:c>
      <x:c r="Q641" s="65" t="str">
        <x:v>赛程/状态来源｜https://www.365scores.com/football/tomorrows-matches；365Scores赛事ID 4771573；查询时间：2026-07-17 19:43（北京时间）</x:v>
      </x:c>
      <x:c r="R64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2" ht="38" customHeight="1">
      <x:c r="A642" s="65" t="str">
        <x:f>IF(B642="","",TEXT(B642,"yyyy-mm-dd")&amp;"|"&amp;D642&amp;"|"&amp;E642)</x:f>
        <x:v>2026-07-17|中文名待确认（Mash'al Mubarek）|中文名待确认（Kokand-1912）</x:v>
      </x:c>
      <x:c r="B642" s="66" t="n">
        <x:v>46220.958333333336</x:v>
      </x:c>
      <x:c r="C642" s="65" t="str">
        <x:v>超级联赛（国家待确认）</x:v>
      </x:c>
      <x:c r="D642" s="65" t="str">
        <x:v>中文名待确认（Mash'al Mubarek）</x:v>
      </x:c>
      <x:c r="E642" s="65" t="str">
        <x:v>中文名待确认（Kokand-1912）</x:v>
      </x:c>
      <x:c r="F642" s="65" t="str">
        <x:v>无可靠让球盘/只观察｜胜负价格仅弱倾向客队侧，不换算让球盘口</x:v>
      </x:c>
      <x:c r="G642" s="65" t="str">
        <x:v>无可靠大小球盘/只观察｜未取得可交叉核验的总进球主盘与水位，无可靠大小球倾向</x:v>
      </x:c>
      <x:c r="H642" s="65" t="str">
        <x:v>待确认首发、双方近5场/主客拆分与可靠亚洲双盘；任一市场欧赔&lt;1.80/港水&lt;0.80不进；盘口未核验前不进、不加仓</x:v>
      </x:c>
      <x:c r="I642" s="66" t="n">
        <x:v>46220.82152777778</x:v>
      </x:c>
      <x:c r="J642" s="65" t="str">
        <x:v>需复核</x:v>
      </x:c>
      <x:c r="K642" s="65"/>
      <x:c r="L642" s="65"/>
      <x:c r="M642" s="65"/>
      <x:c r="N642" s="67"/>
      <x:c r="O642" s="67"/>
      <x:c r="P642" s="67" t="str">
        <x:f>IF(COUNT(N642:O642)=0,"",SUM(N642:O642))</x:f>
      </x:c>
      <x:c r="Q642" s="65" t="str">
        <x:v>赛程/状态来源｜https://www.365scores.com/football/tomorrows-matches；https://www.livescore.mobi/football/uzbekistan/superliga/mashal-muborak-vs-kokand-1912/1743469/；https://tipsterarea.com/match/mash-al-mubarek-kokand-1912-super-league-uzbekistan-935458；365Scores赛事ID 4663746；查询时间：2026-07-17 19:43（北京时间）</x:v>
      </x:c>
      <x:c r="R64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4.26/3.12/1.83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3" ht="38" customHeight="1">
      <x:c r="A643" s="65" t="str">
        <x:f>IF(B643="","",TEXT(B643,"yyyy-mm-dd")&amp;"|"&amp;D643&amp;"|"&amp;E643)</x:f>
        <x:v>2026-07-17|中文名待确认（Leyton Orient）|中文名待确认（Lincoln）</x:v>
      </x:c>
      <x:c r="B643" s="66" t="n">
        <x:v>46220.958333333336</x:v>
      </x:c>
      <x:c r="C643" s="65" t="str">
        <x:v>国际俱乐部友谊赛</x:v>
      </x:c>
      <x:c r="D643" s="65" t="str">
        <x:v>中文名待确认（Leyton Orient）</x:v>
      </x:c>
      <x:c r="E643" s="65" t="str">
        <x:v>中文名待确认（Lincoln）</x:v>
      </x:c>
      <x:c r="F643" s="65" t="str">
        <x:v>无可靠让球盘/只观察｜现有可审计资料不足以形成可靠让球倾向</x:v>
      </x:c>
      <x:c r="G643" s="65" t="str">
        <x:v>无可靠大小球盘/只观察｜未取得可交叉核验的总进球主盘与水位，无可靠大小球倾向</x:v>
      </x:c>
      <x:c r="H643" s="65" t="str">
        <x:v>待确认首发、双方近5场/主客拆分与可靠亚洲双盘；任一市场欧赔&lt;1.80/港水&lt;0.80不进；盘口未核验前不进、不加仓</x:v>
      </x:c>
      <x:c r="I643" s="66" t="n">
        <x:v>46220.82152777778</x:v>
      </x:c>
      <x:c r="J643" s="65" t="str">
        <x:v>需复核</x:v>
      </x:c>
      <x:c r="K643" s="65"/>
      <x:c r="L643" s="65"/>
      <x:c r="M643" s="65"/>
      <x:c r="N643" s="67"/>
      <x:c r="O643" s="67"/>
      <x:c r="P643" s="67" t="str">
        <x:f>IF(COUNT(N643:O643)=0,"",SUM(N643:O643))</x:f>
      </x:c>
      <x:c r="Q643" s="65" t="str">
        <x:v>赛程/状态来源｜https://www.365scores.com/football/tomorrows-matches；365Scores赛事ID 4767993；查询时间：2026-07-17 19:43（北京时间）</x:v>
      </x:c>
      <x:c r="R643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4" ht="38" customHeight="1">
      <x:c r="A644" s="65" t="str">
        <x:f>IF(B644="","",TEXT(B644,"yyyy-mm-dd")&amp;"|"&amp;D644&amp;"|"&amp;E644)</x:f>
        <x:v>2026-07-17|莱昂（León）|阿特拉斯（Atlas）</x:v>
      </x:c>
      <x:c r="B644" s="66" t="n">
        <x:v>46220.958333333336</x:v>
      </x:c>
      <x:c r="C644" s="65" t="str">
        <x:v>墨西哥U21联赛（Apertura）</x:v>
      </x:c>
      <x:c r="D644" s="65" t="str">
        <x:v>莱昂（León）</x:v>
      </x:c>
      <x:c r="E644" s="65" t="str">
        <x:v>阿特拉斯（Atlas）</x:v>
      </x:c>
      <x:c r="F644" s="65" t="str">
        <x:v>无可靠让球盘/只观察｜现有可审计资料不足以形成可靠让球倾向</x:v>
      </x:c>
      <x:c r="G644" s="65" t="str">
        <x:v>无可靠大小球盘/只观察｜未取得可交叉核验的总进球主盘与水位，无可靠大小球倾向</x:v>
      </x:c>
      <x:c r="H644" s="65" t="str">
        <x:v>待确认首发、双方近5场/主客拆分与可靠亚洲双盘；任一市场欧赔&lt;1.80/港水&lt;0.80不进；盘口未核验前不进、不加仓</x:v>
      </x:c>
      <x:c r="I644" s="66" t="n">
        <x:v>46220.82152777778</x:v>
      </x:c>
      <x:c r="J644" s="65" t="str">
        <x:v>需复核</x:v>
      </x:c>
      <x:c r="K644" s="65"/>
      <x:c r="L644" s="65"/>
      <x:c r="M644" s="65"/>
      <x:c r="N644" s="67"/>
      <x:c r="O644" s="67"/>
      <x:c r="P644" s="67" t="str">
        <x:f>IF(COUNT(N644:O644)=0,"",SUM(N644:O644))</x:f>
      </x:c>
      <x:c r="Q644" s="65" t="str">
        <x:v>赛程/状态来源｜https://www.365scores.com/football/tomorrows-matches；365Scores赛事ID 4759914；查询时间：2026-07-17 19:43（北京时间）</x:v>
      </x:c>
      <x:c r="R644" s="65" t="str">
        <x:v>证据卡：青年赛事，阵容变化和样本波动高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5" ht="38" customHeight="1">
      <x:c r="A645" s="65" t="str">
        <x:f>IF(B645="","",TEXT(B645,"yyyy-mm-dd")&amp;"|"&amp;D645&amp;"|"&amp;E645)</x:f>
        <x:v>2026-07-17|华雷斯（FC Juárez）|普布埃拉（Puebla）</x:v>
      </x:c>
      <x:c r="B645" s="66" t="n">
        <x:v>46220.958333333336</x:v>
      </x:c>
      <x:c r="C645" s="65" t="str">
        <x:v>墨西哥U21联赛（Apertura）</x:v>
      </x:c>
      <x:c r="D645" s="65" t="str">
        <x:v>华雷斯（FC Juárez）</x:v>
      </x:c>
      <x:c r="E645" s="65" t="str">
        <x:v>普布埃拉（Puebla）</x:v>
      </x:c>
      <x:c r="F645" s="65" t="str">
        <x:v>无可靠让球盘/只观察｜胜负价格仅弱倾向主队侧，不换算让球盘口</x:v>
      </x:c>
      <x:c r="G645" s="65" t="str">
        <x:v>无可靠大小球盘/只观察｜未取得可交叉核验的总进球主盘与水位，无可靠大小球倾向</x:v>
      </x:c>
      <x:c r="H645" s="65" t="str">
        <x:v>待确认首发、双方近5场/主客拆分与可靠亚洲双盘；任一市场欧赔&lt;1.80/港水&lt;0.80不进；盘口未核验前不进、不加仓</x:v>
      </x:c>
      <x:c r="I645" s="66" t="n">
        <x:v>46220.82152777778</x:v>
      </x:c>
      <x:c r="J645" s="65" t="str">
        <x:v>需复核</x:v>
      </x:c>
      <x:c r="K645" s="65"/>
      <x:c r="L645" s="65"/>
      <x:c r="M645" s="65"/>
      <x:c r="N645" s="67"/>
      <x:c r="O645" s="67"/>
      <x:c r="P645" s="67" t="str">
        <x:f>IF(COUNT(N645:O645)=0,"",SUM(N645:O645))</x:f>
      </x:c>
      <x:c r="Q645" s="65" t="str">
        <x:v>赛程/状态来源｜https://www.365scores.com/football/tomorrows-matches；https://tipsterarea.com/match/juarez-puebla-liga-mx-mexico-935517；365Scores赛事ID 4759913；查询时间：2026-07-17 19:43（北京时间）</x:v>
      </x:c>
      <x:c r="R645" s="65" t="str">
        <x:v>证据卡：青年赛事，阵容变化和样本波动高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1.65/3.90/4.78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6" ht="38" customHeight="1">
      <x:c r="A646" s="65" t="str">
        <x:f>IF(B646="","",TEXT(B646,"yyyy-mm-dd")&amp;"|"&amp;D646&amp;"|"&amp;E646)</x:f>
        <x:v>2026-07-17|中文名待确认（Jazira Abu Dhabi）|中文名待确认（Charleroi）</x:v>
      </x:c>
      <x:c r="B646" s="66" t="n">
        <x:v>46220.958333333336</x:v>
      </x:c>
      <x:c r="C646" s="65" t="str">
        <x:v>国际俱乐部友谊赛</x:v>
      </x:c>
      <x:c r="D646" s="65" t="str">
        <x:v>中文名待确认（Jazira Abu Dhabi）</x:v>
      </x:c>
      <x:c r="E646" s="65" t="str">
        <x:v>中文名待确认（Charleroi）</x:v>
      </x:c>
      <x:c r="F646" s="65" t="str">
        <x:v>无可靠让球盘/只观察｜现有可审计资料不足以形成可靠让球倾向</x:v>
      </x:c>
      <x:c r="G646" s="65" t="str">
        <x:v>无可靠大小球盘/只观察｜未取得可交叉核验的总进球主盘与水位，无可靠大小球倾向</x:v>
      </x:c>
      <x:c r="H646" s="65" t="str">
        <x:v>待确认首发、双方近5场/主客拆分与可靠亚洲双盘；任一市场欧赔&lt;1.80/港水&lt;0.80不进；盘口未核验前不进、不加仓</x:v>
      </x:c>
      <x:c r="I646" s="66" t="n">
        <x:v>46220.82152777778</x:v>
      </x:c>
      <x:c r="J646" s="65" t="str">
        <x:v>需复核</x:v>
      </x:c>
      <x:c r="K646" s="65"/>
      <x:c r="L646" s="65"/>
      <x:c r="M646" s="65"/>
      <x:c r="N646" s="67"/>
      <x:c r="O646" s="67"/>
      <x:c r="P646" s="67" t="str">
        <x:f>IF(COUNT(N646:O646)=0,"",SUM(N646:O646))</x:f>
      </x:c>
      <x:c r="Q646" s="65" t="str">
        <x:v>赛程/状态来源｜https://www.365scores.com/football/tomorrows-matches；365Scores赛事ID 4762957；查询时间：2026-07-17 19:43（北京时间）</x:v>
      </x:c>
      <x:c r="R64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7" ht="38" customHeight="1">
      <x:c r="A647" s="65" t="str">
        <x:f>IF(B647="","",TEXT(B647,"yyyy-mm-dd")&amp;"|"&amp;D647&amp;"|"&amp;E647)</x:f>
        <x:v>2026-07-17|中文名待确认（CSKA Moskva (W)）|中文名待确认（Fk Rostov (W)）</x:v>
      </x:c>
      <x:c r="B647" s="66" t="n">
        <x:v>46220.958333333336</x:v>
      </x:c>
      <x:c r="C647" s="65" t="str">
        <x:v>女子顶级联赛（国家待确认）</x:v>
      </x:c>
      <x:c r="D647" s="65" t="str">
        <x:v>中文名待确认（CSKA Moskva (W)）</x:v>
      </x:c>
      <x:c r="E647" s="65" t="str">
        <x:v>中文名待确认（Fk Rostov (W)）</x:v>
      </x:c>
      <x:c r="F647" s="65" t="str">
        <x:v>无可靠让球盘/只观察｜现有可审计资料不足以形成可靠让球倾向</x:v>
      </x:c>
      <x:c r="G647" s="65" t="str">
        <x:v>无可靠大小球盘/只观察｜未取得可交叉核验的总进球主盘与水位，无可靠大小球倾向</x:v>
      </x:c>
      <x:c r="H647" s="65" t="str">
        <x:v>待确认首发、双方近5场/主客拆分与可靠亚洲双盘；任一市场欧赔&lt;1.80/港水&lt;0.80不进；盘口未核验前不进、不加仓</x:v>
      </x:c>
      <x:c r="I647" s="66" t="n">
        <x:v>46220.82152777778</x:v>
      </x:c>
      <x:c r="J647" s="65" t="str">
        <x:v>需复核</x:v>
      </x:c>
      <x:c r="K647" s="65"/>
      <x:c r="L647" s="65"/>
      <x:c r="M647" s="65"/>
      <x:c r="N647" s="67"/>
      <x:c r="O647" s="67"/>
      <x:c r="P647" s="67" t="str">
        <x:f>IF(COUNT(N647:O647)=0,"",SUM(N647:O647))</x:f>
      </x:c>
      <x:c r="Q647" s="65" t="str">
        <x:v>赛程/状态来源｜https://www.365scores.com/football/tomorrows-matches；365Scores赛事ID 4682800；查询时间：2026-07-17 19:43（北京时间）</x:v>
      </x:c>
      <x:c r="R647" s="65" t="str">
        <x:v>证据卡：女子赛事，公开阵容和低级别样本完整度通常低于主流男子联赛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8" ht="38" customHeight="1">
      <x:c r="A648" s="65" t="str">
        <x:f>IF(B648="","",TEXT(B648,"yyyy-mm-dd")&amp;"|"&amp;D648&amp;"|"&amp;E648)</x:f>
        <x:v>2026-07-17|中文名待确认（Brno）|中文名待确认（ZP Sport Podbrezova）</x:v>
      </x:c>
      <x:c r="B648" s="66" t="n">
        <x:v>46220.958333333336</x:v>
      </x:c>
      <x:c r="C648" s="65" t="str">
        <x:v>国际俱乐部友谊赛</x:v>
      </x:c>
      <x:c r="D648" s="65" t="str">
        <x:v>中文名待确认（Brno）</x:v>
      </x:c>
      <x:c r="E648" s="65" t="str">
        <x:v>中文名待确认（ZP Sport Podbrezova）</x:v>
      </x:c>
      <x:c r="F648" s="65" t="str">
        <x:v>无可靠让球盘/只观察｜现有可审计资料不足以形成可靠让球倾向</x:v>
      </x:c>
      <x:c r="G648" s="65" t="str">
        <x:v>无可靠大小球盘/只观察｜未取得可交叉核验的总进球主盘与水位，无可靠大小球倾向</x:v>
      </x:c>
      <x:c r="H648" s="65" t="str">
        <x:v>待确认首发、双方近5场/主客拆分与可靠亚洲双盘；任一市场欧赔&lt;1.80/港水&lt;0.80不进；盘口未核验前不进、不加仓</x:v>
      </x:c>
      <x:c r="I648" s="66" t="n">
        <x:v>46220.82152777778</x:v>
      </x:c>
      <x:c r="J648" s="65" t="str">
        <x:v>需复核</x:v>
      </x:c>
      <x:c r="K648" s="65"/>
      <x:c r="L648" s="65"/>
      <x:c r="M648" s="65"/>
      <x:c r="N648" s="67"/>
      <x:c r="O648" s="67"/>
      <x:c r="P648" s="67" t="str">
        <x:f>IF(COUNT(N648:O648)=0,"",SUM(N648:O648))</x:f>
      </x:c>
      <x:c r="Q648" s="65" t="str">
        <x:v>赛程/状态来源｜https://www.365scores.com/football/tomorrows-matches；365Scores赛事ID 4767991；查询时间：2026-07-17 19:43（北京时间）</x:v>
      </x:c>
      <x:c r="R64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49" ht="38" customHeight="1">
      <x:c r="A649" s="65" t="str">
        <x:f>IF(B649="","",TEXT(B649,"yyyy-mm-dd")&amp;"|"&amp;D649&amp;"|"&amp;E649)</x:f>
        <x:v>2026-07-17|中文名待确认（Austria Vienna (AM)）|中文名待确认（SV Lafnitz）</x:v>
      </x:c>
      <x:c r="B649" s="66" t="n">
        <x:v>46220.958333333336</x:v>
      </x:c>
      <x:c r="C649" s="65" t="str">
        <x:v>国际俱乐部友谊赛</x:v>
      </x:c>
      <x:c r="D649" s="65" t="str">
        <x:v>中文名待确认（Austria Vienna (AM)）</x:v>
      </x:c>
      <x:c r="E649" s="65" t="str">
        <x:v>中文名待确认（SV Lafnitz）</x:v>
      </x:c>
      <x:c r="F649" s="65" t="str">
        <x:v>无可靠让球盘/只观察｜现有可审计资料不足以形成可靠让球倾向</x:v>
      </x:c>
      <x:c r="G649" s="65" t="str">
        <x:v>无可靠大小球盘/只观察｜未取得可交叉核验的总进球主盘与水位，无可靠大小球倾向</x:v>
      </x:c>
      <x:c r="H649" s="65" t="str">
        <x:v>待确认首发、双方近5场/主客拆分与可靠亚洲双盘；任一市场欧赔&lt;1.80/港水&lt;0.80不进；盘口未核验前不进、不加仓</x:v>
      </x:c>
      <x:c r="I649" s="66" t="n">
        <x:v>46220.82152777778</x:v>
      </x:c>
      <x:c r="J649" s="65" t="str">
        <x:v>需复核</x:v>
      </x:c>
      <x:c r="K649" s="65"/>
      <x:c r="L649" s="65"/>
      <x:c r="M649" s="65"/>
      <x:c r="N649" s="67"/>
      <x:c r="O649" s="67"/>
      <x:c r="P649" s="67" t="str">
        <x:f>IF(COUNT(N649:O649)=0,"",SUM(N649:O649))</x:f>
      </x:c>
      <x:c r="Q649" s="65" t="str">
        <x:v>赛程/状态来源｜https://www.365scores.com/football/tomorrows-matches；365Scores赛事ID 4771137；查询时间：2026-07-17 19:43（北京时间）</x:v>
      </x:c>
      <x:c r="R64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0" ht="38" customHeight="1">
      <x:c r="A650" s="65" t="str">
        <x:f>IF(B650="","",TEXT(B650,"yyyy-mm-dd")&amp;"|"&amp;D650&amp;"|"&amp;E650)</x:f>
        <x:v>2026-07-17|圣路易斯（Atlético San Luis）|蓝十字（Cruz Azul）</x:v>
      </x:c>
      <x:c r="B650" s="66" t="n">
        <x:v>46220.958333333336</x:v>
      </x:c>
      <x:c r="C650" s="65" t="str">
        <x:v>墨西哥U21联赛（Apertura）</x:v>
      </x:c>
      <x:c r="D650" s="65" t="str">
        <x:v>圣路易斯（Atlético San Luis）</x:v>
      </x:c>
      <x:c r="E650" s="65" t="str">
        <x:v>蓝十字（Cruz Azul）</x:v>
      </x:c>
      <x:c r="F650" s="65" t="str">
        <x:v>无可靠让球盘/只观察｜胜负价格仅弱倾向客队侧，不换算让球盘口</x:v>
      </x:c>
      <x:c r="G650" s="65" t="str">
        <x:v>无可靠大小球盘/只观察｜未取得可交叉核验的总进球主盘与水位，无可靠大小球倾向</x:v>
      </x:c>
      <x:c r="H650" s="65" t="str">
        <x:v>待确认首发、双方近5场/主客拆分与可靠亚洲双盘；任一市场欧赔&lt;1.80/港水&lt;0.80不进；盘口未核验前不进、不加仓</x:v>
      </x:c>
      <x:c r="I650" s="66" t="n">
        <x:v>46220.82152777778</x:v>
      </x:c>
      <x:c r="J650" s="65" t="str">
        <x:v>需复核</x:v>
      </x:c>
      <x:c r="K650" s="65"/>
      <x:c r="L650" s="65"/>
      <x:c r="M650" s="65"/>
      <x:c r="N650" s="67"/>
      <x:c r="O650" s="67"/>
      <x:c r="P650" s="67" t="str">
        <x:f>IF(COUNT(N650:O650)=0,"",SUM(N650:O650))</x:f>
      </x:c>
      <x:c r="Q650" s="65" t="str">
        <x:v>赛程/状态来源｜https://www.365scores.com/football/tomorrows-matches；https://tipsterarea.com/match/atletico-san-luis-cruz-azul-liga-mx-mexico-935515；365Scores赛事ID 4759915；查询时间：2026-07-17 19:43（北京时间）</x:v>
      </x:c>
      <x:c r="R650" s="65" t="str">
        <x:v>证据卡：青年赛事，阵容变化和样本波动高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3.85/3.64/1.86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1" ht="38" customHeight="1">
      <x:c r="A651" s="65" t="str">
        <x:f>IF(B651="","",TEXT(B651,"yyyy-mm-dd")&amp;"|"&amp;D651&amp;"|"&amp;E651)</x:f>
        <x:v>2026-07-17|中文名待确认（FC Annecy）|中文名待确认（FC Sion）</x:v>
      </x:c>
      <x:c r="B651" s="66" t="n">
        <x:v>46220.958333333336</x:v>
      </x:c>
      <x:c r="C651" s="65" t="str">
        <x:v>国际俱乐部友谊赛</x:v>
      </x:c>
      <x:c r="D651" s="65" t="str">
        <x:v>中文名待确认（FC Annecy）</x:v>
      </x:c>
      <x:c r="E651" s="65" t="str">
        <x:v>中文名待确认（FC Sion）</x:v>
      </x:c>
      <x:c r="F651" s="65" t="str">
        <x:v>无可靠让球盘/只观察｜现有可审计资料不足以形成可靠让球倾向</x:v>
      </x:c>
      <x:c r="G651" s="65" t="str">
        <x:v>无可靠大小球盘/只观察｜未取得可交叉核验的总进球主盘与水位，无可靠大小球倾向</x:v>
      </x:c>
      <x:c r="H651" s="65" t="str">
        <x:v>待确认首发、双方近5场/主客拆分与可靠亚洲双盘；任一市场欧赔&lt;1.80/港水&lt;0.80不进；盘口未核验前不进、不加仓</x:v>
      </x:c>
      <x:c r="I651" s="66" t="n">
        <x:v>46220.82152777778</x:v>
      </x:c>
      <x:c r="J651" s="65" t="str">
        <x:v>需复核</x:v>
      </x:c>
      <x:c r="K651" s="65"/>
      <x:c r="L651" s="65"/>
      <x:c r="M651" s="65"/>
      <x:c r="N651" s="67"/>
      <x:c r="O651" s="67"/>
      <x:c r="P651" s="67" t="str">
        <x:f>IF(COUNT(N651:O651)=0,"",SUM(N651:O651))</x:f>
      </x:c>
      <x:c r="Q651" s="65" t="str">
        <x:v>赛程/状态来源｜https://www.365scores.com/football/tomorrows-matches；365Scores赛事ID 4767992；查询时间：2026-07-17 19:43（北京时间）</x:v>
      </x:c>
      <x:c r="R65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2" ht="38" customHeight="1">
      <x:c r="A652" s="65" t="str">
        <x:f>IF(B652="","",TEXT(B652,"yyyy-mm-dd")&amp;"|"&amp;D652&amp;"|"&amp;E652)</x:f>
        <x:v>2026-07-17|中文名待确认（Sparta Praha B）|中文名待确认（FSV Zwickau）</x:v>
      </x:c>
      <x:c r="B652" s="66" t="n">
        <x:v>46220.9375</x:v>
      </x:c>
      <x:c r="C652" s="65" t="str">
        <x:v>国际俱乐部友谊赛</x:v>
      </x:c>
      <x:c r="D652" s="65" t="str">
        <x:v>中文名待确认（Sparta Praha B）</x:v>
      </x:c>
      <x:c r="E652" s="65" t="str">
        <x:v>中文名待确认（FSV Zwickau）</x:v>
      </x:c>
      <x:c r="F652" s="65" t="str">
        <x:v>无可靠让球盘/只观察｜现有可审计资料不足以形成可靠让球倾向</x:v>
      </x:c>
      <x:c r="G652" s="65" t="str">
        <x:v>无可靠大小球盘/只观察｜未取得可交叉核验的总进球主盘与水位，无可靠大小球倾向</x:v>
      </x:c>
      <x:c r="H652" s="65" t="str">
        <x:v>待确认首发、双方近5场/主客拆分与可靠亚洲双盘；任一市场欧赔&lt;1.80/港水&lt;0.80不进；盘口未核验前不进、不加仓</x:v>
      </x:c>
      <x:c r="I652" s="66" t="n">
        <x:v>46220.82152777778</x:v>
      </x:c>
      <x:c r="J652" s="65" t="str">
        <x:v>需复核</x:v>
      </x:c>
      <x:c r="K652" s="65"/>
      <x:c r="L652" s="65"/>
      <x:c r="M652" s="65"/>
      <x:c r="N652" s="67"/>
      <x:c r="O652" s="67"/>
      <x:c r="P652" s="67" t="str">
        <x:f>IF(COUNT(N652:O652)=0,"",SUM(N652:O652))</x:f>
      </x:c>
      <x:c r="Q652" s="65" t="str">
        <x:v>赛程/状态来源｜https://www.365scores.com/football/tomorrows-matches；365Scores赛事ID 4767998；查询时间：2026-07-17 19:43（北京时间）</x:v>
      </x:c>
      <x:c r="R65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3" ht="38" customHeight="1">
      <x:c r="A653" s="65" t="str">
        <x:f>IF(B653="","",TEXT(B653,"yyyy-mm-dd")&amp;"|"&amp;D653&amp;"|"&amp;E653)</x:f>
        <x:v>2026-07-17|中文名待确认（Tadamon）|中文名待确认（Al-Abbassieh）</x:v>
      </x:c>
      <x:c r="B653" s="66" t="n">
        <x:v>46220.916666666664</x:v>
      </x:c>
      <x:c r="C653" s="65" t="str">
        <x:v>超级联赛附加赛负方组（国家待确认）</x:v>
      </x:c>
      <x:c r="D653" s="65" t="str">
        <x:v>中文名待确认（Tadamon）</x:v>
      </x:c>
      <x:c r="E653" s="65" t="str">
        <x:v>中文名待确认（Al-Abbassieh）</x:v>
      </x:c>
      <x:c r="F653" s="65" t="str">
        <x:v>无可靠让球盘/只观察｜现有可审计资料不足以形成可靠让球倾向</x:v>
      </x:c>
      <x:c r="G653" s="65" t="str">
        <x:v>无可靠大小球盘/只观察｜未取得可交叉核验的总进球主盘与水位，无可靠大小球倾向</x:v>
      </x:c>
      <x:c r="H653" s="65" t="str">
        <x:v>待确认首发、双方近5场/主客拆分与可靠亚洲双盘；任一市场欧赔&lt;1.80/港水&lt;0.80不进；盘口未核验前不进、不加仓</x:v>
      </x:c>
      <x:c r="I653" s="66" t="n">
        <x:v>46220.82152777778</x:v>
      </x:c>
      <x:c r="J653" s="65" t="str">
        <x:v>需复核</x:v>
      </x:c>
      <x:c r="K653" s="65"/>
      <x:c r="L653" s="65"/>
      <x:c r="M653" s="65"/>
      <x:c r="N653" s="67"/>
      <x:c r="O653" s="67"/>
      <x:c r="P653" s="67" t="str">
        <x:f>IF(COUNT(N653:O653)=0,"",SUM(N653:O653))</x:f>
      </x:c>
      <x:c r="Q653" s="65" t="str">
        <x:v>赛程/状态来源｜https://www.365scores.com/football/tomorrows-matches；365Scores赛事ID 4771807；查询时间：2026-07-17 19:43（北京时间）</x:v>
      </x:c>
      <x:c r="R653" s="65" t="str">
        <x:v>证据卡：杯赛或附加赛背景，晋级/淘汰动机存在，但具体轮次战意仍须赛前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4" ht="38" customHeight="1">
      <x:c r="A654" s="65" t="str">
        <x:f>IF(B654="","",TEXT(B654,"yyyy-mm-dd")&amp;"|"&amp;D654&amp;"|"&amp;E654)</x:f>
        <x:v>2026-07-17|勒阿弗尔（Le Havre）|中文名待确认（Amiens）</x:v>
      </x:c>
      <x:c r="B654" s="66" t="n">
        <x:v>46220.916666666664</x:v>
      </x:c>
      <x:c r="C654" s="65" t="str">
        <x:v>国际俱乐部友谊赛</x:v>
      </x:c>
      <x:c r="D654" s="65" t="str">
        <x:v>勒阿弗尔（Le Havre）</x:v>
      </x:c>
      <x:c r="E654" s="65" t="str">
        <x:v>中文名待确认（Amiens）</x:v>
      </x:c>
      <x:c r="F654" s="65" t="str">
        <x:v>无可靠让球盘/只观察｜现有可审计资料不足以形成可靠让球倾向</x:v>
      </x:c>
      <x:c r="G654" s="65" t="str">
        <x:v>无可靠大小球盘/只观察｜未取得可交叉核验的总进球主盘与水位，无可靠大小球倾向</x:v>
      </x:c>
      <x:c r="H654" s="65" t="str">
        <x:v>待确认首发、双方近5场/主客拆分与可靠亚洲双盘；任一市场欧赔&lt;1.80/港水&lt;0.80不进；盘口未核验前不进、不加仓</x:v>
      </x:c>
      <x:c r="I654" s="66" t="n">
        <x:v>46220.82152777778</x:v>
      </x:c>
      <x:c r="J654" s="65" t="str">
        <x:v>需复核</x:v>
      </x:c>
      <x:c r="K654" s="65"/>
      <x:c r="L654" s="65"/>
      <x:c r="M654" s="65"/>
      <x:c r="N654" s="67"/>
      <x:c r="O654" s="67"/>
      <x:c r="P654" s="67" t="str">
        <x:f>IF(COUNT(N654:O654)=0,"",SUM(N654:O654))</x:f>
      </x:c>
      <x:c r="Q654" s="65" t="str">
        <x:v>赛程/状态来源｜https://www.livescore.mobi/football/club-friendlies/club-friendlies-2026/le-havre-vs-amiens/1821989/；365Scores赛事ID —；查询时间：2026-07-17 19:43（北京时间）</x:v>
      </x:c>
      <x:c r="R654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5" ht="38" customHeight="1">
      <x:c r="A655" s="65" t="str">
        <x:f>IF(B655="","",TEXT(B655,"yyyy-mm-dd")&amp;"|"&amp;D655&amp;"|"&amp;E655)</x:f>
        <x:v>2026-07-17|中文名待确认（Bohemians Praha）|中文名待确认（Zaglebie Lubin）</x:v>
      </x:c>
      <x:c r="B655" s="66" t="n">
        <x:v>46220.916666666664</x:v>
      </x:c>
      <x:c r="C655" s="65" t="str">
        <x:v>国际俱乐部友谊赛</x:v>
      </x:c>
      <x:c r="D655" s="65" t="str">
        <x:v>中文名待确认（Bohemians Praha）</x:v>
      </x:c>
      <x:c r="E655" s="65" t="str">
        <x:v>中文名待确认（Zaglebie Lubin）</x:v>
      </x:c>
      <x:c r="F655" s="65" t="str">
        <x:v>无可靠让球盘/只观察｜现有可审计资料不足以形成可靠让球倾向</x:v>
      </x:c>
      <x:c r="G655" s="65" t="str">
        <x:v>无可靠大小球盘/只观察｜未取得可交叉核验的总进球主盘与水位，无可靠大小球倾向</x:v>
      </x:c>
      <x:c r="H655" s="65" t="str">
        <x:v>待确认首发、双方近5场/主客拆分与可靠亚洲双盘；任一市场欧赔&lt;1.80/港水&lt;0.80不进；盘口未核验前不进、不加仓</x:v>
      </x:c>
      <x:c r="I655" s="66" t="n">
        <x:v>46220.82152777778</x:v>
      </x:c>
      <x:c r="J655" s="65" t="str">
        <x:v>需复核</x:v>
      </x:c>
      <x:c r="K655" s="65"/>
      <x:c r="L655" s="65"/>
      <x:c r="M655" s="65"/>
      <x:c r="N655" s="67"/>
      <x:c r="O655" s="67"/>
      <x:c r="P655" s="67" t="str">
        <x:f>IF(COUNT(N655:O655)=0,"",SUM(N655:O655))</x:f>
      </x:c>
      <x:c r="Q655" s="65" t="str">
        <x:v>赛程/状态来源｜https://www.365scores.com/football/tomorrows-matches；365Scores赛事ID 4768015；查询时间：2026-07-17 19:43（北京时间）</x:v>
      </x:c>
      <x:c r="R65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6" ht="38" customHeight="1">
      <x:c r="A656" s="65" t="str">
        <x:f>IF(B656="","",TEXT(B656,"yyyy-mm-dd")&amp;"|"&amp;D656&amp;"|"&amp;E656)</x:f>
        <x:v>2026-07-17|中文名待确认（Mainz 05）|中文名待确认（FC Kaiserslautern）</x:v>
      </x:c>
      <x:c r="B656" s="66" t="n">
        <x:v>46220.895833333336</x:v>
      </x:c>
      <x:c r="C656" s="65" t="str">
        <x:v>国际俱乐部友谊赛</x:v>
      </x:c>
      <x:c r="D656" s="65" t="str">
        <x:v>中文名待确认（Mainz 05）</x:v>
      </x:c>
      <x:c r="E656" s="65" t="str">
        <x:v>中文名待确认（FC Kaiserslautern）</x:v>
      </x:c>
      <x:c r="F656" s="65" t="str">
        <x:v>无可靠让球盘/只观察｜现有可审计资料不足以形成可靠让球倾向</x:v>
      </x:c>
      <x:c r="G656" s="65" t="str">
        <x:v>无可靠大小球盘/只观察｜未取得可交叉核验的总进球主盘与水位，无可靠大小球倾向</x:v>
      </x:c>
      <x:c r="H656" s="65" t="str">
        <x:v>待确认首发、双方近5场/主客拆分与可靠亚洲双盘；任一市场欧赔&lt;1.80/港水&lt;0.80不进；盘口未核验前不进、不加仓</x:v>
      </x:c>
      <x:c r="I656" s="66" t="n">
        <x:v>46220.82152777778</x:v>
      </x:c>
      <x:c r="J656" s="65" t="str">
        <x:v>需复核</x:v>
      </x:c>
      <x:c r="K656" s="65"/>
      <x:c r="L656" s="65"/>
      <x:c r="M656" s="65"/>
      <x:c r="N656" s="67"/>
      <x:c r="O656" s="67"/>
      <x:c r="P656" s="67" t="str">
        <x:f>IF(COUNT(N656:O656)=0,"",SUM(N656:O656))</x:f>
      </x:c>
      <x:c r="Q656" s="65" t="str">
        <x:v>赛程/状态来源｜https://www.365scores.com/football/tomorrows-matches；https://www.livescore.mobi/football/club-friendlies/club-friendlies-2026/mainz-05-vs-kaiserslautern/1821706/；365Scores赛事ID 4771572；查询时间：2026-07-17 19:43（北京时间）</x:v>
      </x:c>
      <x:c r="R65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7" ht="38" customHeight="1">
      <x:c r="A657" s="65" t="str">
        <x:f>IF(B657="","",TEXT(B657,"yyyy-mm-dd")&amp;"|"&amp;D657&amp;"|"&amp;E657)</x:f>
        <x:v>2026-07-17|中文名待确认（Sport Colonial）|中文名待确认（Club Oriental）</x:v>
      </x:c>
      <x:c r="B657" s="66" t="n">
        <x:v>46220.875</x:v>
      </x:c>
      <x:c r="C657" s="65" t="str">
        <x:v>巴拉圭丙级联赛</x:v>
      </x:c>
      <x:c r="D657" s="65" t="str">
        <x:v>中文名待确认（Sport Colonial）</x:v>
      </x:c>
      <x:c r="E657" s="65" t="str">
        <x:v>中文名待确认（Club Oriental）</x:v>
      </x:c>
      <x:c r="F657" s="65" t="str">
        <x:v>无可靠让球盘/只观察｜现有可审计资料不足以形成可靠让球倾向</x:v>
      </x:c>
      <x:c r="G657" s="65" t="str">
        <x:v>无可靠大小球盘/只观察｜未取得可交叉核验的总进球主盘与水位，无可靠大小球倾向</x:v>
      </x:c>
      <x:c r="H657" s="65" t="str">
        <x:v>待确认首发、双方近5场/主客拆分与可靠亚洲双盘；任一市场欧赔&lt;1.80/港水&lt;0.80不进；盘口未核验前不进、不加仓</x:v>
      </x:c>
      <x:c r="I657" s="66" t="n">
        <x:v>46220.82152777778</x:v>
      </x:c>
      <x:c r="J657" s="65" t="str">
        <x:v>需复核</x:v>
      </x:c>
      <x:c r="K657" s="65"/>
      <x:c r="L657" s="65"/>
      <x:c r="M657" s="65"/>
      <x:c r="N657" s="67"/>
      <x:c r="O657" s="67"/>
      <x:c r="P657" s="67" t="str">
        <x:f>IF(COUNT(N657:O657)=0,"",SUM(N657:O657))</x:f>
      </x:c>
      <x:c r="Q657" s="65" t="str">
        <x:v>赛程/状态来源｜https://www.365scores.com/football/tomorrows-matches；365Scores赛事ID 4771665；查询时间：2026-07-17 19:43（北京时间）</x:v>
      </x:c>
      <x:c r="R65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8" ht="38" customHeight="1">
      <x:c r="A658" s="65" t="str">
        <x:f>IF(B658="","",TEXT(B658,"yyyy-mm-dd")&amp;"|"&amp;D658&amp;"|"&amp;E658)</x:f>
        <x:v>2026-07-17|中文名待确认（Slovan Liberec）|中文名待确认（St. Pölten）</x:v>
      </x:c>
      <x:c r="B658" s="66" t="n">
        <x:v>46220.875</x:v>
      </x:c>
      <x:c r="C658" s="65" t="str">
        <x:v>国际俱乐部友谊赛</x:v>
      </x:c>
      <x:c r="D658" s="65" t="str">
        <x:v>中文名待确认（Slovan Liberec）</x:v>
      </x:c>
      <x:c r="E658" s="65" t="str">
        <x:v>中文名待确认（St. Pölten）</x:v>
      </x:c>
      <x:c r="F658" s="65" t="str">
        <x:v>无可靠让球盘/只观察｜现有可审计资料不足以形成可靠让球倾向</x:v>
      </x:c>
      <x:c r="G658" s="65" t="str">
        <x:v>无可靠大小球盘/只观察｜未取得可交叉核验的总进球主盘与水位，无可靠大小球倾向</x:v>
      </x:c>
      <x:c r="H658" s="65" t="str">
        <x:v>待确认首发、双方近5场/主客拆分与可靠亚洲双盘；任一市场欧赔&lt;1.80/港水&lt;0.80不进；盘口未核验前不进、不加仓</x:v>
      </x:c>
      <x:c r="I658" s="66" t="n">
        <x:v>46220.82152777778</x:v>
      </x:c>
      <x:c r="J658" s="65" t="str">
        <x:v>需复核</x:v>
      </x:c>
      <x:c r="K658" s="65"/>
      <x:c r="L658" s="65"/>
      <x:c r="M658" s="65"/>
      <x:c r="N658" s="67"/>
      <x:c r="O658" s="67"/>
      <x:c r="P658" s="67" t="str">
        <x:f>IF(COUNT(N658:O658)=0,"",SUM(N658:O658))</x:f>
      </x:c>
      <x:c r="Q658" s="65" t="str">
        <x:v>赛程/状态来源｜https://www.365scores.com/football/tomorrows-matches；365Scores赛事ID 4768004；查询时间：2026-07-17 19:43（北京时间）</x:v>
      </x:c>
      <x:c r="R65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59" ht="38" customHeight="1">
      <x:c r="A659" s="65" t="str">
        <x:f>IF(B659="","",TEXT(B659,"yyyy-mm-dd")&amp;"|"&amp;D659&amp;"|"&amp;E659)</x:f>
        <x:v>2026-07-17|北西兰（FC Nordsjaelland）|中文名待确认（Jagiellonia Bialystok）</x:v>
      </x:c>
      <x:c r="B659" s="66" t="n">
        <x:v>46220.875</x:v>
      </x:c>
      <x:c r="C659" s="65" t="str">
        <x:v>国际俱乐部友谊赛</x:v>
      </x:c>
      <x:c r="D659" s="65" t="str">
        <x:v>北西兰（FC Nordsjaelland）</x:v>
      </x:c>
      <x:c r="E659" s="65" t="str">
        <x:v>中文名待确认（Jagiellonia Bialystok）</x:v>
      </x:c>
      <x:c r="F659" s="65" t="str">
        <x:v>无可靠让球盘/只观察｜胜负价格仅弱倾向客队侧，不换算让球盘口</x:v>
      </x:c>
      <x:c r="G659" s="65" t="str">
        <x:v>无可靠大小球盘/只观察｜未取得可交叉核验的总进球主盘与水位，无可靠大小球倾向</x:v>
      </x:c>
      <x:c r="H659" s="65" t="str">
        <x:v>待确认首发、双方近5场/主客拆分与可靠亚洲双盘；任一市场欧赔&lt;1.80/港水&lt;0.80不进；盘口未核验前不进、不加仓</x:v>
      </x:c>
      <x:c r="I659" s="66" t="n">
        <x:v>46220.82152777778</x:v>
      </x:c>
      <x:c r="J659" s="65" t="str">
        <x:v>需复核</x:v>
      </x:c>
      <x:c r="K659" s="65"/>
      <x:c r="L659" s="65"/>
      <x:c r="M659" s="65"/>
      <x:c r="N659" s="67"/>
      <x:c r="O659" s="67"/>
      <x:c r="P659" s="67" t="str">
        <x:f>IF(COUNT(N659:O659)=0,"",SUM(N659:O659))</x:f>
      </x:c>
      <x:c r="Q659" s="65" t="str">
        <x:v>赛程/状态来源｜https://www.livescore.mobi/football/club-friendlies/club-friendlies-2026/fc-nordsjaelland-vs-jagiellonia-bialystok/1822191/；https://tipsterarea.com/match/fc-nordsjaelland-jagiellonia-bialystok-club-friendly-935422；365Scores赛事ID —；查询时间：2026-07-17 19:43（北京时间）</x:v>
      </x:c>
      <x:c r="R65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3.51/3.85/1.84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0" ht="38" customHeight="1">
      <x:c r="A660" s="65" t="str">
        <x:f>IF(B660="","",TEXT(B660,"yyyy-mm-dd")&amp;"|"&amp;D660&amp;"|"&amp;E660)</x:f>
        <x:v>2026-07-17|中文名待确认（Mukallah FC）|中文名待确认（Al Orouba FC）</x:v>
      </x:c>
      <x:c r="B660" s="66" t="n">
        <x:v>46220.875</x:v>
      </x:c>
      <x:c r="C660" s="65" t="str">
        <x:v>也门联赛</x:v>
      </x:c>
      <x:c r="D660" s="65" t="str">
        <x:v>中文名待确认（Mukallah FC）</x:v>
      </x:c>
      <x:c r="E660" s="65" t="str">
        <x:v>中文名待确认（Al Orouba FC）</x:v>
      </x:c>
      <x:c r="F660" s="65" t="str">
        <x:v>无可靠让球盘/只观察｜现有可审计资料不足以形成可靠让球倾向</x:v>
      </x:c>
      <x:c r="G660" s="65" t="str">
        <x:v>无可靠大小球盘/只观察｜未取得可交叉核验的总进球主盘与水位，无可靠大小球倾向</x:v>
      </x:c>
      <x:c r="H660" s="65" t="str">
        <x:v>待确认首发、双方近5场/主客拆分与可靠亚洲双盘；任一市场欧赔&lt;1.80/港水&lt;0.80不进；盘口未核验前不进、不加仓</x:v>
      </x:c>
      <x:c r="I660" s="66" t="n">
        <x:v>46220.82152777778</x:v>
      </x:c>
      <x:c r="J660" s="65" t="str">
        <x:v>需复核</x:v>
      </x:c>
      <x:c r="K660" s="65"/>
      <x:c r="L660" s="65"/>
      <x:c r="M660" s="65"/>
      <x:c r="N660" s="67"/>
      <x:c r="O660" s="67"/>
      <x:c r="P660" s="67" t="str">
        <x:f>IF(COUNT(N660:O660)=0,"",SUM(N660:O660))</x:f>
      </x:c>
      <x:c r="Q660" s="65" t="str">
        <x:v>赛程/状态来源｜https://www.365scores.com/football/tomorrows-matches；365Scores赛事ID 4735999；查询时间：2026-07-17 19:43（北京时间）</x:v>
      </x:c>
      <x:c r="R66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1" ht="38" customHeight="1">
      <x:c r="A661" s="65" t="str">
        <x:f>IF(B661="","",TEXT(B661,"yyyy-mm-dd")&amp;"|"&amp;D661&amp;"|"&amp;E661)</x:f>
        <x:v>2026-07-17|中文名待确认（Korona Kielce）|中文名待确认（Termalica Nieciecza）</x:v>
      </x:c>
      <x:c r="B661" s="66" t="n">
        <x:v>46220.875</x:v>
      </x:c>
      <x:c r="C661" s="65" t="str">
        <x:v>国际俱乐部友谊赛</x:v>
      </x:c>
      <x:c r="D661" s="65" t="str">
        <x:v>中文名待确认（Korona Kielce）</x:v>
      </x:c>
      <x:c r="E661" s="65" t="str">
        <x:v>中文名待确认（Termalica Nieciecza）</x:v>
      </x:c>
      <x:c r="F661" s="65" t="str">
        <x:v>无可靠让球盘/只观察｜胜负价格仅弱倾向主队侧，不换算让球盘口</x:v>
      </x:c>
      <x:c r="G661" s="65" t="str">
        <x:v>无可靠大小球盘/只观察｜未取得可交叉核验的总进球主盘与水位，无可靠大小球倾向</x:v>
      </x:c>
      <x:c r="H661" s="65" t="str">
        <x:v>待确认首发、双方近5场/主客拆分与可靠亚洲双盘；任一市场欧赔&lt;1.80/港水&lt;0.80不进；盘口未核验前不进、不加仓</x:v>
      </x:c>
      <x:c r="I661" s="66" t="n">
        <x:v>46220.82152777778</x:v>
      </x:c>
      <x:c r="J661" s="65" t="str">
        <x:v>需复核</x:v>
      </x:c>
      <x:c r="K661" s="65"/>
      <x:c r="L661" s="65"/>
      <x:c r="M661" s="65"/>
      <x:c r="N661" s="67"/>
      <x:c r="O661" s="67"/>
      <x:c r="P661" s="67" t="str">
        <x:f>IF(COUNT(N661:O661)=0,"",SUM(N661:O661))</x:f>
      </x:c>
      <x:c r="Q661" s="65" t="str">
        <x:v>赛程/状态来源｜https://www.365scores.com/football/tomorrows-matches；https://tipsterarea.com/match/korona-kielce-termalica-nieciecza-club-friendly-935824；365Scores赛事ID 4768020；查询时间：2026-07-17 19:43（北京时间）</x:v>
      </x:c>
      <x:c r="R661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1.72/3.67/4.19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2" ht="38" customHeight="1">
      <x:c r="A662" s="65" t="str">
        <x:f>IF(B662="","",TEXT(B662,"yyyy-mm-dd")&amp;"|"&amp;D662&amp;"|"&amp;E662)</x:f>
        <x:v>2026-07-17|中文名待确认（Jagiellonia）|中文名待确认（FC Nordsjælland）</x:v>
      </x:c>
      <x:c r="B662" s="66" t="n">
        <x:v>46220.875</x:v>
      </x:c>
      <x:c r="C662" s="65" t="str">
        <x:v>国际俱乐部友谊赛</x:v>
      </x:c>
      <x:c r="D662" s="65" t="str">
        <x:v>中文名待确认（Jagiellonia）</x:v>
      </x:c>
      <x:c r="E662" s="65" t="str">
        <x:v>中文名待确认（FC Nordsjælland）</x:v>
      </x:c>
      <x:c r="F662" s="65" t="str">
        <x:v>无可靠让球盘/只观察｜现有可审计资料不足以形成可靠让球倾向</x:v>
      </x:c>
      <x:c r="G662" s="65" t="str">
        <x:v>无可靠大小球盘/只观察｜未取得可交叉核验的总进球主盘与水位，无可靠大小球倾向</x:v>
      </x:c>
      <x:c r="H662" s="65" t="str">
        <x:v>待确认首发、双方近5场/主客拆分与可靠亚洲双盘；任一市场欧赔&lt;1.80/港水&lt;0.80不进；盘口未核验前不进、不加仓</x:v>
      </x:c>
      <x:c r="I662" s="66" t="n">
        <x:v>46220.82152777778</x:v>
      </x:c>
      <x:c r="J662" s="65" t="str">
        <x:v>需复核</x:v>
      </x:c>
      <x:c r="K662" s="65"/>
      <x:c r="L662" s="65"/>
      <x:c r="M662" s="65"/>
      <x:c r="N662" s="67"/>
      <x:c r="O662" s="67"/>
      <x:c r="P662" s="67" t="str">
        <x:f>IF(COUNT(N662:O662)=0,"",SUM(N662:O662))</x:f>
      </x:c>
      <x:c r="Q662" s="65" t="str">
        <x:v>赛程/状态来源｜https://www.365scores.com/football/tomorrows-matches；365Scores赛事ID 4768001；查询时间：2026-07-17 19:43（北京时间）</x:v>
      </x:c>
      <x:c r="R66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3" ht="38" customHeight="1">
      <x:c r="A663" s="65" t="str">
        <x:f>IF(B663="","",TEXT(B663,"yyyy-mm-dd")&amp;"|"&amp;D663&amp;"|"&amp;E663)</x:f>
        <x:v>2026-07-17|中文名待确认（Fahman）|中文名待确认（Ittihad Hadramout FC）</x:v>
      </x:c>
      <x:c r="B663" s="66" t="n">
        <x:v>46220.875</x:v>
      </x:c>
      <x:c r="C663" s="65" t="str">
        <x:v>也门联赛</x:v>
      </x:c>
      <x:c r="D663" s="65" t="str">
        <x:v>中文名待确认（Fahman）</x:v>
      </x:c>
      <x:c r="E663" s="65" t="str">
        <x:v>中文名待确认（Ittihad Hadramout FC）</x:v>
      </x:c>
      <x:c r="F663" s="65" t="str">
        <x:v>无可靠让球盘/只观察｜现有可审计资料不足以形成可靠让球倾向</x:v>
      </x:c>
      <x:c r="G663" s="65" t="str">
        <x:v>无可靠大小球盘/只观察｜未取得可交叉核验的总进球主盘与水位，无可靠大小球倾向</x:v>
      </x:c>
      <x:c r="H663" s="65" t="str">
        <x:v>待确认首发、双方近5场/主客拆分与可靠亚洲双盘；任一市场欧赔&lt;1.80/港水&lt;0.80不进；盘口未核验前不进、不加仓</x:v>
      </x:c>
      <x:c r="I663" s="66" t="n">
        <x:v>46220.82152777778</x:v>
      </x:c>
      <x:c r="J663" s="65" t="str">
        <x:v>需复核</x:v>
      </x:c>
      <x:c r="K663" s="65"/>
      <x:c r="L663" s="65"/>
      <x:c r="M663" s="65"/>
      <x:c r="N663" s="67"/>
      <x:c r="O663" s="67"/>
      <x:c r="P663" s="67" t="str">
        <x:f>IF(COUNT(N663:O663)=0,"",SUM(N663:O663))</x:f>
      </x:c>
      <x:c r="Q663" s="65" t="str">
        <x:v>赛程/状态来源｜https://www.365scores.com/football/tomorrows-matches；365Scores赛事ID 4735995；查询时间：2026-07-17 19:43（北京时间）</x:v>
      </x:c>
      <x:c r="R66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4" ht="38" customHeight="1">
      <x:c r="A664" s="65" t="str">
        <x:f>IF(B664="","",TEXT(B664,"yyyy-mm-dd")&amp;"|"&amp;D664&amp;"|"&amp;E664)</x:f>
        <x:v>2026-07-17|中文名待确认（Yunnan Yukun）|上海海港（Shanghai Port）</x:v>
      </x:c>
      <x:c r="B664" s="66" t="n">
        <x:v>46220.833333333336</x:v>
      </x:c>
      <x:c r="C664" s="65" t="str">
        <x:v>超级联赛（国家待确认）</x:v>
      </x:c>
      <x:c r="D664" s="65" t="str">
        <x:v>中文名待确认（Yunnan Yukun）</x:v>
      </x:c>
      <x:c r="E664" s="65" t="str">
        <x:v>上海海港（Shanghai Port）</x:v>
      </x:c>
      <x:c r="F664" s="65" t="str">
        <x:v>无可靠让球盘/只观察｜胜负价格仅弱倾向客队侧，不换算让球盘口</x:v>
      </x:c>
      <x:c r="G664" s="65" t="str">
        <x:v>无可靠大小球盘/只观察｜未取得可交叉核验的总进球主盘与水位，无可靠大小球倾向</x:v>
      </x:c>
      <x:c r="H664" s="65" t="str">
        <x:v>待确认首发、双方近5场/主客拆分与可靠亚洲双盘；任一市场欧赔&lt;1.80/港水&lt;0.80不进；盘口未核验前不进、不加仓</x:v>
      </x:c>
      <x:c r="I664" s="66" t="n">
        <x:v>46220.82152777778</x:v>
      </x:c>
      <x:c r="J664" s="65" t="str">
        <x:v>需复核</x:v>
      </x:c>
      <x:c r="K664" s="65"/>
      <x:c r="L664" s="65"/>
      <x:c r="M664" s="65"/>
      <x:c r="N664" s="67"/>
      <x:c r="O664" s="67"/>
      <x:c r="P664" s="67" t="str">
        <x:f>IF(COUNT(N664:O664)=0,"",SUM(N664:O664))</x:f>
      </x:c>
      <x:c r="Q664" s="65" t="str">
        <x:v>赛程/状态来源｜https://www.365scores.com/football/tomorrows-matches；https://www.livescore.mobi/football/china/super-league/yunnan-yukun-vs-shanghai-port/1739790/；https://global.espn.com/football/scoreboard/_/date/20260717；https://tipsterarea.com/match/yunnan-yukun-shanghai-port-super-league-china-935410；365Scores赛事ID 4673344；查询时间：2026-07-17 19:43（北京时间）</x:v>
      </x:c>
      <x:c r="R66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2.53/3.90/2.40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5" ht="38" customHeight="1">
      <x:c r="A665" s="65" t="str">
        <x:f>IF(B665="","",TEXT(B665,"yyyy-mm-dd")&amp;"|"&amp;D665&amp;"|"&amp;E665)</x:f>
        <x:v>2026-07-17|中日德兰（FC Midtjylland）|中文名待确认（Odense）</x:v>
      </x:c>
      <x:c r="B665" s="66" t="n">
        <x:v>46220.833333333336</x:v>
      </x:c>
      <x:c r="C665" s="65" t="str">
        <x:v>国际俱乐部友谊赛</x:v>
      </x:c>
      <x:c r="D665" s="65" t="str">
        <x:v>中日德兰（FC Midtjylland）</x:v>
      </x:c>
      <x:c r="E665" s="65" t="str">
        <x:v>中文名待确认（Odense）</x:v>
      </x:c>
      <x:c r="F665" s="65" t="str">
        <x:v>无可靠让球盘/只观察｜现有可审计资料不足以形成可靠让球倾向</x:v>
      </x:c>
      <x:c r="G665" s="65" t="str">
        <x:v>无可靠大小球盘/只观察｜未取得可交叉核验的总进球主盘与水位，无可靠大小球倾向</x:v>
      </x:c>
      <x:c r="H665" s="65" t="str">
        <x:v>待确认首发、双方近5场/主客拆分与可靠亚洲双盘；任一市场欧赔&lt;1.80/港水&lt;0.80不进；盘口未核验前不进、不加仓</x:v>
      </x:c>
      <x:c r="I665" s="66" t="n">
        <x:v>46220.82152777778</x:v>
      </x:c>
      <x:c r="J665" s="65" t="str">
        <x:v>需复核</x:v>
      </x:c>
      <x:c r="K665" s="65"/>
      <x:c r="L665" s="65"/>
      <x:c r="M665" s="65"/>
      <x:c r="N665" s="67"/>
      <x:c r="O665" s="67"/>
      <x:c r="P665" s="67" t="str">
        <x:f>IF(COUNT(N665:O665)=0,"",SUM(N665:O665))</x:f>
      </x:c>
      <x:c r="Q665" s="65" t="str">
        <x:v>赛程/状态来源｜https://www.365scores.com/football/tomorrows-matches；365Scores赛事ID 4768000；查询时间：2026-07-17 19:43（北京时间）</x:v>
      </x:c>
      <x:c r="R66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6" ht="38" customHeight="1">
      <x:c r="A666" s="65" t="str">
        <x:f>IF(B666="","",TEXT(B666,"yyyy-mm-dd")&amp;"|"&amp;D666&amp;"|"&amp;E666)</x:f>
        <x:v>2026-07-17|中日德兰（FC Midtjylland）|中文名待确认（OB）</x:v>
      </x:c>
      <x:c r="B666" s="66" t="n">
        <x:v>46220.833333333336</x:v>
      </x:c>
      <x:c r="C666" s="65" t="str">
        <x:v>国际俱乐部友谊赛</x:v>
      </x:c>
      <x:c r="D666" s="65" t="str">
        <x:v>中日德兰（FC Midtjylland）</x:v>
      </x:c>
      <x:c r="E666" s="65" t="str">
        <x:v>中文名待确认（OB）</x:v>
      </x:c>
      <x:c r="F666" s="65" t="str">
        <x:v>无可靠让球盘/只观察｜现有可审计资料不足以形成可靠让球倾向</x:v>
      </x:c>
      <x:c r="G666" s="65" t="str">
        <x:v>无可靠大小球盘/只观察｜未取得可交叉核验的总进球主盘与水位，无可靠大小球倾向</x:v>
      </x:c>
      <x:c r="H666" s="65" t="str">
        <x:v>待确认首发、双方近5场/主客拆分与可靠亚洲双盘；任一市场欧赔&lt;1.80/港水&lt;0.80不进；盘口未核验前不进、不加仓</x:v>
      </x:c>
      <x:c r="I666" s="66" t="n">
        <x:v>46220.82152777778</x:v>
      </x:c>
      <x:c r="J666" s="65" t="str">
        <x:v>需复核</x:v>
      </x:c>
      <x:c r="K666" s="65"/>
      <x:c r="L666" s="65"/>
      <x:c r="M666" s="65"/>
      <x:c r="N666" s="67"/>
      <x:c r="O666" s="67"/>
      <x:c r="P666" s="67" t="str">
        <x:f>IF(COUNT(N666:O666)=0,"",SUM(N666:O666))</x:f>
      </x:c>
      <x:c r="Q666" s="65" t="str">
        <x:v>赛程/状态来源｜https://www.livescore.mobi/football/club-friendlies/club-friendlies-2026/fc-midtjylland-vs-ob/1822194/；365Scores赛事ID —；查询时间：2026-07-17 19:43（北京时间）</x:v>
      </x:c>
      <x:c r="R666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7" ht="38" customHeight="1">
      <x:c r="A667" s="65" t="str">
        <x:f>IF(B667="","",TEXT(B667,"yyyy-mm-dd")&amp;"|"&amp;D667&amp;"|"&amp;E667)</x:f>
        <x:v>2026-07-17|中文名待确认（Levante）|谢菲联（Sheffield United）</x:v>
      </x:c>
      <x:c r="B667" s="66" t="n">
        <x:v>46220.833333333336</x:v>
      </x:c>
      <x:c r="C667" s="65" t="str">
        <x:v>国际俱乐部友谊赛</x:v>
      </x:c>
      <x:c r="D667" s="65" t="str">
        <x:v>中文名待确认（Levante）</x:v>
      </x:c>
      <x:c r="E667" s="65" t="str">
        <x:v>谢菲联（Sheffield United）</x:v>
      </x:c>
      <x:c r="F667" s="65" t="str">
        <x:v>无可靠让球盘/只观察｜现有可审计资料不足以形成可靠让球倾向</x:v>
      </x:c>
      <x:c r="G667" s="65" t="str">
        <x:v>无可靠大小球盘/只观察｜未取得可交叉核验的总进球主盘与水位，无可靠大小球倾向</x:v>
      </x:c>
      <x:c r="H667" s="65" t="str">
        <x:v>待确认首发、双方近5场/主客拆分与可靠亚洲双盘；任一市场欧赔&lt;1.80/港水&lt;0.80不进；盘口未核验前不进、不加仓</x:v>
      </x:c>
      <x:c r="I667" s="66" t="n">
        <x:v>46220.82152777778</x:v>
      </x:c>
      <x:c r="J667" s="65" t="str">
        <x:v>需复核</x:v>
      </x:c>
      <x:c r="K667" s="65"/>
      <x:c r="L667" s="65"/>
      <x:c r="M667" s="65"/>
      <x:c r="N667" s="67"/>
      <x:c r="O667" s="67"/>
      <x:c r="P667" s="67" t="str">
        <x:f>IF(COUNT(N667:O667)=0,"",SUM(N667:O667))</x:f>
      </x:c>
      <x:c r="Q667" s="65" t="str">
        <x:v>赛程/状态来源｜https://www.livescore.mobi/football/club-friendlies/club-friendlies-2026/levante-vs-sheffield-united/1822047/；365Scores赛事ID —；查询时间：2026-07-17 19:43（北京时间）</x:v>
      </x:c>
      <x:c r="R667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8" ht="38" customHeight="1">
      <x:c r="A668" s="65" t="str">
        <x:f>IF(B668="","",TEXT(B668,"yyyy-mm-dd")&amp;"|"&amp;D668&amp;"|"&amp;E668)</x:f>
        <x:v>2026-07-17|中文名待确认（Kolos Kovalivka）|中文名待确认（Kudrivka）</x:v>
      </x:c>
      <x:c r="B668" s="66" t="n">
        <x:v>46220.833333333336</x:v>
      </x:c>
      <x:c r="C668" s="65" t="str">
        <x:v>国际俱乐部友谊赛</x:v>
      </x:c>
      <x:c r="D668" s="65" t="str">
        <x:v>中文名待确认（Kolos Kovalivka）</x:v>
      </x:c>
      <x:c r="E668" s="65" t="str">
        <x:v>中文名待确认（Kudrivka）</x:v>
      </x:c>
      <x:c r="F668" s="65" t="str">
        <x:v>无可靠让球盘/只观察｜现有可审计资料不足以形成可靠让球倾向</x:v>
      </x:c>
      <x:c r="G668" s="65" t="str">
        <x:v>无可靠大小球盘/只观察｜未取得可交叉核验的总进球主盘与水位，无可靠大小球倾向</x:v>
      </x:c>
      <x:c r="H668" s="65" t="str">
        <x:v>待确认首发、双方近5场/主客拆分与可靠亚洲双盘；任一市场欧赔&lt;1.80/港水&lt;0.80不进；盘口未核验前不进、不加仓</x:v>
      </x:c>
      <x:c r="I668" s="66" t="n">
        <x:v>46220.82152777778</x:v>
      </x:c>
      <x:c r="J668" s="65" t="str">
        <x:v>需复核</x:v>
      </x:c>
      <x:c r="K668" s="65"/>
      <x:c r="L668" s="65"/>
      <x:c r="M668" s="65"/>
      <x:c r="N668" s="67"/>
      <x:c r="O668" s="67"/>
      <x:c r="P668" s="67" t="str">
        <x:f>IF(COUNT(N668:O668)=0,"",SUM(N668:O668))</x:f>
      </x:c>
      <x:c r="Q668" s="65" t="str">
        <x:v>赛程/状态来源｜https://www.365scores.com/football/tomorrows-matches；365Scores赛事ID 4771143；查询时间：2026-07-17 19:43（北京时间）</x:v>
      </x:c>
      <x:c r="R668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69" ht="38" customHeight="1">
      <x:c r="A669" s="65" t="str">
        <x:f>IF(B669="","",TEXT(B669,"yyyy-mm-dd")&amp;"|"&amp;D669&amp;"|"&amp;E669)</x:f>
        <x:v>2026-07-17|中文名待确认（Helmond）|塔亚文（布赖代合作，Al Taawoun）</x:v>
      </x:c>
      <x:c r="B669" s="66" t="n">
        <x:v>46220.833333333336</x:v>
      </x:c>
      <x:c r="C669" s="65" t="str">
        <x:v>国际俱乐部友谊赛</x:v>
      </x:c>
      <x:c r="D669" s="65" t="str">
        <x:v>中文名待确认（Helmond）</x:v>
      </x:c>
      <x:c r="E669" s="65" t="str">
        <x:v>塔亚文（布赖代合作，Al Taawoun）</x:v>
      </x:c>
      <x:c r="F669" s="65" t="str">
        <x:v>无可靠让球盘/只观察｜现有可审计资料不足以形成可靠让球倾向</x:v>
      </x:c>
      <x:c r="G669" s="65" t="str">
        <x:v>无可靠大小球盘/只观察｜未取得可交叉核验的总进球主盘与水位，无可靠大小球倾向</x:v>
      </x:c>
      <x:c r="H669" s="65" t="str">
        <x:v>待确认首发、双方近5场/主客拆分与可靠亚洲双盘；任一市场欧赔&lt;1.80/港水&lt;0.80不进；盘口未核验前不进、不加仓</x:v>
      </x:c>
      <x:c r="I669" s="66" t="n">
        <x:v>46220.82152777778</x:v>
      </x:c>
      <x:c r="J669" s="65" t="str">
        <x:v>需复核</x:v>
      </x:c>
      <x:c r="K669" s="65"/>
      <x:c r="L669" s="65"/>
      <x:c r="M669" s="65"/>
      <x:c r="N669" s="67"/>
      <x:c r="O669" s="67"/>
      <x:c r="P669" s="67" t="str">
        <x:f>IF(COUNT(N669:O669)=0,"",SUM(N669:O669))</x:f>
      </x:c>
      <x:c r="Q669" s="65" t="str">
        <x:v>赛程/状态来源｜https://www.365scores.com/football/tomorrows-matches；365Scores赛事ID 4773585；查询时间：2026-07-17 19:43（北京时间）</x:v>
      </x:c>
      <x:c r="R669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0" ht="38" customHeight="1">
      <x:c r="A670" s="65" t="str">
        <x:f>IF(B670="","",TEXT(B670,"yyyy-mm-dd")&amp;"|"&amp;D670&amp;"|"&amp;E670)</x:f>
        <x:v>2026-07-17|中文名待确认（De Graafschap）|中文名待确认（Telstar）</x:v>
      </x:c>
      <x:c r="B670" s="66" t="n">
        <x:v>46220.833333333336</x:v>
      </x:c>
      <x:c r="C670" s="65" t="str">
        <x:v>国际俱乐部友谊赛</x:v>
      </x:c>
      <x:c r="D670" s="65" t="str">
        <x:v>中文名待确认（De Graafschap）</x:v>
      </x:c>
      <x:c r="E670" s="65" t="str">
        <x:v>中文名待确认（Telstar）</x:v>
      </x:c>
      <x:c r="F670" s="65" t="str">
        <x:v>无可靠让球盘/只观察｜现有可审计资料不足以形成可靠让球倾向</x:v>
      </x:c>
      <x:c r="G670" s="65" t="str">
        <x:v>无可靠大小球盘/只观察｜未取得可交叉核验的总进球主盘与水位，无可靠大小球倾向</x:v>
      </x:c>
      <x:c r="H670" s="65" t="str">
        <x:v>待确认首发、双方近5场/主客拆分与可靠亚洲双盘；任一市场欧赔&lt;1.80/港水&lt;0.80不进；盘口未核验前不进、不加仓</x:v>
      </x:c>
      <x:c r="I670" s="66" t="n">
        <x:v>46220.82152777778</x:v>
      </x:c>
      <x:c r="J670" s="65" t="str">
        <x:v>需复核</x:v>
      </x:c>
      <x:c r="K670" s="65"/>
      <x:c r="L670" s="65"/>
      <x:c r="M670" s="65"/>
      <x:c r="N670" s="67"/>
      <x:c r="O670" s="67"/>
      <x:c r="P670" s="67" t="str">
        <x:f>IF(COUNT(N670:O670)=0,"",SUM(N670:O670))</x:f>
      </x:c>
      <x:c r="Q670" s="65" t="str">
        <x:v>赛程/状态来源｜https://www.365scores.com/football/tomorrows-matches；https://www.livescore.mobi/football/club-friendlies/club-friendlies-2026/de-graafschap-vs-telstar/1822137/；365Scores赛事ID 4768003；查询时间：2026-07-17 19:43（北京时间）</x:v>
      </x:c>
      <x:c r="R670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1" ht="38" customHeight="1">
      <x:c r="A671" s="65" t="str">
        <x:f>IF(B671="","",TEXT(B671,"yyyy-mm-dd")&amp;"|"&amp;D671&amp;"|"&amp;E671)</x:f>
        <x:v>2026-07-17|中文名待确认（Henan）|中文名待确认（Qingdao Hainiu）</x:v>
      </x:c>
      <x:c r="B671" s="66" t="n">
        <x:v>46220.81597222222</x:v>
      </x:c>
      <x:c r="C671" s="65" t="str">
        <x:v>超级联赛（国家待确认）</x:v>
      </x:c>
      <x:c r="D671" s="65" t="str">
        <x:v>中文名待确认（Henan）</x:v>
      </x:c>
      <x:c r="E671" s="65" t="str">
        <x:v>中文名待确认（Qingdao Hainiu）</x:v>
      </x:c>
      <x:c r="F671" s="65" t="str">
        <x:v>无可靠让球盘/只观察｜胜负价格仅弱倾向主队侧，不换算让球盘口</x:v>
      </x:c>
      <x:c r="G671" s="65" t="str">
        <x:v>无可靠大小球盘/只观察｜未取得可交叉核验的总进球主盘与水位，无可靠大小球倾向</x:v>
      </x:c>
      <x:c r="H671" s="65" t="str">
        <x:v>待确认首发、双方近5场/主客拆分与可靠亚洲双盘；任一市场欧赔&lt;1.80/港水&lt;0.80不进；盘口未核验前不进、不加仓</x:v>
      </x:c>
      <x:c r="I671" s="66" t="n">
        <x:v>46220.82152777778</x:v>
      </x:c>
      <x:c r="J671" s="65" t="str">
        <x:v>需复核</x:v>
      </x:c>
      <x:c r="K671" s="65"/>
      <x:c r="L671" s="65"/>
      <x:c r="M671" s="65"/>
      <x:c r="N671" s="67"/>
      <x:c r="O671" s="67"/>
      <x:c r="P671" s="67" t="str">
        <x:f>IF(COUNT(N671:O671)=0,"",SUM(N671:O671))</x:f>
      </x:c>
      <x:c r="Q671" s="65" t="str">
        <x:v>赛程/状态来源｜https://www.365scores.com/football/tomorrows-matches；https://www.livescore.mobi/football/china/super-league/henan-songshan-longmen-vs-qingdao-hainiu/1739784/；https://global.espn.com/football/scoreboard/_/date/20260717；https://tipsterarea.com/match/henan-fc-qingdao-hainiu-super-league-china-935409；365Scores赛事ID 4673345；查询时间：2026-07-17 19:43（北京时间）</x:v>
      </x:c>
      <x:c r="R67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1.24/6.00/10.35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2" ht="38" customHeight="1">
      <x:c r="A672" s="65" t="str">
        <x:f>IF(B672="","",TEXT(B672,"yyyy-mm-dd")&amp;"|"&amp;D672&amp;"|"&amp;E672)</x:f>
        <x:v>2026-07-17|中文名待确认（Beijing Guoan）|中文名待确认（Liaoning Tieren）</x:v>
      </x:c>
      <x:c r="B672" s="66" t="n">
        <x:v>46220.81597222222</x:v>
      </x:c>
      <x:c r="C672" s="65" t="str">
        <x:v>超级联赛（国家待确认）</x:v>
      </x:c>
      <x:c r="D672" s="65" t="str">
        <x:v>中文名待确认（Beijing Guoan）</x:v>
      </x:c>
      <x:c r="E672" s="65" t="str">
        <x:v>中文名待确认（Liaoning Tieren）</x:v>
      </x:c>
      <x:c r="F672" s="65" t="str">
        <x:v>无可靠让球盘/只观察｜胜负价格仅弱倾向主队侧，不换算让球盘口</x:v>
      </x:c>
      <x:c r="G672" s="65" t="str">
        <x:v>无可靠大小球盘/只观察｜未取得可交叉核验的总进球主盘与水位，无可靠大小球倾向</x:v>
      </x:c>
      <x:c r="H672" s="65" t="str">
        <x:v>待确认首发、双方近5场/主客拆分与可靠亚洲双盘；任一市场欧赔&lt;1.80/港水&lt;0.80不进；盘口未核验前不进、不加仓</x:v>
      </x:c>
      <x:c r="I672" s="66" t="n">
        <x:v>46220.82152777778</x:v>
      </x:c>
      <x:c r="J672" s="65" t="str">
        <x:v>需复核</x:v>
      </x:c>
      <x:c r="K672" s="65"/>
      <x:c r="L672" s="65"/>
      <x:c r="M672" s="65"/>
      <x:c r="N672" s="67"/>
      <x:c r="O672" s="67"/>
      <x:c r="P672" s="67" t="str">
        <x:f>IF(COUNT(N672:O672)=0,"",SUM(N672:O672))</x:f>
      </x:c>
      <x:c r="Q672" s="65" t="str">
        <x:v>赛程/状态来源｜https://www.365scores.com/football/tomorrows-matches；https://www.livescore.mobi/football/china/super-league/beijing-guoan-vs-liaoning-tieren/1739781/；https://global.espn.com/football/scoreboard/_/date/20260717；https://tipsterarea.com/match/beijing-guoan-liaoning-tieren-super-league-china-935408；365Scores赛事ID 4673664；查询时间：2026-07-17 19:43（北京时间）</x:v>
      </x:c>
      <x:c r="R672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TipsterArea仅见1X2主/和/客 1.40/5.00/6.51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3" ht="38" customHeight="1">
      <x:c r="A673" s="65" t="str">
        <x:f>IF(B673="","",TEXT(B673,"yyyy-mm-dd")&amp;"|"&amp;D673&amp;"|"&amp;E673)</x:f>
        <x:v>2026-07-17|中文名待确认（Shijiazhuang Gongfu）|中文名待确认（Yanbian Longding）</x:v>
      </x:c>
      <x:c r="B673" s="66" t="n">
        <x:v>46220.8125</x:v>
      </x:c>
      <x:c r="C673" s="65" t="str">
        <x:v>甲级联赛（国家待确认）</x:v>
      </x:c>
      <x:c r="D673" s="65" t="str">
        <x:v>中文名待确认（Shijiazhuang Gongfu）</x:v>
      </x:c>
      <x:c r="E673" s="65" t="str">
        <x:v>中文名待确认（Yanbian Longding）</x:v>
      </x:c>
      <x:c r="F673" s="65" t="str">
        <x:v>无可靠让球盘/只观察｜现有可审计资料不足以形成可靠让球倾向</x:v>
      </x:c>
      <x:c r="G673" s="65" t="str">
        <x:v>无可靠大小球盘/只观察｜未取得可交叉核验的总进球主盘与水位，无可靠大小球倾向</x:v>
      </x:c>
      <x:c r="H673" s="65" t="str">
        <x:v>待确认首发、双方近5场/主客拆分与可靠亚洲双盘；任一市场欧赔&lt;1.80/港水&lt;0.80不进；盘口未核验前不进、不加仓</x:v>
      </x:c>
      <x:c r="I673" s="66" t="n">
        <x:v>46220.82152777778</x:v>
      </x:c>
      <x:c r="J673" s="65" t="str">
        <x:v>需复核</x:v>
      </x:c>
      <x:c r="K673" s="65"/>
      <x:c r="L673" s="65"/>
      <x:c r="M673" s="65"/>
      <x:c r="N673" s="67"/>
      <x:c r="O673" s="67"/>
      <x:c r="P673" s="67" t="str">
        <x:f>IF(COUNT(N673:O673)=0,"",SUM(N673:O673))</x:f>
      </x:c>
      <x:c r="Q673" s="65" t="str">
        <x:v>赛程/状态来源｜https://www.365scores.com/football/tomorrows-matches；https://www.livescore.mobi/football/china/china-league-one/shijiazhuang-gongfu-vs-yanbian-longding/1747122/；365Scores赛事ID 4680101；查询时间：2026-07-17 19:43（北京时间）</x:v>
      </x:c>
      <x:c r="R673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4" ht="38" customHeight="1">
      <x:c r="A674" s="65" t="str">
        <x:f>IF(B674="","",TEXT(B674,"yyyy-mm-dd")&amp;"|"&amp;D674&amp;"|"&amp;E674)</x:f>
        <x:v>2026-07-17|中文名待确认（Foshan Nanshi F.C.）|中文名待确认（Nantong Zhiyun）</x:v>
      </x:c>
      <x:c r="B674" s="66" t="n">
        <x:v>46220.8125</x:v>
      </x:c>
      <x:c r="C674" s="65" t="str">
        <x:v>甲级联赛（国家待确认）</x:v>
      </x:c>
      <x:c r="D674" s="65" t="str">
        <x:v>中文名待确认（Foshan Nanshi F.C.）</x:v>
      </x:c>
      <x:c r="E674" s="65" t="str">
        <x:v>中文名待确认（Nantong Zhiyun）</x:v>
      </x:c>
      <x:c r="F674" s="65" t="str">
        <x:v>无可靠让球盘/只观察｜现有可审计资料不足以形成可靠让球倾向</x:v>
      </x:c>
      <x:c r="G674" s="65" t="str">
        <x:v>无可靠大小球盘/只观察｜未取得可交叉核验的总进球主盘与水位，无可靠大小球倾向</x:v>
      </x:c>
      <x:c r="H674" s="65" t="str">
        <x:v>待确认首发、双方近5场/主客拆分与可靠亚洲双盘；任一市场欧赔&lt;1.80/港水&lt;0.80不进；盘口未核验前不进、不加仓</x:v>
      </x:c>
      <x:c r="I674" s="66" t="n">
        <x:v>46220.82152777778</x:v>
      </x:c>
      <x:c r="J674" s="65" t="str">
        <x:v>需复核</x:v>
      </x:c>
      <x:c r="K674" s="65"/>
      <x:c r="L674" s="65"/>
      <x:c r="M674" s="65"/>
      <x:c r="N674" s="67"/>
      <x:c r="O674" s="67"/>
      <x:c r="P674" s="67" t="str">
        <x:f>IF(COUNT(N674:O674)=0,"",SUM(N674:O674))</x:f>
      </x:c>
      <x:c r="Q674" s="65" t="str">
        <x:v>赛程/状态来源｜https://www.365scores.com/football/tomorrows-matches；https://www.livescore.mobi/football/china/china-league-one/foshan-nanshi-fc-vs-nantong-zhiyun-fc/1747120/；365Scores赛事ID 4680102；查询时间：2026-07-17 19:43（北京时间）</x:v>
      </x:c>
      <x:c r="R674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5" ht="38" customHeight="1">
      <x:c r="A675" s="65" t="str">
        <x:f>IF(B675="","",TEXT(B675,"yyyy-mm-dd")&amp;"|"&amp;D675&amp;"|"&amp;E675)</x:f>
        <x:v>2026-07-17|费耶诺德（Feyenoord）|中文名待确认（Charleroi）</x:v>
      </x:c>
      <x:c r="B675" s="66" t="n">
        <x:v>46220.8125</x:v>
      </x:c>
      <x:c r="C675" s="65" t="str">
        <x:v>国际俱乐部友谊赛</x:v>
      </x:c>
      <x:c r="D675" s="65" t="str">
        <x:v>费耶诺德（Feyenoord）</x:v>
      </x:c>
      <x:c r="E675" s="65" t="str">
        <x:v>中文名待确认（Charleroi）</x:v>
      </x:c>
      <x:c r="F675" s="65" t="str">
        <x:v>无可靠让球盘/只观察｜胜负价格仅弱倾向主队侧，不换算让球盘口</x:v>
      </x:c>
      <x:c r="G675" s="65" t="str">
        <x:v>无可靠大小球盘/只观察｜未取得可交叉核验的总进球主盘与水位，无可靠大小球倾向</x:v>
      </x:c>
      <x:c r="H675" s="65" t="str">
        <x:v>待确认首发、双方近5场/主客拆分与可靠亚洲双盘；任一市场欧赔&lt;1.80/港水&lt;0.80不进；盘口未核验前不进、不加仓</x:v>
      </x:c>
      <x:c r="I675" s="66" t="n">
        <x:v>46220.82152777778</x:v>
      </x:c>
      <x:c r="J675" s="65" t="str">
        <x:v>需复核</x:v>
      </x:c>
      <x:c r="K675" s="65"/>
      <x:c r="L675" s="65"/>
      <x:c r="M675" s="65"/>
      <x:c r="N675" s="67"/>
      <x:c r="O675" s="67"/>
      <x:c r="P675" s="67" t="str">
        <x:f>IF(COUNT(N675:O675)=0,"",SUM(N675:O675))</x:f>
      </x:c>
      <x:c r="Q675" s="65" t="str">
        <x:v>赛程/状态来源｜https://www.365scores.com/football/tomorrows-matches；https://www.livescore.mobi/football/club-friendlies/featured-club-friendlies/feyenoord-vs-sporting-charleroi/1822091/；https://global.espn.com/football/scoreboard/_/date/20260717；https://tipsterarea.com/match/feyenoord-charleroi-club-friendly-935401；365Scores赛事ID 4764857；查询时间：2026-07-17 19:43（北京时间）</x:v>
      </x:c>
      <x:c r="R675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TipsterArea仅见1X2主/和/客 1.45/4.68/5.20，主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6" ht="38" customHeight="1">
      <x:c r="A676" s="65" t="str">
        <x:f>IF(B676="","",TEXT(B676,"yyyy-mm-dd")&amp;"|"&amp;D676&amp;"|"&amp;E676)</x:f>
        <x:v>2026-07-17|中文名待确认（Suzhou Dongwu）|中文名待确认（Shenzhen Juniors FC）</x:v>
      </x:c>
      <x:c r="B676" s="66" t="n">
        <x:v>46220.791666666664</x:v>
      </x:c>
      <x:c r="C676" s="65" t="str">
        <x:v>甲级联赛（国家待确认）</x:v>
      </x:c>
      <x:c r="D676" s="65" t="str">
        <x:v>中文名待确认（Suzhou Dongwu）</x:v>
      </x:c>
      <x:c r="E676" s="65" t="str">
        <x:v>中文名待确认（Shenzhen Juniors FC）</x:v>
      </x:c>
      <x:c r="F676" s="65" t="str">
        <x:v>无可靠让球盘/只观察｜现有可审计资料不足以形成可靠让球倾向</x:v>
      </x:c>
      <x:c r="G676" s="65" t="str">
        <x:v>无可靠大小球盘/只观察｜未取得可交叉核验的总进球主盘与水位，无可靠大小球倾向</x:v>
      </x:c>
      <x:c r="H676" s="65" t="str">
        <x:v>待确认首发、双方近5场/主客拆分与可靠亚洲双盘；任一市场欧赔&lt;1.80/港水&lt;0.80不进；盘口未核验前不进、不加仓</x:v>
      </x:c>
      <x:c r="I676" s="66" t="n">
        <x:v>46220.82152777778</x:v>
      </x:c>
      <x:c r="J676" s="65" t="str">
        <x:v>需复核</x:v>
      </x:c>
      <x:c r="K676" s="65"/>
      <x:c r="L676" s="65"/>
      <x:c r="M676" s="65"/>
      <x:c r="N676" s="67"/>
      <x:c r="O676" s="67"/>
      <x:c r="P676" s="67" t="str">
        <x:f>IF(COUNT(N676:O676)=0,"",SUM(N676:O676))</x:f>
      </x:c>
      <x:c r="Q676" s="65" t="str">
        <x:v>赛程/状态来源｜https://www.365scores.com/football/tomorrows-matches；https://www.livescore.mobi/football/china/china-league-one/suzhou-dongwu-vs-shenzhen-juniors/1747123/；365Scores赛事ID 4680104；查询时间：2026-07-17 19:43（北京时间）</x:v>
      </x:c>
      <x:c r="R676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平台标记存在投注摘要，但未取得可交叉核验的亚洲让球、大小球初盘/变盘节点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7" ht="38" customHeight="1">
      <x:c r="A677" s="65" t="str">
        <x:f>IF(B677="","",TEXT(B677,"yyyy-mm-dd")&amp;"|"&amp;D677&amp;"|"&amp;E677)</x:f>
        <x:v>2026-07-17|中文名待确认（Qingdao West Coast）|成都蓉城（Chengdu Rongcheng）</x:v>
      </x:c>
      <x:c r="B677" s="66" t="n">
        <x:v>46220.791666666664</x:v>
      </x:c>
      <x:c r="C677" s="65" t="str">
        <x:v>超级联赛（国家待确认）</x:v>
      </x:c>
      <x:c r="D677" s="65" t="str">
        <x:v>中文名待确认（Qingdao West Coast）</x:v>
      </x:c>
      <x:c r="E677" s="65" t="str">
        <x:v>成都蓉城（Chengdu Rongcheng）</x:v>
      </x:c>
      <x:c r="F677" s="65" t="str">
        <x:v>无可靠让球盘/只观察｜胜负价格仅弱倾向客队侧，不换算让球盘口</x:v>
      </x:c>
      <x:c r="G677" s="65" t="str">
        <x:v>无可靠大小球盘/只观察｜未取得可交叉核验的总进球主盘与水位，无可靠大小球倾向</x:v>
      </x:c>
      <x:c r="H677" s="65" t="str">
        <x:v>待确认首发、双方近5场/主客拆分与可靠亚洲双盘；任一市场欧赔&lt;1.80/港水&lt;0.80不进；盘口未核验前不进、不加仓</x:v>
      </x:c>
      <x:c r="I677" s="66" t="n">
        <x:v>46220.82152777778</x:v>
      </x:c>
      <x:c r="J677" s="65" t="str">
        <x:v>需复核</x:v>
      </x:c>
      <x:c r="K677" s="65"/>
      <x:c r="L677" s="65"/>
      <x:c r="M677" s="65"/>
      <x:c r="N677" s="67"/>
      <x:c r="O677" s="67"/>
      <x:c r="P677" s="67" t="str">
        <x:f>IF(COUNT(N677:O677)=0,"",SUM(N677:O677))</x:f>
      </x:c>
      <x:c r="Q677" s="65" t="str">
        <x:v>赛程/状态来源｜https://www.365scores.com/football/tomorrows-matches；https://www.livescore.mobi/football/china/super-league/qingdao-west-coast-vs-chengdu-rongcheng/1739802/；https://global.espn.com/football/scoreboard/_/date/20260717；https://tipsterarea.com/match/qingdao-west-coast-chengdu-rongcheng-super-league-china-935490；365Scores赛事ID 4673343；查询时间：2026-07-17 19:43（北京时间）</x:v>
      </x:c>
      <x:c r="R677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平台标记存在投注摘要，但未取得可交叉核验的亚洲让球、大小球初盘/变盘节点及港水；TipsterArea仅见1X2主/和/客 4.19/3.85/1.75，客队胜价较低；该价格不能替代亚洲盘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8" ht="38" customHeight="1">
      <x:c r="A678" s="65" t="str">
        <x:f>IF(B678="","",TEXT(B678,"yyyy-mm-dd")&amp;"|"&amp;D678&amp;"|"&amp;E678)</x:f>
        <x:v>2026-07-17|中文名待确认（Perth SC）|中文名待确认（Western Knights）</x:v>
      </x:c>
      <x:c r="B678" s="66" t="n">
        <x:v>46220.791666666664</x:v>
      </x:c>
      <x:c r="C678" s="65" t="str">
        <x:v>澳大利亚西澳大利亚州超级联赛</x:v>
      </x:c>
      <x:c r="D678" s="65" t="str">
        <x:v>中文名待确认（Perth SC）</x:v>
      </x:c>
      <x:c r="E678" s="65" t="str">
        <x:v>中文名待确认（Western Knights）</x:v>
      </x:c>
      <x:c r="F678" s="65" t="str">
        <x:v>无可靠让球盘/只观察｜现有可审计资料不足以形成可靠让球倾向</x:v>
      </x:c>
      <x:c r="G678" s="65" t="str">
        <x:v>无可靠大小球盘/只观察｜未取得可交叉核验的总进球主盘与水位，无可靠大小球倾向</x:v>
      </x:c>
      <x:c r="H678" s="65" t="str">
        <x:v>待确认首发、双方近5场/主客拆分与可靠亚洲双盘；任一市场欧赔&lt;1.80/港水&lt;0.80不进；盘口未核验前不进、不加仓</x:v>
      </x:c>
      <x:c r="I678" s="66" t="n">
        <x:v>46220.82152777778</x:v>
      </x:c>
      <x:c r="J678" s="65" t="str">
        <x:v>需复核</x:v>
      </x:c>
      <x:c r="K678" s="65"/>
      <x:c r="L678" s="65"/>
      <x:c r="M678" s="65"/>
      <x:c r="N678" s="67"/>
      <x:c r="O678" s="67"/>
      <x:c r="P678" s="67" t="str">
        <x:f>IF(COUNT(N678:O678)=0,"",SUM(N678:O678))</x:f>
      </x:c>
      <x:c r="Q678" s="65" t="str">
        <x:v>赛程/状态来源｜https://www.livescore.mobi/football/australia/western/perth-sc-vs-western-knights/1744084/；365Scores赛事ID —；查询时间：2026-07-17 19:43（北京时间）</x:v>
      </x:c>
      <x:c r="R678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79" ht="38" customHeight="1">
      <x:c r="A679" s="65" t="str">
        <x:f>IF(B679="","",TEXT(B679,"yyyy-mm-dd")&amp;"|"&amp;D679&amp;"|"&amp;E679)</x:f>
        <x:v>2026-07-17|中文名待确认（Darwin Olympic）|中文名待确认（Palmerston Rovers FC）</x:v>
      </x:c>
      <x:c r="B679" s="66" t="n">
        <x:v>46220.791666666664</x:v>
      </x:c>
      <x:c r="C679" s="65" t="str">
        <x:v>澳大利亚北区超级联赛</x:v>
      </x:c>
      <x:c r="D679" s="65" t="str">
        <x:v>中文名待确认（Darwin Olympic）</x:v>
      </x:c>
      <x:c r="E679" s="65" t="str">
        <x:v>中文名待确认（Palmerston Rovers FC）</x:v>
      </x:c>
      <x:c r="F679" s="65" t="str">
        <x:v>无可靠让球盘/只观察｜现有可审计资料不足以形成可靠让球倾向</x:v>
      </x:c>
      <x:c r="G679" s="65" t="str">
        <x:v>无可靠大小球盘/只观察｜未取得可交叉核验的总进球主盘与水位，无可靠大小球倾向</x:v>
      </x:c>
      <x:c r="H679" s="65" t="str">
        <x:v>待确认首发、双方近5场/主客拆分与可靠亚洲双盘；任一市场欧赔&lt;1.80/港水&lt;0.80不进；盘口未核验前不进、不加仓</x:v>
      </x:c>
      <x:c r="I679" s="66" t="n">
        <x:v>46220.82152777778</x:v>
      </x:c>
      <x:c r="J679" s="65" t="str">
        <x:v>需复核</x:v>
      </x:c>
      <x:c r="K679" s="65"/>
      <x:c r="L679" s="65"/>
      <x:c r="M679" s="65"/>
      <x:c r="N679" s="67"/>
      <x:c r="O679" s="67"/>
      <x:c r="P679" s="67" t="str">
        <x:f>IF(COUNT(N679:O679)=0,"",SUM(N679:O679))</x:f>
      </x:c>
      <x:c r="Q679" s="65" t="str">
        <x:v>赛程/状态来源｜https://www.livescore.mobi/football/australia/northern/darwin-olympic-vs-palmerston-rovers-fc/1775422/；365Scores赛事ID —；查询时间：2026-07-17 19:43（北京时间）</x:v>
      </x:c>
      <x:c r="R679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80" ht="38" customHeight="1">
      <x:c r="A680" s="65" t="str">
        <x:f>IF(B680="","",TEXT(B680,"yyyy-mm-dd")&amp;"|"&amp;D680&amp;"|"&amp;E680)</x:f>
        <x:v>2026-07-17|中文名待确认（Changchun Yatai）|中文名待确认（Wuxi Wugou）</x:v>
      </x:c>
      <x:c r="B680" s="66" t="n">
        <x:v>46220.791666666664</x:v>
      </x:c>
      <x:c r="C680" s="65" t="str">
        <x:v>甲级联赛（国家待确认）</x:v>
      </x:c>
      <x:c r="D680" s="65" t="str">
        <x:v>中文名待确认（Changchun Yatai）</x:v>
      </x:c>
      <x:c r="E680" s="65" t="str">
        <x:v>中文名待确认（Wuxi Wugou）</x:v>
      </x:c>
      <x:c r="F680" s="65" t="str">
        <x:v>无可靠让球盘/只观察｜现有可审计资料不足以形成可靠让球倾向</x:v>
      </x:c>
      <x:c r="G680" s="65" t="str">
        <x:v>无可靠大小球盘/只观察｜未取得可交叉核验的总进球主盘与水位，无可靠大小球倾向</x:v>
      </x:c>
      <x:c r="H680" s="65" t="str">
        <x:v>待确认首发、双方近5场/主客拆分与可靠亚洲双盘；任一市场欧赔&lt;1.80/港水&lt;0.80不进；盘口未核验前不进、不加仓</x:v>
      </x:c>
      <x:c r="I680" s="66" t="n">
        <x:v>46220.82152777778</x:v>
      </x:c>
      <x:c r="J680" s="65" t="str">
        <x:v>需复核</x:v>
      </x:c>
      <x:c r="K680" s="65"/>
      <x:c r="L680" s="65"/>
      <x:c r="M680" s="65"/>
      <x:c r="N680" s="67"/>
      <x:c r="O680" s="67"/>
      <x:c r="P680" s="67" t="str">
        <x:f>IF(COUNT(N680:O680)=0,"",SUM(N680:O680))</x:f>
      </x:c>
      <x:c r="Q680" s="65" t="str">
        <x:v>赛程/状态来源｜https://www.365scores.com/football/tomorrows-matches；https://www.livescore.mobi/football/china/china-league-one/changchun-yatai-vs-wuxi-wugou-fc/1747121/；365Scores赛事ID 4680103；查询时间：2026-07-17 19:43（北京时间）</x:v>
      </x:c>
      <x:c r="R680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存在积分榜模块，但未取得完整主队主场/客队客场拆分。战术：未检索到足以支持盘口结论的可靠阵型与对位资料，不作强推。盘口：平台标记存在投注摘要，但未取得可交叉核验的亚洲让球、大小球初盘/变盘节点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81" ht="38" customHeight="1">
      <x:c r="A681" s="65" t="str">
        <x:f>IF(B681="","",TEXT(B681,"yyyy-mm-dd")&amp;"|"&amp;D681&amp;"|"&amp;E681)</x:f>
        <x:v>2026-07-17|湾水市（Bayswater City）|索伦托FC（Sorrento FC）</x:v>
      </x:c>
      <x:c r="B681" s="66" t="n">
        <x:v>46220.791666666664</x:v>
      </x:c>
      <x:c r="C681" s="65" t="str">
        <x:v>澳大利亚西澳大利亚州超级联赛</x:v>
      </x:c>
      <x:c r="D681" s="65" t="str">
        <x:v>湾水市（Bayswater City）</x:v>
      </x:c>
      <x:c r="E681" s="65" t="str">
        <x:v>索伦托FC（Sorrento FC）</x:v>
      </x:c>
      <x:c r="F681" s="65" t="str">
        <x:v>无可靠让球盘/只观察｜现有可审计资料不足以形成可靠让球倾向</x:v>
      </x:c>
      <x:c r="G681" s="65" t="str">
        <x:v>无可靠大小球盘/只观察｜未取得可交叉核验的总进球主盘与水位，无可靠大小球倾向</x:v>
      </x:c>
      <x:c r="H681" s="65" t="str">
        <x:v>待确认首发、双方近5场/主客拆分与可靠亚洲双盘；任一市场欧赔&lt;1.80/港水&lt;0.80不进；盘口未核验前不进、不加仓</x:v>
      </x:c>
      <x:c r="I681" s="66" t="n">
        <x:v>46220.82152777778</x:v>
      </x:c>
      <x:c r="J681" s="65" t="str">
        <x:v>需复核</x:v>
      </x:c>
      <x:c r="K681" s="65"/>
      <x:c r="L681" s="65"/>
      <x:c r="M681" s="65"/>
      <x:c r="N681" s="67"/>
      <x:c r="O681" s="67"/>
      <x:c r="P681" s="67" t="str">
        <x:f>IF(COUNT(N681:O681)=0,"",SUM(N681:O681))</x:f>
      </x:c>
      <x:c r="Q681" s="65" t="str">
        <x:v>赛程/状态来源｜https://www.livescore.mobi/football/australia/western/bayswater-city-vs-sorrento/1744083/；365Scores赛事ID —；查询时间：2026-07-17 19:43（北京时间）</x:v>
      </x:c>
      <x:c r="R681" s="65" t="str">
        <x:v>证据卡：正式联赛背景，积分或排名动机成立，但逐队战意仍待官方/球队消息确认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82" ht="38" customHeight="1">
      <x:c r="A682" s="65" t="str">
        <x:f>IF(B682="","",TEXT(B682,"yyyy-mm-dd")&amp;"|"&amp;D682&amp;"|"&amp;E682)</x:f>
        <x:v>2026-07-17|中文名待确认（Aalborg）|中文名待确认（Silkeborg）</x:v>
      </x:c>
      <x:c r="B682" s="66" t="n">
        <x:v>46220.791666666664</x:v>
      </x:c>
      <x:c r="C682" s="65" t="str">
        <x:v>国际俱乐部友谊赛</x:v>
      </x:c>
      <x:c r="D682" s="65" t="str">
        <x:v>中文名待确认（Aalborg）</x:v>
      </x:c>
      <x:c r="E682" s="65" t="str">
        <x:v>中文名待确认（Silkeborg）</x:v>
      </x:c>
      <x:c r="F682" s="65" t="str">
        <x:v>无可靠让球盘/只观察｜现有可审计资料不足以形成可靠让球倾向</x:v>
      </x:c>
      <x:c r="G682" s="65" t="str">
        <x:v>无可靠大小球盘/只观察｜未取得可交叉核验的总进球主盘与水位，无可靠大小球倾向</x:v>
      </x:c>
      <x:c r="H682" s="65" t="str">
        <x:v>待确认首发、双方近5场/主客拆分与可靠亚洲双盘；任一市场欧赔&lt;1.80/港水&lt;0.80不进；盘口未核验前不进、不加仓</x:v>
      </x:c>
      <x:c r="I682" s="66" t="n">
        <x:v>46220.82152777778</x:v>
      </x:c>
      <x:c r="J682" s="65" t="str">
        <x:v>需复核</x:v>
      </x:c>
      <x:c r="K682" s="65"/>
      <x:c r="L682" s="65"/>
      <x:c r="M682" s="65"/>
      <x:c r="N682" s="67"/>
      <x:c r="O682" s="67"/>
      <x:c r="P682" s="67" t="str">
        <x:f>IF(COUNT(N682:O682)=0,"",SUM(N682:O682))</x:f>
      </x:c>
      <x:c r="Q682" s="65" t="str">
        <x:v>赛程/状态来源｜https://www.365scores.com/football/tomorrows-matches；https://www.livescore.mobi/football/club-friendlies/club-friendlies-2026/aab-vs-silkeborg/1821682/；365Scores赛事ID 4768005；查询时间：2026-07-17 19:43（北京时间）</x:v>
      </x:c>
      <x:c r="R682" s="65" t="str">
        <x:v>证据卡：俱乐部友谊赛/热身赛，轮换、试阵与比赛强度波动较大；赛程身份与北京时间已核对。阵容：未公布/未检索到可靠确认首发，伤停与轮换待确认。近期/主客：未检索到可审计的双方完整最近5场及对手强弱；未检索到完整主队主场/客队客场拆分。战术：未检索到足以支持盘口结论的可靠阵型与对位资料，不作强推。盘口：未取得可靠亚洲让球与大小球初盘、变化节点、当前主盘及港水；未取得可用价格证据。价值：无可结算港水，低于0.80（欧赔1.80）一律不进。反证①首发/轮换未知可改变强弱；反证②无亚洲盘轨迹且低级别/友谊赛样本偏差可能推翻判断。结论：低置信度，两个市场均只观察；仍待首发、近5场主客拆分、亚洲双盘和水位确认。</x:v>
      </x:c>
    </x:row>
    <x:row r="683" ht="38" customHeight="1">
      <x:c r="A683" s="65" t="str">
        <x:f>IF(B683="","",TEXT(B683,"yyyy-mm-dd")&amp;"|"&amp;D683&amp;"|"&amp;E683)</x:f>
        <x:v>2026-07-17|北西兰（FC Nordsjaelland）|布拉格斯巴达（Sparta Prague）</x:v>
      </x:c>
      <x:c r="B683" s="66" t="n">
        <x:v>46220.75</x:v>
      </x:c>
      <x:c r="C683" s="65" t="str">
        <x:v>国际俱乐部友谊赛</x:v>
      </x:c>
      <x:c r="D683" s="65" t="str">
        <x:v>北西兰（FC Nordsjaelland）</x:v>
      </x:c>
      <x:c r="E683" s="65" t="str">
        <x:v>布拉格斯巴达（Sparta Prague）</x:v>
      </x:c>
      <x:c r="F683" s="65" t="str">
        <x:v>只观察｜倾向布拉格斯巴达（Sparta Prague） -0.75；仅1X2价格支持，亚洲盘未取得</x:v>
      </x:c>
      <x:c r="G683" s="65" t="str">
        <x:v>只观察｜倾向大2.75；轮换与磨合可能放大开放度，但总盘未取得</x:v>
      </x:c>
      <x:c r="H683" s="65" t="str">
        <x:v>待首发、近况主客拆分与可靠亚洲双盘；任一市场欧赔&lt;1.80/港水&lt;0.80不进；无条件不加仓</x:v>
      </x:c>
      <x:c r="I683" s="66" t="n">
        <x:v>46219.791666666664</x:v>
      </x:c>
      <x:c r="J683" s="65" t="str">
        <x:v>已结算</x:v>
      </x:c>
      <x:c r="K683" s="65" t="str">
        <x:v>5-1</x:v>
      </x:c>
      <x:c r="L683" s="65" t="str">
        <x:v>未执行（只观察）</x:v>
      </x:c>
      <x:c r="M683" s="65" t="str">
        <x:v>未执行（只观察）</x:v>
      </x:c>
      <x:c r="N683" s="67"/>
      <x:c r="O683" s="67"/>
      <x:c r="P683" s="67" t="str">
        <x:f>IF(COUNT(N683:O683)=0,"",SUM(N683:O683))</x:f>
      </x:c>
      <x:c r="Q683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83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4.86/客胜1.55，布拉格斯巴达（Sparta Prague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5-1；赛前两市场均为只观察/无正式方向，不计注数与盈亏。LiveScore与TipsterArea终场比分相互印证。</x:v>
      </x:c>
    </x:row>
    <x:row r="684" ht="38" customHeight="1">
      <x:c r="A684" s="65" t="str">
        <x:f>IF(B684="","",TEXT(B684,"yyyy-mm-dd")&amp;"|"&amp;D684&amp;"|"&amp;E684)</x:f>
        <x:v>2026-07-17|桑德捷斯基（Sonderjyske）|科灵（Kolding）</x:v>
      </x:c>
      <x:c r="B684" s="66" t="n">
        <x:v>46220.75</x:v>
      </x:c>
      <x:c r="C684" s="65" t="str">
        <x:v>国际俱乐部友谊赛</x:v>
      </x:c>
      <x:c r="D684" s="65" t="str">
        <x:v>桑德捷斯基（Sonderjyske）</x:v>
      </x:c>
      <x:c r="E684" s="65" t="str">
        <x:v>科灵（Kolding）</x:v>
      </x:c>
      <x:c r="F684" s="65" t="str">
        <x:v>只观察｜倾向桑德捷斯基（Sonderjyske） -0.75；仅1X2价格支持，亚洲盘未取得</x:v>
      </x:c>
      <x:c r="G684" s="65" t="str">
        <x:v>只观察｜倾向大2.75；轮换与磨合可能放大开放度，但总盘未取得</x:v>
      </x:c>
      <x:c r="H684" s="65" t="str">
        <x:v>待首发、近况主客拆分与可靠亚洲双盘；任一市场欧赔&lt;1.80/港水&lt;0.80不进；无条件不加仓</x:v>
      </x:c>
      <x:c r="I684" s="66" t="n">
        <x:v>46219.791666666664</x:v>
      </x:c>
      <x:c r="J684" s="65" t="str">
        <x:v>已结算</x:v>
      </x:c>
      <x:c r="K684" s="65" t="str">
        <x:v>1-0</x:v>
      </x:c>
      <x:c r="L684" s="65" t="str">
        <x:v>未执行（只观察）</x:v>
      </x:c>
      <x:c r="M684" s="65" t="str">
        <x:v>未执行（只观察）</x:v>
      </x:c>
      <x:c r="N684" s="67"/>
      <x:c r="O684" s="67"/>
      <x:c r="P684" s="67" t="str">
        <x:f>IF(COUNT(N684:O684)=0,"",SUM(N684:O684))</x:f>
      </x:c>
      <x:c r="Q684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84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1.59/客胜4.41，桑德捷斯基（Sonderjyske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-0；赛前两市场均为只观察/无正式方向，不计注数与盈亏。LiveScore与TipsterArea终场比分相互印证。</x:v>
      </x:c>
    </x:row>
    <x:row r="685" ht="38" customHeight="1">
      <x:c r="A685" s="65" t="str">
        <x:f>IF(B685="","",TEXT(B685,"yyyy-mm-dd")&amp;"|"&amp;D685&amp;"|"&amp;E685)</x:f>
        <x:v>2026-07-17|蒂华纳（Club Tijuana）|老虎大学（Tigres UANL）</x:v>
      </x:c>
      <x:c r="B685" s="66" t="n">
        <x:v>46220.46527777778</x:v>
      </x:c>
      <x:c r="C685" s="65" t="str">
        <x:v>墨西哥超级联赛（Liga MX）</x:v>
      </x:c>
      <x:c r="D685" s="65" t="str">
        <x:v>蒂华纳（Club Tijuana）</x:v>
      </x:c>
      <x:c r="E685" s="65" t="str">
        <x:v>老虎大学（Tigres UANL）</x:v>
      </x:c>
      <x:c r="F685" s="65" t="str">
        <x:v>只观察｜倾向受让方 +0.25；胜负价格接近，亚洲盘未取得</x:v>
      </x:c>
      <x:c r="G685" s="65" t="str">
        <x:v>只观察｜倾向小2.75；正式赛事先取谨慎基线，总盘未取得</x:v>
      </x:c>
      <x:c r="H685" s="65" t="str">
        <x:v>待首发、近况主客拆分与可靠亚洲双盘；任一市场欧赔&lt;1.80/港水&lt;0.80不进；无条件不加仓</x:v>
      </x:c>
      <x:c r="I685" s="66" t="n">
        <x:v>46219.791666666664</x:v>
      </x:c>
      <x:c r="J685" s="65" t="str">
        <x:v>已结算</x:v>
      </x:c>
      <x:c r="K685" s="65" t="str">
        <x:v>3-1</x:v>
      </x:c>
      <x:c r="L685" s="65" t="str">
        <x:v>未执行（只观察）</x:v>
      </x:c>
      <x:c r="M685" s="65" t="str">
        <x:v>未执行（只观察）</x:v>
      </x:c>
      <x:c r="N685" s="67"/>
      <x:c r="O685" s="67"/>
      <x:c r="P685" s="67" t="str">
        <x:f>IF(COUNT(N685:O685)=0,"",SUM(N685:O685))</x:f>
      </x:c>
      <x:c r="Q685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85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3.56/客胜1.99，老虎大学（Tigres UANL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-1；赛前两市场均为只观察/无正式方向，不计注数与盈亏。LiveScore与TipsterArea终场比分相互印证。</x:v>
      </x:c>
    </x:row>
    <x:row r="686" ht="38" customHeight="1">
      <x:c r="A686" s="65" t="str">
        <x:f>IF(B686="","",TEXT(B686,"yyyy-mm-dd")&amp;"|"&amp;D686&amp;"|"&amp;E686)</x:f>
        <x:v>2026-07-17|西雅图海湾人（Seattle Sounders）|波特兰伐木者（Portland Timbers）</x:v>
      </x:c>
      <x:c r="B686" s="66" t="n">
        <x:v>46220.4375</x:v>
      </x:c>
      <x:c r="C686" s="65" t="str">
        <x:v>美国职业足球大联盟（MLS）</x:v>
      </x:c>
      <x:c r="D686" s="65" t="str">
        <x:v>西雅图海湾人（Seattle Sounders）</x:v>
      </x:c>
      <x:c r="E686" s="65" t="str">
        <x:v>波特兰伐木者（Portland Timbers）</x:v>
      </x:c>
      <x:c r="F686" s="65" t="str">
        <x:v>只观察｜倾向西雅图海湾人（Seattle Sounders） -0.75；仅1X2价格支持，亚洲盘未取得</x:v>
      </x:c>
      <x:c r="G686" s="65" t="str">
        <x:v>只观察｜倾向小2.75；正式赛事先取谨慎基线，总盘未取得</x:v>
      </x:c>
      <x:c r="H686" s="65" t="str">
        <x:v>待首发、近况主客拆分与可靠亚洲双盘；任一市场欧赔&lt;1.80/港水&lt;0.80不进；无条件不加仓</x:v>
      </x:c>
      <x:c r="I686" s="66" t="n">
        <x:v>46219.791666666664</x:v>
      </x:c>
      <x:c r="J686" s="65" t="str">
        <x:v>已结算</x:v>
      </x:c>
      <x:c r="K686" s="65" t="str">
        <x:v>1-5</x:v>
      </x:c>
      <x:c r="L686" s="65" t="str">
        <x:v>未执行（只观察）</x:v>
      </x:c>
      <x:c r="M686" s="65" t="str">
        <x:v>未执行（只观察）</x:v>
      </x:c>
      <x:c r="N686" s="67"/>
      <x:c r="O686" s="67"/>
      <x:c r="P686" s="67" t="str">
        <x:f>IF(COUNT(N686:O686)=0,"",SUM(N686:O686))</x:f>
      </x:c>
      <x:c r="Q686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86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1.49/客胜5.69，西雅图海湾人（Seattle Sounders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-5；赛前两市场均为只观察/无正式方向，不计注数与盈亏。LiveScore与TipsterArea终场比分相互印证。</x:v>
      </x:c>
    </x:row>
    <x:row r="687" ht="38" customHeight="1">
      <x:c r="A687" s="65" t="str">
        <x:f>IF(B687="","",TEXT(B687,"yyyy-mm-dd")&amp;"|"&amp;D687&amp;"|"&amp;E687)</x:f>
        <x:v>2026-07-17|内卡萨（Necaxa）|亚特兰特（Atlante）</x:v>
      </x:c>
      <x:c r="B687" s="66" t="n">
        <x:v>46220.375</x:v>
      </x:c>
      <x:c r="C687" s="65" t="str">
        <x:v>墨西哥超级联赛（Liga MX）</x:v>
      </x:c>
      <x:c r="D687" s="65" t="str">
        <x:v>内卡萨（Necaxa）</x:v>
      </x:c>
      <x:c r="E687" s="65" t="str">
        <x:v>亚特兰特（Atlante）</x:v>
      </x:c>
      <x:c r="F687" s="65" t="str">
        <x:v>只观察｜倾向内卡萨（Necaxa） -0.25；亚洲盘与水位待核对</x:v>
      </x:c>
      <x:c r="G687" s="65" t="str">
        <x:v>只观察｜倾向小2.75；正式赛事先取谨慎基线，总盘未取得</x:v>
      </x:c>
      <x:c r="H687" s="65" t="str">
        <x:v>待首发、近况主客拆分与可靠亚洲双盘；任一市场欧赔&lt;1.80/港水&lt;0.80不进；无条件不加仓</x:v>
      </x:c>
      <x:c r="I687" s="66" t="n">
        <x:v>46219.791666666664</x:v>
      </x:c>
      <x:c r="J687" s="65" t="str">
        <x:v>已结算</x:v>
      </x:c>
      <x:c r="K687" s="65" t="str">
        <x:v>2-1</x:v>
      </x:c>
      <x:c r="L687" s="65" t="str">
        <x:v>未执行（只观察）</x:v>
      </x:c>
      <x:c r="M687" s="65" t="str">
        <x:v>未执行（只观察）</x:v>
      </x:c>
      <x:c r="N687" s="67"/>
      <x:c r="O687" s="67"/>
      <x:c r="P687" s="67" t="str">
        <x:f>IF(COUNT(N687:O687)=0,"",SUM(N687:O687))</x:f>
      </x:c>
      <x:c r="Q687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87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1.86/客胜3.86，内卡萨（Necax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688" ht="38" customHeight="1">
      <x:c r="A688" s="65" t="str">
        <x:f>IF(B688="","",TEXT(B688,"yyyy-mm-dd")&amp;"|"&amp;D688&amp;"|"&amp;E688)</x:f>
        <x:v>2026-07-17|拉雷多热火（Laredo Heat）|特克索马FC（Texoma FC）</x:v>
      </x:c>
      <x:c r="B688" s="66" t="n">
        <x:v>46220.375</x:v>
      </x:c>
      <x:c r="C688" s="65" t="str">
        <x:v>美国USL二级联赛季后赛</x:v>
      </x:c>
      <x:c r="D688" s="65" t="str">
        <x:v>拉雷多热火（Laredo Heat）</x:v>
      </x:c>
      <x:c r="E688" s="65" t="str">
        <x:v>特克索马FC（Texoma FC）</x:v>
      </x:c>
      <x:c r="F688" s="65" t="str">
        <x:v>无可靠让球盘/只观察｜现有资料不足以形成可靠倾向</x:v>
      </x:c>
      <x:c r="G688" s="65" t="str">
        <x:v>无可靠大小球盘/只观察｜低级别淘汰赛波动高</x:v>
      </x:c>
      <x:c r="H688" s="65" t="str">
        <x:v>待首发、近况主客拆分与可靠亚洲双盘；任一市场欧赔&lt;1.80/港水&lt;0.80不进；无条件不加仓</x:v>
      </x:c>
      <x:c r="I688" s="66" t="n">
        <x:v>46219.791666666664</x:v>
      </x:c>
      <x:c r="J688" s="65" t="str">
        <x:v>已结算</x:v>
      </x:c>
      <x:c r="K688" s="65" t="str">
        <x:v>2-0</x:v>
      </x:c>
      <x:c r="L688" s="65" t="str">
        <x:v>未执行（只观察）</x:v>
      </x:c>
      <x:c r="M688" s="65" t="str">
        <x:v>未执行（只观察）</x:v>
      </x:c>
      <x:c r="N688" s="67"/>
      <x:c r="O688" s="67"/>
      <x:c r="P688" s="67" t="str">
        <x:f>IF(COUNT(N688:O688)=0,"",SUM(N688:O688))</x:f>
      </x:c>
      <x:c r="Q688" s="65" t="str">
        <x:v>Laredo Morning Times：https://www.lmtonline.com/sports/article/heat-advance-conference-semis-playoff-opening-win-22348913.php；FOX Sports：https://www.foxsports.com/soccer/usl-league-two-laredo-heat-sc-vs-texoma-fc-jul-16-2026-game-boxscore-928419；查询时间：2026-07-17 23:45（北京时间）</x:v>
      </x:c>
      <x:c r="R688" s="65" t="str">
        <x:v>证据卡：单场淘汰背景，常规赛排名与主场优势只能作弱证据。赛程身份和北京时间已由多来源日历/赛事页核对。双方最近5场、主客拆分、完整伤停、确认首发和稳定阵型未从可访问来源完整取得，均记为待确认；不得伪装成已确认。未取得可交叉核验的赛前价格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-0；赛前两市场均为只观察/无正式方向，不计注数与盈亏。两来源确认拉雷多热火2-0获胜。</x:v>
      </x:c>
    </x:row>
    <x:row r="689" ht="38" customHeight="1">
      <x:c r="A689" s="65" t="str">
        <x:f>IF(B689="","",TEXT(B689,"yyyy-mm-dd")&amp;"|"&amp;D689&amp;"|"&amp;E689)</x:f>
        <x:v>2026-07-17|萨米恩托（Sarmiento）|博卡青年（Boca Juniors）</x:v>
      </x:c>
      <x:c r="B689" s="66" t="n">
        <x:v>46220.364583333336</x:v>
      </x:c>
      <x:c r="C689" s="65" t="str">
        <x:v>阿根廷杯</x:v>
      </x:c>
      <x:c r="D689" s="65" t="str">
        <x:v>萨米恩托（Sarmiento）</x:v>
      </x:c>
      <x:c r="E689" s="65" t="str">
        <x:v>博卡青年（Boca Juniors）</x:v>
      </x:c>
      <x:c r="F689" s="65" t="str">
        <x:v>只观察｜倾向博卡青年（Boca Juniors） -0.75；仅1X2价格支持，亚洲盘未取得</x:v>
      </x:c>
      <x:c r="G689" s="65" t="str">
        <x:v>只观察｜倾向小2.75；正式赛事先取谨慎基线，总盘未取得</x:v>
      </x:c>
      <x:c r="H689" s="65" t="str">
        <x:v>待首发、近况主客拆分与可靠亚洲双盘；任一市场欧赔&lt;1.80/港水&lt;0.80不进；无条件不加仓</x:v>
      </x:c>
      <x:c r="I689" s="66" t="n">
        <x:v>46219.791666666664</x:v>
      </x:c>
      <x:c r="J689" s="65" t="str">
        <x:v>已结算</x:v>
      </x:c>
      <x:c r="K689" s="65" t="str">
        <x:v>0-2</x:v>
      </x:c>
      <x:c r="L689" s="65" t="str">
        <x:v>未执行（只观察）</x:v>
      </x:c>
      <x:c r="M689" s="65" t="str">
        <x:v>未执行（只观察）</x:v>
      </x:c>
      <x:c r="N689" s="67"/>
      <x:c r="O689" s="67"/>
      <x:c r="P689" s="67" t="str">
        <x:f>IF(COUNT(N689:O689)=0,"",SUM(N689:O689))</x:f>
      </x:c>
      <x:c r="Q689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89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6.23/客胜1.58，博卡青年（Boca Juniors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-2；赛前两市场均为只观察/无正式方向，不计注数与盈亏。LiveScore与TipsterArea终场比分相互印证。</x:v>
      </x:c>
    </x:row>
    <x:row r="690" ht="38" customHeight="1">
      <x:c r="A690" s="65" t="str">
        <x:f>IF(B690="","",TEXT(B690,"yyyy-mm-dd")&amp;"|"&amp;D690&amp;"|"&amp;E690)</x:f>
        <x:v>2026-07-17|芝加哥火焰（Chicago Fire）|温哥华白浪（Vancouver Whitecaps）</x:v>
      </x:c>
      <x:c r="B690" s="66" t="n">
        <x:v>46220.354166666664</x:v>
      </x:c>
      <x:c r="C690" s="65" t="str">
        <x:v>美国职业足球大联盟（MLS）</x:v>
      </x:c>
      <x:c r="D690" s="65" t="str">
        <x:v>芝加哥火焰（Chicago Fire）</x:v>
      </x:c>
      <x:c r="E690" s="65" t="str">
        <x:v>温哥华白浪（Vancouver Whitecaps）</x:v>
      </x:c>
      <x:c r="F690" s="65" t="str">
        <x:v>只观察｜倾向受让方 +0.25；胜负价格接近，亚洲盘未取得</x:v>
      </x:c>
      <x:c r="G690" s="65" t="str">
        <x:v>只观察｜倾向小2.75；正式赛事先取谨慎基线，总盘未取得</x:v>
      </x:c>
      <x:c r="H690" s="65" t="str">
        <x:v>待首发、近况主客拆分与可靠亚洲双盘；任一市场欧赔&lt;1.80/港水&lt;0.80不进；无条件不加仓</x:v>
      </x:c>
      <x:c r="I690" s="66" t="n">
        <x:v>46219.791666666664</x:v>
      </x:c>
      <x:c r="J690" s="65" t="str">
        <x:v>已延期</x:v>
      </x:c>
      <x:c r="K690" s="65"/>
      <x:c r="L690" s="65" t="str">
        <x:v>待赛果</x:v>
      </x:c>
      <x:c r="M690" s="65" t="str">
        <x:v>待赛果</x:v>
      </x:c>
      <x:c r="N690" s="67"/>
      <x:c r="O690" s="67"/>
      <x:c r="P690" s="67" t="str">
        <x:f>IF(COUNT(N690:O690)=0,"",SUM(N690:O690))</x:f>
      </x:c>
      <x:c r="Q690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90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2.78/客胜2.33，温哥华白浪（Vancouver Whitecaps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复核：LiveScore与TipsterArea均标记延期，未猜测赛果，留待补结。</x:v>
      </x:c>
    </x:row>
    <x:row r="691" ht="38" customHeight="1">
      <x:c r="A691" s="65" t="str">
        <x:f>IF(B691="","",TEXT(B691,"yyyy-mm-dd")&amp;"|"&amp;D691&amp;"|"&amp;E691)</x:f>
        <x:v>2026-07-17|圣路易斯城（St. Louis City）|堪萨斯城竞技（Sporting Kansas City）</x:v>
      </x:c>
      <x:c r="B691" s="66" t="n">
        <x:v>46220.354166666664</x:v>
      </x:c>
      <x:c r="C691" s="65" t="str">
        <x:v>美国职业足球大联盟（MLS）</x:v>
      </x:c>
      <x:c r="D691" s="65" t="str">
        <x:v>圣路易斯城（St. Louis City）</x:v>
      </x:c>
      <x:c r="E691" s="65" t="str">
        <x:v>堪萨斯城竞技（Sporting Kansas City）</x:v>
      </x:c>
      <x:c r="F691" s="65" t="str">
        <x:v>只观察｜倾向圣路易斯城（St. Louis City） -0.75；仅1X2价格支持，亚洲盘未取得</x:v>
      </x:c>
      <x:c r="G691" s="65" t="str">
        <x:v>只观察｜倾向小2.75；正式赛事先取谨慎基线，总盘未取得</x:v>
      </x:c>
      <x:c r="H691" s="65" t="str">
        <x:v>待首发、近况主客拆分与可靠亚洲双盘；任一市场欧赔&lt;1.80/港水&lt;0.80不进；无条件不加仓</x:v>
      </x:c>
      <x:c r="I691" s="66" t="n">
        <x:v>46219.791666666664</x:v>
      </x:c>
      <x:c r="J691" s="65" t="str">
        <x:v>已结算</x:v>
      </x:c>
      <x:c r="K691" s="65" t="str">
        <x:v>3-2</x:v>
      </x:c>
      <x:c r="L691" s="65" t="str">
        <x:v>未执行（只观察）</x:v>
      </x:c>
      <x:c r="M691" s="65" t="str">
        <x:v>未执行（只观察）</x:v>
      </x:c>
      <x:c r="N691" s="67"/>
      <x:c r="O691" s="67"/>
      <x:c r="P691" s="67" t="str">
        <x:f>IF(COUNT(N691:O691)=0,"",SUM(N691:O691))</x:f>
      </x:c>
      <x:c r="Q691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91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1.44/客胜6.17，圣路易斯城（St. Louis City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-2；赛前两市场均为只观察/无正式方向，不计注数与盈亏。LiveScore与TipsterArea终场比分相互印证。</x:v>
      </x:c>
    </x:row>
    <x:row r="692" ht="38" customHeight="1">
      <x:c r="A692" s="65" t="str">
        <x:f>IF(B692="","",TEXT(B692,"yyyy-mm-dd")&amp;"|"&amp;D692&amp;"|"&amp;E692)</x:f>
        <x:v>2026-07-17|多森联（Dothan United）|勇敢SC（Brave SC）</x:v>
      </x:c>
      <x:c r="B692" s="66" t="n">
        <x:v>46220.354166666664</x:v>
      </x:c>
      <x:c r="C692" s="65" t="str">
        <x:v>美国USL二级联赛季后赛</x:v>
      </x:c>
      <x:c r="D692" s="65" t="str">
        <x:v>多森联（Dothan United）</x:v>
      </x:c>
      <x:c r="E692" s="65" t="str">
        <x:v>勇敢SC（Brave SC）</x:v>
      </x:c>
      <x:c r="F692" s="65" t="str">
        <x:v>无可靠让球盘/只观察｜现有资料不足以形成可靠倾向</x:v>
      </x:c>
      <x:c r="G692" s="65" t="str">
        <x:v>无可靠大小球盘/只观察｜低级别淘汰赛波动高</x:v>
      </x:c>
      <x:c r="H692" s="65" t="str">
        <x:v>待首发、近况主客拆分与可靠亚洲双盘；任一市场欧赔&lt;1.80/港水&lt;0.80不进；无条件不加仓</x:v>
      </x:c>
      <x:c r="I692" s="66" t="n">
        <x:v>46219.791666666664</x:v>
      </x:c>
      <x:c r="J692" s="65" t="str">
        <x:v>已结算</x:v>
      </x:c>
      <x:c r="K692" s="65" t="str">
        <x:v>0-1</x:v>
      </x:c>
      <x:c r="L692" s="65" t="str">
        <x:v>未执行（只观察）</x:v>
      </x:c>
      <x:c r="M692" s="65" t="str">
        <x:v>未执行（只观察）</x:v>
      </x:c>
      <x:c r="N692" s="67"/>
      <x:c r="O692" s="67"/>
      <x:c r="P692" s="67" t="str">
        <x:f>IF(COUNT(N692:O692)=0,"",SUM(N692:O692))</x:f>
      </x:c>
      <x:c r="Q692" s="65" t="str">
        <x:v>Sofascore：https://www.sofascore.com/football/match/dothan-united-sc-brave-sc/FRNbsqXce；XScores：https://www.xscores.com/soccer/match/usa/dothan-united-vs-brave-sc/2026/2859565；查询时间：2026-07-17 23:45（北京时间）</x:v>
      </x:c>
      <x:c r="R692" s="65" t="str">
        <x:v>证据卡：单场淘汰背景，常规赛排名与主场优势只能作弱证据。赛程身份和北京时间已由多来源日历/赛事页核对。双方最近5场、主客拆分、完整伤停、确认首发和稳定阵型未从可访问来源完整取得，均记为待确认；不得伪装成已确认。未取得可交叉核验的赛前价格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-1；赛前两市场均为只观察/无正式方向，不计注数与盈亏。两来源确认多森联0-1勇敢SC。</x:v>
      </x:c>
    </x:row>
    <x:row r="693" ht="38" customHeight="1">
      <x:c r="A693" s="65" t="str">
        <x:f>IF(B693="","",TEXT(B693,"yyyy-mm-dd")&amp;"|"&amp;D693&amp;"|"&amp;E693)</x:f>
        <x:v>2026-07-17|皮奥里亚城（Peoria City）|梦想FC（Sueno FC）</x:v>
      </x:c>
      <x:c r="B693" s="66" t="n">
        <x:v>46220.354166666664</x:v>
      </x:c>
      <x:c r="C693" s="65" t="str">
        <x:v>美国USL二级联赛季后赛</x:v>
      </x:c>
      <x:c r="D693" s="65" t="str">
        <x:v>皮奥里亚城（Peoria City）</x:v>
      </x:c>
      <x:c r="E693" s="65" t="str">
        <x:v>梦想FC（Sueno FC）</x:v>
      </x:c>
      <x:c r="F693" s="65" t="str">
        <x:v>无可靠让球盘/只观察｜现有资料不足以形成可靠倾向</x:v>
      </x:c>
      <x:c r="G693" s="65" t="str">
        <x:v>无可靠大小球盘/只观察｜低级别淘汰赛波动高</x:v>
      </x:c>
      <x:c r="H693" s="65" t="str">
        <x:v>待首发、近况主客拆分与可靠亚洲双盘；任一市场欧赔&lt;1.80/港水&lt;0.80不进；无条件不加仓</x:v>
      </x:c>
      <x:c r="I693" s="66" t="n">
        <x:v>46219.791666666664</x:v>
      </x:c>
      <x:c r="J693" s="65" t="str">
        <x:v>已结算</x:v>
      </x:c>
      <x:c r="K693" s="65" t="str">
        <x:v>3-2</x:v>
      </x:c>
      <x:c r="L693" s="65" t="str">
        <x:v>未执行（只观察）</x:v>
      </x:c>
      <x:c r="M693" s="65" t="str">
        <x:v>未执行（只观察）</x:v>
      </x:c>
      <x:c r="N693" s="67"/>
      <x:c r="O693" s="67"/>
      <x:c r="P693" s="67" t="str">
        <x:f>IF(COUNT(N693:O693)=0,"",SUM(N693:O693))</x:f>
      </x:c>
      <x:c r="Q693" s="65" t="str">
        <x:v>LiveScore：https://www.livescore.com/en/football/usa/usl-league-two-play-off/peoria-city-vs-sueno-fc/1832385/；Sofascore：https://www.sofascore.com/football/match/sueno-fc-peoria-city/DrcdsoXce；查询时间：2026-07-17 23:45（北京时间）</x:v>
      </x:c>
      <x:c r="R693" s="65" t="str">
        <x:v>证据卡：单场淘汰背景，常规赛排名与主场优势只能作弱证据。赛程身份和北京时间已由多来源日历/赛事页核对。双方最近5场、主客拆分、完整伤停、确认首发和稳定阵型未从可访问来源完整取得，均记为待确认；不得伪装成已确认。未取得可交叉核验的赛前价格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-2；赛前两市场均为只观察/无正式方向，不计注数与盈亏。两来源确认皮奥里亚城3-2梦想FC。</x:v>
      </x:c>
    </x:row>
    <x:row r="694" ht="38" customHeight="1">
      <x:c r="A694" s="65" t="str">
        <x:f>IF(B694="","",TEXT(B694,"yyyy-mm-dd")&amp;"|"&amp;D694&amp;"|"&amp;E694)</x:f>
        <x:v>2026-07-17|奥伦斯（Orense）|埃梅莱克（Emelec）</x:v>
      </x:c>
      <x:c r="B694" s="66" t="n">
        <x:v>46220.333333333336</x:v>
      </x:c>
      <x:c r="C694" s="65" t="str">
        <x:v>厄瓜多尔甲级联赛（LigaPro Serie A）</x:v>
      </x:c>
      <x:c r="D694" s="65" t="str">
        <x:v>奥伦斯（Orense）</x:v>
      </x:c>
      <x:c r="E694" s="65" t="str">
        <x:v>埃梅莱克（Emelec）</x:v>
      </x:c>
      <x:c r="F694" s="65" t="str">
        <x:v>只观察｜倾向受让方 +0.25；胜负价格接近，亚洲盘未取得</x:v>
      </x:c>
      <x:c r="G694" s="65" t="str">
        <x:v>只观察｜倾向小2.75；正式赛事先取谨慎基线，总盘未取得</x:v>
      </x:c>
      <x:c r="H694" s="65" t="str">
        <x:v>待首发、近况主客拆分与可靠亚洲双盘；任一市场欧赔&lt;1.80/港水&lt;0.80不进；无条件不加仓</x:v>
      </x:c>
      <x:c r="I694" s="66" t="n">
        <x:v>46219.791666666664</x:v>
      </x:c>
      <x:c r="J694" s="65" t="str">
        <x:v>已结算</x:v>
      </x:c>
      <x:c r="K694" s="65" t="str">
        <x:v>0-2</x:v>
      </x:c>
      <x:c r="L694" s="65" t="str">
        <x:v>未执行（只观察）</x:v>
      </x:c>
      <x:c r="M694" s="65" t="str">
        <x:v>未执行（只观察）</x:v>
      </x:c>
      <x:c r="N694" s="67"/>
      <x:c r="O694" s="67"/>
      <x:c r="P694" s="67" t="str">
        <x:f>IF(COUNT(N694:O694)=0,"",SUM(N694:O694))</x:f>
      </x:c>
      <x:c r="Q694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94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2.12/客胜3.68，奥伦斯（Orense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-2；赛前两市场均为只观察/无正式方向，不计注数与盈亏。LiveScore与TipsterArea终场比分相互印证。</x:v>
      </x:c>
    </x:row>
    <x:row r="695" ht="38" customHeight="1">
      <x:c r="A695" s="65" t="str">
        <x:f>IF(B695="","",TEXT(B695,"yyyy-mm-dd")&amp;"|"&amp;D695&amp;"|"&amp;E695)</x:f>
        <x:v>2026-07-17|蒙特利尔CF（CF Montreal）|多伦多FC（Toronto FC）</x:v>
      </x:c>
      <x:c r="B695" s="66" t="n">
        <x:v>46220.3125</x:v>
      </x:c>
      <x:c r="C695" s="65" t="str">
        <x:v>美国职业足球大联盟（MLS）</x:v>
      </x:c>
      <x:c r="D695" s="65" t="str">
        <x:v>蒙特利尔CF（CF Montreal）</x:v>
      </x:c>
      <x:c r="E695" s="65" t="str">
        <x:v>多伦多FC（Toronto FC）</x:v>
      </x:c>
      <x:c r="F695" s="65" t="str">
        <x:v>只观察｜倾向受让方 +0.25；胜负价格接近，亚洲盘未取得</x:v>
      </x:c>
      <x:c r="G695" s="65" t="str">
        <x:v>只观察｜倾向小2.75；正式赛事先取谨慎基线，总盘未取得</x:v>
      </x:c>
      <x:c r="H695" s="65" t="str">
        <x:v>待首发、近况主客拆分与可靠亚洲双盘；任一市场欧赔&lt;1.80/港水&lt;0.80不进；无条件不加仓</x:v>
      </x:c>
      <x:c r="I695" s="66" t="n">
        <x:v>46219.791666666664</x:v>
      </x:c>
      <x:c r="J695" s="65" t="str">
        <x:v>已结算</x:v>
      </x:c>
      <x:c r="K695" s="65" t="str">
        <x:v>0-0</x:v>
      </x:c>
      <x:c r="L695" s="65" t="str">
        <x:v>未执行（只观察）</x:v>
      </x:c>
      <x:c r="M695" s="65" t="str">
        <x:v>未执行（只观察）</x:v>
      </x:c>
      <x:c r="N695" s="67"/>
      <x:c r="O695" s="67"/>
      <x:c r="P695" s="67" t="str">
        <x:f>IF(COUNT(N695:O695)=0,"",SUM(N695:O695))</x:f>
      </x:c>
      <x:c r="Q695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95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1.97/客胜3.55，蒙特利尔CF（CF Montreal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-0；赛前两市场均为只观察/无正式方向，不计注数与盈亏。LiveScore与TipsterArea终场比分相互印证。</x:v>
      </x:c>
    </x:row>
    <x:row r="696" ht="38" customHeight="1">
      <x:c r="A696" s="65" t="str">
        <x:f>IF(B696="","",TEXT(B696,"yyyy-mm-dd")&amp;"|"&amp;D696&amp;"|"&amp;E696)</x:f>
        <x:v>2026-07-17|雷加塔斯巴西（CRB）|累西腓航海（Nautico）</x:v>
      </x:c>
      <x:c r="B696" s="66" t="n">
        <x:v>46220.291666666664</x:v>
      </x:c>
      <x:c r="C696" s="65" t="str">
        <x:v>巴西乙级联赛</x:v>
      </x:c>
      <x:c r="D696" s="65" t="str">
        <x:v>雷加塔斯巴西（CRB）</x:v>
      </x:c>
      <x:c r="E696" s="65" t="str">
        <x:v>累西腓航海（Nautico）</x:v>
      </x:c>
      <x:c r="F696" s="65" t="str">
        <x:v>只观察｜倾向受让方 +0.25；胜负价格接近，亚洲盘未取得</x:v>
      </x:c>
      <x:c r="G696" s="65" t="str">
        <x:v>只观察｜倾向小2.75；正式赛事先取谨慎基线，总盘未取得</x:v>
      </x:c>
      <x:c r="H696" s="65" t="str">
        <x:v>待首发、近况主客拆分与可靠亚洲双盘；任一市场欧赔&lt;1.80/港水&lt;0.80不进；无条件不加仓</x:v>
      </x:c>
      <x:c r="I696" s="66" t="n">
        <x:v>46219.791666666664</x:v>
      </x:c>
      <x:c r="J696" s="65" t="str">
        <x:v>已结算</x:v>
      </x:c>
      <x:c r="K696" s="65" t="str">
        <x:v>2-1</x:v>
      </x:c>
      <x:c r="L696" s="65" t="str">
        <x:v>未执行（只观察）</x:v>
      </x:c>
      <x:c r="M696" s="65" t="str">
        <x:v>未执行（只观察）</x:v>
      </x:c>
      <x:c r="N696" s="67"/>
      <x:c r="O696" s="67"/>
      <x:c r="P696" s="67" t="str">
        <x:f>IF(COUNT(N696:O696)=0,"",SUM(N696:O696))</x:f>
      </x:c>
      <x:c r="Q696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96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1.93/客胜3.87，雷加塔斯巴西（CRB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697" ht="38" customHeight="1">
      <x:c r="A697" s="65" t="str">
        <x:f>IF(B697="","",TEXT(B697,"yyyy-mm-dd")&amp;"|"&amp;D697&amp;"|"&amp;E697)</x:f>
        <x:v>2026-07-17|弗尔热（Forge FC）|太平洋FC（Pacific FC）</x:v>
      </x:c>
      <x:c r="B697" s="66" t="n">
        <x:v>46220.291666666664</x:v>
      </x:c>
      <x:c r="C697" s="65" t="str">
        <x:v>加拿大超级联赛</x:v>
      </x:c>
      <x:c r="D697" s="65" t="str">
        <x:v>弗尔热（Forge FC）</x:v>
      </x:c>
      <x:c r="E697" s="65" t="str">
        <x:v>太平洋FC（Pacific FC）</x:v>
      </x:c>
      <x:c r="F697" s="65" t="str">
        <x:v>只观察｜倾向弗尔热（Forge FC） -1.25；仅1X2价格支持，亚洲盘未取得</x:v>
      </x:c>
      <x:c r="G697" s="65" t="str">
        <x:v>只观察｜倾向小2.75；正式赛事先取谨慎基线，总盘未取得</x:v>
      </x:c>
      <x:c r="H697" s="65" t="str">
        <x:v>待首发、近况主客拆分与可靠亚洲双盘；任一市场欧赔&lt;1.80/港水&lt;0.80不进；无条件不加仓</x:v>
      </x:c>
      <x:c r="I697" s="66" t="n">
        <x:v>46219.791666666664</x:v>
      </x:c>
      <x:c r="J697" s="65" t="str">
        <x:v>已延期</x:v>
      </x:c>
      <x:c r="K697" s="65"/>
      <x:c r="L697" s="65" t="str">
        <x:v>待赛果</x:v>
      </x:c>
      <x:c r="M697" s="65" t="str">
        <x:v>待赛果</x:v>
      </x:c>
      <x:c r="N697" s="67"/>
      <x:c r="O697" s="67"/>
      <x:c r="P697" s="67" t="str">
        <x:f>IF(COUNT(N697:O697)=0,"",SUM(N697:O697))</x:f>
      </x:c>
      <x:c r="Q697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97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1.26/客胜8.91，弗尔热（Forge FC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复核：LiveScore与TipsterArea均标记延期，未猜测赛果，留待补结。</x:v>
      </x:c>
    </x:row>
    <x:row r="698" ht="38" customHeight="1">
      <x:c r="A698" s="65" t="str">
        <x:f>IF(B698="","",TEXT(B698,"yyyy-mm-dd")&amp;"|"&amp;D698&amp;"|"&amp;E698)</x:f>
        <x:v>2026-07-17|博塔弗戈（Botafogo）|桑托斯（Santos）</x:v>
      </x:c>
      <x:c r="B698" s="66" t="n">
        <x:v>46220.270833333336</x:v>
      </x:c>
      <x:c r="C698" s="65" t="str">
        <x:v>巴西甲级联赛</x:v>
      </x:c>
      <x:c r="D698" s="65" t="str">
        <x:v>博塔弗戈（Botafogo）</x:v>
      </x:c>
      <x:c r="E698" s="65" t="str">
        <x:v>桑托斯（Santos）</x:v>
      </x:c>
      <x:c r="F698" s="65" t="str">
        <x:v>只观察｜倾向受让方 +0.25；胜负价格接近，亚洲盘未取得</x:v>
      </x:c>
      <x:c r="G698" s="65" t="str">
        <x:v>只观察｜倾向小2.75；正式赛事先取谨慎基线，总盘未取得</x:v>
      </x:c>
      <x:c r="H698" s="65" t="str">
        <x:v>待首发、近况主客拆分与可靠亚洲双盘；任一市场欧赔&lt;1.80/港水&lt;0.80不进；无条件不加仓</x:v>
      </x:c>
      <x:c r="I698" s="66" t="n">
        <x:v>46219.791666666664</x:v>
      </x:c>
      <x:c r="J698" s="65" t="str">
        <x:v>已结算</x:v>
      </x:c>
      <x:c r="K698" s="65" t="str">
        <x:v>2-1</x:v>
      </x:c>
      <x:c r="L698" s="65" t="str">
        <x:v>未执行（只观察）</x:v>
      </x:c>
      <x:c r="M698" s="65" t="str">
        <x:v>未执行（只观察）</x:v>
      </x:c>
      <x:c r="N698" s="67"/>
      <x:c r="O698" s="67"/>
      <x:c r="P698" s="67" t="str">
        <x:f>IF(COUNT(N698:O698)=0,"",SUM(N698:O698))</x:f>
      </x:c>
      <x:c r="Q698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98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2.05/客胜3.46，博塔弗戈（Botafogo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699" ht="38" customHeight="1">
      <x:c r="A699" s="65" t="str">
        <x:f>IF(B699="","",TEXT(B699,"yyyy-mm-dd")&amp;"|"&amp;D699&amp;"|"&amp;E699)</x:f>
        <x:v>2026-07-17|维多利亚（Vitoria）|瓦斯科达伽马（Vasco da Gama）</x:v>
      </x:c>
      <x:c r="B699" s="66" t="n">
        <x:v>46220.270833333336</x:v>
      </x:c>
      <x:c r="C699" s="65" t="str">
        <x:v>巴西甲级联赛</x:v>
      </x:c>
      <x:c r="D699" s="65" t="str">
        <x:v>维多利亚（Vitoria）</x:v>
      </x:c>
      <x:c r="E699" s="65" t="str">
        <x:v>瓦斯科达伽马（Vasco da Gama）</x:v>
      </x:c>
      <x:c r="F699" s="65" t="str">
        <x:v>只观察｜倾向受让方 +0.25；胜负价格接近，亚洲盘未取得</x:v>
      </x:c>
      <x:c r="G699" s="65" t="str">
        <x:v>只观察｜倾向小2.75；正式赛事先取谨慎基线，总盘未取得</x:v>
      </x:c>
      <x:c r="H699" s="65" t="str">
        <x:v>待首发、近况主客拆分与可靠亚洲双盘；任一市场欧赔&lt;1.80/港水&lt;0.80不进；无条件不加仓</x:v>
      </x:c>
      <x:c r="I699" s="66" t="n">
        <x:v>46219.791666666664</x:v>
      </x:c>
      <x:c r="J699" s="65" t="str">
        <x:v>已结算</x:v>
      </x:c>
      <x:c r="K699" s="65" t="str">
        <x:v>1-0</x:v>
      </x:c>
      <x:c r="L699" s="65" t="str">
        <x:v>未执行（只观察）</x:v>
      </x:c>
      <x:c r="M699" s="65" t="str">
        <x:v>未执行（只观察）</x:v>
      </x:c>
      <x:c r="N699" s="67"/>
      <x:c r="O699" s="67"/>
      <x:c r="P699" s="67" t="str">
        <x:f>IF(COUNT(N699:O699)=0,"",SUM(N699:O699))</x:f>
      </x:c>
      <x:c r="Q699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699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2.34/客胜3.06，维多利亚（Vitori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-0；赛前两市场均为只观察/无正式方向，不计注数与盈亏。LiveScore与TipsterArea终场比分相互印证。</x:v>
      </x:c>
    </x:row>
    <x:row r="700" ht="38" customHeight="1">
      <x:c r="A700" s="65" t="str">
        <x:f>IF(B700="","",TEXT(B700,"yyyy-mm-dd")&amp;"|"&amp;D700&amp;"|"&amp;E700)</x:f>
        <x:v>2026-07-17|小石城流浪者（Little Rock Rangers）|全球足球创新（Global Football Innovation）</x:v>
      </x:c>
      <x:c r="B700" s="66" t="n">
        <x:v>46220.25</x:v>
      </x:c>
      <x:c r="C700" s="65" t="str">
        <x:v>美国USL二级联赛季后赛</x:v>
      </x:c>
      <x:c r="D700" s="65" t="str">
        <x:v>小石城流浪者（Little Rock Rangers）</x:v>
      </x:c>
      <x:c r="E700" s="65" t="str">
        <x:v>全球足球创新（Global Football Innovation）</x:v>
      </x:c>
      <x:c r="F700" s="65" t="str">
        <x:v>无可靠让球盘/只观察｜现有资料不足以形成可靠倾向</x:v>
      </x:c>
      <x:c r="G700" s="65" t="str">
        <x:v>无可靠大小球盘/只观察｜低级别淘汰赛波动高</x:v>
      </x:c>
      <x:c r="H700" s="65" t="str">
        <x:v>待首发、近况主客拆分与可靠亚洲双盘；任一市场欧赔&lt;1.80/港水&lt;0.80不进；无条件不加仓</x:v>
      </x:c>
      <x:c r="I700" s="66" t="n">
        <x:v>46219.791666666664</x:v>
      </x:c>
      <x:c r="J700" s="65" t="str">
        <x:v>已结算</x:v>
      </x:c>
      <x:c r="K700" s="65" t="str">
        <x:v>1-2</x:v>
      </x:c>
      <x:c r="L700" s="65" t="str">
        <x:v>未执行（只观察）</x:v>
      </x:c>
      <x:c r="M700" s="65" t="str">
        <x:v>未执行（只观察）</x:v>
      </x:c>
      <x:c r="N700" s="67"/>
      <x:c r="O700" s="67"/>
      <x:c r="P700" s="67" t="str">
        <x:f>IF(COUNT(N700:O700)=0,"",SUM(N700:O700))</x:f>
      </x:c>
      <x:c r="Q700" s="65" t="str">
        <x:v>LiveScore：https://www.livescore.com/en/football/usa/usl-league-two-play-off/little-rock-rangers-vs-global-football-innovation-academy/1832391/；Sofascore：https://www.sofascore.com/football/match/gfi-academy-little-rock-rangers/txAcsNtuj；查询时间：2026-07-17 23:45（北京时间）</x:v>
      </x:c>
      <x:c r="R700" s="65" t="str">
        <x:v>证据卡：单场淘汰背景，常规赛排名与主场优势只能作弱证据。赛程身份和北京时间已由多来源日历/赛事页核对。双方最近5场、主客拆分、完整伤停、确认首发和稳定阵型未从可访问来源完整取得，均记为待确认；不得伪装成已确认。未取得可交叉核验的赛前价格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-2；赛前两市场均为只观察/无正式方向，不计注数与盈亏。两来源确认小石城流浪者1-2全球足球创新。</x:v>
      </x:c>
    </x:row>
    <x:row r="701" ht="38" customHeight="1">
      <x:c r="A701" s="65" t="str">
        <x:f>IF(B701="","",TEXT(B701,"yyyy-mm-dd")&amp;"|"&amp;D701&amp;"|"&amp;E701)</x:f>
        <x:v>2026-07-17|竞技俱乐部（Racing Club）|国防与司法（Defensa y Justicia）</x:v>
      </x:c>
      <x:c r="B701" s="66" t="n">
        <x:v>46220.239583333336</x:v>
      </x:c>
      <x:c r="C701" s="65" t="str">
        <x:v>阿根廷杯</x:v>
      </x:c>
      <x:c r="D701" s="65" t="str">
        <x:v>竞技俱乐部（Racing Club）</x:v>
      </x:c>
      <x:c r="E701" s="65" t="str">
        <x:v>国防与司法（Defensa y Justicia）</x:v>
      </x:c>
      <x:c r="F701" s="65" t="str">
        <x:v>只观察｜倾向竞技俱乐部（Racing Club） -0.25；亚洲盘与水位待核对</x:v>
      </x:c>
      <x:c r="G701" s="65" t="str">
        <x:v>只观察｜倾向小2.75；正式赛事先取谨慎基线，总盘未取得</x:v>
      </x:c>
      <x:c r="H701" s="65" t="str">
        <x:v>待首发、近况主客拆分与可靠亚洲双盘；任一市场欧赔&lt;1.80/港水&lt;0.80不进；无条件不加仓</x:v>
      </x:c>
      <x:c r="I701" s="66" t="n">
        <x:v>46219.791666666664</x:v>
      </x:c>
      <x:c r="J701" s="65" t="str">
        <x:v>已结算</x:v>
      </x:c>
      <x:c r="K701" s="65" t="str">
        <x:v>4-1</x:v>
      </x:c>
      <x:c r="L701" s="65" t="str">
        <x:v>未执行（只观察）</x:v>
      </x:c>
      <x:c r="M701" s="65" t="str">
        <x:v>未执行（只观察）</x:v>
      </x:c>
      <x:c r="N701" s="67"/>
      <x:c r="O701" s="67"/>
      <x:c r="P701" s="67" t="str">
        <x:f>IF(COUNT(N701:O701)=0,"",SUM(N701:O701))</x:f>
      </x:c>
      <x:c r="Q701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01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1.82/客胜4.54，竞技俱乐部（Racing Club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4-1；赛前两市场均为只观察/无正式方向，不计注数与盈亏。LiveScore与TipsterArea终场比分相互印证。</x:v>
      </x:c>
    </x:row>
    <x:row r="702" ht="38" customHeight="1">
      <x:c r="A702" s="65" t="str">
        <x:f>IF(B702="","",TEXT(B702,"yyyy-mm-dd")&amp;"|"&amp;D702&amp;"|"&amp;E702)</x:f>
        <x:v>2026-07-17|奥卡斯（Aucas）|山谷独立（Independiente del Valle）</x:v>
      </x:c>
      <x:c r="B702" s="66" t="n">
        <x:v>46220.229166666664</x:v>
      </x:c>
      <x:c r="C702" s="65" t="str">
        <x:v>厄瓜多尔甲级联赛（LigaPro Serie A）</x:v>
      </x:c>
      <x:c r="D702" s="65" t="str">
        <x:v>奥卡斯（Aucas）</x:v>
      </x:c>
      <x:c r="E702" s="65" t="str">
        <x:v>山谷独立（Independiente del Valle）</x:v>
      </x:c>
      <x:c r="F702" s="65" t="str">
        <x:v>只观察｜倾向受让方 +0.25；胜负价格接近，亚洲盘未取得</x:v>
      </x:c>
      <x:c r="G702" s="65" t="str">
        <x:v>只观察｜倾向小2.75；正式赛事先取谨慎基线，总盘未取得</x:v>
      </x:c>
      <x:c r="H702" s="65" t="str">
        <x:v>待首发、近况主客拆分与可靠亚洲双盘；任一市场欧赔&lt;1.80/港水&lt;0.80不进；无条件不加仓</x:v>
      </x:c>
      <x:c r="I702" s="66" t="n">
        <x:v>46219.791666666664</x:v>
      </x:c>
      <x:c r="J702" s="65" t="str">
        <x:v>已结算</x:v>
      </x:c>
      <x:c r="K702" s="65" t="str">
        <x:v>0-3</x:v>
      </x:c>
      <x:c r="L702" s="65" t="str">
        <x:v>未执行（只观察）</x:v>
      </x:c>
      <x:c r="M702" s="65" t="str">
        <x:v>未执行（只观察）</x:v>
      </x:c>
      <x:c r="N702" s="67"/>
      <x:c r="O702" s="67"/>
      <x:c r="P702" s="67" t="str">
        <x:f>IF(COUNT(N702:O702)=0,"",SUM(N702:O702))</x:f>
      </x:c>
      <x:c r="Q702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02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2.94/客胜2.29，山谷独立（Independiente del Valle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-3；赛前两市场均为只观察/无正式方向，不计注数与盈亏。LiveScore与TipsterArea终场比分相互印证。</x:v>
      </x:c>
    </x:row>
    <x:row r="703" ht="38" customHeight="1">
      <x:c r="A703" s="65" t="str">
        <x:f>IF(B703="","",TEXT(B703,"yyyy-mm-dd")&amp;"|"&amp;D703&amp;"|"&amp;E703)</x:f>
        <x:v>2026-07-17|维斯特里（Vestri）|卡拉巴赫（Qarabag）</x:v>
      </x:c>
      <x:c r="B703" s="66" t="n">
        <x:v>46220.166666666664</x:v>
      </x:c>
      <x:c r="C703" s="65" t="str">
        <x:v>欧足联欧罗巴联赛资格赛</x:v>
      </x:c>
      <x:c r="D703" s="65" t="str">
        <x:v>维斯特里（Vestri）</x:v>
      </x:c>
      <x:c r="E703" s="65" t="str">
        <x:v>卡拉巴赫（Qarabag）</x:v>
      </x:c>
      <x:c r="F703" s="65" t="str">
        <x:v>只观察｜倾向卡拉巴赫（Qarabag） -0.75；仅1X2价格支持，亚洲盘未取得</x:v>
      </x:c>
      <x:c r="G703" s="65" t="str">
        <x:v>只观察｜倾向小2.75；正式赛事先取谨慎基线，总盘未取得</x:v>
      </x:c>
      <x:c r="H703" s="65" t="str">
        <x:v>待首发、近况主客拆分与可靠亚洲双盘；任一市场欧赔&lt;1.80/港水&lt;0.80不进；无条件不加仓</x:v>
      </x:c>
      <x:c r="I703" s="66" t="n">
        <x:v>46219.791666666664</x:v>
      </x:c>
      <x:c r="J703" s="65" t="str">
        <x:v>已结算</x:v>
      </x:c>
      <x:c r="K703" s="65" t="str">
        <x:v>0-3</x:v>
      </x:c>
      <x:c r="L703" s="65" t="str">
        <x:v>未执行（只观察）</x:v>
      </x:c>
      <x:c r="M703" s="65" t="str">
        <x:v>未执行（只观察）</x:v>
      </x:c>
      <x:c r="N703" s="67"/>
      <x:c r="O703" s="67"/>
      <x:c r="P703" s="67" t="str">
        <x:f>IF(COUNT(N703:O703)=0,"",SUM(N703:O703))</x:f>
      </x:c>
      <x:c r="Q703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03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18.65/客胜1.12，卡拉巴赫（Qarabag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-3；赛前两市场均为只观察/无正式方向，不计注数与盈亏。LiveScore与TipsterArea终场比分相互印证。</x:v>
      </x:c>
    </x:row>
    <x:row r="704" ht="38" customHeight="1">
      <x:c r="A704" s="65" t="str">
        <x:f>IF(B704="","",TEXT(B704,"yyyy-mm-dd")&amp;"|"&amp;D704&amp;"|"&amp;E704)</x:f>
        <x:v>2026-07-17|劳德代尔堡联（Fort Lauderdale United）|蜂群FC（Swarm FC）</x:v>
      </x:c>
      <x:c r="B704" s="66" t="n">
        <x:v>46220.166666666664</x:v>
      </x:c>
      <x:c r="C704" s="65" t="str">
        <x:v>美国USL二级联赛季后赛</x:v>
      </x:c>
      <x:c r="D704" s="65" t="str">
        <x:v>劳德代尔堡联（Fort Lauderdale United）</x:v>
      </x:c>
      <x:c r="E704" s="65" t="str">
        <x:v>蜂群FC（Swarm FC）</x:v>
      </x:c>
      <x:c r="F704" s="65" t="str">
        <x:v>无可靠让球盘/只观察｜现有资料不足以形成可靠倾向</x:v>
      </x:c>
      <x:c r="G704" s="65" t="str">
        <x:v>无可靠大小球盘/只观察｜低级别淘汰赛波动高</x:v>
      </x:c>
      <x:c r="H704" s="65" t="str">
        <x:v>待首发、近况主客拆分与可靠亚洲双盘；任一市场欧赔&lt;1.80/港水&lt;0.80不进；无条件不加仓</x:v>
      </x:c>
      <x:c r="I704" s="66" t="n">
        <x:v>46219.791666666664</x:v>
      </x:c>
      <x:c r="J704" s="65" t="str">
        <x:v>已结算</x:v>
      </x:c>
      <x:c r="K704" s="65" t="str">
        <x:v>4-0</x:v>
      </x:c>
      <x:c r="L704" s="65" t="str">
        <x:v>未执行（只观察）</x:v>
      </x:c>
      <x:c r="M704" s="65" t="str">
        <x:v>未执行（只观察）</x:v>
      </x:c>
      <x:c r="N704" s="67"/>
      <x:c r="O704" s="67"/>
      <x:c r="P704" s="67" t="str">
        <x:f>IF(COUNT(N704:O704)=0,"",SUM(N704:O704))</x:f>
      </x:c>
      <x:c r="Q704" s="65" t="str">
        <x:v>LiveScore：https://www.livescore.com/en/football/usa/usl-league-two-play-off/fort-lauderdale-united-fc-vs-swarm-fc/1832388/；SportyTrader：https://www.sportytrader.com/en/results-live/fort-lauderdale-united-fc-southern-soccer-academy-kings-8641231/；查询时间：2026-07-17 23:45（北京时间）</x:v>
      </x:c>
      <x:c r="R704" s="65" t="str">
        <x:v>证据卡：单场淘汰背景，常规赛排名与主场优势只能作弱证据。赛程身份和北京时间已由多来源日历/赛事页核对。双方最近5场、主客拆分、完整伤停、确认首发和稳定阵型未从可访问来源完整取得，均记为待确认；不得伪装成已确认。未取得可交叉核验的赛前价格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4-0；赛前两市场均为只观察/无正式方向，不计注数与盈亏。两来源确认劳德代尔堡联4-0蜂群FC。</x:v>
      </x:c>
    </x:row>
    <x:row r="705" ht="38" customHeight="1">
      <x:c r="A705" s="65" t="str">
        <x:f>IF(B705="","",TEXT(B705,"yyyy-mm-dd")&amp;"|"&amp;D705&amp;"|"&amp;E705)</x:f>
        <x:v>2026-07-17|明尼阿波利斯城（Minneapolis City）|西弗吉尼亚联（West Virginia United）</x:v>
      </x:c>
      <x:c r="B705" s="66" t="n">
        <x:v>46220.166666666664</x:v>
      </x:c>
      <x:c r="C705" s="65" t="str">
        <x:v>美国USL二级联赛季后赛</x:v>
      </x:c>
      <x:c r="D705" s="65" t="str">
        <x:v>明尼阿波利斯城（Minneapolis City）</x:v>
      </x:c>
      <x:c r="E705" s="65" t="str">
        <x:v>西弗吉尼亚联（West Virginia United）</x:v>
      </x:c>
      <x:c r="F705" s="65" t="str">
        <x:v>无可靠让球盘/只观察｜现有资料不足以形成可靠倾向</x:v>
      </x:c>
      <x:c r="G705" s="65" t="str">
        <x:v>无可靠大小球盘/只观察｜低级别淘汰赛波动高</x:v>
      </x:c>
      <x:c r="H705" s="65" t="str">
        <x:v>待首发、近况主客拆分与可靠亚洲双盘；任一市场欧赔&lt;1.80/港水&lt;0.80不进；无条件不加仓</x:v>
      </x:c>
      <x:c r="I705" s="66" t="n">
        <x:v>46219.791666666664</x:v>
      </x:c>
      <x:c r="J705" s="65" t="str">
        <x:v>已结算</x:v>
      </x:c>
      <x:c r="K705" s="65" t="str">
        <x:v>2-0</x:v>
      </x:c>
      <x:c r="L705" s="65" t="str">
        <x:v>未执行（只观察）</x:v>
      </x:c>
      <x:c r="M705" s="65" t="str">
        <x:v>未执行（只观察）</x:v>
      </x:c>
      <x:c r="N705" s="67"/>
      <x:c r="O705" s="67"/>
      <x:c r="P705" s="67" t="str">
        <x:f>IF(COUNT(N705:O705)=0,"",SUM(N705:O705))</x:f>
      </x:c>
      <x:c r="Q705" s="65" t="str">
        <x:v>明尼阿波利斯城官方：https://mplscitysc.com/sec_news/crows-strike-twice-in-five-minutes-to-top-west-virginia/；Sofascore：https://www.sofascore.com/football/match/minneapolis-city-west-virginia-united/ktbcsmxAc；查询时间：2026-07-17 23:45（北京时间）</x:v>
      </x:c>
      <x:c r="R705" s="65" t="str">
        <x:v>证据卡：单场淘汰背景，常规赛排名与主场优势只能作弱证据。赛程身份和北京时间已由多来源日历/赛事页核对。双方最近5场、主客拆分、完整伤停、确认首发和稳定阵型未从可访问来源完整取得，均记为待确认；不得伪装成已确认。未取得可交叉核验的赛前价格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-0；赛前两市场均为只观察/无正式方向，不计注数与盈亏。官方报道与比分来源确认明尼阿波利斯城2-0西弗吉尼亚联。</x:v>
      </x:c>
    </x:row>
    <x:row r="706" ht="38" customHeight="1">
      <x:c r="A706" s="65" t="str">
        <x:f>IF(B706="","",TEXT(B706,"yyyy-mm-dd")&amp;"|"&amp;D706&amp;"|"&amp;E706)</x:f>
        <x:v>2026-07-17|阿费图尔丁（Afturelding）|雷克尼尔雷克雅未克（Leiknir Reykjavik）</x:v>
      </x:c>
      <x:c r="B706" s="66" t="n">
        <x:v>46220.135416666664</x:v>
      </x:c>
      <x:c r="C706" s="65" t="str">
        <x:v>冰岛甲级联赛</x:v>
      </x:c>
      <x:c r="D706" s="65" t="str">
        <x:v>阿费图尔丁（Afturelding）</x:v>
      </x:c>
      <x:c r="E706" s="65" t="str">
        <x:v>雷克尼尔雷克雅未克（Leiknir Reykjavik）</x:v>
      </x:c>
      <x:c r="F706" s="65" t="str">
        <x:v>只观察｜倾向阿费图尔丁（Afturelding） -0.75；仅1X2价格支持，亚洲盘未取得</x:v>
      </x:c>
      <x:c r="G706" s="65" t="str">
        <x:v>只观察｜倾向小2.75；正式赛事先取谨慎基线，总盘未取得</x:v>
      </x:c>
      <x:c r="H706" s="65" t="str">
        <x:v>待首发、近况主客拆分与可靠亚洲双盘；任一市场欧赔&lt;1.80/港水&lt;0.80不进；无条件不加仓</x:v>
      </x:c>
      <x:c r="I706" s="66" t="n">
        <x:v>46219.791666666664</x:v>
      </x:c>
      <x:c r="J706" s="65" t="str">
        <x:v>已结算</x:v>
      </x:c>
      <x:c r="K706" s="65" t="str">
        <x:v>3-2</x:v>
      </x:c>
      <x:c r="L706" s="65" t="str">
        <x:v>未执行（只观察）</x:v>
      </x:c>
      <x:c r="M706" s="65" t="str">
        <x:v>未执行（只观察）</x:v>
      </x:c>
      <x:c r="N706" s="67"/>
      <x:c r="O706" s="67"/>
      <x:c r="P706" s="67" t="str">
        <x:f>IF(COUNT(N706:O706)=0,"",SUM(N706:O706))</x:f>
      </x:c>
      <x:c r="Q706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06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1.36/客胜5.92，阿费图尔丁（Afturelding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-2；赛前两市场均为只观察/无正式方向，不计注数与盈亏。LiveScore与TipsterArea终场比分相互印证。</x:v>
      </x:c>
    </x:row>
    <x:row r="707" ht="38" customHeight="1">
      <x:c r="A707" s="65" t="str">
        <x:f>IF(B707="","",TEXT(B707,"yyyy-mm-dd")&amp;"|"&amp;D707&amp;"|"&amp;E707)</x:f>
        <x:v>2026-07-17|维尔图斯（Virtus）|哥里迪拉（Dila Gori）</x:v>
      </x:c>
      <x:c r="B707" s="66" t="n">
        <x:v>46220.125</x:v>
      </x:c>
      <x:c r="C707" s="65" t="str">
        <x:v>欧足联欧洲协会联赛资格赛</x:v>
      </x:c>
      <x:c r="D707" s="65" t="str">
        <x:v>维尔图斯（Virtus）</x:v>
      </x:c>
      <x:c r="E707" s="65" t="str">
        <x:v>哥里迪拉（Dila Gori）</x:v>
      </x:c>
      <x:c r="F707" s="65" t="str">
        <x:v>只观察｜倾向哥里迪拉（Dila Gori） -0.75；仅1X2价格支持，亚洲盘未取得</x:v>
      </x:c>
      <x:c r="G707" s="65" t="str">
        <x:v>只观察｜倾向小2.75；正式赛事先取谨慎基线，总盘未取得</x:v>
      </x:c>
      <x:c r="H707" s="65" t="str">
        <x:v>待首发、近况主客拆分与可靠亚洲双盘；任一市场欧赔&lt;1.80/港水&lt;0.80不进；无条件不加仓</x:v>
      </x:c>
      <x:c r="I707" s="66" t="n">
        <x:v>46219.791666666664</x:v>
      </x:c>
      <x:c r="J707" s="65" t="str">
        <x:v>已结算</x:v>
      </x:c>
      <x:c r="K707" s="65" t="str">
        <x:v>1-0</x:v>
      </x:c>
      <x:c r="L707" s="65" t="str">
        <x:v>未执行（只观察）</x:v>
      </x:c>
      <x:c r="M707" s="65" t="str">
        <x:v>未执行（只观察）</x:v>
      </x:c>
      <x:c r="N707" s="67"/>
      <x:c r="O707" s="67"/>
      <x:c r="P707" s="67" t="str">
        <x:f>IF(COUNT(N707:O707)=0,"",SUM(N707:O707))</x:f>
      </x:c>
      <x:c r="Q707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07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5.24/客胜1.57，哥里迪拉（Dila Gori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-0；赛前两市场均为只观察/无正式方向，不计注数与盈亏。LiveScore与TipsterArea终场比分相互印证。</x:v>
      </x:c>
    </x:row>
    <x:row r="708" ht="38" customHeight="1">
      <x:c r="A708" s="65" t="str">
        <x:f>IF(B708="","",TEXT(B708,"yyyy-mm-dd")&amp;"|"&amp;D708&amp;"|"&amp;E708)</x:f>
        <x:v>2026-07-17|拉巴斯ABB（ABB La Paz）|石油独立（Independiente Petrolero）</x:v>
      </x:c>
      <x:c r="B708" s="66" t="n">
        <x:v>46220.125</x:v>
      </x:c>
      <x:c r="C708" s="65" t="str">
        <x:v>玻利维亚甲级联赛</x:v>
      </x:c>
      <x:c r="D708" s="65" t="str">
        <x:v>拉巴斯ABB（ABB La Paz）</x:v>
      </x:c>
      <x:c r="E708" s="65" t="str">
        <x:v>石油独立（Independiente Petrolero）</x:v>
      </x:c>
      <x:c r="F708" s="65" t="str">
        <x:v>只观察｜倾向受让方 +0.25；胜负价格接近，亚洲盘未取得</x:v>
      </x:c>
      <x:c r="G708" s="65" t="str">
        <x:v>只观察｜倾向小2.75；正式赛事先取谨慎基线，总盘未取得</x:v>
      </x:c>
      <x:c r="H708" s="65" t="str">
        <x:v>待首发、近况主客拆分与可靠亚洲双盘；任一市场欧赔&lt;1.80/港水&lt;0.80不进；无条件不加仓</x:v>
      </x:c>
      <x:c r="I708" s="66" t="n">
        <x:v>46219.791666666664</x:v>
      </x:c>
      <x:c r="J708" s="65" t="str">
        <x:v>已结算</x:v>
      </x:c>
      <x:c r="K708" s="65" t="str">
        <x:v>3-1</x:v>
      </x:c>
      <x:c r="L708" s="65" t="str">
        <x:v>未执行（只观察）</x:v>
      </x:c>
      <x:c r="M708" s="65" t="str">
        <x:v>未执行（只观察）</x:v>
      </x:c>
      <x:c r="N708" s="67"/>
      <x:c r="O708" s="67"/>
      <x:c r="P708" s="67" t="str">
        <x:f>IF(COUNT(N708:O708)=0,"",SUM(N708:O708))</x:f>
      </x:c>
      <x:c r="Q708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08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1.98/客胜2.97，拉巴斯ABB（ABB La Paz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-1；赛前两市场均为只观察/无正式方向，不计注数与盈亏。LiveScore与TipsterArea终场比分相互印证。</x:v>
      </x:c>
    </x:row>
    <x:row r="709" ht="38" customHeight="1">
      <x:c r="A709" s="65" t="str">
        <x:f>IF(B709="","",TEXT(B709,"yyyy-mm-dd")&amp;"|"&amp;D709&amp;"|"&amp;E709)</x:f>
        <x:v>2026-07-17|林菲尔德（Linfield）|诺梅卡柳（Nomme Kalju）</x:v>
      </x:c>
      <x:c r="B709" s="66" t="n">
        <x:v>46220.114583333336</x:v>
      </x:c>
      <x:c r="C709" s="65" t="str">
        <x:v>欧足联欧洲协会联赛资格赛</x:v>
      </x:c>
      <x:c r="D709" s="65" t="str">
        <x:v>林菲尔德（Linfield）</x:v>
      </x:c>
      <x:c r="E709" s="65" t="str">
        <x:v>诺梅卡柳（Nomme Kalju）</x:v>
      </x:c>
      <x:c r="F709" s="65" t="str">
        <x:v>只观察｜倾向林菲尔德（Linfield） -0.75；仅1X2价格支持，亚洲盘未取得</x:v>
      </x:c>
      <x:c r="G709" s="65" t="str">
        <x:v>只观察｜倾向小2.75；正式赛事先取谨慎基线，总盘未取得</x:v>
      </x:c>
      <x:c r="H709" s="65" t="str">
        <x:v>待首发、近况主客拆分与可靠亚洲双盘；任一市场欧赔&lt;1.80/港水&lt;0.80不进；无条件不加仓</x:v>
      </x:c>
      <x:c r="I709" s="66" t="n">
        <x:v>46219.791666666664</x:v>
      </x:c>
      <x:c r="J709" s="65" t="str">
        <x:v>已结算</x:v>
      </x:c>
      <x:c r="K709" s="65" t="str">
        <x:v>2-2</x:v>
      </x:c>
      <x:c r="L709" s="65" t="str">
        <x:v>未执行（只观察）</x:v>
      </x:c>
      <x:c r="M709" s="65" t="str">
        <x:v>未执行（只观察）</x:v>
      </x:c>
      <x:c r="N709" s="67"/>
      <x:c r="O709" s="67"/>
      <x:c r="P709" s="67" t="str">
        <x:f>IF(COUNT(N709:O709)=0,"",SUM(N709:O709))</x:f>
      </x:c>
      <x:c r="Q709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09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1.58/客胜5.6，林菲尔德（Linfield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-2；赛前两市场均为只观察/无正式方向，不计注数与盈亏。LiveScore与TipsterArea终场比分相互印证。</x:v>
      </x:c>
    </x:row>
    <x:row r="710" ht="38" customHeight="1">
      <x:c r="A710" s="65" t="str">
        <x:f>IF(B710="","",TEXT(B710,"yyyy-mm-dd")&amp;"|"&amp;D710&amp;"|"&amp;E710)</x:f>
        <x:v>2026-07-17|莫尔纳（Mornar Bar）|艾斯卡迪斯竞技（Atletic Escaldes）</x:v>
      </x:c>
      <x:c r="B710" s="66" t="n">
        <x:v>46220.114583333336</x:v>
      </x:c>
      <x:c r="C710" s="65" t="str">
        <x:v>欧足联欧洲协会联赛资格赛</x:v>
      </x:c>
      <x:c r="D710" s="65" t="str">
        <x:v>莫尔纳（Mornar Bar）</x:v>
      </x:c>
      <x:c r="E710" s="65" t="str">
        <x:v>艾斯卡迪斯竞技（Atletic Escaldes）</x:v>
      </x:c>
      <x:c r="F710" s="65" t="str">
        <x:v>只观察｜倾向莫尔纳（Mornar Bar） -0.75；仅1X2价格支持，亚洲盘未取得</x:v>
      </x:c>
      <x:c r="G710" s="65" t="str">
        <x:v>只观察｜倾向小2.75；正式赛事先取谨慎基线，总盘未取得</x:v>
      </x:c>
      <x:c r="H710" s="65" t="str">
        <x:v>待首发、近况主客拆分与可靠亚洲双盘；任一市场欧赔&lt;1.80/港水&lt;0.80不进；无条件不加仓</x:v>
      </x:c>
      <x:c r="I710" s="66" t="n">
        <x:v>46219.791666666664</x:v>
      </x:c>
      <x:c r="J710" s="65" t="str">
        <x:v>已结算</x:v>
      </x:c>
      <x:c r="K710" s="65" t="str">
        <x:v>1-2</x:v>
      </x:c>
      <x:c r="L710" s="65" t="str">
        <x:v>未执行（只观察）</x:v>
      </x:c>
      <x:c r="M710" s="65" t="str">
        <x:v>未执行（只观察）</x:v>
      </x:c>
      <x:c r="N710" s="67"/>
      <x:c r="O710" s="67"/>
      <x:c r="P710" s="67" t="str">
        <x:f>IF(COUNT(N710:O710)=0,"",SUM(N710:O710))</x:f>
      </x:c>
      <x:c r="Q710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0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1.55/客胜5.78，莫尔纳（Mornar Bar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-2；赛前两市场均为只观察/无正式方向，不计注数与盈亏。LiveScore与TipsterArea终场比分相互印证。</x:v>
      </x:c>
    </x:row>
    <x:row r="711" ht="38" customHeight="1">
      <x:c r="A711" s="65" t="str">
        <x:f>IF(B711="","",TEXT(B711,"yyyy-mm-dd")&amp;"|"&amp;D711&amp;"|"&amp;E711)</x:f>
        <x:v>2026-07-17|日利纳（MSK Zilina）|哈伊杜克（Hajduk Split）</x:v>
      </x:c>
      <x:c r="B711" s="66" t="n">
        <x:v>46220.104166666664</x:v>
      </x:c>
      <x:c r="C711" s="65" t="str">
        <x:v>欧足联欧罗巴联赛资格赛</x:v>
      </x:c>
      <x:c r="D711" s="65" t="str">
        <x:v>日利纳（MSK Zilina）</x:v>
      </x:c>
      <x:c r="E711" s="65" t="str">
        <x:v>哈伊杜克（Hajduk Split）</x:v>
      </x:c>
      <x:c r="F711" s="65" t="str">
        <x:v>只观察｜倾向受让方 +0.25；胜负价格接近，亚洲盘未取得</x:v>
      </x:c>
      <x:c r="G711" s="65" t="str">
        <x:v>只观察｜倾向小2.75；正式赛事先取谨慎基线，总盘未取得</x:v>
      </x:c>
      <x:c r="H711" s="65" t="str">
        <x:v>待首发、近况主客拆分与可靠亚洲双盘；任一市场欧赔&lt;1.80/港水&lt;0.80不进；无条件不加仓</x:v>
      </x:c>
      <x:c r="I711" s="66" t="n">
        <x:v>46219.791666666664</x:v>
      </x:c>
      <x:c r="J711" s="65" t="str">
        <x:v>已结算</x:v>
      </x:c>
      <x:c r="K711" s="65" t="str">
        <x:v>2-1</x:v>
      </x:c>
      <x:c r="L711" s="65" t="str">
        <x:v>未执行（只观察）</x:v>
      </x:c>
      <x:c r="M711" s="65" t="str">
        <x:v>未执行（只观察）</x:v>
      </x:c>
      <x:c r="N711" s="67"/>
      <x:c r="O711" s="67"/>
      <x:c r="P711" s="67" t="str">
        <x:f>IF(COUNT(N711:O711)=0,"",SUM(N711:O711))</x:f>
      </x:c>
      <x:c r="Q711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1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3.28/客胜2.15，哈伊杜克（Hajduk Split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712" ht="38" customHeight="1">
      <x:c r="A712" s="65" t="str">
        <x:f>IF(B712="","",TEXT(B712,"yyyy-mm-dd")&amp;"|"&amp;D712&amp;"|"&amp;E712)</x:f>
        <x:v>2026-07-17|费伦茨瓦罗斯（Ferencvaros）|伏伊伏丁那（Vojvodina）</x:v>
      </x:c>
      <x:c r="B712" s="66" t="n">
        <x:v>46220.09375</x:v>
      </x:c>
      <x:c r="C712" s="65" t="str">
        <x:v>欧足联欧罗巴联赛资格赛</x:v>
      </x:c>
      <x:c r="D712" s="65" t="str">
        <x:v>费伦茨瓦罗斯（Ferencvaros）</x:v>
      </x:c>
      <x:c r="E712" s="65" t="str">
        <x:v>伏伊伏丁那（Vojvodina）</x:v>
      </x:c>
      <x:c r="F712" s="65" t="str">
        <x:v>只观察｜倾向费伦茨瓦罗斯（Ferencvaros） -0.75；仅1X2价格支持，亚洲盘未取得</x:v>
      </x:c>
      <x:c r="G712" s="65" t="str">
        <x:v>只观察｜倾向小2.75；正式赛事先取谨慎基线，总盘未取得</x:v>
      </x:c>
      <x:c r="H712" s="65" t="str">
        <x:v>待首发、近况主客拆分与可靠亚洲双盘；任一市场欧赔&lt;1.80/港水&lt;0.80不进；无条件不加仓</x:v>
      </x:c>
      <x:c r="I712" s="66" t="n">
        <x:v>46219.791666666664</x:v>
      </x:c>
      <x:c r="J712" s="65" t="str">
        <x:v>已结算</x:v>
      </x:c>
      <x:c r="K712" s="65" t="str">
        <x:v>3-0</x:v>
      </x:c>
      <x:c r="L712" s="65" t="str">
        <x:v>未执行（只观察）</x:v>
      </x:c>
      <x:c r="M712" s="65" t="str">
        <x:v>未执行（只观察）</x:v>
      </x:c>
      <x:c r="N712" s="67"/>
      <x:c r="O712" s="67"/>
      <x:c r="P712" s="67" t="str">
        <x:f>IF(COUNT(N712:O712)=0,"",SUM(N712:O712))</x:f>
      </x:c>
      <x:c r="Q712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2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1.47/客胜5.84，费伦茨瓦罗斯（Ferencvaros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-0；赛前两市场均为只观察/无正式方向，不计注数与盈亏。LiveScore与TipsterArea终场比分相互印证。</x:v>
      </x:c>
    </x:row>
    <x:row r="713" ht="38" customHeight="1">
      <x:c r="A713" s="65" t="str">
        <x:f>IF(B713="","",TEXT(B713,"yyyy-mm-dd")&amp;"|"&amp;D713&amp;"|"&amp;E713)</x:f>
        <x:v>2026-07-17|亚穆尼积（Aluminij）|谢里夫（Sheriff Tiraspol）</x:v>
      </x:c>
      <x:c r="B713" s="66" t="n">
        <x:v>46220.083333333336</x:v>
      </x:c>
      <x:c r="C713" s="65" t="str">
        <x:v>欧足联欧罗巴联赛资格赛</x:v>
      </x:c>
      <x:c r="D713" s="65" t="str">
        <x:v>亚穆尼积（Aluminij）</x:v>
      </x:c>
      <x:c r="E713" s="65" t="str">
        <x:v>谢里夫（Sheriff Tiraspol）</x:v>
      </x:c>
      <x:c r="F713" s="65" t="str">
        <x:v>只观察｜倾向受让方 +0.25；胜负价格接近，亚洲盘未取得</x:v>
      </x:c>
      <x:c r="G713" s="65" t="str">
        <x:v>只观察｜倾向小2.75；正式赛事先取谨慎基线，总盘未取得</x:v>
      </x:c>
      <x:c r="H713" s="65" t="str">
        <x:v>待首发、近况主客拆分与可靠亚洲双盘；任一市场欧赔&lt;1.80/港水&lt;0.80不进；无条件不加仓</x:v>
      </x:c>
      <x:c r="I713" s="66" t="n">
        <x:v>46219.791666666664</x:v>
      </x:c>
      <x:c r="J713" s="65" t="str">
        <x:v>已结算</x:v>
      </x:c>
      <x:c r="K713" s="65" t="str">
        <x:v>0-1</x:v>
      </x:c>
      <x:c r="L713" s="65" t="str">
        <x:v>未执行（只观察）</x:v>
      </x:c>
      <x:c r="M713" s="65" t="str">
        <x:v>未执行（只观察）</x:v>
      </x:c>
      <x:c r="N713" s="67"/>
      <x:c r="O713" s="67"/>
      <x:c r="P713" s="67" t="str">
        <x:f>IF(COUNT(N713:O713)=0,"",SUM(N713:O713))</x:f>
      </x:c>
      <x:c r="Q713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3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3.88/客胜2.03，谢里夫（Sheriff Tiraspol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-1；赛前两市场均为只观察/无正式方向，不计注数与盈亏。LiveScore与TipsterArea终场比分相互印证。</x:v>
      </x:c>
    </x:row>
    <x:row r="714" ht="38" customHeight="1">
      <x:c r="A714" s="65" t="str">
        <x:f>IF(B714="","",TEXT(B714,"yyyy-mm-dd")&amp;"|"&amp;D714&amp;"|"&amp;E714)</x:f>
        <x:v>2026-07-17|巴尔卡尼（Ballkani）|康纳斯码头（Connah's Quay）</x:v>
      </x:c>
      <x:c r="B714" s="66" t="n">
        <x:v>46220.083333333336</x:v>
      </x:c>
      <x:c r="C714" s="65" t="str">
        <x:v>欧足联欧洲协会联赛资格赛</x:v>
      </x:c>
      <x:c r="D714" s="65" t="str">
        <x:v>巴尔卡尼（Ballkani）</x:v>
      </x:c>
      <x:c r="E714" s="65" t="str">
        <x:v>康纳斯码头（Connah's Quay）</x:v>
      </x:c>
      <x:c r="F714" s="65" t="str">
        <x:v>只观察｜倾向巴尔卡尼（Ballkani） -0.75；仅1X2价格支持，亚洲盘未取得</x:v>
      </x:c>
      <x:c r="G714" s="65" t="str">
        <x:v>只观察｜倾向小2.75；正式赛事先取谨慎基线，总盘未取得</x:v>
      </x:c>
      <x:c r="H714" s="65" t="str">
        <x:v>待首发、近况主客拆分与可靠亚洲双盘；任一市场欧赔&lt;1.80/港水&lt;0.80不进；无条件不加仓</x:v>
      </x:c>
      <x:c r="I714" s="66" t="n">
        <x:v>46219.791666666664</x:v>
      </x:c>
      <x:c r="J714" s="65" t="str">
        <x:v>已结算</x:v>
      </x:c>
      <x:c r="K714" s="65" t="str">
        <x:v>3-2</x:v>
      </x:c>
      <x:c r="L714" s="65" t="str">
        <x:v>未执行（只观察）</x:v>
      </x:c>
      <x:c r="M714" s="65" t="str">
        <x:v>未执行（只观察）</x:v>
      </x:c>
      <x:c r="N714" s="67"/>
      <x:c r="O714" s="67"/>
      <x:c r="P714" s="67" t="str">
        <x:f>IF(COUNT(N714:O714)=0,"",SUM(N714:O714))</x:f>
      </x:c>
      <x:c r="Q714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4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1.39/客胜6.97，巴尔卡尼（Ballkani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-2；赛前两市场均为只观察/无正式方向，不计注数与盈亏。LiveScore与TipsterArea终场比分相互印证。</x:v>
      </x:c>
    </x:row>
    <x:row r="715" ht="38" customHeight="1">
      <x:c r="A715" s="65" t="str">
        <x:f>IF(B715="","",TEXT(B715,"yyyy-mm-dd")&amp;"|"&amp;D715&amp;"|"&amp;E715)</x:f>
        <x:v>2026-07-17|斯肯迪亚（Shkendija）|欧洲FC（Europa FC）</x:v>
      </x:c>
      <x:c r="B715" s="66" t="n">
        <x:v>46220.083333333336</x:v>
      </x:c>
      <x:c r="C715" s="65" t="str">
        <x:v>欧足联欧洲协会联赛资格赛</x:v>
      </x:c>
      <x:c r="D715" s="65" t="str">
        <x:v>斯肯迪亚（Shkendija）</x:v>
      </x:c>
      <x:c r="E715" s="65" t="str">
        <x:v>欧洲FC（Europa FC）</x:v>
      </x:c>
      <x:c r="F715" s="65" t="str">
        <x:v>只观察｜倾向斯肯迪亚（Shkendija） -1.25；仅1X2价格支持，亚洲盘未取得</x:v>
      </x:c>
      <x:c r="G715" s="65" t="str">
        <x:v>只观察｜倾向小2.75；正式赛事先取谨慎基线，总盘未取得</x:v>
      </x:c>
      <x:c r="H715" s="65" t="str">
        <x:v>待首发、近况主客拆分与可靠亚洲双盘；任一市场欧赔&lt;1.80/港水&lt;0.80不进；无条件不加仓</x:v>
      </x:c>
      <x:c r="I715" s="66" t="n">
        <x:v>46219.791666666664</x:v>
      </x:c>
      <x:c r="J715" s="65" t="str">
        <x:v>已结算</x:v>
      </x:c>
      <x:c r="K715" s="65" t="str">
        <x:v>1-0</x:v>
      </x:c>
      <x:c r="L715" s="65" t="str">
        <x:v>未执行（只观察）</x:v>
      </x:c>
      <x:c r="M715" s="65" t="str">
        <x:v>未执行（只观察）</x:v>
      </x:c>
      <x:c r="N715" s="67"/>
      <x:c r="O715" s="67"/>
      <x:c r="P715" s="67" t="str">
        <x:f>IF(COUNT(N715:O715)=0,"",SUM(N715:O715))</x:f>
      </x:c>
      <x:c r="Q715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5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1.24/客胜10.79，斯肯迪亚（Shkendij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-0；赛前两市场均为只观察/无正式方向，不计注数与盈亏。LiveScore与TipsterArea终场比分相互印证。</x:v>
      </x:c>
    </x:row>
    <x:row r="716" ht="38" customHeight="1">
      <x:c r="A716" s="65" t="str">
        <x:f>IF(B716="","",TEXT(B716,"yyyy-mm-dd")&amp;"|"&amp;D716&amp;"|"&amp;E716)</x:f>
        <x:v>2026-07-17|西莱克斯（Sileks）|明斯克迪纳摩（Dinamo Minsk）</x:v>
      </x:c>
      <x:c r="B716" s="66" t="n">
        <x:v>46220.083333333336</x:v>
      </x:c>
      <x:c r="C716" s="65" t="str">
        <x:v>欧足联欧洲协会联赛资格赛</x:v>
      </x:c>
      <x:c r="D716" s="65" t="str">
        <x:v>西莱克斯（Sileks）</x:v>
      </x:c>
      <x:c r="E716" s="65" t="str">
        <x:v>明斯克迪纳摩（Dinamo Minsk）</x:v>
      </x:c>
      <x:c r="F716" s="65" t="str">
        <x:v>只观察｜倾向受让方 +0.25；胜负价格接近，亚洲盘未取得</x:v>
      </x:c>
      <x:c r="G716" s="65" t="str">
        <x:v>只观察｜倾向小2.75；正式赛事先取谨慎基线，总盘未取得</x:v>
      </x:c>
      <x:c r="H716" s="65" t="str">
        <x:v>待首发、近况主客拆分与可靠亚洲双盘；任一市场欧赔&lt;1.80/港水&lt;0.80不进；无条件不加仓</x:v>
      </x:c>
      <x:c r="I716" s="66" t="n">
        <x:v>46219.791666666664</x:v>
      </x:c>
      <x:c r="J716" s="65" t="str">
        <x:v>已结算</x:v>
      </x:c>
      <x:c r="K716" s="65" t="str">
        <x:v>0-1</x:v>
      </x:c>
      <x:c r="L716" s="65" t="str">
        <x:v>未执行（只观察）</x:v>
      </x:c>
      <x:c r="M716" s="65" t="str">
        <x:v>未执行（只观察）</x:v>
      </x:c>
      <x:c r="N716" s="67"/>
      <x:c r="O716" s="67"/>
      <x:c r="P716" s="67" t="str">
        <x:f>IF(COUNT(N716:O716)=0,"",SUM(N716:O716))</x:f>
      </x:c>
      <x:c r="Q716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6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3.74/客胜2.16，明斯克迪纳摩（Dinamo Minsk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-1；赛前两市场均为只观察/无正式方向，不计注数与盈亏。LiveScore与TipsterArea终场比分相互印证。</x:v>
      </x:c>
    </x:row>
    <x:row r="717" ht="38" customHeight="1">
      <x:c r="A717" s="65" t="str">
        <x:f>IF(B717="","",TEXT(B717,"yyyy-mm-dd")&amp;"|"&amp;D717&amp;"|"&amp;E717)</x:f>
        <x:v>2026-07-17|德里城（Derry City）|索菲亚中央陆军（CSKA Sofia）</x:v>
      </x:c>
      <x:c r="B717" s="66" t="n">
        <x:v>46220.0625</x:v>
      </x:c>
      <x:c r="C717" s="65" t="str">
        <x:v>欧足联欧罗巴联赛资格赛</x:v>
      </x:c>
      <x:c r="D717" s="65" t="str">
        <x:v>德里城（Derry City）</x:v>
      </x:c>
      <x:c r="E717" s="65" t="str">
        <x:v>索菲亚中央陆军（CSKA Sofia）</x:v>
      </x:c>
      <x:c r="F717" s="65" t="str">
        <x:v>只观察｜倾向索菲亚中央陆军（CSKA Sofia） -0.25；亚洲盘与水位待核对</x:v>
      </x:c>
      <x:c r="G717" s="65" t="str">
        <x:v>只观察｜倾向小2.75；正式赛事先取谨慎基线，总盘未取得</x:v>
      </x:c>
      <x:c r="H717" s="65" t="str">
        <x:v>待首发、近况主客拆分与可靠亚洲双盘；任一市场欧赔&lt;1.80/港水&lt;0.80不进；无条件不加仓</x:v>
      </x:c>
      <x:c r="I717" s="66" t="n">
        <x:v>46219.791666666664</x:v>
      </x:c>
      <x:c r="J717" s="65" t="str">
        <x:v>已结算</x:v>
      </x:c>
      <x:c r="K717" s="65" t="str">
        <x:v>1-2</x:v>
      </x:c>
      <x:c r="L717" s="65" t="str">
        <x:v>未执行（只观察）</x:v>
      </x:c>
      <x:c r="M717" s="65" t="str">
        <x:v>未执行（只观察）</x:v>
      </x:c>
      <x:c r="N717" s="67"/>
      <x:c r="O717" s="67"/>
      <x:c r="P717" s="67" t="str">
        <x:f>IF(COUNT(N717:O717)=0,"",SUM(N717:O717))</x:f>
      </x:c>
      <x:c r="Q717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7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3.81/客胜1.86，索菲亚中央陆军（CSKA Sofi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-2；赛前两市场均为只观察/无正式方向，不计注数与盈亏。LiveScore与TipsterArea终场比分相互印证。</x:v>
      </x:c>
    </x:row>
    <x:row r="718" ht="38" customHeight="1">
      <x:c r="A718" s="65" t="str">
        <x:f>IF(B718="","",TEXT(B718,"yyyy-mm-dd")&amp;"|"&amp;D718&amp;"|"&amp;E718)</x:f>
        <x:v>2026-07-17|克卢日大学（Universitatea Cluj）|基辅迪纳摩（Dynamo Kyiv）</x:v>
      </x:c>
      <x:c r="B718" s="66" t="n">
        <x:v>46220.0625</x:v>
      </x:c>
      <x:c r="C718" s="65" t="str">
        <x:v>欧足联欧罗巴联赛资格赛</x:v>
      </x:c>
      <x:c r="D718" s="65" t="str">
        <x:v>克卢日大学（Universitatea Cluj）</x:v>
      </x:c>
      <x:c r="E718" s="65" t="str">
        <x:v>基辅迪纳摩（Dynamo Kyiv）</x:v>
      </x:c>
      <x:c r="F718" s="65" t="str">
        <x:v>只观察｜倾向基辅迪纳摩（Dynamo Kyiv） -0.25；亚洲盘与水位待核对</x:v>
      </x:c>
      <x:c r="G718" s="65" t="str">
        <x:v>只观察｜倾向小2.75；正式赛事先取谨慎基线，总盘未取得</x:v>
      </x:c>
      <x:c r="H718" s="65" t="str">
        <x:v>待首发、近况主客拆分与可靠亚洲双盘；任一市场欧赔&lt;1.80/港水&lt;0.80不进；无条件不加仓</x:v>
      </x:c>
      <x:c r="I718" s="66" t="n">
        <x:v>46219.791666666664</x:v>
      </x:c>
      <x:c r="J718" s="65" t="str">
        <x:v>已结算</x:v>
      </x:c>
      <x:c r="K718" s="65" t="str">
        <x:v>0-0</x:v>
      </x:c>
      <x:c r="L718" s="65" t="str">
        <x:v>未执行（只观察）</x:v>
      </x:c>
      <x:c r="M718" s="65" t="str">
        <x:v>未执行（只观察）</x:v>
      </x:c>
      <x:c r="N718" s="67"/>
      <x:c r="O718" s="67"/>
      <x:c r="P718" s="67" t="str">
        <x:f>IF(COUNT(N718:O718)=0,"",SUM(N718:O718))</x:f>
      </x:c>
      <x:c r="Q718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8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5.14/客胜1.62，基辅迪纳摩（Dynamo Kyiv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-0；赛前两市场均为只观察/无正式方向，不计注数与盈亏。LiveScore标记AP；按90分钟0-0记录，点球过程不计亚洲盘。</x:v>
      </x:c>
    </x:row>
    <x:row r="719" ht="38" customHeight="1">
      <x:c r="A719" s="65" t="str">
        <x:f>IF(B719="","",TEXT(B719,"yyyy-mm-dd")&amp;"|"&amp;D719&amp;"|"&amp;E719)</x:f>
        <x:v>2026-07-17|哈姆伦斯巴达（Hamrun Spartans）|鲁纳维克NSI（NSI Runavik）</x:v>
      </x:c>
      <x:c r="B719" s="66" t="n">
        <x:v>46220.0625</x:v>
      </x:c>
      <x:c r="C719" s="65" t="str">
        <x:v>欧足联欧洲协会联赛资格赛</x:v>
      </x:c>
      <x:c r="D719" s="65" t="str">
        <x:v>哈姆伦斯巴达（Hamrun Spartans）</x:v>
      </x:c>
      <x:c r="E719" s="65" t="str">
        <x:v>鲁纳维克NSI（NSI Runavik）</x:v>
      </x:c>
      <x:c r="F719" s="65" t="str">
        <x:v>只观察｜倾向哈姆伦斯巴达（Hamrun Spartans） -0.25；亚洲盘与水位待核对</x:v>
      </x:c>
      <x:c r="G719" s="65" t="str">
        <x:v>只观察｜倾向小2.75；正式赛事先取谨慎基线，总盘未取得</x:v>
      </x:c>
      <x:c r="H719" s="65" t="str">
        <x:v>待首发、近况主客拆分与可靠亚洲双盘；任一市场欧赔&lt;1.80/港水&lt;0.80不进；无条件不加仓</x:v>
      </x:c>
      <x:c r="I719" s="66" t="n">
        <x:v>46219.791666666664</x:v>
      </x:c>
      <x:c r="J719" s="65" t="str">
        <x:v>已结算</x:v>
      </x:c>
      <x:c r="K719" s="65" t="str">
        <x:v>1-2</x:v>
      </x:c>
      <x:c r="L719" s="65" t="str">
        <x:v>未执行（只观察）</x:v>
      </x:c>
      <x:c r="M719" s="65" t="str">
        <x:v>未执行（只观察）</x:v>
      </x:c>
      <x:c r="N719" s="67"/>
      <x:c r="O719" s="67"/>
      <x:c r="P719" s="67" t="str">
        <x:f>IF(COUNT(N719:O719)=0,"",SUM(N719:O719))</x:f>
      </x:c>
      <x:c r="Q719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19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1.64/客胜4.96，哈姆伦斯巴达（Hamrun Spartans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-2；赛前两市场均为只观察/无正式方向，不计注数与盈亏。LiveScore与TipsterArea终场比分相互印证。</x:v>
      </x:c>
    </x:row>
    <x:row r="720" ht="38" customHeight="1">
      <x:c r="A720" s="65" t="str">
        <x:f>IF(B720="","",TEXT(B720,"yyyy-mm-dd")&amp;"|"&amp;D720&amp;"|"&amp;E720)</x:f>
        <x:v>2026-07-17|鲍里索夫巴特（BATE Borisov）|埃尔巴萨尼（Elbasani）</x:v>
      </x:c>
      <x:c r="B720" s="66" t="n">
        <x:v>46220.041666666664</x:v>
      </x:c>
      <x:c r="C720" s="65" t="str">
        <x:v>欧足联欧洲协会联赛资格赛</x:v>
      </x:c>
      <x:c r="D720" s="65" t="str">
        <x:v>鲍里索夫巴特（BATE Borisov）</x:v>
      </x:c>
      <x:c r="E720" s="65" t="str">
        <x:v>埃尔巴萨尼（Elbasani）</x:v>
      </x:c>
      <x:c r="F720" s="65" t="str">
        <x:v>只观察｜倾向受让方 +0.25；胜负价格接近，亚洲盘未取得</x:v>
      </x:c>
      <x:c r="G720" s="65" t="str">
        <x:v>只观察｜倾向小2.75；正式赛事先取谨慎基线，总盘未取得</x:v>
      </x:c>
      <x:c r="H720" s="65" t="str">
        <x:v>待首发、近况主客拆分与可靠亚洲双盘；任一市场欧赔&lt;1.80/港水&lt;0.80不进；无条件不加仓</x:v>
      </x:c>
      <x:c r="I720" s="66" t="n">
        <x:v>46219.791666666664</x:v>
      </x:c>
      <x:c r="J720" s="65" t="str">
        <x:v>已结算</x:v>
      </x:c>
      <x:c r="K720" s="65" t="str">
        <x:v>0-0</x:v>
      </x:c>
      <x:c r="L720" s="65" t="str">
        <x:v>未执行（只观察）</x:v>
      </x:c>
      <x:c r="M720" s="65" t="str">
        <x:v>未执行（只观察）</x:v>
      </x:c>
      <x:c r="N720" s="67"/>
      <x:c r="O720" s="67"/>
      <x:c r="P720" s="67" t="str">
        <x:f>IF(COUNT(N720:O720)=0,"",SUM(N720:O720))</x:f>
      </x:c>
      <x:c r="Q720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0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3.4/客胜2.08，埃尔巴萨尼（Elbasani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-0；赛前两市场均为只观察/无正式方向，不计注数与盈亏。LiveScore与TipsterArea终场比分相互印证。</x:v>
      </x:c>
    </x:row>
    <x:row r="721" ht="38" customHeight="1">
      <x:c r="A721" s="65" t="str">
        <x:f>IF(B721="","",TEXT(B721,"yyyy-mm-dd")&amp;"|"&amp;D721&amp;"|"&amp;E721)</x:f>
        <x:v>2026-07-17|第比利斯迪纳摩（Dinamo Tbilisi）|蒙多夫（Mondorf）</x:v>
      </x:c>
      <x:c r="B721" s="66" t="n">
        <x:v>46220.041666666664</x:v>
      </x:c>
      <x:c r="C721" s="65" t="str">
        <x:v>欧足联欧洲协会联赛资格赛</x:v>
      </x:c>
      <x:c r="D721" s="65" t="str">
        <x:v>第比利斯迪纳摩（Dinamo Tbilisi）</x:v>
      </x:c>
      <x:c r="E721" s="65" t="str">
        <x:v>蒙多夫（Mondorf）</x:v>
      </x:c>
      <x:c r="F721" s="65" t="str">
        <x:v>只观察｜倾向第比利斯迪纳摩（Dinamo Tbilisi） -0.75；仅1X2价格支持，亚洲盘未取得</x:v>
      </x:c>
      <x:c r="G721" s="65" t="str">
        <x:v>只观察｜倾向小2.75；正式赛事先取谨慎基线，总盘未取得</x:v>
      </x:c>
      <x:c r="H721" s="65" t="str">
        <x:v>待首发、近况主客拆分与可靠亚洲双盘；任一市场欧赔&lt;1.80/港水&lt;0.80不进；无条件不加仓</x:v>
      </x:c>
      <x:c r="I721" s="66" t="n">
        <x:v>46219.791666666664</x:v>
      </x:c>
      <x:c r="J721" s="65" t="str">
        <x:v>已结算</x:v>
      </x:c>
      <x:c r="K721" s="65" t="str">
        <x:v>0-1</x:v>
      </x:c>
      <x:c r="L721" s="65" t="str">
        <x:v>未执行（只观察）</x:v>
      </x:c>
      <x:c r="M721" s="65" t="str">
        <x:v>未执行（只观察）</x:v>
      </x:c>
      <x:c r="N721" s="67"/>
      <x:c r="O721" s="67"/>
      <x:c r="P721" s="67" t="str">
        <x:f>IF(COUNT(N721:O721)=0,"",SUM(N721:O721))</x:f>
      </x:c>
      <x:c r="Q721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1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1.42/客胜6.71，第比利斯迪纳摩（Dinamo Tbilisi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-1；赛前两市场均为只观察/无正式方向，不计注数与盈亏。LiveScore显示加时阶段比分；TipsterArea确认90分钟0-1，按90分钟结算。</x:v>
      </x:c>
    </x:row>
    <x:row r="722" ht="38" customHeight="1">
      <x:c r="A722" s="65" t="str">
        <x:f>IF(B722="","",TEXT(B722,"yyyy-mm-dd")&amp;"|"&amp;D722&amp;"|"&amp;E722)</x:f>
        <x:v>2026-07-17|圣科洛马（Santa Coloma）|佩尼邦特（Pen-y-Bont）</x:v>
      </x:c>
      <x:c r="B722" s="66" t="n">
        <x:v>46220.041666666664</x:v>
      </x:c>
      <x:c r="C722" s="65" t="str">
        <x:v>欧足联欧洲协会联赛资格赛</x:v>
      </x:c>
      <x:c r="D722" s="65" t="str">
        <x:v>圣科洛马（Santa Coloma）</x:v>
      </x:c>
      <x:c r="E722" s="65" t="str">
        <x:v>佩尼邦特（Pen-y-Bont）</x:v>
      </x:c>
      <x:c r="F722" s="65" t="str">
        <x:v>只观察｜倾向圣科洛马（Santa Coloma） -0.25；亚洲盘与水位待核对</x:v>
      </x:c>
      <x:c r="G722" s="65" t="str">
        <x:v>只观察｜倾向小2.75；正式赛事先取谨慎基线，总盘未取得</x:v>
      </x:c>
      <x:c r="H722" s="65" t="str">
        <x:v>待首发、近况主客拆分与可靠亚洲双盘；任一市场欧赔&lt;1.80/港水&lt;0.80不进；无条件不加仓</x:v>
      </x:c>
      <x:c r="I722" s="66" t="n">
        <x:v>46219.791666666664</x:v>
      </x:c>
      <x:c r="J722" s="65" t="str">
        <x:v>已结算</x:v>
      </x:c>
      <x:c r="K722" s="65" t="str">
        <x:v>3-0</x:v>
      </x:c>
      <x:c r="L722" s="65" t="str">
        <x:v>未执行（只观察）</x:v>
      </x:c>
      <x:c r="M722" s="65" t="str">
        <x:v>未执行（只观察）</x:v>
      </x:c>
      <x:c r="N722" s="67"/>
      <x:c r="O722" s="67"/>
      <x:c r="P722" s="67" t="str">
        <x:f>IF(COUNT(N722:O722)=0,"",SUM(N722:O722))</x:f>
      </x:c>
      <x:c r="Q722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2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1.63/客胜5.17，圣科洛马（Santa Colom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-0；赛前两市场均为只观察/无正式方向，不计注数与盈亏。LiveScore与TipsterArea终场比分相互印证。</x:v>
      </x:c>
    </x:row>
    <x:row r="723" ht="38" customHeight="1">
      <x:c r="A723" s="65" t="str">
        <x:f>IF(B723="","",TEXT(B723,"yyyy-mm-dd")&amp;"|"&amp;D723&amp;"|"&amp;E723)</x:f>
        <x:v>2026-07-17|米尔萨米（Milsami）|莫斯塔尔维列兹（Velez Mostar）</x:v>
      </x:c>
      <x:c r="B723" s="66" t="n">
        <x:v>46220.041666666664</x:v>
      </x:c>
      <x:c r="C723" s="65" t="str">
        <x:v>欧足联欧洲协会联赛资格赛</x:v>
      </x:c>
      <x:c r="D723" s="65" t="str">
        <x:v>米尔萨米（Milsami）</x:v>
      </x:c>
      <x:c r="E723" s="65" t="str">
        <x:v>莫斯塔尔维列兹（Velez Mostar）</x:v>
      </x:c>
      <x:c r="F723" s="65" t="str">
        <x:v>只观察｜倾向受让方 +0.25；胜负价格接近，亚洲盘未取得</x:v>
      </x:c>
      <x:c r="G723" s="65" t="str">
        <x:v>只观察｜倾向小2.75；正式赛事先取谨慎基线，总盘未取得</x:v>
      </x:c>
      <x:c r="H723" s="65" t="str">
        <x:v>待首发、近况主客拆分与可靠亚洲双盘；任一市场欧赔&lt;1.80/港水&lt;0.80不进；无条件不加仓</x:v>
      </x:c>
      <x:c r="I723" s="66" t="n">
        <x:v>46219.791666666664</x:v>
      </x:c>
      <x:c r="J723" s="65" t="str">
        <x:v>已结算</x:v>
      </x:c>
      <x:c r="K723" s="65" t="str">
        <x:v>0-1</x:v>
      </x:c>
      <x:c r="L723" s="65" t="str">
        <x:v>未执行（只观察）</x:v>
      </x:c>
      <x:c r="M723" s="65" t="str">
        <x:v>未执行（只观察）</x:v>
      </x:c>
      <x:c r="N723" s="67"/>
      <x:c r="O723" s="67"/>
      <x:c r="P723" s="67" t="str">
        <x:f>IF(COUNT(N723:O723)=0,"",SUM(N723:O723))</x:f>
      </x:c>
      <x:c r="Q723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3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2.27/客胜3.09，米尔萨米（Milsami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-1；赛前两市场均为只观察/无正式方向，不计注数与盈亏。LiveScore与TipsterArea终场比分相互印证。</x:v>
      </x:c>
    </x:row>
    <x:row r="724" ht="38" customHeight="1">
      <x:c r="A724" s="65" t="str">
        <x:f>IF(B724="","",TEXT(B724,"yyyy-mm-dd")&amp;"|"&amp;D724&amp;"|"&amp;E724)</x:f>
        <x:v>2026-07-17|戈塔维京人（Vikingur Gota）|斯塔尔南（Stjarnan）</x:v>
      </x:c>
      <x:c r="B724" s="66" t="n">
        <x:v>46220.041666666664</x:v>
      </x:c>
      <x:c r="C724" s="65" t="str">
        <x:v>欧足联欧洲协会联赛资格赛</x:v>
      </x:c>
      <x:c r="D724" s="65" t="str">
        <x:v>戈塔维京人（Vikingur Gota）</x:v>
      </x:c>
      <x:c r="E724" s="65" t="str">
        <x:v>斯塔尔南（Stjarnan）</x:v>
      </x:c>
      <x:c r="F724" s="65" t="str">
        <x:v>只观察｜倾向受让方 +0.25；胜负价格接近，亚洲盘未取得</x:v>
      </x:c>
      <x:c r="G724" s="65" t="str">
        <x:v>只观察｜倾向小2.75；正式赛事先取谨慎基线，总盘未取得</x:v>
      </x:c>
      <x:c r="H724" s="65" t="str">
        <x:v>待首发、近况主客拆分与可靠亚洲双盘；任一市场欧赔&lt;1.80/港水&lt;0.80不进；无条件不加仓</x:v>
      </x:c>
      <x:c r="I724" s="66" t="n">
        <x:v>46219.791666666664</x:v>
      </x:c>
      <x:c r="J724" s="65" t="str">
        <x:v>已结算</x:v>
      </x:c>
      <x:c r="K724" s="65" t="str">
        <x:v>2-2</x:v>
      </x:c>
      <x:c r="L724" s="65" t="str">
        <x:v>未执行（只观察）</x:v>
      </x:c>
      <x:c r="M724" s="65" t="str">
        <x:v>未执行（只观察）</x:v>
      </x:c>
      <x:c r="N724" s="67"/>
      <x:c r="O724" s="67"/>
      <x:c r="P724" s="67" t="str">
        <x:f>IF(COUNT(N724:O724)=0,"",SUM(N724:O724))</x:f>
      </x:c>
      <x:c r="Q724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4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2.92/客胜2.12，斯塔尔南（Stjarnan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-2；赛前两市场均为只观察/无正式方向，不计注数与盈亏。LiveScore与TipsterArea终场比分相互印证。</x:v>
      </x:c>
    </x:row>
    <x:row r="725" ht="38" customHeight="1">
      <x:c r="A725" s="65" t="str">
        <x:f>IF(B725="","",TEXT(B725,"yyyy-mm-dd")&amp;"|"&amp;D725&amp;"|"&amp;E725)</x:f>
        <x:v>2026-07-17|维尔纽斯萨尔格里斯（Zalgiris Vilnius）|彼得罗瓦茨（Petrovac）</x:v>
      </x:c>
      <x:c r="B725" s="66" t="n">
        <x:v>46220.041666666664</x:v>
      </x:c>
      <x:c r="C725" s="65" t="str">
        <x:v>欧足联欧洲协会联赛资格赛</x:v>
      </x:c>
      <x:c r="D725" s="65" t="str">
        <x:v>维尔纽斯萨尔格里斯（Zalgiris Vilnius）</x:v>
      </x:c>
      <x:c r="E725" s="65" t="str">
        <x:v>彼得罗瓦茨（Petrovac）</x:v>
      </x:c>
      <x:c r="F725" s="65" t="str">
        <x:v>只观察｜倾向维尔纽斯萨尔格里斯（Zalgiris Vilnius） -0.75；仅1X2价格支持，亚洲盘未取得</x:v>
      </x:c>
      <x:c r="G725" s="65" t="str">
        <x:v>只观察｜倾向小2.75；正式赛事先取谨慎基线，总盘未取得</x:v>
      </x:c>
      <x:c r="H725" s="65" t="str">
        <x:v>待首发、近况主客拆分与可靠亚洲双盘；任一市场欧赔&lt;1.80/港水&lt;0.80不进；无条件不加仓</x:v>
      </x:c>
      <x:c r="I725" s="66" t="n">
        <x:v>46219.791666666664</x:v>
      </x:c>
      <x:c r="J725" s="65" t="str">
        <x:v>已结算</x:v>
      </x:c>
      <x:c r="K725" s="65" t="str">
        <x:v>2-1</x:v>
      </x:c>
      <x:c r="L725" s="65" t="str">
        <x:v>未执行（只观察）</x:v>
      </x:c>
      <x:c r="M725" s="65" t="str">
        <x:v>未执行（只观察）</x:v>
      </x:c>
      <x:c r="N725" s="67"/>
      <x:c r="O725" s="67"/>
      <x:c r="P725" s="67" t="str">
        <x:f>IF(COUNT(N725:O725)=0,"",SUM(N725:O725))</x:f>
      </x:c>
      <x:c r="Q725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5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1.4/客胜7.44，维尔纽斯萨尔格里斯（Zalgiris Vilnius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726" ht="38" customHeight="1">
      <x:c r="A726" s="65" t="str">
        <x:f>IF(B726="","",TEXT(B726,"yyyy-mm-dd")&amp;"|"&amp;D726&amp;"|"&amp;E726)</x:f>
        <x:v>2026-07-17|瓦勒伦加（Valerenga）|奥勒松（Aalesund）</x:v>
      </x:c>
      <x:c r="B726" s="66" t="n">
        <x:v>46220.041666666664</x:v>
      </x:c>
      <x:c r="C726" s="65" t="str">
        <x:v>挪威超级联赛</x:v>
      </x:c>
      <x:c r="D726" s="65" t="str">
        <x:v>瓦勒伦加（Valerenga）</x:v>
      </x:c>
      <x:c r="E726" s="65" t="str">
        <x:v>奥勒松（Aalesund）</x:v>
      </x:c>
      <x:c r="F726" s="65" t="str">
        <x:v>只观察｜倾向瓦勒伦加（Valerenga） -0.25；亚洲盘与水位待核对</x:v>
      </x:c>
      <x:c r="G726" s="65" t="str">
        <x:v>只观察｜倾向小2.75；正式赛事先取谨慎基线，总盘未取得</x:v>
      </x:c>
      <x:c r="H726" s="65" t="str">
        <x:v>待首发、近况主客拆分与可靠亚洲双盘；任一市场欧赔&lt;1.80/港水&lt;0.80不进；无条件不加仓</x:v>
      </x:c>
      <x:c r="I726" s="66" t="n">
        <x:v>46219.791666666664</x:v>
      </x:c>
      <x:c r="J726" s="65" t="str">
        <x:v>已结算</x:v>
      </x:c>
      <x:c r="K726" s="65" t="str">
        <x:v>6-1</x:v>
      </x:c>
      <x:c r="L726" s="65" t="str">
        <x:v>未执行（只观察）</x:v>
      </x:c>
      <x:c r="M726" s="65" t="str">
        <x:v>未执行（只观察）</x:v>
      </x:c>
      <x:c r="N726" s="67"/>
      <x:c r="O726" s="67"/>
      <x:c r="P726" s="67" t="str">
        <x:f>IF(COUNT(N726:O726)=0,"",SUM(N726:O726))</x:f>
      </x:c>
      <x:c r="Q726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6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1.7/客胜4.33，瓦勒伦加（Valereng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6-1；赛前两市场均为只观察/无正式方向，不计注数与盈亏。LiveScore与TipsterArea终场比分相互印证。</x:v>
      </x:c>
    </x:row>
    <x:row r="727" ht="38" customHeight="1">
      <x:c r="A727" s="65" t="str">
        <x:f>IF(B727="","",TEXT(B727,"yyyy-mm-dd")&amp;"|"&amp;D727&amp;"|"&amp;E727)</x:f>
        <x:v>2026-07-17|波兹南莱赫（Lech Poznan）|扎布热矿工（Gornik Zabrze）</x:v>
      </x:c>
      <x:c r="B727" s="66" t="n">
        <x:v>46220.041666666664</x:v>
      </x:c>
      <x:c r="C727" s="65" t="str">
        <x:v>波兰超级杯</x:v>
      </x:c>
      <x:c r="D727" s="65" t="str">
        <x:v>波兹南莱赫（Lech Poznan）</x:v>
      </x:c>
      <x:c r="E727" s="65" t="str">
        <x:v>扎布热矿工（Gornik Zabrze）</x:v>
      </x:c>
      <x:c r="F727" s="65" t="str">
        <x:v>只观察｜倾向波兹南莱赫（Lech Poznan） -0.25；亚洲盘与水位待核对</x:v>
      </x:c>
      <x:c r="G727" s="65" t="str">
        <x:v>只观察｜倾向小2.75；正式赛事先取谨慎基线，总盘未取得</x:v>
      </x:c>
      <x:c r="H727" s="65" t="str">
        <x:v>待首发、近况主客拆分与可靠亚洲双盘；任一市场欧赔&lt;1.80/港水&lt;0.80不进；无条件不加仓</x:v>
      </x:c>
      <x:c r="I727" s="66" t="n">
        <x:v>46219.791666666664</x:v>
      </x:c>
      <x:c r="J727" s="65" t="str">
        <x:v>已结算</x:v>
      </x:c>
      <x:c r="K727" s="65" t="str">
        <x:v>3-1</x:v>
      </x:c>
      <x:c r="L727" s="65" t="str">
        <x:v>未执行（只观察）</x:v>
      </x:c>
      <x:c r="M727" s="65" t="str">
        <x:v>未执行（只观察）</x:v>
      </x:c>
      <x:c r="N727" s="67"/>
      <x:c r="O727" s="67"/>
      <x:c r="P727" s="67" t="str">
        <x:f>IF(COUNT(N727:O727)=0,"",SUM(N727:O727))</x:f>
      </x:c>
      <x:c r="Q727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7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1.85/客胜3.72，波兹南莱赫（Lech Poznan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-1；赛前两市场均为只观察/无正式方向，不计注数与盈亏。LiveScore与TipsterArea终场比分相互印证。</x:v>
      </x:c>
    </x:row>
    <x:row r="728" ht="38" customHeight="1">
      <x:c r="A728" s="65" t="str">
        <x:f>IF(B728="","",TEXT(B728,"yyyy-mm-dd")&amp;"|"&amp;D728&amp;"|"&amp;E728)</x:f>
        <x:v>2026-07-17|尼科西亚奥莫尼亚（Omonia Nicosia）|帕纳托利科斯（Panetolikos）</x:v>
      </x:c>
      <x:c r="B728" s="66" t="n">
        <x:v>46220.041666666664</x:v>
      </x:c>
      <x:c r="C728" s="65" t="str">
        <x:v>国际俱乐部友谊赛</x:v>
      </x:c>
      <x:c r="D728" s="65" t="str">
        <x:v>尼科西亚奥莫尼亚（Omonia Nicosia）</x:v>
      </x:c>
      <x:c r="E728" s="65" t="str">
        <x:v>帕纳托利科斯（Panetolikos）</x:v>
      </x:c>
      <x:c r="F728" s="65" t="str">
        <x:v>只观察｜倾向尼科西亚奥莫尼亚（Omonia Nicosia） -1.25；仅1X2价格支持，亚洲盘未取得</x:v>
      </x:c>
      <x:c r="G728" s="65" t="str">
        <x:v>只观察｜倾向大2.75；轮换与磨合可能放大开放度，但总盘未取得</x:v>
      </x:c>
      <x:c r="H728" s="65" t="str">
        <x:v>待首发、近况主客拆分与可靠亚洲双盘；任一市场欧赔&lt;1.80/港水&lt;0.80不进；无条件不加仓</x:v>
      </x:c>
      <x:c r="I728" s="66" t="n">
        <x:v>46219.791666666664</x:v>
      </x:c>
      <x:c r="J728" s="65" t="str">
        <x:v>已结算</x:v>
      </x:c>
      <x:c r="K728" s="65" t="str">
        <x:v>2-1</x:v>
      </x:c>
      <x:c r="L728" s="65" t="str">
        <x:v>未执行（只观察）</x:v>
      </x:c>
      <x:c r="M728" s="65" t="str">
        <x:v>未执行（只观察）</x:v>
      </x:c>
      <x:c r="N728" s="67"/>
      <x:c r="O728" s="67"/>
      <x:c r="P728" s="67" t="str">
        <x:f>IF(COUNT(N728:O728)=0,"",SUM(N728:O728))</x:f>
      </x:c>
      <x:c r="Q728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8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1.27/客胜7.63，尼科西亚奥莫尼亚（Omonia Nicosi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729" ht="38" customHeight="1">
      <x:c r="A729" s="65" t="str">
        <x:f>IF(B729="","",TEXT(B729,"yyyy-mm-dd")&amp;"|"&amp;D729&amp;"|"&amp;E729)</x:f>
        <x:v>2026-07-17|塔林利瓦迪亚（Levadia Tallinn）|卡纳芬城（Caernarfon Town）</x:v>
      </x:c>
      <x:c r="B729" s="66" t="n">
        <x:v>46220.020833333336</x:v>
      </x:c>
      <x:c r="C729" s="65" t="str">
        <x:v>欧足联欧洲协会联赛资格赛</x:v>
      </x:c>
      <x:c r="D729" s="65" t="str">
        <x:v>塔林利瓦迪亚（Levadia Tallinn）</x:v>
      </x:c>
      <x:c r="E729" s="65" t="str">
        <x:v>卡纳芬城（Caernarfon Town）</x:v>
      </x:c>
      <x:c r="F729" s="65" t="str">
        <x:v>只观察｜倾向塔林利瓦迪亚（Levadia Tallinn） -1.25；仅1X2价格支持，亚洲盘未取得</x:v>
      </x:c>
      <x:c r="G729" s="65" t="str">
        <x:v>只观察｜倾向小2.75；正式赛事先取谨慎基线，总盘未取得</x:v>
      </x:c>
      <x:c r="H729" s="65" t="str">
        <x:v>待首发、近况主客拆分与可靠亚洲双盘；任一市场欧赔&lt;1.80/港水&lt;0.80不进；无条件不加仓</x:v>
      </x:c>
      <x:c r="I729" s="66" t="n">
        <x:v>46219.791666666664</x:v>
      </x:c>
      <x:c r="J729" s="65" t="str">
        <x:v>已结算</x:v>
      </x:c>
      <x:c r="K729" s="65" t="str">
        <x:v>5-0</x:v>
      </x:c>
      <x:c r="L729" s="65" t="str">
        <x:v>未执行（只观察）</x:v>
      </x:c>
      <x:c r="M729" s="65" t="str">
        <x:v>未执行（只观察）</x:v>
      </x:c>
      <x:c r="N729" s="67"/>
      <x:c r="O729" s="67"/>
      <x:c r="P729" s="67" t="str">
        <x:f>IF(COUNT(N729:O729)=0,"",SUM(N729:O729))</x:f>
      </x:c>
      <x:c r="Q729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29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1.2/客胜12.34，塔林利瓦迪亚（Levadia Tallinn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5-0；赛前两市场均为只观察/无正式方向，不计注数与盈亏。LiveScore与TipsterArea终场比分相互印证。</x:v>
      </x:c>
    </x:row>
    <x:row r="730" ht="38" customHeight="1">
      <x:c r="A730" s="65" t="str">
        <x:f>IF(B730="","",TEXT(B730,"yyyy-mm-dd")&amp;"|"&amp;D730&amp;"|"&amp;E730)</x:f>
        <x:v>2026-07-17|里加足球学校（RFS Riga）|格伦托兰（Glentoran）</x:v>
      </x:c>
      <x:c r="B730" s="66" t="n">
        <x:v>46220.020833333336</x:v>
      </x:c>
      <x:c r="C730" s="65" t="str">
        <x:v>欧足联欧洲协会联赛资格赛</x:v>
      </x:c>
      <x:c r="D730" s="65" t="str">
        <x:v>里加足球学校（RFS Riga）</x:v>
      </x:c>
      <x:c r="E730" s="65" t="str">
        <x:v>格伦托兰（Glentoran）</x:v>
      </x:c>
      <x:c r="F730" s="65" t="str">
        <x:v>只观察｜倾向里加足球学校（RFS Riga） -0.75；仅1X2价格支持，亚洲盘未取得</x:v>
      </x:c>
      <x:c r="G730" s="65" t="str">
        <x:v>只观察｜倾向小2.75；正式赛事先取谨慎基线，总盘未取得</x:v>
      </x:c>
      <x:c r="H730" s="65" t="str">
        <x:v>待首发、近况主客拆分与可靠亚洲双盘；任一市场欧赔&lt;1.80/港水&lt;0.80不进；无条件不加仓</x:v>
      </x:c>
      <x:c r="I730" s="66" t="n">
        <x:v>46219.791666666664</x:v>
      </x:c>
      <x:c r="J730" s="65" t="str">
        <x:v>已结算</x:v>
      </x:c>
      <x:c r="K730" s="65" t="str">
        <x:v>2-0</x:v>
      </x:c>
      <x:c r="L730" s="65" t="str">
        <x:v>未执行（只观察）</x:v>
      </x:c>
      <x:c r="M730" s="65" t="str">
        <x:v>未执行（只观察）</x:v>
      </x:c>
      <x:c r="N730" s="67"/>
      <x:c r="O730" s="67"/>
      <x:c r="P730" s="67" t="str">
        <x:f>IF(COUNT(N730:O730)=0,"",SUM(N730:O730))</x:f>
      </x:c>
      <x:c r="Q730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0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1.44/客胜6.13，里加足球学校（RFS Rig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-0；赛前两市场均为只观察/无正式方向，不计注数与盈亏。LiveScore与TipsterArea终场比分相互印证。</x:v>
      </x:c>
    </x:row>
    <x:row r="731" ht="38" customHeight="1">
      <x:c r="A731" s="65" t="str">
        <x:f>IF(B731="","",TEXT(B731,"yyyy-mm-dd")&amp;"|"&amp;D731&amp;"|"&amp;E731)</x:f>
        <x:v>2026-07-17|贝尔谢巴工人（Hapoel Beer Sheva）|特拉维夫马卡比（Maccabi Tel Aviv）</x:v>
      </x:c>
      <x:c r="B731" s="66" t="n">
        <x:v>46220.020833333336</x:v>
      </x:c>
      <x:c r="C731" s="65" t="str">
        <x:v>以色列超级杯</x:v>
      </x:c>
      <x:c r="D731" s="65" t="str">
        <x:v>贝尔谢巴工人（Hapoel Beer Sheva）</x:v>
      </x:c>
      <x:c r="E731" s="65" t="str">
        <x:v>特拉维夫马卡比（Maccabi Tel Aviv）</x:v>
      </x:c>
      <x:c r="F731" s="65" t="str">
        <x:v>只观察｜倾向受让方 +0.25；胜负价格接近，亚洲盘未取得</x:v>
      </x:c>
      <x:c r="G731" s="65" t="str">
        <x:v>只观察｜倾向小2.75；正式赛事先取谨慎基线，总盘未取得</x:v>
      </x:c>
      <x:c r="H731" s="65" t="str">
        <x:v>待首发、近况主客拆分与可靠亚洲双盘；任一市场欧赔&lt;1.80/港水&lt;0.80不进；无条件不加仓</x:v>
      </x:c>
      <x:c r="I731" s="66" t="n">
        <x:v>46219.791666666664</x:v>
      </x:c>
      <x:c r="J731" s="65" t="str">
        <x:v>已结算</x:v>
      </x:c>
      <x:c r="K731" s="65" t="str">
        <x:v>1-3</x:v>
      </x:c>
      <x:c r="L731" s="65" t="str">
        <x:v>未执行（只观察）</x:v>
      </x:c>
      <x:c r="M731" s="65" t="str">
        <x:v>未执行（只观察）</x:v>
      </x:c>
      <x:c r="N731" s="67"/>
      <x:c r="O731" s="67"/>
      <x:c r="P731" s="67" t="str">
        <x:f>IF(COUNT(N731:O731)=0,"",SUM(N731:O731))</x:f>
      </x:c>
      <x:c r="Q731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1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2.04/客胜3.06，贝尔谢巴工人（Hapoel Beer Shev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-3；赛前两市场均为只观察/无正式方向，不计注数与盈亏。LiveScore与TipsterArea终场比分相互印证。</x:v>
      </x:c>
    </x:row>
    <x:row r="732" ht="38" customHeight="1">
      <x:c r="A732" s="65" t="str">
        <x:f>IF(B732="","",TEXT(B732,"yyyy-mm-dd")&amp;"|"&amp;D732&amp;"|"&amp;E732)</x:f>
        <x:v>2026-07-17|利马索尔阿波罗（Apollon Limassol）|拉纳卡AEK（AEK Larnaca）</x:v>
      </x:c>
      <x:c r="B732" s="66" t="n">
        <x:v>46220.020833333336</x:v>
      </x:c>
      <x:c r="C732" s="65" t="str">
        <x:v>国际俱乐部友谊赛</x:v>
      </x:c>
      <x:c r="D732" s="65" t="str">
        <x:v>利马索尔阿波罗（Apollon Limassol）</x:v>
      </x:c>
      <x:c r="E732" s="65" t="str">
        <x:v>拉纳卡AEK（AEK Larnaca）</x:v>
      </x:c>
      <x:c r="F732" s="65" t="str">
        <x:v>只观察｜倾向受让方 +0.25；胜负价格接近，亚洲盘未取得</x:v>
      </x:c>
      <x:c r="G732" s="65" t="str">
        <x:v>只观察｜倾向大2.75；轮换与磨合可能放大开放度，但总盘未取得</x:v>
      </x:c>
      <x:c r="H732" s="65" t="str">
        <x:v>待首发、近况主客拆分与可靠亚洲双盘；任一市场欧赔&lt;1.80/港水&lt;0.80不进；无条件不加仓</x:v>
      </x:c>
      <x:c r="I732" s="66" t="n">
        <x:v>46219.791666666664</x:v>
      </x:c>
      <x:c r="J732" s="65" t="str">
        <x:v>已结算</x:v>
      </x:c>
      <x:c r="K732" s="65" t="str">
        <x:v>0-0</x:v>
      </x:c>
      <x:c r="L732" s="65" t="str">
        <x:v>未执行（只观察）</x:v>
      </x:c>
      <x:c r="M732" s="65" t="str">
        <x:v>未执行（只观察）</x:v>
      </x:c>
      <x:c r="N732" s="67"/>
      <x:c r="O732" s="67"/>
      <x:c r="P732" s="67" t="str">
        <x:f>IF(COUNT(N732:O732)=0,"",SUM(N732:O732))</x:f>
      </x:c>
      <x:c r="Q732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2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2.34/客胜2.82，利马索尔阿波罗（Apollon Limassol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-0；赛前两市场均为只观察/无正式方向，不计注数与盈亏。LiveScore与TipsterArea终场比分相互印证。</x:v>
      </x:c>
    </x:row>
    <x:row r="733" ht="38" customHeight="1">
      <x:c r="A733" s="65" t="str">
        <x:f>IF(B733="","",TEXT(B733,"yyyy-mm-dd")&amp;"|"&amp;D733&amp;"|"&amp;E733)</x:f>
        <x:v>2026-07-17|埃尔维斯（Ilves）|迪弗当日（Differdange）</x:v>
      </x:c>
      <x:c r="B733" s="66" t="n">
        <x:v>46220</x:v>
      </x:c>
      <x:c r="C733" s="65" t="str">
        <x:v>欧足联欧洲协会联赛资格赛</x:v>
      </x:c>
      <x:c r="D733" s="65" t="str">
        <x:v>埃尔维斯（Ilves）</x:v>
      </x:c>
      <x:c r="E733" s="65" t="str">
        <x:v>迪弗当日（Differdange）</x:v>
      </x:c>
      <x:c r="F733" s="65" t="str">
        <x:v>只观察｜倾向埃尔维斯（Ilves） -0.25；亚洲盘与水位待核对</x:v>
      </x:c>
      <x:c r="G733" s="65" t="str">
        <x:v>只观察｜倾向小2.75；正式赛事先取谨慎基线，总盘未取得</x:v>
      </x:c>
      <x:c r="H733" s="65" t="str">
        <x:v>待首发、近况主客拆分与可靠亚洲双盘；任一市场欧赔&lt;1.80/港水&lt;0.80不进；无条件不加仓</x:v>
      </x:c>
      <x:c r="I733" s="66" t="n">
        <x:v>46219.791666666664</x:v>
      </x:c>
      <x:c r="J733" s="65" t="str">
        <x:v>已结算</x:v>
      </x:c>
      <x:c r="K733" s="65" t="str">
        <x:v>3-1</x:v>
      </x:c>
      <x:c r="L733" s="65" t="str">
        <x:v>未执行（只观察）</x:v>
      </x:c>
      <x:c r="M733" s="65" t="str">
        <x:v>未执行（只观察）</x:v>
      </x:c>
      <x:c r="N733" s="67"/>
      <x:c r="O733" s="67"/>
      <x:c r="P733" s="67" t="str">
        <x:f>IF(COUNT(N733:O733)=0,"",SUM(N733:O733))</x:f>
      </x:c>
      <x:c r="Q733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3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1.64/客胜4.83，埃尔维斯（Ilves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-1；赛前两市场均为只观察/无正式方向，不计注数与盈亏。LiveScore与TipsterArea终场比分相互印证。</x:v>
      </x:c>
    </x:row>
    <x:row r="734" ht="38" customHeight="1">
      <x:c r="A734" s="65" t="str">
        <x:f>IF(B734="","",TEXT(B734,"yyyy-mm-dd")&amp;"|"&amp;D734&amp;"|"&amp;E734)</x:f>
        <x:v>2026-07-17|派德（Paide）|黑格尔曼（Hegelmann）</x:v>
      </x:c>
      <x:c r="B734" s="66" t="n">
        <x:v>46220</x:v>
      </x:c>
      <x:c r="C734" s="65" t="str">
        <x:v>欧足联欧洲协会联赛资格赛</x:v>
      </x:c>
      <x:c r="D734" s="65" t="str">
        <x:v>派德（Paide）</x:v>
      </x:c>
      <x:c r="E734" s="65" t="str">
        <x:v>黑格尔曼（Hegelmann）</x:v>
      </x:c>
      <x:c r="F734" s="65" t="str">
        <x:v>只观察｜倾向派德（Paide） -0.25；亚洲盘与水位待核对</x:v>
      </x:c>
      <x:c r="G734" s="65" t="str">
        <x:v>只观察｜倾向小2.75；正式赛事先取谨慎基线，总盘未取得</x:v>
      </x:c>
      <x:c r="H734" s="65" t="str">
        <x:v>待首发、近况主客拆分与可靠亚洲双盘；任一市场欧赔&lt;1.80/港水&lt;0.80不进；无条件不加仓</x:v>
      </x:c>
      <x:c r="I734" s="66" t="n">
        <x:v>46219.791666666664</x:v>
      </x:c>
      <x:c r="J734" s="65" t="str">
        <x:v>已结算</x:v>
      </x:c>
      <x:c r="K734" s="65" t="str">
        <x:v>3-0</x:v>
      </x:c>
      <x:c r="L734" s="65" t="str">
        <x:v>未执行（只观察）</x:v>
      </x:c>
      <x:c r="M734" s="65" t="str">
        <x:v>未执行（只观察）</x:v>
      </x:c>
      <x:c r="N734" s="67"/>
      <x:c r="O734" s="67"/>
      <x:c r="P734" s="67" t="str">
        <x:f>IF(COUNT(N734:O734)=0,"",SUM(N734:O734))</x:f>
      </x:c>
      <x:c r="Q734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4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1.87/客胜3.97，派德（Paide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-0；赛前两市场均为只观察/无正式方向，不计注数与盈亏。LiveScore与TipsterArea终场比分相互印证。</x:v>
      </x:c>
    </x:row>
    <x:row r="735" ht="38" customHeight="1">
      <x:c r="A735" s="65" t="str">
        <x:f>IF(B735="","",TEXT(B735,"yyyy-mm-dd")&amp;"|"&amp;D735&amp;"|"&amp;E735)</x:f>
        <x:v>2026-07-17|叶里温凤凰（Pyunik）|马萨克斯洛克（Marsaxlokk）</x:v>
      </x:c>
      <x:c r="B735" s="66" t="n">
        <x:v>46220</x:v>
      </x:c>
      <x:c r="C735" s="65" t="str">
        <x:v>欧足联欧洲协会联赛资格赛</x:v>
      </x:c>
      <x:c r="D735" s="65" t="str">
        <x:v>叶里温凤凰（Pyunik）</x:v>
      </x:c>
      <x:c r="E735" s="65" t="str">
        <x:v>马萨克斯洛克（Marsaxlokk）</x:v>
      </x:c>
      <x:c r="F735" s="65" t="str">
        <x:v>只观察｜倾向叶里温凤凰（Pyunik） -1.25；仅1X2价格支持，亚洲盘未取得</x:v>
      </x:c>
      <x:c r="G735" s="65" t="str">
        <x:v>只观察｜倾向小2.75；正式赛事先取谨慎基线，总盘未取得</x:v>
      </x:c>
      <x:c r="H735" s="65" t="str">
        <x:v>待首发、近况主客拆分与可靠亚洲双盘；任一市场欧赔&lt;1.80/港水&lt;0.80不进；无条件不加仓</x:v>
      </x:c>
      <x:c r="I735" s="66" t="n">
        <x:v>46219.791666666664</x:v>
      </x:c>
      <x:c r="J735" s="65" t="str">
        <x:v>已结算</x:v>
      </x:c>
      <x:c r="K735" s="65" t="str">
        <x:v>1-0</x:v>
      </x:c>
      <x:c r="L735" s="65" t="str">
        <x:v>未执行（只观察）</x:v>
      </x:c>
      <x:c r="M735" s="65" t="str">
        <x:v>未执行（只观察）</x:v>
      </x:c>
      <x:c r="N735" s="67"/>
      <x:c r="O735" s="67"/>
      <x:c r="P735" s="67" t="str">
        <x:f>IF(COUNT(N735:O735)=0,"",SUM(N735:O735))</x:f>
      </x:c>
      <x:c r="Q735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5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1.23/客胜10.83，叶里温凤凰（Pyunik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-0；赛前两市场均为只观察/无正式方向，不计注数与盈亏。LiveScore与TipsterArea终场比分相互印证。</x:v>
      </x:c>
    </x:row>
    <x:row r="736" ht="38" customHeight="1">
      <x:c r="A736" s="65" t="str">
        <x:f>IF(B736="","",TEXT(B736,"yyyy-mm-dd")&amp;"|"&amp;D736&amp;"|"&amp;E736)</x:f>
        <x:v>2026-07-17|圣约瑟夫（St Joseph's）|波希米亚人（Bohemians）</x:v>
      </x:c>
      <x:c r="B736" s="66" t="n">
        <x:v>46220</x:v>
      </x:c>
      <x:c r="C736" s="65" t="str">
        <x:v>欧足联欧洲协会联赛资格赛</x:v>
      </x:c>
      <x:c r="D736" s="65" t="str">
        <x:v>圣约瑟夫（St Joseph's）</x:v>
      </x:c>
      <x:c r="E736" s="65" t="str">
        <x:v>波希米亚人（Bohemians）</x:v>
      </x:c>
      <x:c r="F736" s="65" t="str">
        <x:v>只观察｜倾向波希米亚人（Bohemians） -0.75；仅1X2价格支持，亚洲盘未取得</x:v>
      </x:c>
      <x:c r="G736" s="65" t="str">
        <x:v>只观察｜倾向小2.75；正式赛事先取谨慎基线，总盘未取得</x:v>
      </x:c>
      <x:c r="H736" s="65" t="str">
        <x:v>待首发、近况主客拆分与可靠亚洲双盘；任一市场欧赔&lt;1.80/港水&lt;0.80不进；无条件不加仓</x:v>
      </x:c>
      <x:c r="I736" s="66" t="n">
        <x:v>46219.791666666664</x:v>
      </x:c>
      <x:c r="J736" s="65" t="str">
        <x:v>已结算</x:v>
      </x:c>
      <x:c r="K736" s="65" t="str">
        <x:v>0-0</x:v>
      </x:c>
      <x:c r="L736" s="65" t="str">
        <x:v>未执行（只观察）</x:v>
      </x:c>
      <x:c r="M736" s="65" t="str">
        <x:v>未执行（只观察）</x:v>
      </x:c>
      <x:c r="N736" s="67"/>
      <x:c r="O736" s="67"/>
      <x:c r="P736" s="67" t="str">
        <x:f>IF(COUNT(N736:O736)=0,"",SUM(N736:O736))</x:f>
      </x:c>
      <x:c r="Q736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6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7.8/客胜1.36，波希米亚人（Bohemians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-0；赛前两市场均为只观察/无正式方向，不计注数与盈亏。LiveScore与TipsterArea终场比分相互印证。</x:v>
      </x:c>
    </x:row>
    <x:row r="737" ht="38" customHeight="1">
      <x:c r="A737" s="65" t="str">
        <x:f>IF(B737="","",TEXT(B737,"yyyy-mm-dd")&amp;"|"&amp;D737&amp;"|"&amp;E737)</x:f>
        <x:v>2026-07-17|库塔伊西鱼雷（Torpedo Kutaisi）|兹拉（Zira）</x:v>
      </x:c>
      <x:c r="B737" s="66" t="n">
        <x:v>46220</x:v>
      </x:c>
      <x:c r="C737" s="65" t="str">
        <x:v>欧足联欧洲协会联赛资格赛</x:v>
      </x:c>
      <x:c r="D737" s="65" t="str">
        <x:v>库塔伊西鱼雷（Torpedo Kutaisi）</x:v>
      </x:c>
      <x:c r="E737" s="65" t="str">
        <x:v>兹拉（Zira）</x:v>
      </x:c>
      <x:c r="F737" s="65" t="str">
        <x:v>只观察｜倾向受让方 +0.25；胜负价格接近，亚洲盘未取得</x:v>
      </x:c>
      <x:c r="G737" s="65" t="str">
        <x:v>只观察｜倾向小2.75；正式赛事先取谨慎基线，总盘未取得</x:v>
      </x:c>
      <x:c r="H737" s="65" t="str">
        <x:v>待首发、近况主客拆分与可靠亚洲双盘；任一市场欧赔&lt;1.80/港水&lt;0.80不进；无条件不加仓</x:v>
      </x:c>
      <x:c r="I737" s="66" t="n">
        <x:v>46219.791666666664</x:v>
      </x:c>
      <x:c r="J737" s="65" t="str">
        <x:v>已结算</x:v>
      </x:c>
      <x:c r="K737" s="65" t="str">
        <x:v>0-3</x:v>
      </x:c>
      <x:c r="L737" s="65" t="str">
        <x:v>未执行（只观察）</x:v>
      </x:c>
      <x:c r="M737" s="65" t="str">
        <x:v>未执行（只观察）</x:v>
      </x:c>
      <x:c r="N737" s="67"/>
      <x:c r="O737" s="67"/>
      <x:c r="P737" s="67" t="str">
        <x:f>IF(COUNT(N737:O737)=0,"",SUM(N737:O737))</x:f>
      </x:c>
      <x:c r="Q737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7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3.05/客胜2.21，兹拉（Zir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-3；赛前两市场均为只观察/无正式方向，不计注数与盈亏。LiveScore与TipsterArea终场比分相互印证。</x:v>
      </x:c>
    </x:row>
    <x:row r="738" ht="38" customHeight="1">
      <x:c r="A738" s="65" t="str">
        <x:f>IF(B738="","",TEXT(B738,"yyyy-mm-dd")&amp;"|"&amp;D738&amp;"|"&amp;E738)</x:f>
        <x:v>2026-07-17|格罗兹尼艾哈迈德（Akhmat Grozny）|阿治曼（Ajman Club）</x:v>
      </x:c>
      <x:c r="B738" s="66" t="n">
        <x:v>46220</x:v>
      </x:c>
      <x:c r="C738" s="65" t="str">
        <x:v>国际俱乐部友谊赛</x:v>
      </x:c>
      <x:c r="D738" s="65" t="str">
        <x:v>格罗兹尼艾哈迈德（Akhmat Grozny）</x:v>
      </x:c>
      <x:c r="E738" s="65" t="str">
        <x:v>阿治曼（Ajman Club）</x:v>
      </x:c>
      <x:c r="F738" s="65" t="str">
        <x:v>只观察｜倾向格罗兹尼艾哈迈德（Akhmat Grozny） -1.25；仅1X2价格支持，亚洲盘未取得</x:v>
      </x:c>
      <x:c r="G738" s="65" t="str">
        <x:v>只观察｜倾向大2.75；轮换与磨合可能放大开放度，但总盘未取得</x:v>
      </x:c>
      <x:c r="H738" s="65" t="str">
        <x:v>待首发、近况主客拆分与可靠亚洲双盘；任一市场欧赔&lt;1.80/港水&lt;0.80不进；无条件不加仓</x:v>
      </x:c>
      <x:c r="I738" s="66" t="n">
        <x:v>46219.791666666664</x:v>
      </x:c>
      <x:c r="J738" s="65" t="str">
        <x:v>已结算</x:v>
      </x:c>
      <x:c r="K738" s="65" t="str">
        <x:v>1-0</x:v>
      </x:c>
      <x:c r="L738" s="65" t="str">
        <x:v>未执行（只观察）</x:v>
      </x:c>
      <x:c r="M738" s="65" t="str">
        <x:v>未执行（只观察）</x:v>
      </x:c>
      <x:c r="N738" s="67"/>
      <x:c r="O738" s="67"/>
      <x:c r="P738" s="67" t="str">
        <x:f>IF(COUNT(N738:O738)=0,"",SUM(N738:O738))</x:f>
      </x:c>
      <x:c r="Q738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8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1.3/客胜7.53，格罗兹尼艾哈迈德（Akhmat Grozny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-0；赛前两市场均为只观察/无正式方向，不计注数与盈亏。LiveScore与TipsterArea终场比分相互印证。</x:v>
      </x:c>
    </x:row>
    <x:row r="739" ht="38" customHeight="1">
      <x:c r="A739" s="65" t="str">
        <x:f>IF(B739="","",TEXT(B739,"yyyy-mm-dd")&amp;"|"&amp;D739&amp;"|"&amp;E739)</x:f>
        <x:v>2026-07-16|斯拉文贝鲁波（Slaven Belupo）|帕克斯（Paksi）</x:v>
      </x:c>
      <x:c r="B739" s="66" t="n">
        <x:v>46219.979166666664</x:v>
      </x:c>
      <x:c r="C739" s="65" t="str">
        <x:v>国际俱乐部友谊赛</x:v>
      </x:c>
      <x:c r="D739" s="65" t="str">
        <x:v>斯拉文贝鲁波（Slaven Belupo）</x:v>
      </x:c>
      <x:c r="E739" s="65" t="str">
        <x:v>帕克斯（Paksi）</x:v>
      </x:c>
      <x:c r="F739" s="65" t="str">
        <x:v>只观察｜倾向受让方 +0.25；胜负价格接近，亚洲盘未取得</x:v>
      </x:c>
      <x:c r="G739" s="65" t="str">
        <x:v>只观察｜倾向大2.75；轮换与磨合可能放大开放度，但总盘未取得</x:v>
      </x:c>
      <x:c r="H739" s="65" t="str">
        <x:v>待首发、近况主客拆分与可靠亚洲双盘；任一市场欧赔&lt;1.80/港水&lt;0.80不进；无条件不加仓</x:v>
      </x:c>
      <x:c r="I739" s="66" t="n">
        <x:v>46219.791666666664</x:v>
      </x:c>
      <x:c r="J739" s="65" t="str">
        <x:v>已结算</x:v>
      </x:c>
      <x:c r="K739" s="65" t="str">
        <x:v>3-5</x:v>
      </x:c>
      <x:c r="L739" s="65" t="str">
        <x:v>未执行（只观察）</x:v>
      </x:c>
      <x:c r="M739" s="65" t="str">
        <x:v>未执行（只观察）</x:v>
      </x:c>
      <x:c r="N739" s="67"/>
      <x:c r="O739" s="67"/>
      <x:c r="P739" s="67" t="str">
        <x:f>IF(COUNT(N739:O739)=0,"",SUM(N739:O739))</x:f>
      </x:c>
      <x:c r="Q739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39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2.19/客胜2.65，斯拉文贝鲁波（Slaven Belupo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3-5；赛前两市场均为只观察/无正式方向，不计注数与盈亏。LiveScore与TipsterArea终场比分相互印证。</x:v>
      </x:c>
    </x:row>
    <x:row r="740" ht="38" customHeight="1">
      <x:c r="A740" s="65" t="str">
        <x:f>IF(B740="","",TEXT(B740,"yyyy-mm-dd")&amp;"|"&amp;D740&amp;"|"&amp;E740)</x:f>
        <x:v>2026-07-16|阿斯塔纳（Astana）|地拉那迪纳摩城（Dinamo City）</x:v>
      </x:c>
      <x:c r="B740" s="66" t="n">
        <x:v>46219.958333333336</x:v>
      </x:c>
      <x:c r="C740" s="65" t="str">
        <x:v>欧足联欧洲协会联赛资格赛</x:v>
      </x:c>
      <x:c r="D740" s="65" t="str">
        <x:v>阿斯塔纳（Astana）</x:v>
      </x:c>
      <x:c r="E740" s="65" t="str">
        <x:v>地拉那迪纳摩城（Dinamo City）</x:v>
      </x:c>
      <x:c r="F740" s="65" t="str">
        <x:v>只观察｜倾向阿斯塔纳（Astana） -0.75；仅1X2价格支持，亚洲盘未取得</x:v>
      </x:c>
      <x:c r="G740" s="65" t="str">
        <x:v>只观察｜倾向小2.75；正式赛事先取谨慎基线，总盘未取得</x:v>
      </x:c>
      <x:c r="H740" s="65" t="str">
        <x:v>待首发、近况主客拆分与可靠亚洲双盘；任一市场欧赔&lt;1.80/港水&lt;0.80不进；无条件不加仓</x:v>
      </x:c>
      <x:c r="I740" s="66" t="n">
        <x:v>46219.791666666664</x:v>
      </x:c>
      <x:c r="J740" s="65" t="str">
        <x:v>已结算</x:v>
      </x:c>
      <x:c r="K740" s="65" t="str">
        <x:v>1-2</x:v>
      </x:c>
      <x:c r="L740" s="65" t="str">
        <x:v>未执行（只观察）</x:v>
      </x:c>
      <x:c r="M740" s="65" t="str">
        <x:v>未执行（只观察）</x:v>
      </x:c>
      <x:c r="N740" s="67"/>
      <x:c r="O740" s="67"/>
      <x:c r="P740" s="67" t="str">
        <x:f>IF(COUNT(N740:O740)=0,"",SUM(N740:O740))</x:f>
      </x:c>
      <x:c r="Q740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0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1.46/客胜6.06，阿斯塔纳（Astan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-2；赛前两市场均为只观察/无正式方向，不计注数与盈亏。LiveScore显示加时后比分；TipsterArea确认90分钟1-2，按90分钟记录。</x:v>
      </x:c>
    </x:row>
    <x:row r="741" ht="38" customHeight="1">
      <x:c r="A741" s="65" t="str">
        <x:f>IF(B741="","",TEXT(B741,"yyyy-mm-dd")&amp;"|"&amp;D741&amp;"|"&amp;E741)</x:f>
        <x:v>2026-07-16|图尔库国际（Inter Turku）|萨拉热窝（FK Sarajevo）</x:v>
      </x:c>
      <x:c r="B741" s="66" t="n">
        <x:v>46219.958333333336</x:v>
      </x:c>
      <x:c r="C741" s="65" t="str">
        <x:v>欧足联欧洲协会联赛资格赛</x:v>
      </x:c>
      <x:c r="D741" s="65" t="str">
        <x:v>图尔库国际（Inter Turku）</x:v>
      </x:c>
      <x:c r="E741" s="65" t="str">
        <x:v>萨拉热窝（FK Sarajevo）</x:v>
      </x:c>
      <x:c r="F741" s="65" t="str">
        <x:v>只观察｜倾向图尔库国际（Inter Turku） -0.25；亚洲盘与水位待核对</x:v>
      </x:c>
      <x:c r="G741" s="65" t="str">
        <x:v>只观察｜倾向小2.75；正式赛事先取谨慎基线，总盘未取得</x:v>
      </x:c>
      <x:c r="H741" s="65" t="str">
        <x:v>待首发、近况主客拆分与可靠亚洲双盘；任一市场欧赔&lt;1.80/港水&lt;0.80不进；无条件不加仓</x:v>
      </x:c>
      <x:c r="I741" s="66" t="n">
        <x:v>46219.791666666664</x:v>
      </x:c>
      <x:c r="J741" s="65" t="str">
        <x:v>已结算</x:v>
      </x:c>
      <x:c r="K741" s="65" t="str">
        <x:v>2-1</x:v>
      </x:c>
      <x:c r="L741" s="65" t="str">
        <x:v>未执行（只观察）</x:v>
      </x:c>
      <x:c r="M741" s="65" t="str">
        <x:v>未执行（只观察）</x:v>
      </x:c>
      <x:c r="N741" s="67"/>
      <x:c r="O741" s="67"/>
      <x:c r="P741" s="67" t="str">
        <x:f>IF(COUNT(N741:O741)=0,"",SUM(N741:O741))</x:f>
      </x:c>
      <x:c r="Q741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1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1.86/客胜3.86，图尔库国际（Inter Turku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742" ht="38" customHeight="1">
      <x:c r="A742" s="65" t="str">
        <x:f>IF(B742="","",TEXT(B742,"yyyy-mm-dd")&amp;"|"&amp;D742&amp;"|"&amp;E742)</x:f>
        <x:v>2026-07-16|叶利迈（Yelimay Semey）|阿拉什科特（Alashkert）</x:v>
      </x:c>
      <x:c r="B742" s="66" t="n">
        <x:v>46219.958333333336</x:v>
      </x:c>
      <x:c r="C742" s="65" t="str">
        <x:v>欧足联欧洲协会联赛资格赛</x:v>
      </x:c>
      <x:c r="D742" s="65" t="str">
        <x:v>叶利迈（Yelimay Semey）</x:v>
      </x:c>
      <x:c r="E742" s="65" t="str">
        <x:v>阿拉什科特（Alashkert）</x:v>
      </x:c>
      <x:c r="F742" s="65" t="str">
        <x:v>只观察｜倾向叶利迈（Yelimay Semey） -0.25；亚洲盘与水位待核对</x:v>
      </x:c>
      <x:c r="G742" s="65" t="str">
        <x:v>只观察｜倾向小2.75；正式赛事先取谨慎基线，总盘未取得</x:v>
      </x:c>
      <x:c r="H742" s="65" t="str">
        <x:v>待首发、近况主客拆分与可靠亚洲双盘；任一市场欧赔&lt;1.80/港水&lt;0.80不进；无条件不加仓</x:v>
      </x:c>
      <x:c r="I742" s="66" t="n">
        <x:v>46219.791666666664</x:v>
      </x:c>
      <x:c r="J742" s="65" t="str">
        <x:v>已结算</x:v>
      </x:c>
      <x:c r="K742" s="65" t="str">
        <x:v>1-1</x:v>
      </x:c>
      <x:c r="L742" s="65" t="str">
        <x:v>未执行（只观察）</x:v>
      </x:c>
      <x:c r="M742" s="65" t="str">
        <x:v>未执行（只观察）</x:v>
      </x:c>
      <x:c r="N742" s="67"/>
      <x:c r="O742" s="67"/>
      <x:c r="P742" s="67" t="str">
        <x:f>IF(COUNT(N742:O742)=0,"",SUM(N742:O742))</x:f>
      </x:c>
      <x:c r="Q742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2" s="65" t="str">
        <x:v>证据卡：资格赛淘汰背景，晋级压力与次回合策略会显著影响节奏。赛程身份和北京时间已由多来源日历/赛事页核对。双方最近5场、主客拆分、完整伤停、确认首发和稳定阵型未从可访问来源完整取得，均记为待确认；不得伪装成已确认。可见1X2参考主胜1.66/客胜5.11，叶利迈（Yelimay Semey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-1；赛前两市场均为只观察/无正式方向，不计注数与盈亏。LiveScore标记AP；TipsterArea确认90分钟1-1，点球过程不计亚洲盘。</x:v>
      </x:c>
    </x:row>
    <x:row r="743" ht="38" customHeight="1">
      <x:c r="A743" s="65" t="str">
        <x:f>IF(B743="","",TEXT(B743,"yyyy-mm-dd")&amp;"|"&amp;D743&amp;"|"&amp;E743)</x:f>
        <x:v>2026-07-16|本尤德科（Bunyodkor）|纳萨夫（Nasaf Qarshi）</x:v>
      </x:c>
      <x:c r="B743" s="66" t="n">
        <x:v>46219.958333333336</x:v>
      </x:c>
      <x:c r="C743" s="65" t="str">
        <x:v>乌兹别克斯坦超级联赛</x:v>
      </x:c>
      <x:c r="D743" s="65" t="str">
        <x:v>本尤德科（Bunyodkor）</x:v>
      </x:c>
      <x:c r="E743" s="65" t="str">
        <x:v>纳萨夫（Nasaf Qarshi）</x:v>
      </x:c>
      <x:c r="F743" s="65" t="str">
        <x:v>只观察｜倾向受让方 +0.25；胜负价格接近，亚洲盘未取得</x:v>
      </x:c>
      <x:c r="G743" s="65" t="str">
        <x:v>只观察｜倾向小2.75；正式赛事先取谨慎基线，总盘未取得</x:v>
      </x:c>
      <x:c r="H743" s="65" t="str">
        <x:v>待首发、近况主客拆分与可靠亚洲双盘；任一市场欧赔&lt;1.80/港水&lt;0.80不进；无条件不加仓</x:v>
      </x:c>
      <x:c r="I743" s="66" t="n">
        <x:v>46219.791666666664</x:v>
      </x:c>
      <x:c r="J743" s="65" t="str">
        <x:v>已结算</x:v>
      </x:c>
      <x:c r="K743" s="65" t="str">
        <x:v>1-3</x:v>
      </x:c>
      <x:c r="L743" s="65" t="str">
        <x:v>未执行（只观察）</x:v>
      </x:c>
      <x:c r="M743" s="65" t="str">
        <x:v>未执行（只观察）</x:v>
      </x:c>
      <x:c r="N743" s="67"/>
      <x:c r="O743" s="67"/>
      <x:c r="P743" s="67" t="str">
        <x:f>IF(COUNT(N743:O743)=0,"",SUM(N743:O743))</x:f>
      </x:c>
      <x:c r="Q743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3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2.95/客胜2.31，纳萨夫（Nasaf Qarshi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1-3；赛前两市场均为只观察/无正式方向，不计注数与盈亏。LiveScore与TipsterArea终场比分相互印证。</x:v>
      </x:c>
    </x:row>
    <x:row r="744" ht="38" customHeight="1">
      <x:c r="A744" s="65" t="str">
        <x:f>IF(B744="","",TEXT(B744,"yyyy-mm-dd")&amp;"|"&amp;D744&amp;"|"&amp;E744)</x:f>
        <x:v>2026-07-16|费尔干纳石油工人（Neftchi Fergana）|布哈拉（Buxoro）</x:v>
      </x:c>
      <x:c r="B744" s="66" t="n">
        <x:v>46219.958333333336</x:v>
      </x:c>
      <x:c r="C744" s="65" t="str">
        <x:v>乌兹别克斯坦超级联赛</x:v>
      </x:c>
      <x:c r="D744" s="65" t="str">
        <x:v>费尔干纳石油工人（Neftchi Fergana）</x:v>
      </x:c>
      <x:c r="E744" s="65" t="str">
        <x:v>布哈拉（Buxoro）</x:v>
      </x:c>
      <x:c r="F744" s="65" t="str">
        <x:v>只观察｜倾向费尔干纳石油工人（Neftchi Fergana） -1.25；仅1X2价格支持，亚洲盘未取得</x:v>
      </x:c>
      <x:c r="G744" s="65" t="str">
        <x:v>只观察｜倾向小2.75；正式赛事先取谨慎基线，总盘未取得</x:v>
      </x:c>
      <x:c r="H744" s="65" t="str">
        <x:v>待首发、近况主客拆分与可靠亚洲双盘；任一市场欧赔&lt;1.80/港水&lt;0.80不进；无条件不加仓</x:v>
      </x:c>
      <x:c r="I744" s="66" t="n">
        <x:v>46219.791666666664</x:v>
      </x:c>
      <x:c r="J744" s="65" t="str">
        <x:v>已结算</x:v>
      </x:c>
      <x:c r="K744" s="65" t="str">
        <x:v>2-1</x:v>
      </x:c>
      <x:c r="L744" s="65" t="str">
        <x:v>未执行（只观察）</x:v>
      </x:c>
      <x:c r="M744" s="65" t="str">
        <x:v>未执行（只观察）</x:v>
      </x:c>
      <x:c r="N744" s="67"/>
      <x:c r="O744" s="67"/>
      <x:c r="P744" s="67" t="str">
        <x:f>IF(COUNT(N744:O744)=0,"",SUM(N744:O744))</x:f>
      </x:c>
      <x:c r="Q744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4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1.28/客胜9.36，费尔干纳石油工人（Neftchi Fergan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745" ht="38" customHeight="1">
      <x:c r="A745" s="65" t="str">
        <x:f>IF(B745="","",TEXT(B745,"yyyy-mm-dd")&amp;"|"&amp;D745&amp;"|"&amp;E745)</x:f>
        <x:v>2026-07-16|索格迪亚纳（Sogdiana）|花拉子米（Xorazm Urganch）</x:v>
      </x:c>
      <x:c r="B745" s="66" t="n">
        <x:v>46219.958333333336</x:v>
      </x:c>
      <x:c r="C745" s="65" t="str">
        <x:v>乌兹别克斯坦超级联赛</x:v>
      </x:c>
      <x:c r="D745" s="65" t="str">
        <x:v>索格迪亚纳（Sogdiana）</x:v>
      </x:c>
      <x:c r="E745" s="65" t="str">
        <x:v>花拉子米（Xorazm Urganch）</x:v>
      </x:c>
      <x:c r="F745" s="65" t="str">
        <x:v>只观察｜倾向索格迪亚纳（Sogdiana） -0.25；亚洲盘与水位待核对</x:v>
      </x:c>
      <x:c r="G745" s="65" t="str">
        <x:v>只观察｜倾向小2.75；正式赛事先取谨慎基线，总盘未取得</x:v>
      </x:c>
      <x:c r="H745" s="65" t="str">
        <x:v>待首发、近况主客拆分与可靠亚洲双盘；任一市场欧赔&lt;1.80/港水&lt;0.80不进；无条件不加仓</x:v>
      </x:c>
      <x:c r="I745" s="66" t="n">
        <x:v>46219.791666666664</x:v>
      </x:c>
      <x:c r="J745" s="65" t="str">
        <x:v>已结算</x:v>
      </x:c>
      <x:c r="K745" s="65" t="str">
        <x:v>2-0</x:v>
      </x:c>
      <x:c r="L745" s="65" t="str">
        <x:v>未执行（只观察）</x:v>
      </x:c>
      <x:c r="M745" s="65" t="str">
        <x:v>未执行（只观察）</x:v>
      </x:c>
      <x:c r="N745" s="67"/>
      <x:c r="O745" s="67"/>
      <x:c r="P745" s="67" t="str">
        <x:f>IF(COUNT(N745:O745)=0,"",SUM(N745:O745))</x:f>
      </x:c>
      <x:c r="Q745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5" s="65" t="str">
        <x:v>证据卡：正式联赛或杯赛背景，积分/晋级动机成立，但逐队战意仍待官方确认。赛程身份和北京时间已由多来源日历/赛事页核对。双方最近5场、主客拆分、完整伤停、确认首发和稳定阵型未从可访问来源完整取得，均记为待确认；不得伪装成已确认。可见1X2参考主胜1.8/客胜4.04，索格迪亚纳（Sogdiana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-0；赛前两市场均为只观察/无正式方向，不计注数与盈亏。LiveScore与TipsterArea终场比分相互印证。</x:v>
      </x:c>
    </x:row>
    <x:row r="746" ht="38" customHeight="1">
      <x:c r="A746" s="65" t="str">
        <x:f>IF(B746="","",TEXT(B746,"yyyy-mm-dd")&amp;"|"&amp;D746&amp;"|"&amp;E746)</x:f>
        <x:v>2026-07-16|切尔卡瑟LNZ（LNZ Cherkasy）|哥兹塔比（Goztepe）</x:v>
      </x:c>
      <x:c r="B746" s="66" t="n">
        <x:v>46219.958333333336</x:v>
      </x:c>
      <x:c r="C746" s="65" t="str">
        <x:v>国际俱乐部友谊赛</x:v>
      </x:c>
      <x:c r="D746" s="65" t="str">
        <x:v>切尔卡瑟LNZ（LNZ Cherkasy）</x:v>
      </x:c>
      <x:c r="E746" s="65" t="str">
        <x:v>哥兹塔比（Goztepe）</x:v>
      </x:c>
      <x:c r="F746" s="65" t="str">
        <x:v>只观察｜倾向受让方 +0.25；胜负价格接近，亚洲盘未取得</x:v>
      </x:c>
      <x:c r="G746" s="65" t="str">
        <x:v>只观察｜倾向大2.75；轮换与磨合可能放大开放度，但总盘未取得</x:v>
      </x:c>
      <x:c r="H746" s="65" t="str">
        <x:v>待首发、近况主客拆分与可靠亚洲双盘；任一市场欧赔&lt;1.80/港水&lt;0.80不进；无条件不加仓</x:v>
      </x:c>
      <x:c r="I746" s="66" t="n">
        <x:v>46219.791666666664</x:v>
      </x:c>
      <x:c r="J746" s="65" t="str">
        <x:v>已结算</x:v>
      </x:c>
      <x:c r="K746" s="65" t="str">
        <x:v>0-2</x:v>
      </x:c>
      <x:c r="L746" s="65" t="str">
        <x:v>未执行（只观察）</x:v>
      </x:c>
      <x:c r="M746" s="65" t="str">
        <x:v>未执行（只观察）</x:v>
      </x:c>
      <x:c r="N746" s="67"/>
      <x:c r="O746" s="67"/>
      <x:c r="P746" s="67" t="str">
        <x:f>IF(COUNT(N746:O746)=0,"",SUM(N746:O746))</x:f>
      </x:c>
      <x:c r="Q746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6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2.79/客胜2.35，哥兹塔比（Goztepe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-2；赛前两市场均为只观察/无正式方向，不计注数与盈亏。LiveScore与TipsterArea终场比分相互印证。</x:v>
      </x:c>
    </x:row>
    <x:row r="747" ht="38" customHeight="1">
      <x:c r="A747" s="65" t="str">
        <x:f>IF(B747="","",TEXT(B747,"yyyy-mm-dd")&amp;"|"&amp;D747&amp;"|"&amp;E747)</x:f>
        <x:v>2026-07-16|奥胡斯弗雷马德（Aarhus Fremad）|布拉布兰德（Brabrand）</x:v>
      </x:c>
      <x:c r="B747" s="66" t="n">
        <x:v>46219.916666666664</x:v>
      </x:c>
      <x:c r="C747" s="65" t="str">
        <x:v>国际俱乐部友谊赛</x:v>
      </x:c>
      <x:c r="D747" s="65" t="str">
        <x:v>奥胡斯弗雷马德（Aarhus Fremad）</x:v>
      </x:c>
      <x:c r="E747" s="65" t="str">
        <x:v>布拉布兰德（Brabrand）</x:v>
      </x:c>
      <x:c r="F747" s="65" t="str">
        <x:v>只观察｜倾向奥胡斯弗雷马德（Aarhus Fremad） -0.25；亚洲盘与水位待核对</x:v>
      </x:c>
      <x:c r="G747" s="65" t="str">
        <x:v>只观察｜倾向大2.75；轮换与磨合可能放大开放度，但总盘未取得</x:v>
      </x:c>
      <x:c r="H747" s="65" t="str">
        <x:v>待首发、近况主客拆分与可靠亚洲双盘；任一市场欧赔&lt;1.80/港水&lt;0.80不进；无条件不加仓</x:v>
      </x:c>
      <x:c r="I747" s="66" t="n">
        <x:v>46219.791666666664</x:v>
      </x:c>
      <x:c r="J747" s="65" t="str">
        <x:v>已结算</x:v>
      </x:c>
      <x:c r="K747" s="65" t="str">
        <x:v>2-0</x:v>
      </x:c>
      <x:c r="L747" s="65" t="str">
        <x:v>未执行（只观察）</x:v>
      </x:c>
      <x:c r="M747" s="65" t="str">
        <x:v>未执行（只观察）</x:v>
      </x:c>
      <x:c r="N747" s="67"/>
      <x:c r="O747" s="67"/>
      <x:c r="P747" s="67" t="str">
        <x:f>IF(COUNT(N747:O747)=0,"",SUM(N747:O747))</x:f>
      </x:c>
      <x:c r="Q747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7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1.65/客胜4.45，奥胡斯弗雷马德（Aarhus Fremad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-0；赛前两市场均为只观察/无正式方向，不计注数与盈亏。LiveScore与TipsterArea终场比分相互印证。</x:v>
      </x:c>
    </x:row>
    <x:row r="748" ht="38" customHeight="1">
      <x:c r="A748" s="65" t="str">
        <x:f>IF(B748="","",TEXT(B748,"yyyy-mm-dd")&amp;"|"&amp;D748&amp;"|"&amp;E748)</x:f>
        <x:v>2026-07-16|哥本哈根（FC Copenhagen）|维堡（Viborg）</x:v>
      </x:c>
      <x:c r="B748" s="66" t="n">
        <x:v>46219.833333333336</x:v>
      </x:c>
      <x:c r="C748" s="65" t="str">
        <x:v>国际俱乐部友谊赛</x:v>
      </x:c>
      <x:c r="D748" s="65" t="str">
        <x:v>哥本哈根（FC Copenhagen）</x:v>
      </x:c>
      <x:c r="E748" s="65" t="str">
        <x:v>维堡（Viborg）</x:v>
      </x:c>
      <x:c r="F748" s="65" t="str">
        <x:v>只观察｜倾向哥本哈根（FC Copenhagen） -0.25；亚洲盘与水位待核对</x:v>
      </x:c>
      <x:c r="G748" s="65" t="str">
        <x:v>只观察｜倾向大2.75；轮换与磨合可能放大开放度，但总盘未取得</x:v>
      </x:c>
      <x:c r="H748" s="65" t="str">
        <x:v>待首发、近况主客拆分与可靠亚洲双盘；任一市场欧赔&lt;1.80/港水&lt;0.80不进；无条件不加仓</x:v>
      </x:c>
      <x:c r="I748" s="66" t="n">
        <x:v>46219.791666666664</x:v>
      </x:c>
      <x:c r="J748" s="65" t="str">
        <x:v>已结算</x:v>
      </x:c>
      <x:c r="K748" s="65" t="str">
        <x:v>2-1</x:v>
      </x:c>
      <x:c r="L748" s="65" t="str">
        <x:v>未执行（只观察）</x:v>
      </x:c>
      <x:c r="M748" s="65" t="str">
        <x:v>未执行（只观察）</x:v>
      </x:c>
      <x:c r="N748" s="67"/>
      <x:c r="O748" s="67"/>
      <x:c r="P748" s="67" t="str">
        <x:f>IF(COUNT(N748:O748)=0,"",SUM(N748:O748))</x:f>
      </x:c>
      <x:c r="Q748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8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1.66/客胜4.04，哥本哈根（FC Copenhagen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2-1；赛前两市场均为只观察/无正式方向，不计注数与盈亏。LiveScore与TipsterArea终场比分相互印证。</x:v>
      </x:c>
    </x:row>
    <x:row r="749" ht="38" customHeight="1">
      <x:c r="A749" s="65" t="str">
        <x:f>IF(B749="","",TEXT(B749,"yyyy-mm-dd")&amp;"|"&amp;D749&amp;"|"&amp;E749)</x:f>
        <x:v>2026-07-16|普斯卡什学院（Puskas Academy）|伊斯坦布尔巴萨克赛尔（Istanbul Basaksehir）</x:v>
      </x:c>
      <x:c r="B749" s="66" t="n">
        <x:v>46219.833333333336</x:v>
      </x:c>
      <x:c r="C749" s="65" t="str">
        <x:v>国际俱乐部友谊赛</x:v>
      </x:c>
      <x:c r="D749" s="65" t="str">
        <x:v>普斯卡什学院（Puskas Academy）</x:v>
      </x:c>
      <x:c r="E749" s="65" t="str">
        <x:v>伊斯坦布尔巴萨克赛尔（Istanbul Basaksehir）</x:v>
      </x:c>
      <x:c r="F749" s="65" t="str">
        <x:v>只观察｜倾向受让方 +0.25；胜负价格接近，亚洲盘未取得</x:v>
      </x:c>
      <x:c r="G749" s="65" t="str">
        <x:v>只观察｜倾向大2.75；轮换与磨合可能放大开放度，但总盘未取得</x:v>
      </x:c>
      <x:c r="H749" s="65" t="str">
        <x:v>待首发、近况主客拆分与可靠亚洲双盘；任一市场欧赔&lt;1.80/港水&lt;0.80不进；无条件不加仓</x:v>
      </x:c>
      <x:c r="I749" s="66" t="n">
        <x:v>46219.791666666664</x:v>
      </x:c>
      <x:c r="J749" s="65" t="str">
        <x:v>已结算</x:v>
      </x:c>
      <x:c r="K749" s="65" t="str">
        <x:v>0-2</x:v>
      </x:c>
      <x:c r="L749" s="65" t="str">
        <x:v>未执行（只观察）</x:v>
      </x:c>
      <x:c r="M749" s="65" t="str">
        <x:v>未执行（只观察）</x:v>
      </x:c>
      <x:c r="N749" s="67"/>
      <x:c r="O749" s="67"/>
      <x:c r="P749" s="67" t="str">
        <x:f>IF(COUNT(N749:O749)=0,"",SUM(N749:O749))</x:f>
      </x:c>
      <x:c r="Q749" s="65" t="str">
        <x:v>LiveScore：https://www.livescore.mobi/football/2026-07-16/、https://www.livescore.mobi/football/2026-07-17/；TipsterArea：https://tipsterarea.com/matches/date-16-07-2026、https://tipsterarea.com/matches/date-17-07-2026；查询时间：2026-07-17 23:45（北京时间）</x:v>
      </x:c>
      <x:c r="R749" s="65" t="str">
        <x:v>证据卡：季前/热身背景，轮换和比赛强度不确定。赛程身份和北京时间已由多来源日历/赛事页核对。双方最近5场、主客拆分、完整伤停、确认首发和稳定阵型未从可访问来源完整取得，均记为待确认；不得伪装成已确认。可见1X2参考主胜3.43/客胜1.91，伊斯坦布尔巴萨克赛尔（Istanbul Basaksehir）价格更低；这不是亚洲盘证据。让球初盘/轨迹与大小球初盘/轨迹均不足，未取得可靠港水，低于0.80（欧赔1.80）一律不进。战术仅保留一般性判断：优势方更可能承担控球，受让方偏转换/定位球，不能替代逐队数据。反证①首发与轮换未知；②单一价格/赛程源可能失真；③盘口临场可能逆向。置信：低；正式方向：无；状态：需复核。｜结算：终场0-2；赛前两市场均为只观察/无正式方向，不计注数与盈亏。LiveScore与TipsterArea终场比分相互印证。</x:v>
      </x:c>
    </x:row>
    <x:row r="750" ht="38" customHeight="1">
      <x:c r="A750" s="65" t="str">
        <x:f>IF(B750="","",TEXT(B750,"yyyy-mm-dd")&amp;"|"&amp;D750&amp;"|"&amp;E750)</x:f>
        <x:v>2026-07-16|富勒姆联（Fulham United）|坎伯兰联（Cumberland United）</x:v>
      </x:c>
      <x:c r="B750" s="66" t="n">
        <x:v>46219.73958333333</x:v>
      </x:c>
      <x:c r="C750" s="65" t="str">
        <x:v>澳大利亚南澳州甲级联赛</x:v>
      </x:c>
      <x:c r="D750" s="65" t="str">
        <x:v>富勒姆联（Fulham United）</x:v>
      </x:c>
      <x:c r="E750" s="65" t="str">
        <x:v>坎伯兰联（Cumberland United）</x:v>
      </x:c>
      <x:c r="F750" s="65" t="str">
        <x:v>只观察｜倾向富勒姆联 -0.5；排名2对7、近5场4胜1平，主胜约1.54-1.85</x:v>
      </x:c>
      <x:c r="G750" s="65" t="str">
        <x:v>只观察｜倾向大2.5；参考1.42-1.45明显低价，低于1.80不进</x:v>
      </x:c>
      <x:c r="H750" s="65" t="str">
        <x:v>待首发和亚洲让球盘；主-0.5≥1.85才复核；大球低水不进，不加仓</x:v>
      </x:c>
      <x:c r="I750" s="66" t="n">
        <x:v>46218.86458333333</x:v>
      </x:c>
      <x:c r="J750" s="65" t="str">
        <x:v>已结算</x:v>
      </x:c>
      <x:c r="K750" s="65" t="str">
        <x:v>1-3</x:v>
      </x:c>
      <x:c r="L750" s="65" t="str">
        <x:v>不计（只观察未执行）</x:v>
      </x:c>
      <x:c r="M750" s="65" t="str">
        <x:v>不计（只观察未执行）</x:v>
      </x:c>
      <x:c r="N750" s="67"/>
      <x:c r="O750" s="67"/>
      <x:c r="P750" s="67" t="str">
        <x:f>IF(COUNT(N750:O750)=0,"",SUM(N750:O750))</x:f>
      </x:c>
      <x:c r="Q750" s="65" t="str">
        <x:v>赛程/排名｜https://www.sofascore.com/football/match/fulham-united-cumberland-united/FrLsRXUc；近况/总盘｜https://www.betbrain.com/nz/football-predictions/fulham-united-fc-vs-cumberland-united-south-australia-state-league-1-2026-16-07-2026；H2H/赔率｜https://footystats.org/australia/cumberland-united-fc-vs-fulham-united-fc-h2h-stats；查询时间：2026-07-15 20:45（北京时间） | 赛果源1：https://www.livescore.mobi/football/2026-07-15/ | 查询时间：2026-07-16 23:40（北京时间）</x:v>
      </x:c>
      <x:c r="R750" s="65" t="str">
        <x:v>证据卡：南澳州甲，富勒姆联排名2、坎伯兰联第7。近5场富勒姆4胜1平，坎伯兰3胜2负；但近5次交锋坎伯兰赢3场，形成反证。完整主客拆分、伤停和确认首发未取得。富勒姆联近期推进效率更高，坎伯兰在对位历史上有办法。主胜约1.54-1.85；大2.5约1.42-1.45属低价，亚洲让球轨迹不足。反证①H2H客队占优；②低级别阵容信息稀缺；③大球过热。置信：中低；正式方向：无。｜结算：90分钟终场1-3；赛前仅为只观察/无正式方向，未执行，让球与大小球均不计注数及盈亏。</x:v>
      </x:c>
    </x:row>
    <x:row r="751" ht="38" customHeight="1">
      <x:c r="A751" s="65" t="str">
        <x:f>IF(B751="","",TEXT(B751,"yyyy-mm-dd")&amp;"|"&amp;D751&amp;"|"&amp;E751)</x:f>
        <x:v>2026-07-16|皇家盐湖城（Real Salt Lake）|伯恩利（Burnley）</x:v>
      </x:c>
      <x:c r="B751" s="66" t="n">
        <x:v>46219.41666666667</x:v>
      </x:c>
      <x:c r="C751" s="65" t="str">
        <x:v>国际俱乐部友谊赛</x:v>
      </x:c>
      <x:c r="D751" s="65" t="str">
        <x:v>皇家盐湖城（Real Salt Lake）</x:v>
      </x:c>
      <x:c r="E751" s="65" t="str">
        <x:v>伯恩利（Burnley）</x:v>
      </x:c>
      <x:c r="F751" s="65" t="str">
        <x:v>只观察｜倾向皇家盐湖城 0；主队处于赛季中且有高原/旅行优势，市场主胜约2.28-2.48</x:v>
      </x:c>
      <x:c r="G751" s="65" t="str">
        <x:v>只观察｜倾向大2.5；RSL近期样本71%大2.5、伯恩利40%，优势有限</x:v>
      </x:c>
      <x:c r="H751" s="65" t="str">
        <x:v>预计阵容非确认；首发与亚洲平手≥1.85才复核；不加仓</x:v>
      </x:c>
      <x:c r="I751" s="66" t="n">
        <x:v>46218.86458333333</x:v>
      </x:c>
      <x:c r="J751" s="65" t="str">
        <x:v>已结算</x:v>
      </x:c>
      <x:c r="K751" s="65" t="str">
        <x:v>4-1</x:v>
      </x:c>
      <x:c r="L751" s="65" t="str">
        <x:v>不计（只观察未执行）</x:v>
      </x:c>
      <x:c r="M751" s="65" t="str">
        <x:v>不计（只观察未执行）</x:v>
      </x:c>
      <x:c r="N751" s="67"/>
      <x:c r="O751" s="67"/>
      <x:c r="P751" s="67" t="str">
        <x:f>IF(COUNT(N751:O751)=0,"",SUM(N751:O751))</x:f>
      </x:c>
      <x:c r="Q751" s="65" t="str">
        <x:v>赛程｜https://www.fotmob.com/matches/real-salt-lake-vs-burnley/1t6ry2；状态/赔率｜https://tips.gg/article/real-salt-lake-vs-burnley-16-07-2026/；预计阵容｜https://news.7msport.com/news/newsdata/20260714/257795.shtml；进球趋势｜https://dailysports.net/stat/football/burnley-vs-real-salt-lake/；查询时间：2026-07-15 20:45（北京时间） | 赛果源1：https://www.livescore.mobi/football/2026-07-15/ | 赛果源2：https://www.rsl.com/news/real-salt-lake-earns-dominant-4-1-win-over-burnley-fc-in-friendly-prior-to-mls-return | 查询时间：2026-07-16 23:40（北京时间）</x:v>
      </x:c>
      <x:c r="R751" s="65" t="str">
        <x:v>证据卡：跨洲友谊赛，RSL处于MLS赛季中并有盐湖城高原、主场与旅行优势；伯恩利处于季前。公开预计阵容列RSL MacMath、Luna、Arango等，伯恩利Trafford、Cullen、Foster等，但均非确认首发。RSL更适合快速转换，伯恩利可能以控球磨合为主。主胜约2.28-2.48；进球样本RSL大2.5 71%、伯恩利40%，亚洲轨迹不足。反证①英格兰球队个人能力；②预计阵容可能大变；③友谊赛强度。置信：中低；正式方向：无。｜结算：90分钟终场4-1；赛前仅为只观察/无正式方向，未执行，让球与大小球均不计注数及盈亏。</x:v>
      </x:c>
    </x:row>
    <x:row r="752" ht="38" customHeight="1">
      <x:c r="A752" s="65" t="str">
        <x:f>IF(B752="","",TEXT(B752,"yyyy-mm-dd")&amp;"|"&amp;D752&amp;"|"&amp;E752)</x:f>
        <x:v>2026-07-16|巴塞罗那SC（Barcelona SC）|瓜亚基尔城（Guayaquil City）</x:v>
      </x:c>
      <x:c r="B752" s="66" t="n">
        <x:v>46219.35416666667</x:v>
      </x:c>
      <x:c r="C752" s="65" t="str">
        <x:v>厄瓜多尔甲级联赛（LigaPro Serie A）</x:v>
      </x:c>
      <x:c r="D752" s="65" t="str">
        <x:v>巴塞罗那SC（Barcelona SC）</x:v>
      </x:c>
      <x:c r="E752" s="65" t="str">
        <x:v>瓜亚基尔城（Guayaquil City）</x:v>
      </x:c>
      <x:c r="F752" s="65" t="str">
        <x:v>只观察｜倾向巴塞罗那SC -0.75；主胜约1.57，主场近13次交锋6胜3平4负</x:v>
      </x:c>
      <x:c r="G752" s="65" t="str">
        <x:v>只观察｜倾向小3.0；双方样本大2.5均值约36%，巴塞罗那近5场60%小2.5</x:v>
      </x:c>
      <x:c r="H752" s="65" t="str">
        <x:v>待确认首发和亚洲让球；主胜低价不进，盘口≥1.85才复核；不加仓</x:v>
      </x:c>
      <x:c r="I752" s="66" t="n">
        <x:v>46218.86458333333</x:v>
      </x:c>
      <x:c r="J752" s="65" t="str">
        <x:v>已结算</x:v>
      </x:c>
      <x:c r="K752" s="65" t="str">
        <x:v>1-1</x:v>
      </x:c>
      <x:c r="L752" s="65" t="str">
        <x:v>不计（只观察未执行）</x:v>
      </x:c>
      <x:c r="M752" s="65" t="str">
        <x:v>不计（只观察未执行）</x:v>
      </x:c>
      <x:c r="N752" s="67"/>
      <x:c r="O752" s="67"/>
      <x:c r="P752" s="67" t="str">
        <x:f>IF(COUNT(N752:O752)=0,"",SUM(N752:O752))</x:f>
      </x:c>
      <x:c r="Q752" s="65" t="str">
        <x:v>交锋｜https://oddspedia.com/us/soccer/barcelona-sc-guayaquil-city-fc-134070；进球数据｜https://footystats.org/ecuador/guayaquil-city-fc-vs-barcelona-sc-h2h-stats；近期趋势｜https://realsportsinsider.com/football/prediction-barcelona-sc-vs-guayaquil-city-15-07-2026；查询时间：2026-07-15 20:45（北京时间） | 赛果源1：https://www.livescore.mobi/football/2026-07-15/ | 查询时间：2026-07-16 23:40（北京时间）</x:v>
      </x:c>
      <x:c r="R752" s="65" t="str">
        <x:v>证据卡：厄瓜多尔甲。巴塞罗那主场近13次对瓜亚基尔城6胜3平4负；模型主胜约56.7%、赔率约1.57。双方近期进球样本大2.5约38%/33%、BTTS均值42%，整体偏低。确认伤停、首发及完整主客拆分未取得。巴塞罗那更有阵地控制，瓜亚基尔城可用转换。亚洲主盘及初盘轨迹不足。反证①主场H2H优势并非压倒性；②本季交锋有0-0；③主胜低价。置信：中低；正式方向：无。｜结算：90分钟终场1-1；赛前仅为只观察/无正式方向，未执行，让球与大小球均不计注数及盈亏。</x:v>
      </x:c>
    </x:row>
    <x:row r="753" ht="38" customHeight="1">
      <x:c r="A753" s="65" t="str">
        <x:f>IF(B753="","",TEXT(B753,"yyyy-mm-dd")&amp;"|"&amp;D753&amp;"|"&amp;E753)</x:f>
        <x:v>2026-07-16|哥谭FC（Gotham FC）|华盛顿精神（Washington Spirit）</x:v>
      </x:c>
      <x:c r="B753" s="66" t="n">
        <x:v>46219.33333333333</x:v>
      </x:c>
      <x:c r="C753" s="65" t="str">
        <x:v>美国国家女子足球联赛（NWSL）</x:v>
      </x:c>
      <x:c r="D753" s="65" t="str">
        <x:v>哥谭FC（Gotham FC）</x:v>
      </x:c>
      <x:c r="E753" s="65" t="str">
        <x:v>华盛顿精神（Washington Spirit）</x:v>
      </x:c>
      <x:c r="F753" s="65" t="str">
        <x:v>只观察｜倾向哥谭FC 0；Citi Field主场、逾4万观众及新援/回归增强，但对手历史交锋占优</x:v>
      </x:c>
      <x:c r="G753" s="65" t="str">
        <x:v>只观察｜倾向小2.75；2025决赛1-0且强强对抗，进攻回归人员构成反证</x:v>
      </x:c>
      <x:c r="H753" s="65" t="str">
        <x:v>待确认Sam Kerr、O'Sullivan与Lavelle实际首发；平手≥1.85才复核；不加仓</x:v>
      </x:c>
      <x:c r="I753" s="66" t="n">
        <x:v>46218.86458333333</x:v>
      </x:c>
      <x:c r="J753" s="65" t="str">
        <x:v>已结算</x:v>
      </x:c>
      <x:c r="K753" s="65" t="str">
        <x:v>1-0</x:v>
      </x:c>
      <x:c r="L753" s="65" t="str">
        <x:v>不计（只观察未执行）</x:v>
      </x:c>
      <x:c r="M753" s="65" t="str">
        <x:v>不计（只观察未执行）</x:v>
      </x:c>
      <x:c r="N753" s="67"/>
      <x:c r="O753" s="67"/>
      <x:c r="P753" s="67" t="str">
        <x:f>IF(COUNT(N753:O753)=0,"",SUM(N753:O753))</x:f>
      </x:c>
      <x:c r="Q753" s="65" t="str">
        <x:v>比赛背景/人员｜https://nypost.com/2026/07/15/sports/gotham-fc-writing-history-moving-franchise-forward-with-citi-field-match/；赛事背景｜https://www.allforxi.com/nwsl/16157/gotham-fc-vs-washington-spirit-the-queens-classic-at-citi-field-break-new-york-city-attendance-record-for-womens-sporting-event-new-york-mets；交锋/伤停入口｜https://www.fotmob.com/matches/gotham-fc-vs-washington-spirit/2gzkzwps；上届决赛｜https://www.reuters.com/sports/soccer/lavelles-late-strike-earns-underdogs-gotham-second-nwsl-title-2025-11-23/；查询时间：2026-07-15 20:45（北京时间） | 赛果源1：https://www.livescore.mobi/football/2026-07-15/ | 赛果源2：https://www.reuters.com/sports/soccer/gotham-v-spirit-clash-draws-record-new-york-crowd-womens-sports-2026-07-16/ | 查询时间：2026-07-16 23:40（北京时间）</x:v>
      </x:c>
      <x:c r="R753" s="65" t="str">
        <x:v>证据卡：Queens Classic在Citi Field举行，售票逾4万，是2025 NWSL决赛重演。哥谭迎来Sam Kerr回归与O'Sullivan加入，但Lavelle合同/出场状态需确认；华盛顿完整伤停和首发待确认。历史H2H哥谭10胜、华盛顿16胜、9平；2025决赛哥谭1-0。两队都具备高强度压迫与快速前锋。可靠亚洲双盘与轨迹未取得。反证①华盛顿历史对位占优；②哥谭新援磨合；③大场面节奏可能开放。置信：中低；正式方向：无。｜结算：90分钟终场1-0；赛前仅为只观察/无正式方向，未执行，让球与大小球均不计注数及盈亏。</x:v>
      </x:c>
    </x:row>
    <x:row r="754" ht="38" customHeight="1">
      <x:c r="A754" s="65" t="str">
        <x:f>IF(B754="","",TEXT(B754,"yyyy-mm-dd")&amp;"|"&amp;D754&amp;"|"&amp;E754)</x:f>
        <x:v>2026-07-16|最强者（The Strongest）|东方石油（Oriente Petrolero）</x:v>
      </x:c>
      <x:c r="B754" s="66" t="n">
        <x:v>46219.33333333333</x:v>
      </x:c>
      <x:c r="C754" s="65" t="str">
        <x:v>玻利维亚甲级联赛</x:v>
      </x:c>
      <x:c r="D754" s="65" t="str">
        <x:v>最强者（The Strongest）</x:v>
      </x:c>
      <x:c r="E754" s="65" t="str">
        <x:v>东方石油（Oriente Petrolero）</x:v>
      </x:c>
      <x:c r="F754" s="65" t="str">
        <x:v>只观察｜倾向最强者 -1.5；主场高原、H2H和状态占优，但参考1.60为低价</x:v>
      </x:c>
      <x:c r="G754" s="65" t="str">
        <x:v>只观察｜倾向小3.5/双方不进球；BTTS否约1.75低于1.80不进</x:v>
      </x:c>
      <x:c r="H754" s="65" t="str">
        <x:v>让球或大小球价格须≥1.85且首发确认才复核；当前低水不进、不加仓</x:v>
      </x:c>
      <x:c r="I754" s="66" t="n">
        <x:v>46218.86458333333</x:v>
      </x:c>
      <x:c r="J754" s="65" t="str">
        <x:v>已结算</x:v>
      </x:c>
      <x:c r="K754" s="65" t="str">
        <x:v>2-1</x:v>
      </x:c>
      <x:c r="L754" s="65" t="str">
        <x:v>不计（只观察未执行）</x:v>
      </x:c>
      <x:c r="M754" s="65" t="str">
        <x:v>不计（只观察未执行）</x:v>
      </x:c>
      <x:c r="N754" s="67"/>
      <x:c r="O754" s="67"/>
      <x:c r="P754" s="67" t="str">
        <x:f>IF(COUNT(N754:O754)=0,"",SUM(N754:O754))</x:f>
      </x:c>
      <x:c r="Q754" s="65" t="str">
        <x:v>交锋/进球｜https://footystats.org/bolivia/club-the-strongest-vs-cd-oriente-petrolero-h2h-stats；盘口趋势｜https://realsportsinsider.com/football/prediction-the-strongest-vs-oriente-petrolero-15-07-2026；概率｜https://www.wincomparator.com/predictions/the-strongest-oriente-petrolero-8572542/；查询时间：2026-07-15 20:45（北京时间） | 赛果源1：https://www.livescore.mobi/football/2026-07-15/ | 赛果源2：https://www.aiscore.com/en/match-the-strongest-oriente-petrolero/m2q15iz64pwfe76/odds | 查询时间：2026-07-16 23:40（北京时间）</x:v>
      </x:c>
      <x:c r="R754" s="65" t="str">
        <x:v>证据卡：玻利维亚甲，最强者主场高原优势显著。近46次交锋最强者24胜、东方石油12胜、10平，总进球大1.5占85%、大2.5占52%；当前模型主胜约69%。确认伤停与首发未取得。最强者高位压迫和定位球优势明显，东方石油需低位防守。市场-1.5约1.60、BTTS否约1.75均低于阈值。反证①深盘穿盘风险；②东方石油反击；③价格过低。置信：中；正式方向：无。｜结算：90分钟终场2-1；赛前仅为只观察/无正式方向，未执行，让球与大小球均不计注数及盈亏。</x:v>
      </x:c>
    </x:row>
    <x:row r="755" ht="38" customHeight="1">
      <x:c r="A755" s="65" t="str">
        <x:f>IF(B755="","",TEXT(B755,"yyyy-mm-dd")&amp;"|"&amp;D755&amp;"|"&amp;E755)</x:f>
        <x:v>2026-07-16|麦迪逊前锋（Forward Madison FC）|里士满踢球者（Richmond Kickers）</x:v>
      </x:c>
      <x:c r="B755" s="66" t="n">
        <x:v>46219.33333333333</x:v>
      </x:c>
      <x:c r="C755" s="65" t="str">
        <x:v>美国USL甲级联赛（USL League One）</x:v>
      </x:c>
      <x:c r="D755" s="65" t="str">
        <x:v>麦迪逊前锋（Forward Madison FC）</x:v>
      </x:c>
      <x:c r="E755" s="65" t="str">
        <x:v>里士满踢球者（Richmond Kickers）</x:v>
      </x:c>
      <x:c r="F755" s="65" t="str">
        <x:v>只观察｜倾向麦迪逊前锋 -0.75；主胜约1.55-1.63，模型优势明显</x:v>
      </x:c>
      <x:c r="G755" s="65" t="str">
        <x:v>只观察｜倾向大2.5；双方样本大2.5均值69%、BTTS均值63%</x:v>
      </x:c>
      <x:c r="H755" s="65" t="str">
        <x:v>待首发及亚洲主盘；主胜低价不进，让球≥1.85才复核；不加仓</x:v>
      </x:c>
      <x:c r="I755" s="66" t="n">
        <x:v>46218.86458333333</x:v>
      </x:c>
      <x:c r="J755" s="65" t="str">
        <x:v>已结算</x:v>
      </x:c>
      <x:c r="K755" s="65" t="str">
        <x:v>4-0</x:v>
      </x:c>
      <x:c r="L755" s="65" t="str">
        <x:v>不计（只观察未执行）</x:v>
      </x:c>
      <x:c r="M755" s="65" t="str">
        <x:v>不计（只观察未执行）</x:v>
      </x:c>
      <x:c r="N755" s="67"/>
      <x:c r="O755" s="67"/>
      <x:c r="P755" s="67" t="str">
        <x:f>IF(COUNT(N755:O755)=0,"",SUM(N755:O755))</x:f>
      </x:c>
      <x:c r="Q755" s="65" t="str">
        <x:v>赛程｜https://www.fotmob.com/matches/richmond-kickers-vs-forward-madison-fc/ac2mhiyq；进球数据｜https://footystats.org/usa/richmond-kickers-vs-forward-madison-fc-h2h-stats；概率｜https://www.wincomparator.com/predictions/forward-madison-fc-richmond-kickers-8057079/；查询时间：2026-07-15 20:45（北京时间） | 赛果源1：https://www.livescore.mobi/football/2026-07-15/ | 赛果源2：https://www.uslleagueone.com/league-scores | 查询时间：2026-07-16 23:40（北京时间）</x:v>
      </x:c>
      <x:c r="R755" s="65" t="str">
        <x:v>证据卡：USL甲常规赛，麦迪逊主胜模型约64%、赔率约1.55-1.63。进球样本显示麦迪逊大2.5 75%、里士满63%，BTTS均值63%；里士满攻击端赛季均进球约0.86。确认伤停和首发未取得。麦迪逊更可能控制球权并在边路制造机会，里士满依赖Espinal等人的转换。亚洲让球与总盘轨迹不足。反证①主胜低价；②里士满反击；③样本跨主客。置信：中低；正式方向：无。｜结算：90分钟终场4-0；赛前仅为只观察/无正式方向，未执行，让球与大小球均不计注数及盈亏。</x:v>
      </x:c>
    </x:row>
    <x:row r="756" ht="38" customHeight="1">
      <x:c r="A756" s="65" t="str">
        <x:f>IF(B756="","",TEXT(B756,"yyyy-mm-dd")&amp;"|"&amp;D756&amp;"|"&amp;E756)</x:f>
        <x:v>2026-07-16|杰克逊维尔竞技（Sporting JAX）|匹兹堡河犬（Pittsburgh Riverhounds）</x:v>
      </x:c>
      <x:c r="B756" s="66" t="n">
        <x:v>46219.3125</x:v>
      </x:c>
      <x:c r="C756" s="65" t="str">
        <x:v>美国足球冠军联赛（USL Championship）</x:v>
      </x:c>
      <x:c r="D756" s="65" t="str">
        <x:v>杰克逊维尔竞技（Sporting JAX）</x:v>
      </x:c>
      <x:c r="E756" s="65" t="str">
        <x:v>匹兹堡河犬（Pittsburgh Riverhounds）</x:v>
      </x:c>
      <x:c r="F756" s="65" t="str">
        <x:v>只观察｜倾向匹兹堡河犬 -0.5；主队15场0胜4平11负，客胜约1.83-1.87</x:v>
      </x:c>
      <x:c r="G756" s="65" t="str">
        <x:v>只观察｜倾向小3.0；匹兹堡更适合控制比赛，主队攻击/防守数据矛盾</x:v>
      </x:c>
      <x:c r="H756" s="65" t="str">
        <x:v>确认首发且客-0.5≥1.85才复核；无可靠总盘不进；不加仓</x:v>
      </x:c>
      <x:c r="I756" s="66" t="n">
        <x:v>46218.86458333333</x:v>
      </x:c>
      <x:c r="J756" s="65" t="str">
        <x:v>已结算</x:v>
      </x:c>
      <x:c r="K756" s="65" t="str">
        <x:v>2-1</x:v>
      </x:c>
      <x:c r="L756" s="65" t="str">
        <x:v>不计（只观察未执行）</x:v>
      </x:c>
      <x:c r="M756" s="65" t="str">
        <x:v>不计（只观察未执行）</x:v>
      </x:c>
      <x:c r="N756" s="67"/>
      <x:c r="O756" s="67"/>
      <x:c r="P756" s="67" t="str">
        <x:f>IF(COUNT(N756:O756)=0,"",SUM(N756:O756))</x:f>
      </x:c>
      <x:c r="Q756" s="65" t="str">
        <x:v>主队/赔率｜https://oddspedia.com/us/soccer/pittsburgh-riverhounds-sporting-jacksonville-1669663；近期/积分｜https://oddslot.com/scorematch/usl-championship/sporting-jax/pittsburgh-riverhounds/15-jul-2026/；客队官方近况｜https://www.riverhounds.com/；查询时间：2026-07-15 20:45（北京时间） | 赛果源1：https://www.livescore.mobi/football/2026-07-15/ | 赛果源2：https://www.uslchampionship.com/league-scores | 查询时间：2026-07-16 23:40（北京时间）</x:v>
      </x:c>
      <x:c r="R756" s="65" t="str">
        <x:v>证据卡：USL冠军联赛。Sporting JAX 15场0胜4平11负、仅4分；匹兹堡官方最近USL杯2-0击败劳登且市场客胜约1.83-1.87。完整主客拆分、伤停和确认首发未取得。匹兹堡更擅长紧凑防守与耐心推进，主队可能用速度反击。让球具体主盘和总盘历史不足。反证①匹兹堡杯赛后赛程；②主队攻击指标与积分表现不一致；③客胜价格接近阈值。置信：中低；正式方向：无。｜结算：90分钟终场2-1；赛前仅为只观察/无正式方向，未执行，让球与大小球均不计注数及盈亏。</x:v>
      </x:c>
    </x:row>
    <x:row r="757" ht="38" customHeight="1">
      <x:c r="A757" s="65" t="str">
        <x:f>IF(B757="","",TEXT(B757,"yyyy-mm-dd")&amp;"|"&amp;D757&amp;"|"&amp;E757)</x:f>
        <x:v>2026-07-16|新英格兰革命二队（New England Revolution II）|哥伦布机员二队（Columbus Crew II）</x:v>
      </x:c>
      <x:c r="B757" s="66" t="n">
        <x:v>46219.29166666667</x:v>
      </x:c>
      <x:c r="C757" s="65" t="str">
        <x:v>美国MLS Next Pro联赛</x:v>
      </x:c>
      <x:c r="D757" s="65" t="str">
        <x:v>新英格兰革命二队（New England Revolution II）</x:v>
      </x:c>
      <x:c r="E757" s="65" t="str">
        <x:v>哥伦布机员二队（Columbus Crew II）</x:v>
      </x:c>
      <x:c r="F757" s="65" t="str">
        <x:v>只观察｜倾向新英格兰革命二队 0；近期主队走势较好，但本季首回合客队2-1胜</x:v>
      </x:c>
      <x:c r="G757" s="65" t="str">
        <x:v>只观察｜倾向大2.75；双方大2.5均值64%、BTTS均值69%</x:v>
      </x:c>
      <x:c r="H757" s="65" t="str">
        <x:v>待确认名单与亚洲盘；预备队人员流动大，价格≥1.85才复核；不加仓</x:v>
      </x:c>
      <x:c r="I757" s="66" t="n">
        <x:v>46218.86458333333</x:v>
      </x:c>
      <x:c r="J757" s="65" t="str">
        <x:v>已结算</x:v>
      </x:c>
      <x:c r="K757" s="65" t="str">
        <x:v>2-2</x:v>
      </x:c>
      <x:c r="L757" s="65" t="str">
        <x:v>不计（只观察未执行）</x:v>
      </x:c>
      <x:c r="M757" s="65" t="str">
        <x:v>不计（只观察未执行）</x:v>
      </x:c>
      <x:c r="N757" s="67"/>
      <x:c r="O757" s="67"/>
      <x:c r="P757" s="67" t="str">
        <x:f>IF(COUNT(N757:O757)=0,"",SUM(N757:O757))</x:f>
      </x:c>
      <x:c r="Q757" s="65" t="str">
        <x:v>赛程/盘口状态｜https://oddspedia.com/football/new-england-revolution-ii-columbus-crew-ii-944168；进球数据｜https://footystats.org/usa/new-england-revolution-ii-vs-columbus-crew-ii-h2h-stats；近期赛果｜https://betimate.com/en/new-england-revolution-ii-60631/team；查询时间：2026-07-15 20:45（北京时间） | 赛果源1：https://www.livescore.mobi/football/2026-07-15/ | 赛果源2：https://www.livescore.com/en/football/usa/mls-next-pro/new-england-revolution-ii-vs-columbus-crew-ii/1740379/ | 查询时间：2026-07-16 23:40（北京时间）</x:v>
      </x:c>
      <x:c r="R757" s="65" t="str">
        <x:v>证据卡：MLS Next Pro常规赛。进球样本显示双方大2.5约60%/67%、BTTS约60%/78%；新英格兰近期有多场胜利，但2026-04-18哥伦布二队2-1取胜。预备队受一线队征召影响大，确认名单、伤停及稳定主客拆分未取得。双方转换快、后场容错低，利于大球。当前赔率页显示0个有效市场，亚洲双盘未开。反证①人员临时上调；②首回合客队胜；③市场未开。置信：低；正式方向：无。｜结算：90分钟终场2-2；点球大战哥伦布机员二队4-3胜，仅决定附加积分，不计入90分钟比分。赛前仅为只观察，两个市场均未执行、不计盈亏。</x:v>
      </x:c>
    </x:row>
    <x:row r="758" ht="38" customHeight="1">
      <x:c r="A758" s="65" t="str">
        <x:f>IF(B758="","",TEXT(B758,"yyyy-mm-dd")&amp;"|"&amp;D758&amp;"|"&amp;E758)</x:f>
        <x:v>2026-07-16|奥兰多荣耀（Orlando Pride）|波士顿传承（Boston Legacy FC）</x:v>
      </x:c>
      <x:c r="B758" s="66" t="n">
        <x:v>46219.29166666667</x:v>
      </x:c>
      <x:c r="C758" s="65" t="str">
        <x:v>美国国家女子足球联赛（NWSL）</x:v>
      </x:c>
      <x:c r="D758" s="65" t="str">
        <x:v>奥兰多荣耀（Orlando Pride）</x:v>
      </x:c>
      <x:c r="E758" s="65" t="str">
        <x:v>波士顿传承（Boston Legacy FC）</x:v>
      </x:c>
      <x:c r="F758" s="65" t="str">
        <x:v>只观察｜倾向奥兰多荣耀 -0.75；排名8对14，主胜约1.72</x:v>
      </x:c>
      <x:c r="G758" s="65" t="str">
        <x:v>只观察｜倾向大2.5但优势很小；模型大球52%、小球48%，不设正式方向</x:v>
      </x:c>
      <x:c r="H758" s="65" t="str">
        <x:v>待确认国家队回归与首发；让球≥1.85才复核，大小球无价值不进；不加仓</x:v>
      </x:c>
      <x:c r="I758" s="66" t="n">
        <x:v>46218.86458333333</x:v>
      </x:c>
      <x:c r="J758" s="65" t="str">
        <x:v>已结算</x:v>
      </x:c>
      <x:c r="K758" s="65" t="str">
        <x:v>0-1</x:v>
      </x:c>
      <x:c r="L758" s="65" t="str">
        <x:v>不计（只观察未执行）</x:v>
      </x:c>
      <x:c r="M758" s="65" t="str">
        <x:v>不计（只观察未执行）</x:v>
      </x:c>
      <x:c r="N758" s="67"/>
      <x:c r="O758" s="67"/>
      <x:c r="P758" s="67" t="str">
        <x:f>IF(COUNT(N758:O758)=0,"",SUM(N758:O758))</x:f>
      </x:c>
      <x:c r="Q758" s="65" t="str">
        <x:v>赛程/排名｜https://www.sofascore.com/football/match/boston-legacy-fc-orlando-pride/IbLbstcqj；概率/总盘｜https://betmines.com/matches/predictions-orlando-pride-w-boston-legacy-w_19652667；赔率｜https://www.wincomparator.com/predictions/orlando-pride-boston-legacy-fc-8240995/；查询时间：2026-07-15 20:45（北京时间） | 赛果源1：https://www.livescore.mobi/football/2026-07-15/ | 赛果源2：https://www.espn.com/soccer/match/_/gameId/401854065/boston-legacy-fc-orlando-pride | 查询时间：2026-07-16 23:40（北京时间）</x:v>
      </x:c>
      <x:c r="R758" s="65" t="str">
        <x:v>证据卡：NWSL常规赛，奥兰多排名8、波士顿排名14，主胜模型约52%、赔率约1.72。两队本季已交锋1次，但完整赛果、最近5场主客拆分、伤停和确认首发未能全部核验；国家队赛程可能影响可用人员。奥兰多更有中场控制和边路推进，波士顿可在转换中制造机会。总进球模型仅52%偏大，无明显价值。反证①人员回归不确定；②主队排名仅中游；③大小球接近五五开。置信：低；正式方向：无。｜结算：90分钟终场0-1；赛前仅为只观察/无正式方向，未执行，让球与大小球均不计注数及盈亏。</x:v>
      </x:c>
    </x:row>
    <x:row r="759" ht="38" customHeight="1">
      <x:c r="A759" s="65" t="str">
        <x:f>IF(B759="","",TEXT(B759,"yyyy-mm-dd")&amp;"|"&amp;D759&amp;"|"&amp;E759)</x:f>
        <x:v>2026-07-16|列克星敦SC（Lexington SC）|新墨西哥联（New Mexico United）</x:v>
      </x:c>
      <x:c r="B759" s="66" t="n">
        <x:v>46219.29166666667</x:v>
      </x:c>
      <x:c r="C759" s="65" t="str">
        <x:v>美国足球冠军联赛（USL Championship）</x:v>
      </x:c>
      <x:c r="D759" s="65" t="str">
        <x:v>列克星敦SC（Lexington SC）</x:v>
      </x:c>
      <x:c r="E759" s="65" t="str">
        <x:v>新墨西哥联（New Mexico United）</x:v>
      </x:c>
      <x:c r="F759" s="65" t="str">
        <x:v>只观察｜让球无可靠倾向；排名9对4支持客队，但多模型和1X2价格反而偏主队</x:v>
      </x:c>
      <x:c r="G759" s="65" t="str">
        <x:v>只观察｜倾向大2.5；两次交锋总比分3-3、模型大球约56%，优势有限</x:v>
      </x:c>
      <x:c r="H759" s="65" t="str">
        <x:v>先解决排名与市场方向冲突并确认首发；当前不进、不加仓</x:v>
      </x:c>
      <x:c r="I759" s="66" t="n">
        <x:v>46218.86458333333</x:v>
      </x:c>
      <x:c r="J759" s="65" t="str">
        <x:v>已结算</x:v>
      </x:c>
      <x:c r="K759" s="65" t="str">
        <x:v>1-4</x:v>
      </x:c>
      <x:c r="L759" s="65" t="str">
        <x:v>不计（只观察未执行）</x:v>
      </x:c>
      <x:c r="M759" s="65" t="str">
        <x:v>不计（只观察未执行）</x:v>
      </x:c>
      <x:c r="N759" s="67"/>
      <x:c r="O759" s="67"/>
      <x:c r="P759" s="67" t="str">
        <x:f>IF(COUNT(N759:O759)=0,"",SUM(N759:O759))</x:f>
      </x:c>
      <x:c r="Q759" s="65" t="str">
        <x:v>赛程/排名｜https://www.sofascore.com/football/match/lexington-sc-new-mexico-united/GkzcshoJd；比赛数据｜https://www.fotmob.com/en-GB/matches/new-mexico-united-vs-lexington-sc/11sdh3ps0；赔率/概率｜https://www.wincomparator.com/predictions/lexington-sc-new-mexico-united-8057401/；交锋｜https://www.copybet.com/football-tips/Football-USA-USL-Championship-Lexington-SC-New-Mexico-United-15-07-2026/30191908/；查询时间：2026-07-15 20:45（北京时间） | 赛果源1：https://www.livescore.mobi/football/2026-07-15/ | 赛果源2：https://www.uslchampionship.com/league-scores | 查询时间：2026-07-16 23:40（北京时间）</x:v>
      </x:c>
      <x:c r="R759" s="65" t="str">
        <x:v>证据卡：USL冠军联赛，Sofascore列列克星敦第9、新墨西哥第4；但模型给主胜约43%-65%、市场主胜最低约1.74，信息方向冲突。两次近期交锋各胜1场、总比分3-3。双方最近5场、主客拆分、伤停和确认首发未完全取得。列克星敦主场可能主动压迫，新墨西哥更擅长转换。亚洲双盘与轨迹不足。反证①排名与赔率冲突；②小样本交锋；③阵容未知。置信：极低；正式方向：无。｜结算：90分钟终场1-4；赛前仅为只观察/无正式方向，未执行，让球与大小球均不计注数及盈亏。</x:v>
      </x:c>
    </x:row>
    <x:row r="760" ht="38" customHeight="1">
      <x:c r="A760" s="65" t="str">
        <x:f>IF(B760="","",TEXT(B760,"yyyy-mm-dd")&amp;"|"&amp;D760&amp;"|"&amp;E760)</x:f>
        <x:v>2026-07-16|迈阿密FC（Miami FC）|印第十一人（Indy Eleven）</x:v>
      </x:c>
      <x:c r="B760" s="66" t="n">
        <x:v>46219.29166666667</x:v>
      </x:c>
      <x:c r="C760" s="65" t="str">
        <x:v>美国足球冠军联赛（USL Championship）</x:v>
      </x:c>
      <x:c r="D760" s="65" t="str">
        <x:v>迈阿密FC（Miami FC）</x:v>
      </x:c>
      <x:c r="E760" s="65" t="str">
        <x:v>印第十一人（Indy Eleven）</x:v>
      </x:c>
      <x:c r="F760" s="65" t="str">
        <x:v>只观察｜倾向印第十一人 0；排名5对8且近7次交锋全胜，但市场胜负接近</x:v>
      </x:c>
      <x:c r="G760" s="65" t="str">
        <x:v>只观察｜倾向大2.5；迈阿密近10个主场80%大2.5、70%以上BTTS</x:v>
      </x:c>
      <x:c r="H760" s="65" t="str">
        <x:v>待确认首发与亚洲盘；客队平手≥1.85才复核，低价不进；不加仓</x:v>
      </x:c>
      <x:c r="I760" s="66" t="n">
        <x:v>46218.86458333333</x:v>
      </x:c>
      <x:c r="J760" s="65" t="str">
        <x:v>已结算</x:v>
      </x:c>
      <x:c r="K760" s="65" t="str">
        <x:v>2-0</x:v>
      </x:c>
      <x:c r="L760" s="65" t="str">
        <x:v>不计（只观察未执行）</x:v>
      </x:c>
      <x:c r="M760" s="65" t="str">
        <x:v>不计（只观察未执行）</x:v>
      </x:c>
      <x:c r="N760" s="67"/>
      <x:c r="O760" s="67"/>
      <x:c r="P760" s="67" t="str">
        <x:f>IF(COUNT(N760:O760)=0,"",SUM(N760:O760))</x:f>
      </x:c>
      <x:c r="Q760" s="65" t="str">
        <x:v>赛程/积分/H2H｜https://www.365scores.com/football/match/usl-championship-5663/indy-eleven-miami-fc-1366-18932-5663；近期进攻｜https://www.fotmob.com/matches/indy-eleven-vs-miami-fc/9r7tbi2x；主场进球趋势｜https://realsportsinsider.com/football/prediction-miami-fc-vs-indy-eleven-15-07-2026；查询时间：2026-07-15 20:45（北京时间） | 赛果源1：https://www.livescore.mobi/football/2026-07-15/ | 赛果源2：https://www.uslchampionship.com/league-scores | 查询时间：2026-07-16 23:40（北京时间）</x:v>
      </x:c>
      <x:c r="R760" s="65" t="str">
        <x:v>证据卡：USL冠军联赛，印第十一12场21分列第5，迈阿密15场18分列第8；印第十一近7次交锋全胜。近5场进球摘要迈阿密8球、印第十一5球；迈阿密近10主场80%大2.5。确认伤停和首发未取得。迈阿密主场进攻更开放，印第十一在转换和对位历史上占优。1X2模型约33/32/34接近，亚洲盘未审计。反证①市场并未强挺客队；②迈阿密主场进攻；③阵容未知。置信：中低；正式方向：无。｜结算：90分钟终场2-0；赛前仅为只观察/无正式方向，未执行，让球与大小球均不计注数及盈亏。</x:v>
      </x:c>
    </x:row>
    <x:row r="761" ht="38" customHeight="1">
      <x:c r="A761" s="65" t="str">
        <x:f>IF(B761="","",TEXT(B761,"yyyy-mm-dd")&amp;"|"&amp;D761&amp;"|"&amp;E761)</x:f>
        <x:v>2026-07-16|查塔努加红狼（Chattanooga Red Wolves）|AV阿尔塔（AV Alta FC）</x:v>
      </x:c>
      <x:c r="B761" s="66" t="n">
        <x:v>46219.29166666667</x:v>
      </x:c>
      <x:c r="C761" s="65" t="str">
        <x:v>美国USL甲级联赛（USL League One）</x:v>
      </x:c>
      <x:c r="D761" s="65" t="str">
        <x:v>查塔努加红狼（Chattanooga Red Wolves）</x:v>
      </x:c>
      <x:c r="E761" s="65" t="str">
        <x:v>AV阿尔塔（AV Alta FC）</x:v>
      </x:c>
      <x:c r="F761" s="65" t="str">
        <x:v>只观察｜倾向AV阿尔塔 +0.75；积分排名客队第4、主队第10，但主胜市场约1.62-1.70形成冲突</x:v>
      </x:c>
      <x:c r="G761" s="65" t="str">
        <x:v>只观察｜倾向大2.5；参考约1.67属低价，低于1.80不进</x:v>
      </x:c>
      <x:c r="H761" s="65" t="str">
        <x:v>排名与市场冲突未解决前不进；待首发和亚洲让球二源；不加仓</x:v>
      </x:c>
      <x:c r="I761" s="66" t="n">
        <x:v>46218.86458333333</x:v>
      </x:c>
      <x:c r="J761" s="65" t="str">
        <x:v>已结算</x:v>
      </x:c>
      <x:c r="K761" s="65" t="str">
        <x:v>1-0</x:v>
      </x:c>
      <x:c r="L761" s="65" t="str">
        <x:v>不计（只观察未执行）</x:v>
      </x:c>
      <x:c r="M761" s="65" t="str">
        <x:v>不计（只观察未执行）</x:v>
      </x:c>
      <x:c r="N761" s="67"/>
      <x:c r="O761" s="67"/>
      <x:c r="P761" s="67" t="str">
        <x:f>IF(COUNT(N761:O761)=0,"",SUM(N761:O761))</x:f>
      </x:c>
      <x:c r="Q761" s="65" t="str">
        <x:v>赛程/排名｜https://www.sofascore.com/football/match/av-alta-fc-chattanooga-red-wolves-sc/GcAcsTLri；赔率｜https://www.espn.com/soccer/match/_/gameId/401841931/av-alta-fc-chattanooga-red-wolves；积分表｜https://www.whoscored.com/regions/233/tournaments/498/seasons/10987/stages/25047/show/usa-usl-league-one-2026；市场｜https://www.pokerstars.es/en/sports/soccer/1/us-usl-league-one/12324198/chattanooga-red-wolves-sc-v-av-alta-fc/35822911/；查询时间：2026-07-15 20:45（北京时间） | 赛果源1：https://www.livescore.mobi/football/2026-07-15/ | 赛果源2：https://www.uslleagueone.com/league-scores | 查询时间：2026-07-16 23:40（北京时间）</x:v>
      </x:c>
      <x:c r="R761" s="65" t="str">
        <x:v>证据卡：USL甲。积分源列AV Alta第4、查塔努加第10，但市场主胜约1.62-1.70且ESPN显示主队阶段战绩6-1-5，数据口径冲突。两队本季交锋1次；完整近5场、伤停和确认首发未取得。查塔努加主场压迫和净胜球不差，AV Alta整体积分更高，受让方向更有容错。大2.5约1.67属低价。反证①排名口径冲突；②主场市场强势；③亚洲主盘缺失。置信：极低；正式方向：无。｜结算：90分钟终场1-0；赛前仅为只观察/无正式方向，未执行，让球与大小球均不计注数及盈亏。</x:v>
      </x:c>
    </x:row>
    <x:row r="762" ht="38" customHeight="1">
      <x:c r="A762" s="65" t="str">
        <x:f>IF(B762="","",TEXT(B762,"yyyy-mm-dd")&amp;"|"&amp;D762&amp;"|"&amp;E762)</x:f>
        <x:v>2026-07-16|诺克斯维尔联（One Knoxville SC）|韦恩堡（Fort Wayne FC）</x:v>
      </x:c>
      <x:c r="B762" s="66" t="n">
        <x:v>46219.27083333333</x:v>
      </x:c>
      <x:c r="C762" s="65" t="str">
        <x:v>美国USL甲级联赛（USL League One）</x:v>
      </x:c>
      <x:c r="D762" s="65" t="str">
        <x:v>诺克斯维尔联（One Knoxville SC）</x:v>
      </x:c>
      <x:c r="E762" s="65" t="str">
        <x:v>韦恩堡（Fort Wayne FC）</x:v>
      </x:c>
      <x:c r="F762" s="65" t="str">
        <x:v>只观察｜倾向诺克斯维尔 -0.5；战绩9-3-2、排名3，对手排名5，主胜约1.62-1.80</x:v>
      </x:c>
      <x:c r="G762" s="65" t="str">
        <x:v>只观察｜倾向大2.5；参考约1.71为低价，低于1.80不进</x:v>
      </x:c>
      <x:c r="H762" s="65" t="str">
        <x:v>待首发及亚洲盘；主-0.5≥1.85才复核；总盘低价不进，不加仓</x:v>
      </x:c>
      <x:c r="I762" s="66" t="n">
        <x:v>46218.86458333333</x:v>
      </x:c>
      <x:c r="J762" s="65" t="str">
        <x:v>已结算</x:v>
      </x:c>
      <x:c r="K762" s="65" t="str">
        <x:v>2-1</x:v>
      </x:c>
      <x:c r="L762" s="65" t="str">
        <x:v>不计（只观察未执行）</x:v>
      </x:c>
      <x:c r="M762" s="65" t="str">
        <x:v>不计（只观察未执行）</x:v>
      </x:c>
      <x:c r="N762" s="67"/>
      <x:c r="O762" s="67"/>
      <x:c r="P762" s="67" t="str">
        <x:f>IF(COUNT(N762:O762)=0,"",SUM(N762:O762))</x:f>
      </x:c>
      <x:c r="Q762" s="65" t="str">
        <x:v>赛程/赔率｜https://www.espn.com/soccer/match/_/gameId/401841933/fort-wayne-one-knoxville；排名｜https://www.sofascore.com/football/match/one-knoxville-sc-fort-wayne-fc/ZJLcsYend；概率｜https://www.wincomparator.com/predictions/one-knoxville-sc-fort-wayne-fc-8057080/；查询时间：2026-07-15 20:45（北京时间） | 赛果源1：https://www.livescore.mobi/football/2026-07-15/ | 赛果源2：https://www.uslleagueone.com/league-scores | 查询时间：2026-07-16 23:40（北京时间）</x:v>
      </x:c>
      <x:c r="R762" s="65" t="str">
        <x:v>证据卡：USL甲常规赛，诺克斯维尔9胜3平2负、排名3，韦恩堡排名5。主胜约1.62-1.80；ESPN总盘大2.5约1.71。双方完整近5场、主客拆分、伤停与确认首发未全部取得。主队更有持续压迫和场面控制，韦恩堡防守数据不差且可利用反击。亚洲让球主盘与历史轨迹不足。反证①主胜价格分歧；②韦恩堡排名接近；③大球低价。置信：中低；正式方向：无。｜结算：90分钟终场2-1；赛前仅为只观察/无正式方向，未执行，让球与大小球均不计注数及盈亏。</x:v>
      </x:c>
    </x:row>
    <x:row r="763" ht="38" customHeight="1">
      <x:c r="A763" s="65" t="str">
        <x:f>IF(B763="","",TEXT(B763,"yyyy-mm-dd")&amp;"|"&amp;D763&amp;"|"&amp;E763)</x:f>
        <x:v>2026-07-16|皇家波托西（Real Potosí）|圣安东尼奥布洛布洛（San Antonio Bulo Bulo）</x:v>
      </x:c>
      <x:c r="B763" s="66" t="n">
        <x:v>46219.25</x:v>
      </x:c>
      <x:c r="C763" s="65" t="str">
        <x:v>玻利维亚甲级联赛</x:v>
      </x:c>
      <x:c r="D763" s="65" t="str">
        <x:v>皇家波托西（Real Potosí）</x:v>
      </x:c>
      <x:c r="E763" s="65" t="str">
        <x:v>圣安东尼奥布洛布洛（San Antonio Bulo Bulo）</x:v>
      </x:c>
      <x:c r="F763" s="65" t="str">
        <x:v>只观察｜倾向皇家波托西 -0.75；高原主场且主胜约1.61-1.78，客队近况差</x:v>
      </x:c>
      <x:c r="G763" s="65" t="str">
        <x:v>只观察｜倾向大2.5；参考1.67属低价，另一模型偏小2.5@2.15，结论冲突</x:v>
      </x:c>
      <x:c r="H763" s="65" t="str">
        <x:v>待首发、天气和亚洲盘二源；总盘冲突未解除前不进、不加仓</x:v>
      </x:c>
      <x:c r="I763" s="66" t="n">
        <x:v>46218.86458333333</x:v>
      </x:c>
      <x:c r="J763" s="65" t="str">
        <x:v>已结算</x:v>
      </x:c>
      <x:c r="K763" s="65" t="str">
        <x:v>5-0</x:v>
      </x:c>
      <x:c r="L763" s="65" t="str">
        <x:v>不计（只观察未执行）</x:v>
      </x:c>
      <x:c r="M763" s="65" t="str">
        <x:v>不计（只观察未执行）</x:v>
      </x:c>
      <x:c r="N763" s="67"/>
      <x:c r="O763" s="67"/>
      <x:c r="P763" s="67" t="str">
        <x:f>IF(COUNT(N763:O763)=0,"",SUM(N763:O763))</x:f>
      </x:c>
      <x:c r="Q763" s="65" t="str">
        <x:v>赛程/积分｜https://www.365scores.com/football/match/division-profesional-5055/real-potosi-san-antonio-1285-69041-5055；赔率/总盘｜https://www.predictz.com/predictions/bolivia/primera-division/1198235/；主客进球｜https://www.fctables.com/h2h/real-potosi/san-antonio-bulo-bulo/；查询时间：2026-07-15 20:45（北京时间） | 赛果源1：https://www.livescore.mobi/football/2026-07-15/ | 赛果源2：https://tipsterarea.com/matches/date-15-07-2026 | 查询时间：2026-07-16 23:40（北京时间）</x:v>
      </x:c>
      <x:c r="R763" s="65" t="str">
        <x:v>证据卡：玻利维亚甲常规赛，比赛在波托西高原主场。圣安东尼奥近期L-L-L-D-L；皇家波托西主场赛季样本71%大2.5，但另一预测给小2.5@2.15，大小方向冲突。确认阵容、伤停及旅行适应信息未取得。主队可用高原强度和直接进攻压制，客队若低位反击仍有进球机会。主胜约1.61-1.78；亚洲让球轨迹不足。反证①总盘模型冲突；②高原样本量小；③首发未知。置信：低；正式方向：无。｜结算：90分钟终场5-0；赛前仅为只观察/无正式方向，未执行，让球与大小球均不计注数及盈亏。</x:v>
      </x:c>
    </x:row>
    <x:row r="764" ht="38" customHeight="1">
      <x:c r="A764" s="65" t="str">
        <x:f>IF(B764="","",TEXT(B764,"yyyy-mm-dd")&amp;"|"&amp;D764&amp;"|"&amp;E764)</x:f>
        <x:v>2026-07-16|北方雄狮（Club Leones del Norte）|昆卡体育（Deportivo Cuenca）</x:v>
      </x:c>
      <x:c r="B764" s="66" t="n">
        <x:v>46219.25</x:v>
      </x:c>
      <x:c r="C764" s="65" t="str">
        <x:v>厄瓜多尔甲级联赛（LigaPro Serie A）</x:v>
      </x:c>
      <x:c r="D764" s="65" t="str">
        <x:v>北方雄狮（Club Leones del Norte）</x:v>
      </x:c>
      <x:c r="E764" s="65" t="str">
        <x:v>昆卡体育（Deportivo Cuenca）</x:v>
      </x:c>
      <x:c r="F764" s="65" t="str">
        <x:v>只观察｜倾向北方雄狮 0；市场主胜约2.10-2.40，但优势不稳定</x:v>
      </x:c>
      <x:c r="G764" s="65" t="str">
        <x:v>只观察｜倾向小2.5；主队14个主场12次小2.5、昆卡17场16次进球低于1.5</x:v>
      </x:c>
      <x:c r="H764" s="65" t="str">
        <x:v>确认首发且小2.5≥1.85才复核；让球无可靠主盘；不加仓</x:v>
      </x:c>
      <x:c r="I764" s="66" t="n">
        <x:v>46218.86458333333</x:v>
      </x:c>
      <x:c r="J764" s="65" t="str">
        <x:v>已结算</x:v>
      </x:c>
      <x:c r="K764" s="65" t="str">
        <x:v>1-1</x:v>
      </x:c>
      <x:c r="L764" s="65" t="str">
        <x:v>不计（只观察未执行）</x:v>
      </x:c>
      <x:c r="M764" s="65" t="str">
        <x:v>不计（只观察未执行）</x:v>
      </x:c>
      <x:c r="N764" s="67"/>
      <x:c r="O764" s="67"/>
      <x:c r="P764" s="67" t="str">
        <x:f>IF(COUNT(N764:O764)=0,"",SUM(N764:O764))</x:f>
      </x:c>
      <x:c r="Q764" s="65" t="str">
        <x:v>趋势｜https://scores24.live/en/soccer/m-12-07-2026-leones-del-norte-cuenca-prediction；概率｜https://www.wincomparator.com/predictions/club-leones-del-norte-deportivo-cuenca-8312143/；赔率｜https://sportsbook.dexwin.bet/sportsbook/football/ecuador/liga-pro-serie-a/club-leones-del-norte-deportivo-cuenca-1006000000000088961229；查询时间：2026-07-15 20:45（北京时间） | 赛果源1：https://www.livescore.mobi/football/2026-07-15/ | 赛果源2：https://tipsterarea.com/matches/date-15-07-2026 | 查询时间：2026-07-16 23:40（北京时间）</x:v>
      </x:c>
      <x:c r="R764" s="65" t="str">
        <x:v>证据卡：厄瓜多尔甲常规赛。趋势源显示北方雄狮14个主场有12场小2.5，昆卡17场有16场自身进球低于1.5；1X2模型主胜约42.9%、市场约2.10-2.40。双方完整近5场、主客积分拆分、伤停和确认首发未完全取得。主队更可能主动但效率有限，客队以控制风险为先。亚洲让球/总盘历史轨迹不足。反证①主队并非稳定强队；②昆卡反击；③盘口水位缺失。置信：中低；正式方向：无。｜结算：90分钟终场1-1；赛前仅为只观察/无正式方向，未执行，让球与大小球均不计注数及盈亏。</x:v>
      </x:c>
    </x:row>
    <x:row r="765" ht="38" customHeight="1">
      <x:c r="A765" s="65" t="str">
        <x:f>IF(B765="","",TEXT(B765,"yyyy-mm-dd")&amp;"|"&amp;D765&amp;"|"&amp;E765)</x:f>
        <x:v>2026-07-16|基多天主大学（Universidad Católica）|基多大学体育（LDU Quito）</x:v>
      </x:c>
      <x:c r="B765" s="66" t="n">
        <x:v>46219.25</x:v>
      </x:c>
      <x:c r="C765" s="65" t="str">
        <x:v>厄瓜多尔甲级联赛（LigaPro Serie A）</x:v>
      </x:c>
      <x:c r="D765" s="65" t="str">
        <x:v>基多天主大学（Universidad Católica）</x:v>
      </x:c>
      <x:c r="E765" s="65" t="str">
        <x:v>基多大学体育（LDU Quito）</x:v>
      </x:c>
      <x:c r="F765" s="65" t="str">
        <x:v>只观察｜倾向基多天主大学 0；主场5胜2平2负，LDU客场4胜1平4负，市场近均衡</x:v>
      </x:c>
      <x:c r="G765" s="65" t="str">
        <x:v>只观察｜倾向小3.0；1-1为高概率情景，BTTS约1.72但低于1.80不进</x:v>
      </x:c>
      <x:c r="H765" s="65" t="str">
        <x:v>待确认伤停、首发和亚洲平手价格；≥1.85且来源一致才复核；不加仓</x:v>
      </x:c>
      <x:c r="I765" s="66" t="n">
        <x:v>46218.86458333333</x:v>
      </x:c>
      <x:c r="J765" s="65" t="str">
        <x:v>已结算</x:v>
      </x:c>
      <x:c r="K765" s="65" t="str">
        <x:v>1-0</x:v>
      </x:c>
      <x:c r="L765" s="65" t="str">
        <x:v>不计（只观察未执行）</x:v>
      </x:c>
      <x:c r="M765" s="65" t="str">
        <x:v>不计（只观察未执行）</x:v>
      </x:c>
      <x:c r="N765" s="67"/>
      <x:c r="O765" s="67"/>
      <x:c r="P765" s="67" t="str">
        <x:f>IF(COUNT(N765:O765)=0,"",SUM(N765:O765))</x:f>
      </x:c>
      <x:c r="Q765" s="65" t="str">
        <x:v>主客拆分｜https://www.soccerpunter.com/h2h/Universidad-Catolica-vs-LDU-Quito/15327/10779/；交锋/总盘｜https://betmines.com/match-preview/universidad-catolica-vs-ldu-quito-prediction-match-preview-and-analysis-liga-pro-15-07-2026；赔率｜https://www.wincomparator.com/predictions/universidad-catolica-liga-dep-universitaria-quito-8312138/；查询时间：2026-07-15 20:45（北京时间） | 赛果源1：https://www.livescore.mobi/football/2026-07-15/ | 赛果源2：https://tipsterarea.com/matches/date-15-07-2026 | 查询时间：2026-07-16 23:40（北京时间）</x:v>
      </x:c>
      <x:c r="R765" s="65" t="str">
        <x:v>证据卡：厄瓜多尔甲。天主大学总体7胜5平6负、主场5胜2平2负；LDU总体8胜4平6负、客场4胜1平4负。近5次交锋天主大学2胜、LDU1胜、2平，均衡性强。确认伤停和首发未取得。双方都具备中场压迫和定位球能力，比赛可能由转换效率决定。1X2约2.7/3.3/2.82，BTTS约1.72；亚洲平手和初盘轨迹不足。反证①LDU客场胜率不低；②德比/强强对抗方差；③阵容未知。置信：中低；正式方向：无。｜结算：90分钟终场1-0；赛前仅为只观察/无正式方向，未执行，让球与大小球均不计注数及盈亏。</x:v>
      </x:c>
    </x:row>
    <x:row r="766" ht="38" customHeight="1">
      <x:c r="A766" s="65" t="str">
        <x:f>IF(B766="","",TEXT(B766,"yyyy-mm-dd")&amp;"|"&amp;D766&amp;"|"&amp;E766)</x:f>
        <x:v>2026-07-16|维诺廷托（Vinotinto del Ecuador）|民族竞技（El Nacional）</x:v>
      </x:c>
      <x:c r="B766" s="66" t="n">
        <x:v>46219.14583333333</x:v>
      </x:c>
      <x:c r="C766" s="65" t="str">
        <x:v>厄瓜多尔乙级联赛</x:v>
      </x:c>
      <x:c r="D766" s="65" t="str">
        <x:v>维诺廷托（Vinotinto del Ecuador）</x:v>
      </x:c>
      <x:c r="E766" s="65" t="str">
        <x:v>民族竞技（El Nacional）</x:v>
      </x:c>
      <x:c r="F766" s="65" t="str">
        <x:v>只观察｜倾向维诺廷托 -0.75/-1.0；主胜约1.29且民族竞技客场近5战全败</x:v>
      </x:c>
      <x:c r="G766" s="65" t="str">
        <x:v>只观察｜倾向小2.5；民族竞技近期攻击不稳，低级别联赛样本偏谨慎</x:v>
      </x:c>
      <x:c r="H766" s="65" t="str">
        <x:v>待确认首发及具体亚洲盘；主胜低价不进，盘口≥1.85再复核；不加仓</x:v>
      </x:c>
      <x:c r="I766" s="66" t="n">
        <x:v>46218.86458333333</x:v>
      </x:c>
      <x:c r="J766" s="65" t="str">
        <x:v>已结算</x:v>
      </x:c>
      <x:c r="K766" s="65" t="str">
        <x:v>2-1</x:v>
      </x:c>
      <x:c r="L766" s="65" t="str">
        <x:v>不计（只观察未执行）</x:v>
      </x:c>
      <x:c r="M766" s="65" t="str">
        <x:v>不计（只观察未执行）</x:v>
      </x:c>
      <x:c r="N766" s="67"/>
      <x:c r="O766" s="67"/>
      <x:c r="P766" s="67" t="str">
        <x:f>IF(COUNT(N766:O766)=0,"",SUM(N766:O766))</x:f>
      </x:c>
      <x:c r="Q766" s="65" t="str">
        <x:v>赛程/H2H｜https://www.365scores.com/football/match/serie-b-5497/el-nacional-vinotinto-del-ecuador-fc-9047-86081-5497；客队趋势｜https://www.365scores.com/football/match/serie-b-5497/atletico-fc-el-nacional-9047-83318-5497；市场快照｜https://www.betexplorer.com/；查询时间：2026-07-15 20:45（北京时间） | 赛果源1：https://www.livescore.mobi/football/2026-07-15/ | 赛果源2：https://tipsterarea.com/matches/date-15-07-2026 | 查询时间：2026-07-16 23:40（北京时间）</x:v>
      </x:c>
      <x:c r="R766" s="65" t="str">
        <x:v>证据卡：厄瓜多尔乙第17轮。可见历史3次交锋民族竞技全胜，但当前趋势显示其客场近5场全败、近6场输5；市场主胜约1.29。维诺廷托完整主场近况、双方伤停和确认首发未完整取得。主队应主动压迫，民族竞技历史对位与反击能力是主要反证。亚洲让球及总盘轨迹不足。反证①H2H客队3连胜；②主胜过低；③双方近期样本不完整。置信：低；正式方向：无。｜结算：90分钟终场2-1；赛前仅为只观察/无正式方向，未执行，让球与大小球均不计注数及盈亏。</x:v>
      </x:c>
    </x:row>
    <x:row r="767" ht="38" customHeight="1">
      <x:c r="A767" s="65" t="str">
        <x:f>IF(B767="","",TEXT(B767,"yyyy-mm-dd")&amp;"|"&amp;D767&amp;"|"&amp;E767)</x:f>
        <x:v>2026-07-16|英格兰|阿根廷</x:v>
      </x:c>
      <x:c r="B767" s="66" t="n">
        <x:v>46219.125</x:v>
      </x:c>
      <x:c r="C767" s="65" t="str">
        <x:v>国际足联世界杯</x:v>
      </x:c>
      <x:c r="D767" s="65" t="str">
        <x:v>英格兰</x:v>
      </x:c>
      <x:c r="E767" s="65" t="str">
        <x:v>阿根廷</x:v>
      </x:c>
      <x:c r="F767" s="65" t="str">
        <x:v>只观察｜英格兰 -0.25（参考2.20/港水1.20）；另一来源显示英格兰-0.5@2.45，主盘冲突；低于1.80不进</x:v>
      </x:c>
      <x:c r="G767" s="65" t="str">
        <x:v>只观察｜小2.5（参考1.56-1.57/港水0.56-0.57，低水不进）；大2.5约2.30-2.35仅观察</x:v>
      </x:c>
      <x:c r="H767" s="65" t="str">
        <x:v>待确认首发且两处主盘统一后复核；英格兰-0.25仅在≥1.95且来源一致时允许小注；大小球无正式方向；不加仓</x:v>
      </x:c>
      <x:c r="I767" s="66" t="n">
        <x:v>46218.791666666664</x:v>
      </x:c>
      <x:c r="J767" s="65" t="str">
        <x:v>已结算</x:v>
      </x:c>
      <x:c r="K767" s="65" t="str">
        <x:v>1-2</x:v>
      </x:c>
      <x:c r="L767" s="65" t="str">
        <x:v>不计（只观察未执行）</x:v>
      </x:c>
      <x:c r="M767" s="65" t="str">
        <x:v>不计（只观察未执行）</x:v>
      </x:c>
      <x:c r="N767" s="67"/>
      <x:c r="O767" s="67"/>
      <x:c r="P767" s="67" t="str">
        <x:f>IF(COUNT(N767:O767)=0,"",SUM(N767:O767))</x:f>
      </x:c>
      <x:c r="Q767" s="65" t="str">
        <x:v>FIFA赛程｜https://www.fifa.com/en/match-centre/match/17/285023/289290/400021540；LiveScore｜https://www.livescore.mobi/football/world-cup-2026/semi-finals/england-vs-argentina/1417887/；英格兰阵容｜https://www.standard.co.uk/sport/football/england-xi-vs-argentina-confirmed-team-news-predicted-lineup-injury-latest-world-cup-2026-b1289855.html；战术/xG｜https://www.theguardian.com/football/2026/jul/14/england-argentina-world-cup-close-range-shots；盘口A｜https://www.sportsgambler.com/betting-tips/football/england-vs-argentina-prediction-lineups-odds-2026-07-15/；盘口B｜https://www.actionnetwork.com/worldcup-game/argentina-england-score-odds-july-15-2026/293003；查询时间：2026-07-15 19:00（北京时间） | 赛果源1：https://www.livescore.mobi/football/2026-07-15/ | 赛果源2：https://www.reuters.com/sports/soccer/holders-argentina-beat-england-2-1-set-up-world-cup-final-against-spain-2026-07-15/ | 查询时间：2026-07-16 23:40（北京时间）</x:v>
      </x:c>
      <x:c r="R767" s="65" t="str">
        <x:v>证据卡：世界杯半决赛，亚特兰大中立场；双方均经历加时晋级，休息差有限。英格兰预计4-2-3-1，Rice已恢复训练，Henderson伤缺、Quansah停赛；阿根廷阵型仍有4-4-2/5-3-2不确定，均非确认首发。近期赛事样本显示两队进攻核心状态佳；中立场故主客拆分不适用。阿根廷防守过程约0.52 xGA/90且限制禁区近距离射门，英格兰定位球是主要对位点；历史交锋过旧仅弱证据。盘口：-0.25与-0.5来源冲突；总盘2.5但小球低于1.80。反证①Argentina连续不败及Messi反击效率；②England关键中场恢复状态与阿根廷阵型未定；③淘汰赛末段/加时抬高尾部进球。冲突足以降级。置信：低；待确认首发与统一主盘。｜结算：90分钟终场1-2；赛前仅为只观察/无正式方向，未执行，让球与大小球均不计注数及盈亏。</x:v>
      </x:c>
    </x:row>
    <x:row r="768" ht="38" customHeight="1">
      <x:c r="A768" s="65" t="str">
        <x:f>IF(B768="","",TEXT(B768,"yyyy-mm-dd")&amp;"|"&amp;D768&amp;"|"&amp;E768)</x:f>
        <x:v>2026-07-16|伊格纳迪亚（KF Egnatia）|佩特罗库布（CS Petrocub）</x:v>
      </x:c>
      <x:c r="B768" s="66" t="n">
        <x:v>46219.125</x:v>
      </x:c>
      <x:c r="C768" s="65" t="str">
        <x:v>欧洲冠军联赛（UEFA Champions League）</x:v>
      </x:c>
      <x:c r="D768" s="65" t="str">
        <x:v>伊格纳迪亚（KF Egnatia）</x:v>
      </x:c>
      <x:c r="E768" s="65" t="str">
        <x:v>佩特罗库布（CS Petrocub）</x:v>
      </x:c>
      <x:c r="F768" s="65" t="str">
        <x:v>只观察｜伊格纳迪亚 -0.5（参考1.74/港水0.74，低水不进）；达到1.85以上且首发确认才复核</x:v>
      </x:c>
      <x:c r="G768" s="65" t="str">
        <x:v>只观察｜小2.5（参考1.61/港水0.61，低水不进）；大2.5约2.20但缺乏价值共识</x:v>
      </x:c>
      <x:c r="H768" s="65" t="str">
        <x:v>让球与小球当前均不进；不得以首回合1-1机械推导大小球；待首发、初盘轨迹和第二盘口源；不加仓</x:v>
      </x:c>
      <x:c r="I768" s="66" t="n">
        <x:v>46218.791666666664</x:v>
      </x:c>
      <x:c r="J768" s="65" t="str">
        <x:v>已结算</x:v>
      </x:c>
      <x:c r="K768" s="65" t="str">
        <x:v>6-1</x:v>
      </x:c>
      <x:c r="L768" s="65" t="str">
        <x:v>不计（只观察未执行）</x:v>
      </x:c>
      <x:c r="M768" s="65" t="str">
        <x:v>不计（只观察未执行）</x:v>
      </x:c>
      <x:c r="N768" s="67"/>
      <x:c r="O768" s="67"/>
      <x:c r="P768" s="67" t="str">
        <x:f>IF(COUNT(N768:O768)=0,"",SUM(N768:O768))</x:f>
      </x:c>
      <x:c r="Q768" s="65" t="str">
        <x:v>UEFA赛程｜https://www.uefa.com/uefachampionsleague/；LiveScore｜https://www.livescore.mobi/football/champions-league/qualification/kf-egnatia-vs-cs-petrocub/1792102/；近期状态/赛果｜https://1xbet.com/en/line/football/118587-uefa-champions-league/350248240-egnatia-petrocub；盘口｜https://www.actionnetwork.com/champions-game/petrocub-hincesti-egnatia/292143；查询时间：2026-07-15 19:00（北京时间） | 赛果源1：https://www.livescore.mobi/football/2026-07-15/ | 赛果源2：https://tipsterarea.com/matches/date-15-07-2026 | 查询时间：2026-07-16 23:40（北京时间）</x:v>
      </x:c>
      <x:c r="R768" s="65" t="str">
        <x:v>证据卡：欧冠资格赛首轮次回合，首回合1-1；伊格纳迪亚主场，佩特罗库布必须保持出线竞争。近期可核验样本：伊格纳迪亚近6场含4胜、佩特罗库布近6场含3胜2平1负，但对手层级不同；可靠主客拆分及确认伤停/首发不足，预计阵容待确认。战术上主队更可能控球压迫，客队可利用转换；首回合低比分仅弱证据。盘口当前主-0.5约1.74、总盘2.5小约1.61，初盘轨迹不足。反证①双方首发与轮换未知；②佩特罗库布反击及定位球可破主让；③盘口两主方向均低水。缺项足以降级。置信：低；待首发、主客拆分与二源轨迹。｜结算：90分钟终场6-1；赛前仅为只观察/无正式方向，未执行，让球与大小球均不计注数及盈亏。</x:v>
      </x:c>
    </x:row>
    <x:row r="769" ht="38" customHeight="1">
      <x:c r="A769" s="65" t="str">
        <x:f>IF(B769="","",TEXT(B769,"yyyy-mm-dd")&amp;"|"&amp;D769&amp;"|"&amp;E769)</x:f>
        <x:v>2026-07-16|尼克希奇苏捷斯卡（FK Sutjeska Nikšić）|阿拉木图凯拉特（Kairat Almaty）</x:v>
      </x:c>
      <x:c r="B769" s="66" t="n">
        <x:v>46219.125</x:v>
      </x:c>
      <x:c r="C769" s="65" t="str">
        <x:v>欧洲冠军联赛（UEFA Champions League）</x:v>
      </x:c>
      <x:c r="D769" s="65" t="str">
        <x:v>尼克希奇苏捷斯卡（FK Sutjeska Nikšić）</x:v>
      </x:c>
      <x:c r="E769" s="65" t="str">
        <x:v>阿拉木图凯拉特（Kairat Almaty）</x:v>
      </x:c>
      <x:c r="F769" s="65" t="str">
        <x:v>只观察｜阿拉木图凯拉特 0（参考1.68/港水0.68，低水不进）；缺少可解释的本场初盘轨迹</x:v>
      </x:c>
      <x:c r="G769" s="65" t="str">
        <x:v>只观察｜小2.5（参考2.19/港水1.19）；仅单一主流总盘快照，待第二来源确认后再评估</x:v>
      </x:c>
      <x:c r="H769" s="65" t="str">
        <x:v>让球低水不进；小2.5不得因让球结论直接推导；仅在二源同为2.5且≥2.00、首发无强攻变化时可小注；不加仓</x:v>
      </x:c>
      <x:c r="I769" s="66" t="n">
        <x:v>46218.791666666664</x:v>
      </x:c>
      <x:c r="J769" s="65" t="str">
        <x:v>已结算</x:v>
      </x:c>
      <x:c r="K769" s="65" t="str">
        <x:v>0-2</x:v>
      </x:c>
      <x:c r="L769" s="65" t="str">
        <x:v>不计（只观察未执行）</x:v>
      </x:c>
      <x:c r="M769" s="65" t="str">
        <x:v>不计（只观察未执行）</x:v>
      </x:c>
      <x:c r="N769" s="67"/>
      <x:c r="O769" s="67"/>
      <x:c r="P769" s="67" t="str">
        <x:f>IF(COUNT(N769:O769)=0,"",SUM(N769:O769))</x:f>
      </x:c>
      <x:c r="Q769" s="65" t="str">
        <x:v>UEFA比赛页｜https://www.uefa.com/uefachampionsleague/match/2048647--sutjeska-vs-kairat-almaty/；LiveScore｜https://www.livescore.mobi/football/champions-league/qualification/sutjeska-vs-kairat-almaty/1792105/；让球快照｜https://sports.yahoo.com/soccer/champions-league/kairat-sutjeska-niksic-13595565/；总盘快照｜https://www.foxsports.com/soccer/champions-league-fk-sutjeska-vs-kairat-jul-15-2026-game-boxscore-886248；查询时间：2026-07-15 19:00（北京时间） | 赛果源1：https://www.livescore.mobi/football/2026-07-15/ | 赛果源2：https://tipsterarea.com/matches/date-15-07-2026 | 查询时间：2026-07-16 23:40（北京时间）</x:v>
      </x:c>
      <x:c r="R769" s="65" t="str">
        <x:v>证据卡：欧冠资格赛次回合，首回合凯拉特2-1，苏捷斯卡主场需追平总比分。可见近期摘要显示苏捷斯卡近5场约3胜2负，但对手强弱、凯拉特客场拆分和双方伤停/预计首发未完整核验。对位上主队追分可能提高压迫与身后空间，凯拉特更适合转换；这同时构成大小球双向风险。盘口快照：凯拉特平手约1.68（低水）；总盘2.5，大约1.64/小约2.19；初盘轨迹不足且来自不同来源。反证①主队追分造成节奏开放；②凯拉特客场与旅行因素；③阵容信息不足。缺项足以降级。置信：低。｜结算：90分钟终场0-2；赛前仅为只观察/无正式方向，未执行，让球与大小球均不计注数及盈亏。</x:v>
      </x:c>
    </x:row>
    <x:row r="770" ht="38" customHeight="1">
      <x:c r="A770" s="65" t="str">
        <x:f>IF(B770="","",TEXT(B770,"yyyy-mm-dd")&amp;"|"&amp;D770&amp;"|"&amp;E770)</x:f>
        <x:v>2026-07-16|图齐德契奇（FK Dečić）|利耶帕亚（FK Liepāja）</x:v>
      </x:c>
      <x:c r="B770" s="66" t="n">
        <x:v>46219.104166666664</x:v>
      </x:c>
      <x:c r="C770" s="65" t="str">
        <x:v>欧洲协会联赛（UEFA Europa Conference League）</x:v>
      </x:c>
      <x:c r="D770" s="65" t="str">
        <x:v>图齐德契奇（FK Dečić）</x:v>
      </x:c>
      <x:c r="E770" s="65" t="str">
        <x:v>利耶帕亚（FK Liepāja）</x:v>
      </x:c>
      <x:c r="F770" s="65" t="str">
        <x:v>只观察｜利耶帕亚 0（等效亚洲平手，参考1.87/港水0.87）；仅在比赛身份及主客映射二次确认后评估</x:v>
      </x:c>
      <x:c r="G770" s="65" t="str">
        <x:v>只观察｜小2.5（参考1.75/港水0.75，低水不进）；大2.5约2.10不因受让方向而追大</x:v>
      </x:c>
      <x:c r="H770" s="65" t="str">
        <x:v>首回合利耶帕亚1-0；待首发、完整主客拆分及亚洲盘二源；平手≥1.90且来源一致方可小注；大小球不进；不加仓</x:v>
      </x:c>
      <x:c r="I770" s="66" t="n">
        <x:v>46218.791666666664</x:v>
      </x:c>
      <x:c r="J770" s="65" t="str">
        <x:v>已结算</x:v>
      </x:c>
      <x:c r="K770" s="65" t="str">
        <x:v>1-2</x:v>
      </x:c>
      <x:c r="L770" s="65" t="str">
        <x:v>不计（只观察未执行）</x:v>
      </x:c>
      <x:c r="M770" s="65" t="str">
        <x:v>不计（只观察未执行）</x:v>
      </x:c>
      <x:c r="N770" s="67"/>
      <x:c r="O770" s="67"/>
      <x:c r="P770" s="67" t="str">
        <x:f>IF(COUNT(N770:O770)=0,"",SUM(N770:O770))</x:f>
      </x:c>
      <x:c r="Q770" s="65" t="str">
        <x:v>LiveScore｜https://www.livescore.mobi/football/conference-league/qualification/decic-tuzi-vs-fk-liepaja/1792187/；赛果/趋势｜https://www.365scores.com/football/match/uefa-conference-league-7685/decic-fk-liepaja-14113-22826-7685；盘口比较｜https://www.oddschecker.com/us/soccer/uefa-conference-league/decic-tuzi-v-fk-liepaja；总盘比较｜https://www.mightytips.com/football-predictions/decic-tuzi-vs-fk-liepaja-prediction-15-07-2026/；查询时间：2026-07-15 19:00（北京时间） | 赛果源1：https://www.livescore.mobi/football/2026-07-15/ | 赛果源2：https://tipsterarea.com/matches/date-15-07-2026 | 查询时间：2026-07-16 23:40（北京时间）</x:v>
      </x:c>
      <x:c r="R770" s="65" t="str">
        <x:v>证据卡：欧协联资格赛次回合，利耶帕亚首回合主场1-0，德契奇回到主场需追分。可检索趋势显示德契奇多场先失球、利耶帕亚客场样本较弱，但双方最近5-10场、主客拆分及伤停/预计首发未被可靠完整覆盖。战术上主队追分与客队低位反击并存。盘口：双方平手价格约1.83/1.87；总盘2.5小约1.70-1.75（低水），初盘轨迹不足。反证①主队追分可抬高节奏；②利耶帕亚客场表现差；③部分聚合页主客顺序展示不一致。缺项与一致性风险足以降级。置信：低。｜结算：90分钟终场1-2；赛前仅为只观察/无正式方向，未执行，让球与大小球均不计注数及盈亏。</x:v>
      </x:c>
    </x:row>
    <x:row r="771" ht="38" customHeight="1">
      <x:c r="A771" s="65" t="str">
        <x:f>IF(B771="","",TEXT(B771,"yyyy-mm-dd")&amp;"|"&amp;D771&amp;"|"&amp;E771)</x:f>
        <x:v>2026-07-16|阿特尔特比森（FC Atert Bissen）|克拉克斯维克（KÍ Klaksvík）</x:v>
      </x:c>
      <x:c r="B771" s="66" t="n">
        <x:v>46219.09375</x:v>
      </x:c>
      <x:c r="C771" s="65" t="str">
        <x:v>欧洲冠军联赛（UEFA Champions League）</x:v>
      </x:c>
      <x:c r="D771" s="65" t="str">
        <x:v>阿特尔特比森（FC Atert Bissen）</x:v>
      </x:c>
      <x:c r="E771" s="65" t="str">
        <x:v>克拉克斯维克（KÍ Klaksvík）</x:v>
      </x:c>
      <x:c r="F771" s="65" t="str">
        <x:v>只观察｜盘口页同时出现克拉克斯维克-0.5初始与+0.5@1.51当前映射，方向冲突；不得进单</x:v>
      </x:c>
      <x:c r="G771" s="65" t="str">
        <x:v>只观察｜大2.5（参考1.61/港水0.61，低水不进）；小2.5约2.17仅待阵容后复核</x:v>
      </x:c>
      <x:c r="H771" s="65" t="str">
        <x:v>首回合比森1-2；必须先消除盘口主客映射错误并确认首发；两市场当前均无正式方向；不加仓</x:v>
      </x:c>
      <x:c r="I771" s="66" t="n">
        <x:v>46218.791666666664</x:v>
      </x:c>
      <x:c r="J771" s="65" t="str">
        <x:v>已结算</x:v>
      </x:c>
      <x:c r="K771" s="65" t="str">
        <x:v>1-2</x:v>
      </x:c>
      <x:c r="L771" s="65" t="str">
        <x:v>不计（只观察未执行）</x:v>
      </x:c>
      <x:c r="M771" s="65" t="str">
        <x:v>不计（只观察未执行）</x:v>
      </x:c>
      <x:c r="N771" s="67"/>
      <x:c r="O771" s="67"/>
      <x:c r="P771" s="67" t="str">
        <x:f>IF(COUNT(N771:O771)=0,"",SUM(N771:O771))</x:f>
      </x:c>
      <x:c r="Q771" s="65" t="str">
        <x:v>LiveScore｜https://www.livescore.mobi/football/champions-league/qualification/atert-bissen-vs-klaksvik/1792107/；盘口｜https://www.actionnetwork.com/champions-game/kl-klaksvik-atert-bissen/292190；查询时间：2026-07-15 19:00（北京时间） | 赛果源1：https://www.livescore.mobi/football/2026-07-15/ | 赛果源2：https://tipsterarea.com/matches/date-15-07-2026 | 查询时间：2026-07-16 23:40（北京时间）</x:v>
      </x:c>
      <x:c r="R771" s="65" t="str">
        <x:v>证据卡：欧冠资格赛次回合，克拉克斯维克首回合2-1领先，比森主场必须追分。低级别球队公开资料不足：双方最近5-10场对手质量、主客拆分、伤停和预计首发未达到正式门槛。对位上比森追分会暴露转换空间，克拉克斯维克定位球与经验占优，但不能替代阵容证据。盘口页同场出现克拉克斯维克-0.5与+0.5低水的映射冲突；总盘2.5大低水。反证①主客映射可能错误；②首回合仅一球差，主队战意明确；③低级别样本偏差。冲突直接降级。置信：很低；需复核。｜结算：90分钟终场1-2；赛前仅为只观察/无正式方向，未执行，让球与大小球均不计注数及盈亏。</x:v>
      </x:c>
    </x:row>
    <x:row r="772" ht="38" customHeight="1">
      <x:c r="A772" s="65" t="str">
        <x:f>IF(B772="","",TEXT(B772,"yyyy-mm-dd")&amp;"|"&amp;D772&amp;"|"&amp;E772)</x:f>
        <x:v>2026-07-16|德里奥（CD Derio）|毕尔巴鄂竞技（Athletic Club）</x:v>
      </x:c>
      <x:c r="B772" s="66" t="n">
        <x:v>46219.0625</x:v>
      </x:c>
      <x:c r="C772" s="65" t="str">
        <x:v>国际俱乐部友谊赛</x:v>
      </x:c>
      <x:c r="D772" s="65" t="str">
        <x:v>德里奥（CD Derio）</x:v>
      </x:c>
      <x:c r="E772" s="65" t="str">
        <x:v>毕尔巴鄂竞技（Athletic Club）</x:v>
      </x:c>
      <x:c r="F772" s="65" t="str">
        <x:v>只观察｜倾向毕尔巴鄂竞技 -2.0附近；跨级别差距大，但首场热身轮换未知</x:v>
      </x:c>
      <x:c r="G772" s="65" t="str">
        <x:v>只观察｜倾向大3.0；强弱差支持客队进球，主队低位可能压节奏</x:v>
      </x:c>
      <x:c r="H772" s="65" t="str">
        <x:v>待确认毕尔巴鄂阵容与亚洲双盘；低价不进，不加仓</x:v>
      </x:c>
      <x:c r="I772" s="66" t="n">
        <x:v>46218.86458333333</x:v>
      </x:c>
      <x:c r="J772" s="65" t="str">
        <x:v>已结算</x:v>
      </x:c>
      <x:c r="K772" s="65" t="str">
        <x:v>0-3</x:v>
      </x:c>
      <x:c r="L772" s="65" t="str">
        <x:v>不计（只观察未执行）</x:v>
      </x:c>
      <x:c r="M772" s="65" t="str">
        <x:v>不计（只观察未执行）</x:v>
      </x:c>
      <x:c r="N772" s="67"/>
      <x:c r="O772" s="67"/>
      <x:c r="P772" s="67" t="str">
        <x:f>IF(COUNT(N772:O772)=0,"",SUM(N772:O772))</x:f>
      </x:c>
      <x:c r="Q772" s="65" t="str">
        <x:v>赛程/场地｜https://www.fotmob.com/matches/athletic-club-vs-cd-derio/qom7th69；比赛身份｜https://www.sofascore.com/football/match/cd-derio-athletic-club/AgbsnvVd；分析｜https://dailysports.net/predictions/a-new-chapter-for-the-basques-begins-here-prediction-for-derio-vs-athletic/；查询时间：2026-07-15 20:45（北京时间） | 赛果源1：https://www.livescore.mobi/football/2026-07-15/ | 查询时间：2026-07-16 23:40（北京时间）</x:v>
      </x:c>
      <x:c r="R772" s="65" t="str">
        <x:v>证据卡：比赛在Estadio La Florida举行，属毕尔巴鄂季前开局、跨级别热身。客队个人能力、压迫与定位球优势显著，但确认首发、伤停和轮换比例未公布；德里奥完整近5场及主场数据不足。预计主队深度防守，毕尔巴鄂持续边路推进。未取得可审计亚洲让球/总盘及初盘轨迹。反证①首场热身节奏低；②大量青训/替补；③低级别主队防守密度。置信：低；正式方向：无。｜结算：90分钟终场0-3；赛前仅为只观察/无正式方向，未执行，让球与大小球均不计注数及盈亏。</x:v>
      </x:c>
    </x:row>
    <x:row r="773" ht="38" customHeight="1">
      <x:c r="A773" s="65" t="str">
        <x:f>IF(B773="","",TEXT(B773,"yyyy-mm-dd")&amp;"|"&amp;D773&amp;"|"&amp;E773)</x:f>
        <x:v>2026-07-16|克拉约瓦大学（Universitatea Craiova）|维捷布斯克马克斯莱恩（Maxline Vitebsk）</x:v>
      </x:c>
      <x:c r="B773" s="66" t="n">
        <x:v>46219.0625</x:v>
      </x:c>
      <x:c r="C773" s="65" t="str">
        <x:v>欧洲冠军联赛（UEFA Champions League）</x:v>
      </x:c>
      <x:c r="D773" s="65" t="str">
        <x:v>克拉约瓦大学（Universitatea Craiova）</x:v>
      </x:c>
      <x:c r="E773" s="65" t="str">
        <x:v>维捷布斯克马克斯莱恩（Maxline Vitebsk）</x:v>
      </x:c>
      <x:c r="F773" s="65" t="str">
        <x:v>只观察｜克拉约瓦大学 -1.5（参考1.74/港水0.74，低水不进）；不得因首回合4-1继续追深盘</x:v>
      </x:c>
      <x:c r="G773" s="65" t="str">
        <x:v>只观察｜大3.0（参考1.84/港水0.84）；同页2.5/3.0字段解析不一致，须二源确认主盘</x:v>
      </x:c>
      <x:c r="H773" s="65" t="str">
        <x:v>首回合克拉约瓦4-1；待轮换/首发和统一总盘；大3仅在主盘确认3.0且≥1.85、进攻首发保留时可小注；让球不进；不加仓</x:v>
      </x:c>
      <x:c r="I773" s="66" t="n">
        <x:v>46218.791666666664</x:v>
      </x:c>
      <x:c r="J773" s="65" t="str">
        <x:v>已结算</x:v>
      </x:c>
      <x:c r="K773" s="65" t="str">
        <x:v>1-0</x:v>
      </x:c>
      <x:c r="L773" s="65" t="str">
        <x:v>不计（只观察未执行）</x:v>
      </x:c>
      <x:c r="M773" s="65" t="str">
        <x:v>不计（只观察未执行）</x:v>
      </x:c>
      <x:c r="N773" s="67"/>
      <x:c r="O773" s="67"/>
      <x:c r="P773" s="67" t="str">
        <x:f>IF(COUNT(N773:O773)=0,"",SUM(N773:O773))</x:f>
      </x:c>
      <x:c r="Q773" s="65" t="str">
        <x:v>LiveScore｜https://www.livescore.mobi/football/champions-league/qualification/cs-universitatea-craiova-vs-maxline-vitebsk/1792100/；盘口/首回合｜https://www.actionnetwork.com/champions-game/maxline-vitebsk-universitatea-craiova/292188；赛前背景｜https://www.sportskeeda.com/football/universitatea-craiova-vs-maxline-vitebsk-prediction-betting-tips-july-15th-2026；查询时间：2026-07-15 19:00（北京时间） | 赛果源1：https://www.livescore.mobi/football/2026-07-15/ | 赛果源2：https://tipsterarea.com/matches/date-15-07-2026 | 查询时间：2026-07-16 23:40（北京时间）</x:v>
      </x:c>
      <x:c r="R773" s="65" t="str">
        <x:v>证据卡：欧冠资格赛次回合，克拉约瓦首回合客场4-1，回到主场有明显轮换与控节奏动机；马克斯莱恩必须追分。公开资料未完整确认双方伤停/首发、最近5-10场对手质量及主客拆分。战术上客队压上利于主队转换，但大比分领先也可能让主队降速。盘口当前主-1.5约1.74（低水），总盘页面出现2.5/3.0混合字段，初盘节点不足。反证①主队轮换与降速；②客队追分造成开放；③盘口页字段解析不一致。缺项足以降级。置信：低；待首发与二源盘口。｜结算：90分钟终场1-0；赛前仅为只观察/无正式方向，未执行，让球与大小球均不计注数及盈亏。</x:v>
      </x:c>
    </x:row>
    <x:row r="774" ht="38" customHeight="1">
      <x:c r="A774" s="65" t="str">
        <x:f>IF(B774="","",TEXT(B774,"yyyy-mm-dd")&amp;"|"&amp;D774&amp;"|"&amp;E774)</x:f>
        <x:v>2026-07-16|KSK海斯特（KSK Heist）|梅赫伦（KV Mechelen）</x:v>
      </x:c>
      <x:c r="B774" s="66" t="n">
        <x:v>46219.04166666667</x:v>
      </x:c>
      <x:c r="C774" s="65" t="str">
        <x:v>国际俱乐部友谊赛</x:v>
      </x:c>
      <x:c r="D774" s="65" t="str">
        <x:v>KSK海斯特（KSK Heist）</x:v>
      </x:c>
      <x:c r="E774" s="65" t="str">
        <x:v>梅赫伦（KV Mechelen）</x:v>
      </x:c>
      <x:c r="F774" s="65" t="str">
        <x:v>只观察｜倾向梅赫伦 -1.5以上；客胜约1.19，级别差明显但低价不进</x:v>
      </x:c>
      <x:c r="G774" s="65" t="str">
        <x:v>只观察｜倾向大3.25；3.5盘约1.85对称，友谊赛轮换增加方差</x:v>
      </x:c>
      <x:c r="H774" s="65" t="str">
        <x:v>待确认梅赫伦首发强度；让球与大小球均须≥1.85且二源一致才复核；不加仓</x:v>
      </x:c>
      <x:c r="I774" s="66" t="n">
        <x:v>46218.86458333333</x:v>
      </x:c>
      <x:c r="J774" s="65" t="str">
        <x:v>已结算</x:v>
      </x:c>
      <x:c r="K774" s="65" t="str">
        <x:v>0-1</x:v>
      </x:c>
      <x:c r="L774" s="65" t="str">
        <x:v>不计（只观察未执行）</x:v>
      </x:c>
      <x:c r="M774" s="65" t="str">
        <x:v>不计（只观察未执行）</x:v>
      </x:c>
      <x:c r="N774" s="67"/>
      <x:c r="O774" s="67"/>
      <x:c r="P774" s="67" t="str">
        <x:f>IF(COUNT(N774:O774)=0,"",SUM(N774:O774))</x:f>
      </x:c>
      <x:c r="Q774" s="65" t="str">
        <x:v>赔率｜https://oddspedia.com/ca/surebets；状态分析｜https://www.livetipsportal.com/en/sportsbetting-tips/ksk-heist-vs-kv-mechelen-club-friendlies-12294355/；盘面入口｜https://sport.netbet.co.uk/；查询时间：2026-07-15 20:45（北京时间） | 赛果源1：https://www.livescore.mobi/football/2026-07-15/ | 查询时间：2026-07-16 23:40（北京时间）</x:v>
      </x:c>
      <x:c r="R774" s="65" t="str">
        <x:v>证据卡：比利时跨级别热身赛。市场客胜低至约1.19，反映梅赫伦阵容与级别优势；分析源也指向客队交锋占优，但完整近5场、主客拆分与确认首发未取得。梅赫伦更能持续压迫和控制禁区，KSK海斯特主要依靠直接进攻。3.5盘约1.85两边均衡；亚洲让球主盘和历史轨迹不足。反证①强队轮换；②低级别主队主场强度；③客胜过低无价值。置信：低；正式方向：无。｜结算：90分钟终场0-1；赛前仅为只观察/无正式方向，未执行，让球与大小球均不计注数及盈亏。</x:v>
      </x:c>
    </x:row>
    <x:row r="775" ht="38" customHeight="1">
      <x:c r="A775" s="65" t="str">
        <x:f>IF(B775="","",TEXT(B775,"yyyy-mm-dd")&amp;"|"&amp;D775&amp;"|"&amp;E775)</x:f>
        <x:v>2026-07-16|洛哈自由（Libertad Loja）|特克尼科大学（Técnico Universitario）</x:v>
      </x:c>
      <x:c r="B775" s="66" t="n">
        <x:v>46219.04166666667</x:v>
      </x:c>
      <x:c r="C775" s="65" t="str">
        <x:v>厄瓜多尔甲级联赛（LigaPro Serie A）</x:v>
      </x:c>
      <x:c r="D775" s="65" t="str">
        <x:v>洛哈自由（Libertad Loja）</x:v>
      </x:c>
      <x:c r="E775" s="65" t="str">
        <x:v>特克尼科大学（Técnico Universitario）</x:v>
      </x:c>
      <x:c r="F775" s="65" t="str">
        <x:v>只观察｜倾向特克尼科大学 0；客队排名、近期射门/传球与本季交锋略占优</x:v>
      </x:c>
      <x:c r="G775" s="65" t="str">
        <x:v>只观察｜倾向小2.5；主队攻击产量偏低，但无可靠亚洲总盘与水位</x:v>
      </x:c>
      <x:c r="H775" s="65" t="str">
        <x:v>待确认首发与双盘；客队平手≥1.85才复核；低于1.80不进，不加仓</x:v>
      </x:c>
      <x:c r="I775" s="66" t="n">
        <x:v>46218.86458333333</x:v>
      </x:c>
      <x:c r="J775" s="65" t="str">
        <x:v>已结算</x:v>
      </x:c>
      <x:c r="K775" s="65" t="str">
        <x:v>1-0</x:v>
      </x:c>
      <x:c r="L775" s="65" t="str">
        <x:v>不计（只观察未执行）</x:v>
      </x:c>
      <x:c r="M775" s="65" t="str">
        <x:v>不计（只观察未执行）</x:v>
      </x:c>
      <x:c r="N775" s="67"/>
      <x:c r="O775" s="67"/>
      <x:c r="P775" s="67" t="str">
        <x:f>IF(COUNT(N775:O775)=0,"",SUM(N775:O775))</x:f>
      </x:c>
      <x:c r="Q775" s="65" t="str">
        <x:v>赛程/轮次｜https://www.365scores.com/football/match/liga-pro-5062/libertad-tecnico-universitario-9141-69463-5062；主客/交锋｜https://www.soccerpunter.com/h2h/Libertad-vs-Tecnico-Universitario/260916/15328/；分析｜https://tips.gg/article/libertad-vs-tecnico-universitario-15-07-2026/；查询时间：2026-07-15 20:45（北京时间） | 赛果源1：https://www.livescore.mobi/football/2026-07-15/ | 赛果源2：https://tipsterarea.com/matches/date-15-07-2026 | 查询时间：2026-07-16 23:40（北京时间）</x:v>
      </x:c>
      <x:c r="R775" s="65" t="str">
        <x:v>证据卡：厄瓜多尔甲常规赛，自由队排名约15、特克尼科约9。主客拆分显示自由队8个主场3胜2平3负，特克尼科9个客场3胜1平5负；分析源称客队本季已胜过对手且近期射门/传球更好。确认伤停和首发未取得。自由队进攻产量偏低，客队更适合中场压迫和转换。可靠亚洲双盘与初盘轨迹不足。反证①客队客场负率仍高；②自由队主场；③阵容未知。置信：中低；正式方向：无。｜结算：90分钟终场1-0；赛前仅为只观察/无正式方向，未执行，让球与大小球均不计注数及盈亏。</x:v>
      </x:c>
    </x:row>
    <x:row r="776" ht="38" customHeight="1">
      <x:c r="A776" s="65" t="str">
        <x:f>IF(B776="","",TEXT(B776,"yyyy-mm-dd")&amp;"|"&amp;D776&amp;"|"&amp;E776)</x:f>
        <x:v>2026-07-16|萨尔茨堡红牛（Red Bull Salzburg）|伊斯坦布尔巴萨克赛尔（Istanbul Başakşehir）</x:v>
      </x:c>
      <x:c r="B776" s="66" t="n">
        <x:v>46219.02083333333</x:v>
      </x:c>
      <x:c r="C776" s="65" t="str">
        <x:v>国际俱乐部友谊赛</x:v>
      </x:c>
      <x:c r="D776" s="65" t="str">
        <x:v>萨尔茨堡红牛（Red Bull Salzburg）</x:v>
      </x:c>
      <x:c r="E776" s="65" t="str">
        <x:v>伊斯坦布尔巴萨克赛尔（Istanbul Başakşehir）</x:v>
      </x:c>
      <x:c r="F776" s="65" t="str">
        <x:v>只观察｜倾向巴萨克赛尔 +0.25；萨尔茨堡同日第二场、阵容分组风险大</x:v>
      </x:c>
      <x:c r="G776" s="65" t="str">
        <x:v>只观察｜倾向大3.0；双方主客均场进球约1.6，但3.5盘约1.80-1.90接近均衡</x:v>
      </x:c>
      <x:c r="H776" s="65" t="str">
        <x:v>须确认萨尔茨堡第二套阵容；盘口与首发未统一前不进、不加仓</x:v>
      </x:c>
      <x:c r="I776" s="66" t="n">
        <x:v>46218.86458333333</x:v>
      </x:c>
      <x:c r="J776" s="65" t="str">
        <x:v>已结算</x:v>
      </x:c>
      <x:c r="K776" s="65" t="str">
        <x:v>1-2</x:v>
      </x:c>
      <x:c r="L776" s="65" t="str">
        <x:v>不计（只观察未执行）</x:v>
      </x:c>
      <x:c r="M776" s="65" t="str">
        <x:v>不计（只观察未执行）</x:v>
      </x:c>
      <x:c r="N776" s="67"/>
      <x:c r="O776" s="67"/>
      <x:c r="P776" s="67" t="str">
        <x:f>IF(COUNT(N776:O776)=0,"",SUM(N776:O776))</x:f>
      </x:c>
      <x:c r="Q776" s="65" t="str">
        <x:v>赛程/场地｜https://www.fotmob.com/matches/basaksehir-vs-besiktas/26ghvr41；主客数据｜https://www.sportytrader.com/en/results-live/salzburg-basaksehir-fk-8645221/；赔率｜https://sport.netbet.co.uk/；查询时间：2026-07-15 20:45（北京时间） | 赛果源1：https://www.livescore.mobi/football/2026-07-15/ | 查询时间：2026-07-16 23:40（北京时间）</x:v>
      </x:c>
      <x:c r="R776" s="65" t="str">
        <x:v>证据卡：萨尔茨堡同日第二场热身赛，预计分派不同阵容，人员不确定性为核心。公开主客数据称萨尔茨堡主场均进1.68、巴萨克赛尔客场均进1.62；确认首发、伤停和双方近5场完整拆分未取得。萨尔茨堡高压会提高回合数，巴萨克赛尔具备转换和领先后控制。1X2约2.0/3.8/2.9；3.5大小约1.80-1.90，亚洲轨迹不足。反证①双赛阵容；②土超球队反击效率；③友谊赛节奏。置信：低；正式方向：无。｜结算：90分钟终场1-2；赛前仅为只观察/无正式方向，未执行，让球与大小球均不计注数及盈亏。</x:v>
      </x:c>
    </x:row>
    <x:row r="777" ht="38" customHeight="1">
      <x:c r="A777" s="65" t="str">
        <x:f>IF(B777="","",TEXT(B777,"yyyy-mm-dd")&amp;"|"&amp;D777&amp;"|"&amp;E777)</x:f>
        <x:v>2026-07-16|帕特罗艾斯登（Patro Eisden）|圣图尔登（Sint-Truiden）</x:v>
      </x:c>
      <x:c r="B777" s="66" t="n">
        <x:v>46219.02083333333</x:v>
      </x:c>
      <x:c r="C777" s="65" t="str">
        <x:v>国际俱乐部友谊赛</x:v>
      </x:c>
      <x:c r="D777" s="65" t="str">
        <x:v>帕特罗艾斯登（Patro Eisden）</x:v>
      </x:c>
      <x:c r="E777" s="65" t="str">
        <x:v>圣图尔登（Sint-Truiden）</x:v>
      </x:c>
      <x:c r="F777" s="65" t="str">
        <x:v>只观察｜倾向圣图尔登 -0.75；客胜约1.58-1.61，级别与阵容厚度占优</x:v>
      </x:c>
      <x:c r="G777" s="65" t="str">
        <x:v>只观察｜倾向大3.0；两队近期大2.5比例较高，3.5盘约1.85两边均衡</x:v>
      </x:c>
      <x:c r="H777" s="65" t="str">
        <x:v>待确认首发和亚洲主盘；客胜低价不进，≥1.85再复核；不加仓</x:v>
      </x:c>
      <x:c r="I777" s="66" t="n">
        <x:v>46218.86458333333</x:v>
      </x:c>
      <x:c r="J777" s="65" t="str">
        <x:v>已结算</x:v>
      </x:c>
      <x:c r="K777" s="65" t="str">
        <x:v>0-4</x:v>
      </x:c>
      <x:c r="L777" s="65" t="str">
        <x:v>不计（只观察未执行）</x:v>
      </x:c>
      <x:c r="M777" s="65" t="str">
        <x:v>不计（只观察未执行）</x:v>
      </x:c>
      <x:c r="N777" s="67"/>
      <x:c r="O777" s="67"/>
      <x:c r="P777" s="67" t="str">
        <x:f>IF(COUNT(N777:O777)=0,"",SUM(N777:O777))</x:f>
      </x:c>
      <x:c r="Q777" s="65" t="str">
        <x:v>赛程｜https://us.soccerway.com/game/patro-eisden-nPGA80Sn/st-truiden-d2EjBxMM/?mid=Cn9ksKGM；进球趋势｜https://dailysports.net/stat/football/patro-eisden-vs-st-truiden/；赔率｜https://sport.netbet.co.uk/；查询时间：2026-07-15 20:45（北京时间） | 赛果源1：https://www.livescore.mobi/football/2026-07-15/ | 查询时间：2026-07-16 23:40（北京时间）</x:v>
      </x:c>
      <x:c r="R777" s="65" t="str">
        <x:v>证据卡：比利时跨级别热身赛。聚合客胜约1.58-1.61；趋势页显示帕特罗与圣图尔登近期大2.5占比约80%/50%。确认伤停、首发及轮换计划未取得，正式主客样本与热身赛不完全同质。圣图尔登更有控球和前场压迫能力，帕特罗在主场可通过直接球制造机会。3.5盘约1.85对称，亚洲让球轨迹不足。反证①强队轮换；②帕特罗热身赛进球波动；③样本跨赛事。置信：低；正式方向：无。｜结算：90分钟终场0-4；赛前仅为只观察/无正式方向，未执行，让球与大小球均不计注数及盈亏。</x:v>
      </x:c>
    </x:row>
    <x:row r="778" ht="38" customHeight="1">
      <x:c r="A778" s="65" t="str">
        <x:f>IF(B778="","",TEXT(B778,"yyyy-mm-dd")&amp;"|"&amp;D778&amp;"|"&amp;E778)</x:f>
        <x:v>2026-07-16|索利赫尔摩尔（Solihull Moors）|伯明翰城（Birmingham City）</x:v>
      </x:c>
      <x:c r="B778" s="66" t="n">
        <x:v>46219.02083333333</x:v>
      </x:c>
      <x:c r="C778" s="65" t="str">
        <x:v>国际俱乐部友谊赛</x:v>
      </x:c>
      <x:c r="D778" s="65" t="str">
        <x:v>索利赫尔摩尔（Solihull Moors）</x:v>
      </x:c>
      <x:c r="E778" s="65" t="str">
        <x:v>伯明翰城（Birmingham City）</x:v>
      </x:c>
      <x:c r="F778" s="65" t="str">
        <x:v>只观察｜倾向伯明翰城 -1.25；近4次交锋全胜且零封，客胜约1.34</x:v>
      </x:c>
      <x:c r="G778" s="65" t="str">
        <x:v>只观察｜倾向大2.75；大2.5约1.38属低价，低于1.80不进</x:v>
      </x:c>
      <x:c r="H778" s="65" t="str">
        <x:v>待伯明翰轮换名单；只有亚洲主盘≥1.85且阵容强度足够才复核；不加仓</x:v>
      </x:c>
      <x:c r="I778" s="66" t="n">
        <x:v>46218.86458333333</x:v>
      </x:c>
      <x:c r="J778" s="65" t="str">
        <x:v>已结算</x:v>
      </x:c>
      <x:c r="K778" s="65" t="str">
        <x:v>0-3</x:v>
      </x:c>
      <x:c r="L778" s="65" t="str">
        <x:v>不计（只观察未执行）</x:v>
      </x:c>
      <x:c r="M778" s="65" t="str">
        <x:v>不计（只观察未执行）</x:v>
      </x:c>
      <x:c r="N778" s="67"/>
      <x:c r="O778" s="67"/>
      <x:c r="P778" s="67" t="str">
        <x:f>IF(COUNT(N778:O778)=0,"",SUM(N778:O778))</x:f>
      </x:c>
      <x:c r="Q778" s="65" t="str">
        <x:v>官方观看/场地｜https://news.bet365.com/en-gb/article/how-to-watch-solihull-moors-v-birmingham-city-live-stream-tv-channel-and-kick-off-time/2026071410490326397；交锋｜https://tips.gg/archive/birmingham-city-football-vs-solihull-moors-football/；赛程｜https://www.sofascore.com/football/match/solihull-moors-birmingham-city/jsRid；查询时间：2026-07-15 20:45（北京时间） | 赛果源1：https://www.livescore.mobi/football/2026-07-15/ | 查询时间：2026-07-16 23:40（北京时间）</x:v>
      </x:c>
      <x:c r="R778" s="65" t="str">
        <x:v>证据卡：Damson Park季前赛，亦为Arthur Cup。伯明翰近4次对索利赫尔4胜、总比分6-0；但都是友谊赛且阵容变化。双方确认首发/伤停未公布，预计阵容待确认。伯明翰的压迫与边路速度对低级别后防占优，索利赫尔可用定位球和直接球。客胜约1.34，大2.5约1.38，均属低价；亚洲初盘不足。反证①伯明翰大轮换；②交锋多为低比分；③主队杯赛战意。置信：中低；正式方向：无。｜结算：90分钟终场0-3；赛前仅为只观察/无正式方向，未执行，让球与大小球均不计注数及盈亏。</x:v>
      </x:c>
    </x:row>
    <x:row r="779" ht="38" customHeight="1">
      <x:c r="A779" s="65" t="str">
        <x:f>IF(B779="","",TEXT(B779,"yyyy-mm-dd")&amp;"|"&amp;D779&amp;"|"&amp;E779)</x:f>
        <x:v>2026-07-16|里昂（Olympique Lyonnais）|塞尔维特（Servette）</x:v>
      </x:c>
      <x:c r="B779" s="66" t="n">
        <x:v>46219.02083333333</x:v>
      </x:c>
      <x:c r="C779" s="65" t="str">
        <x:v>国际俱乐部友谊赛</x:v>
      </x:c>
      <x:c r="D779" s="65" t="str">
        <x:v>里昂（Olympique Lyonnais）</x:v>
      </x:c>
      <x:c r="E779" s="65" t="str">
        <x:v>塞尔维特（Servette）</x:v>
      </x:c>
      <x:c r="F779" s="65" t="str">
        <x:v>只观察｜倾向里昂 -0.75；阵容深度和中场控制占优，但季前轮换未确认</x:v>
      </x:c>
      <x:c r="G779" s="65" t="str">
        <x:v>只观察｜倾向大2.75；两队均以磨合推进和前场组合为目标，缺少可靠总盘价格</x:v>
      </x:c>
      <x:c r="H779" s="65" t="str">
        <x:v>待确认首发、伤停与亚洲双盘；任何低于1.80价格不进；不加仓</x:v>
      </x:c>
      <x:c r="I779" s="66" t="n">
        <x:v>46218.86458333333</x:v>
      </x:c>
      <x:c r="J779" s="65" t="str">
        <x:v>已结算</x:v>
      </x:c>
      <x:c r="K779" s="65" t="str">
        <x:v>2-1</x:v>
      </x:c>
      <x:c r="L779" s="65" t="str">
        <x:v>不计（只观察未执行）</x:v>
      </x:c>
      <x:c r="M779" s="65" t="str">
        <x:v>不计（只观察未执行）</x:v>
      </x:c>
      <x:c r="N779" s="67"/>
      <x:c r="O779" s="67"/>
      <x:c r="P779" s="67" t="str">
        <x:f>IF(COUNT(N779:O779)=0,"",SUM(N779:O779))</x:f>
      </x:c>
      <x:c r="Q779" s="65" t="str">
        <x:v>赛程/场地｜https://www.fotmob.com/matches/servette-vs-signal-fc-bernex-confignon/2smxhvau；比赛身份｜https://www.sofascore.com/football/match/servette-fc-olympique-lyonnais/ZHsYY；球队背景｜https://sports.yahoo.com/articles/usmnt-midweek-viewing-guide-odds-151500183.html；查询时间：2026-07-15 20:45（北京时间） | 赛果源1：https://www.livescore.mobi/football/2026-07-15/ | 查询时间：2026-07-16 23:40（北京时间）</x:v>
      </x:c>
      <x:c r="R779" s="65" t="str">
        <x:v>证据卡：比赛在Stade Pierre Rajon举行，属季前热身。里昂阵容深度更强，塞尔维特更接近正式赛节奏；Tessmann等人员信息可见，但双方完整伤停和确认首发未取得。里昂重视中路控制和边肋联动，塞尔维特可利用转换冲击高位身后。公开页面仅提供赛程、H2H入口和一般概率，未取得可靠亚洲让球/总盘及轨迹。反证①中立/非标准主场；②轮换；③塞尔维特比赛状态可能更早。置信：低；正式方向：无。｜结算：90分钟终场2-1；赛前仅为只观察/无正式方向，未执行，让球与大小球均不计注数及盈亏。</x:v>
      </x:c>
    </x:row>
    <x:row r="780" ht="38" customHeight="1">
      <x:c r="A780" s="65" t="str">
        <x:f>IF(B780="","",TEXT(B780,"yyyy-mm-dd")&amp;"|"&amp;D780&amp;"|"&amp;E780)</x:f>
        <x:v>2026-07-16|DJK阿默塔尔（DJK Ammerthal）|ASV诺伊马克特（ASV Neumarkt）</x:v>
      </x:c>
      <x:c r="B780" s="66" t="n">
        <x:v>46219.02083333333</x:v>
      </x:c>
      <x:c r="C780" s="65" t="str">
        <x:v>德国巴伐利亚北部高级联赛</x:v>
      </x:c>
      <x:c r="D780" s="65" t="str">
        <x:v>DJK阿默塔尔（DJK Ammerthal）</x:v>
      </x:c>
      <x:c r="E780" s="65" t="str">
        <x:v>ASV诺伊马克特（ASV Neumarkt）</x:v>
      </x:c>
      <x:c r="F780" s="65" t="str">
        <x:v>只观察｜倾向ASV诺伊马克特 -0.75/-1.0；模型客胜约1.27但低价且来源有限</x:v>
      </x:c>
      <x:c r="G780" s="65" t="str">
        <x:v>只观察｜倾向大2.75；双方样本大2.5均值约55%，盘口未取得</x:v>
      </x:c>
      <x:c r="H780" s="65" t="str">
        <x:v>确认赛事身份、首发与亚洲盘后再看；客胜低价不进；不加仓</x:v>
      </x:c>
      <x:c r="I780" s="66" t="n">
        <x:v>46218.86458333333</x:v>
      </x:c>
      <x:c r="J780" s="65" t="str">
        <x:v>已结算</x:v>
      </x:c>
      <x:c r="K780" s="65" t="str">
        <x:v>1-0</x:v>
      </x:c>
      <x:c r="L780" s="65" t="str">
        <x:v>不计（只观察未执行）</x:v>
      </x:c>
      <x:c r="M780" s="65" t="str">
        <x:v>不计（只观察未执行）</x:v>
      </x:c>
      <x:c r="N780" s="67"/>
      <x:c r="O780" s="67"/>
      <x:c r="P780" s="67" t="str">
        <x:f>IF(COUNT(N780:O780)=0,"",SUM(N780:O780))</x:f>
      </x:c>
      <x:c r="Q780" s="65" t="str">
        <x:v>赛程/赛事｜https://www.sportytrader.com/en/results-live/djk-ammerthal-asv-neumarkt-8624174/；进球数据｜https://footystats.org/germany/asv-neumarkt-vs-djk-ammerthal-h2h-stats；概率｜https://ratingbet.com/math-predictions/；查询时间：2026-07-15 20:45（北京时间） | 赛果源1：https://www.livescore.mobi/football/2026-07-15/ | 赛果源2：https://tipsterarea.com/matches/date-15-07-2026 | 查询时间：2026-07-16 23:40（北京时间）</x:v>
      </x:c>
      <x:c r="R780" s="65" t="str">
        <x:v>证据卡：德国巴伐利亚北部高级联赛。进球统计显示双方近样本大2.5约40%/70%、BTTS约40%/60%；模型把ASV列为约1.27热门。双方近5-10场、主客拆分、伤停和确认首发未完整检索到，个别页面赛事标题还误标其他杯赛，需一致性复核。对位上ASV进攻产量更高，DJK主场可用直接球。亚洲双盘及初盘轨迹不足。反证①低级别数据覆盖不完整；②赛事页标签错误；③客胜低价。置信：极低；正式方向：无。｜结算：90分钟终场1-0；赛前仅为只观察/无正式方向，未执行，让球与大小球均不计注数及盈亏。</x:v>
      </x:c>
    </x:row>
    <x:row r="781" ht="38" customHeight="1">
      <x:c r="A781" s="65" t="str">
        <x:f>IF(B781="","",TEXT(B781,"yyyy-mm-dd")&amp;"|"&amp;D781&amp;"|"&amp;E781)</x:f>
        <x:v>2026-07-16|奥尔德肖特镇（Aldershot Town）|朴茨茅斯（Portsmouth）</x:v>
      </x:c>
      <x:c r="B781" s="66" t="n">
        <x:v>46219</x:v>
      </x:c>
      <x:c r="C781" s="65" t="str">
        <x:v>国际俱乐部友谊赛</x:v>
      </x:c>
      <x:c r="D781" s="65" t="str">
        <x:v>奥尔德肖特镇（Aldershot Town）</x:v>
      </x:c>
      <x:c r="E781" s="65" t="str">
        <x:v>朴茨茅斯（Portsmouth）</x:v>
      </x:c>
      <x:c r="F781" s="65" t="str">
        <x:v>只观察｜倾向朴茨茅斯 -1.25；级别差与客胜约1.34支持，但亚洲主盘未取得</x:v>
      </x:c>
      <x:c r="G781" s="65" t="str">
        <x:v>只观察｜倾向大3.0；双方近期样本中大2.5比例偏高，友谊赛轮换是双向风险</x:v>
      </x:c>
      <x:c r="H781" s="65" t="str">
        <x:v>待首发和亚洲双盘；客胜低价不进，盘口升至可接受区间再复核；不加仓</x:v>
      </x:c>
      <x:c r="I781" s="66" t="n">
        <x:v>46218.86458333333</x:v>
      </x:c>
      <x:c r="J781" s="65" t="str">
        <x:v>已结算</x:v>
      </x:c>
      <x:c r="K781" s="65" t="str">
        <x:v>2-0</x:v>
      </x:c>
      <x:c r="L781" s="65" t="str">
        <x:v>不计（只观察未执行）</x:v>
      </x:c>
      <x:c r="M781" s="65" t="str">
        <x:v>不计（只观察未执行）</x:v>
      </x:c>
      <x:c r="N781" s="67"/>
      <x:c r="O781" s="67"/>
      <x:c r="P781" s="67" t="str">
        <x:f>IF(COUNT(N781:O781)=0,"",SUM(N781:O781))</x:f>
      </x:c>
      <x:c r="Q781" s="65" t="str">
        <x:v>赛程｜https://www.sofascore.com/football/match/aldershot-town-portsmouth/csAb；进球趋势｜https://dailysports.net/stat/football/aldershot-vs-portsmouth/；阵容/赔率入口｜https://scores24.live/en/soccer/m-15-07-2026-aldershot-town-portsmouth；查询时间：2026-07-15 20:45（北京时间） | 赛果源1：https://www.livescore.mobi/football/2026-07-15/ | 查询时间：2026-07-16 23:40（北京时间）</x:v>
      </x:c>
      <x:c r="R781" s="65" t="str">
        <x:v>证据卡：英格兰跨级别季前赛。统计页显示两队近期大2.5占比约90%/80%，朴茨茅斯客胜聚合约1.34；但确认首发、伤停及轮换名单未取得，正式主客拆分不可直接迁移。朴茨茅斯的控球、压迫与阵地质量明显更高，奥尔德肖特可能用直接球冲击替补防线。亚洲让球/总盘初盘轨迹不足。反证①强队季前大轮换；②低级别主队比赛强度；③统计样本跨赛事。置信：低；正式方向：无。｜结算：90分钟终场2-0；赛前仅为只观察/无正式方向，未执行，让球与大小球均不计注数及盈亏。</x:v>
      </x:c>
    </x:row>
    <x:row r="782" ht="38" customHeight="1">
      <x:c r="A782" s="65" t="str">
        <x:f>IF(B782="","",TEXT(B782,"yyyy-mm-dd")&amp;"|"&amp;D782&amp;"|"&amp;E782)</x:f>
        <x:v>2026-07-16|维也纳快速（Rapid Wien）|帕纳辛奈科斯（Panathinaikos）</x:v>
      </x:c>
      <x:c r="B782" s="66" t="n">
        <x:v>46219</x:v>
      </x:c>
      <x:c r="C782" s="65" t="str">
        <x:v>国际俱乐部友谊赛</x:v>
      </x:c>
      <x:c r="D782" s="65" t="str">
        <x:v>维也纳快速（Rapid Wien）</x:v>
      </x:c>
      <x:c r="E782" s="65" t="str">
        <x:v>帕纳辛奈科斯（Panathinaikos）</x:v>
      </x:c>
      <x:c r="F782" s="65" t="str">
        <x:v>只观察｜倾向帕纳辛奈科斯 0；客队近两场2胜、7进1失，主胜/客胜约2.47/2.31</x:v>
      </x:c>
      <x:c r="G782" s="65" t="str">
        <x:v>只观察｜倾向大2.5；两队热身阶段强调进攻磨合，但无可靠亚洲总盘</x:v>
      </x:c>
      <x:c r="H782" s="65" t="str">
        <x:v>确认首发与场地后，客队平手≥1.85才复核；低于1.80不进；不加仓</x:v>
      </x:c>
      <x:c r="I782" s="66" t="n">
        <x:v>46218.86458333333</x:v>
      </x:c>
      <x:c r="J782" s="65" t="str">
        <x:v>已结算</x:v>
      </x:c>
      <x:c r="K782" s="65" t="str">
        <x:v>4-1</x:v>
      </x:c>
      <x:c r="L782" s="65" t="str">
        <x:v>不计（只观察未执行）</x:v>
      </x:c>
      <x:c r="M782" s="65" t="str">
        <x:v>不计（只观察未执行）</x:v>
      </x:c>
      <x:c r="N782" s="67"/>
      <x:c r="O782" s="67"/>
      <x:c r="P782" s="67" t="str">
        <x:f>IF(COUNT(N782:O782)=0,"",SUM(N782:O782))</x:f>
      </x:c>
      <x:c r="Q782" s="65" t="str">
        <x:v>赛程｜https://www.sofascore.com/football/match/panathinaikos-fc-sk-rapid-wien/fQsYob；状态分析｜https://www.livetipsportal.com/en/sportsbetting-tips/rapid-vienna-vs-panathinaikos-club-friendlies-12294343/；盘口入口｜https://www.whoscored.com/matches/2007535/betting/international-club-friendlies-2026-rapid-wien-panathinaikos；查询时间：2026-07-15 20:45（北京时间） | 赛果源1：https://www.livescore.mobi/football/2026-07-15/ | 查询时间：2026-07-16 23:40（北京时间）</x:v>
      </x:c>
      <x:c r="R782" s="65" t="str">
        <x:v>证据卡：强队季前热身赛。分析源显示帕纳辛奈科斯近两场全胜、进7失1，维也纳快速近5场仅1胜；具体对手强弱、双方主客拆分和确认伤停/首发仍不完整。快速通常强调纵向推进与压迫，帕纳辛奈科斯近期攻守更平衡。1X2约2.47/3.62/2.31，亚洲盘和总盘轨迹未取得。反证①热身赛轮换；②近期样本对手强度未知；③主场快速反击。置信：低；正式方向：无。｜结算：90分钟终场4-1；赛前仅为只观察/无正式方向，未执行，让球与大小球均不计注数及盈亏。</x:v>
      </x:c>
    </x:row>
    <x:row r="783" ht="38" customHeight="1">
      <x:c r="A783" s="65" t="str">
        <x:f>IF(B783="","",TEXT(B783,"yyyy-mm-dd")&amp;"|"&amp;D783&amp;"|"&amp;E783)</x:f>
        <x:v>2026-07-15|卢甘斯克索尔亚（Zorya Luhansk）|科尼亚体育（Konyaspor）</x:v>
      </x:c>
      <x:c r="B783" s="66" t="n">
        <x:v>46218.97916666667</x:v>
      </x:c>
      <x:c r="C783" s="65" t="str">
        <x:v>国际俱乐部友谊赛</x:v>
      </x:c>
      <x:c r="D783" s="65" t="str">
        <x:v>卢甘斯克索尔亚（Zorya Luhansk）</x:v>
      </x:c>
      <x:c r="E783" s="65" t="str">
        <x:v>科尼亚体育（Konyaspor）</x:v>
      </x:c>
      <x:c r="F783" s="65" t="str">
        <x:v>只观察｜倾向科尼亚体育 0；聚合赔率偏客队，但出现“1922 Konyaspor”身份混淆</x:v>
      </x:c>
      <x:c r="G783" s="65" t="str">
        <x:v>只观察｜倾向小3.0；双方近期状态均不稳，未取得可靠亚洲总盘与首发</x:v>
      </x:c>
      <x:c r="H783" s="65" t="str">
        <x:v>必须先确认是科尼亚体育一线队及实际主客；身份未统一前不进、不加仓</x:v>
      </x:c>
      <x:c r="I783" s="66" t="n">
        <x:v>46218.86458333333</x:v>
      </x:c>
      <x:c r="J783" s="65" t="str">
        <x:v>已结算</x:v>
      </x:c>
      <x:c r="K783" s="65" t="str">
        <x:v>1-2</x:v>
      </x:c>
      <x:c r="L783" s="65" t="str">
        <x:v>不计（只观察未执行）</x:v>
      </x:c>
      <x:c r="M783" s="65" t="str">
        <x:v>不计（只观察未执行）</x:v>
      </x:c>
      <x:c r="N783" s="67"/>
      <x:c r="O783" s="67"/>
      <x:c r="P783" s="67" t="str">
        <x:f>IF(COUNT(N783:O783)=0,"",SUM(N783:O783))</x:f>
      </x:c>
      <x:c r="Q783" s="65" t="str">
        <x:v>赛程｜https://www.365scores.com/en-us/football/match/club-friendlies-321/konyaspor-zorya-luhansk-957-1967-321；近期状态｜https://oddslot.com/scorematch/friendlies-clubs/zorya-luhansk/konyaspor/15-jul-2026/；赔率汇总｜https://primatips.com/；查询时间：2026-07-15 20:45（北京时间） | 赛果源1：https://www.livescore.mobi/football/2026-07-15/ | 查询时间：2026-07-16 23:40（北京时间）</x:v>
      </x:c>
      <x:c r="R783" s="65" t="str">
        <x:v>证据卡：友谊赛；近期状态摘要索尔亚D-W-D-L-L、科尼亚体育W-L-L-L-L。部分搜索结果把对手写为1922 Konyaspor，且有页面主客顺序相反，比赛身份一致性不足。双方确认阵容、伤停、主客拆分和可靠初盘均未取得。索尔亚可能重视控球与边路推进，科尼亚体育更直接，但低状态样本限制判断。聚合1X2偏科尼亚体育，亚洲盘未审计。反证①球队身份混淆；②双方轮换；③近期样本质量不明。置信：极低；正式方向：无。｜结算：90分钟终场1-2；赛前仅为只观察/无正式方向，未执行，让球与大小球均不计注数及盈亏。</x:v>
      </x:c>
    </x:row>
    <x:row r="784" ht="38" customHeight="1">
      <x:c r="A784" s="65" t="str">
        <x:f>IF(B784="","",TEXT(B784,"yyyy-mm-dd")&amp;"|"&amp;D784&amp;"|"&amp;E784)</x:f>
        <x:v>2026-07-15|JIPPO约恩苏（JIPPO Joensuu）|MP米凯利（MP Mikkeli）</x:v>
      </x:c>
      <x:c r="B784" s="66" t="n">
        <x:v>46218.97916666667</x:v>
      </x:c>
      <x:c r="C784" s="65" t="str">
        <x:v>芬兰足球甲级联赛（Ykkösliiga，芬兰第二级别）</x:v>
      </x:c>
      <x:c r="D784" s="65" t="str">
        <x:v>JIPPO约恩苏（JIPPO Joensuu）</x:v>
      </x:c>
      <x:c r="E784" s="65" t="str">
        <x:v>MP米凯利（MP Mikkeli）</x:v>
      </x:c>
      <x:c r="F784" s="65" t="str">
        <x:v>只观察｜倾向JIPPO -0.75；主胜约1.47-1.50，18/20场不败但低价</x:v>
      </x:c>
      <x:c r="G784" s="65" t="str">
        <x:v>只观察｜倾向小2.5；JIPPO主场7场仅丢3球，参考小2.5约1.87</x:v>
      </x:c>
      <x:c r="H784" s="65" t="str">
        <x:v>确认首发且让球价格≥1.85才复核；主胜低价不替代亚洲盘；不加仓</x:v>
      </x:c>
      <x:c r="I784" s="66" t="n">
        <x:v>46218.86458333333</x:v>
      </x:c>
      <x:c r="J784" s="65" t="str">
        <x:v>已结算</x:v>
      </x:c>
      <x:c r="K784" s="65" t="str">
        <x:v>3-1</x:v>
      </x:c>
      <x:c r="L784" s="65" t="str">
        <x:v>不计（只观察未执行）</x:v>
      </x:c>
      <x:c r="M784" s="65" t="str">
        <x:v>不计（只观察未执行）</x:v>
      </x:c>
      <x:c r="N784" s="67"/>
      <x:c r="O784" s="67"/>
      <x:c r="P784" s="67" t="str">
        <x:f>IF(COUNT(N784:O784)=0,"",SUM(N784:O784))</x:f>
      </x:c>
      <x:c r="Q784" s="65" t="str">
        <x:v>赛程/轮次｜https://www.365scores.com/football/match/ykkosliiga-8086/jippo-mp-mikkeli-1948-7476-8086；趋势｜https://www.forebet.com/en/football/matches/fc-ktp-jippo-joensuu-2447202；主客数据｜https://tipsterarea.com/facts；赔率｜https://www.bari91.com/；查询时间：2026-07-15 20:45（北京时间） | 赛果源1：https://www.livescore.mobi/football/2026-07-15/ | 赛果源2：https://tipsterarea.com/matches/date-15-07-2026 | 查询时间：2026-07-16 23:40（北京时间）</x:v>
      </x:c>
      <x:c r="R784" s="65" t="str">
        <x:v>证据卡：芬兰第二级别常规赛。JIPPO近20场18场不败、14轮仅失10球；主场7场仅失3球，防守拆分强。MP完整近5场、客场数据及双方伤停/确认首发未能完整取得。JIPPO更适合控制节奏与压迫二点，MP需要依赖转换。主胜约1.47-1.50；2.5大约1.81、小约1.87，但亚洲让球具体主盘未取得。反证①平局率高，JIPPO主场7场有4平；②MP客场样本缺失；③盘口轨迹不足。置信：中低；正式方向：无。｜结算：90分钟终场3-1；赛前仅为只观察/无正式方向，未执行，让球与大小球均不计注数及盈亏。</x:v>
      </x:c>
    </x:row>
    <x:row r="785" ht="38" customHeight="1">
      <x:c r="A785" s="65" t="str">
        <x:f>IF(B785="","",TEXT(B785,"yyyy-mm-dd")&amp;"|"&amp;D785&amp;"|"&amp;E785)</x:f>
        <x:v>2026-07-15|格拉茨风暴（Sturm Graz）|什切青波贡（Pogoń Szczecin）</x:v>
      </x:c>
      <x:c r="B785" s="66" t="n">
        <x:v>46218.95833333333</x:v>
      </x:c>
      <x:c r="C785" s="65" t="str">
        <x:v>国际俱乐部友谊赛</x:v>
      </x:c>
      <x:c r="D785" s="65" t="str">
        <x:v>格拉茨风暴（Sturm Graz）</x:v>
      </x:c>
      <x:c r="E785" s="65" t="str">
        <x:v>什切青波贡（Pogoń Szczecin）</x:v>
      </x:c>
      <x:c r="F785" s="65" t="str">
        <x:v>只观察｜倾向格拉茨风暴 -0.25；主胜约1.83-2.04，波贡近期创造力与后防人员有疑问</x:v>
      </x:c>
      <x:c r="G785" s="65" t="str">
        <x:v>只观察｜倾向大2.75；友谊赛与既往高比分支持，但盘口仅见2.5大约1.55低价</x:v>
      </x:c>
      <x:c r="H785" s="65" t="str">
        <x:v>首发确认且主-0.25≥1.85才复核；大小球低于1.80不进；不加仓</x:v>
      </x:c>
      <x:c r="I785" s="66" t="n">
        <x:v>46218.86458333333</x:v>
      </x:c>
      <x:c r="J785" s="65" t="str">
        <x:v>已结算</x:v>
      </x:c>
      <x:c r="K785" s="65" t="str">
        <x:v>1-0</x:v>
      </x:c>
      <x:c r="L785" s="65" t="str">
        <x:v>不计（只观察未执行）</x:v>
      </x:c>
      <x:c r="M785" s="65" t="str">
        <x:v>不计（只观察未执行）</x:v>
      </x:c>
      <x:c r="N785" s="67"/>
      <x:c r="O785" s="67"/>
      <x:c r="P785" s="67" t="str">
        <x:f>IF(COUNT(N785:O785)=0,"",SUM(N785:O785))</x:f>
      </x:c>
      <x:c r="Q785" s="65" t="str">
        <x:v>赛程｜https://www.sofascore.com/football/match/pogon-szczecin-sk-sturm-graz/bQsrmb；状态/人员分析｜https://betzona.ru/en/shturm-grac-pogon-schecin-prognoz-1784043838.html；主客/H2H｜https://www.soccerpunter.com/h2h/Sturm-Graz-vs-Pogon-Szczecin/3357/808/；查询时间：2026-07-15 20:45（北京时间） | 赛果源1：https://www.livescore.mobi/football/2026-07-15/ | 查询时间：2026-07-16 23:40（北京时间）</x:v>
      </x:c>
      <x:c r="R785" s="65" t="str">
        <x:v>证据卡：季前热身赛。格拉茨风暴可见主场热身样本较好，波贡近期对强队创造力不足且有后卫离队信息；双方过往两场波贡均胜但已较旧。确认首发、伤停和本场场地角色待核验。风暴的高位压迫与禁区占位对波贡出球有利，但友谊赛轮换可能破坏压迫连续性。主胜约1.83-2.04；2.5大球约1.55属低价，亚洲轨迹不足。反证①波贡历史对位占优；②轮换；③单一分析源。置信：低；正式方向：无。｜结算：90分钟终场1-0；赛前仅为只观察/无正式方向，未执行，让球与大小球均不计注数及盈亏。</x:v>
      </x:c>
    </x:row>
    <x:row r="786" ht="38" customHeight="1">
      <x:c r="A786" s="65" t="str">
        <x:f>IF(B786="","",TEXT(B786,"yyyy-mm-dd")&amp;"|"&amp;D786&amp;"|"&amp;E786)</x:f>
        <x:v>2026-07-15|波鸿（VfL Bochum）|阿贾克斯（Ajax）</x:v>
      </x:c>
      <x:c r="B786" s="66" t="n">
        <x:v>46218.95833333333</x:v>
      </x:c>
      <x:c r="C786" s="65" t="str">
        <x:v>国际俱乐部友谊赛</x:v>
      </x:c>
      <x:c r="D786" s="65" t="str">
        <x:v>波鸿（VfL Bochum）</x:v>
      </x:c>
      <x:c r="E786" s="65" t="str">
        <x:v>阿贾克斯（Ajax）</x:v>
      </x:c>
      <x:c r="F786" s="65" t="str">
        <x:v>只观察｜倾向阿贾克斯 0；波鸿处于大幅换血，但主客展示顺序存在来源冲突</x:v>
      </x:c>
      <x:c r="G786" s="65" t="str">
        <x:v>只观察｜倾向大3.0；波鸿热身赛3-2且后防仍在重建，未取得可靠亚洲总盘</x:v>
      </x:c>
      <x:c r="H786" s="65" t="str">
        <x:v>先确认实际主客、首发与场地；任何低于1.80价格不进；不加仓</x:v>
      </x:c>
      <x:c r="I786" s="66" t="n">
        <x:v>46218.86458333333</x:v>
      </x:c>
      <x:c r="J786" s="65" t="str">
        <x:v>已结算</x:v>
      </x:c>
      <x:c r="K786" s="65" t="str">
        <x:v>1-1</x:v>
      </x:c>
      <x:c r="L786" s="65" t="str">
        <x:v>不计（只观察未执行）</x:v>
      </x:c>
      <x:c r="M786" s="65" t="str">
        <x:v>不计（只观察未执行）</x:v>
      </x:c>
      <x:c r="N786" s="67"/>
      <x:c r="O786" s="67"/>
      <x:c r="P786" s="67" t="str">
        <x:f>IF(COUNT(N786:O786)=0,"",SUM(N786:O786))</x:f>
      </x:c>
      <x:c r="Q786" s="65" t="str">
        <x:v>赛程/主客A｜https://www.livescore.mobi/football/2026-07-15/；主客B/阵容入口｜https://www.sofascore.com/football/match/afc-ajax-vfl-bochum-1848/Rabsdjb；波鸿人员｜https://www.bild.de/sport/fussball/vfl-bochum-von-duesseldorf-naechster-vfl-transfer-auf-der-zielgeraden-6a4e56c00f71e0f715c39ab4；查询时间：2026-07-15 20:45（北京时间） | 赛果源1：https://www.livescore.mobi/football/2026-07-15/ | 查询时间：2026-07-16 23:40（北京时间）</x:v>
      </x:c>
      <x:c r="R786" s="65" t="str">
        <x:v>证据卡：友谊赛；LiveScore列波鸿在前，Sofascore与Flashscore列阿贾克斯在前，主客/场地身份冲突。波鸿完成多笔引援与离队，教练对3-2奥伯豪森的表现不满，尤其仍寻找中卫核心；阿贾克斯阵容与近期完整数据未取得。两队都偏主动推进，波鸿重建期防线可能给阿贾克斯肋部渗透空间。确认首发、双盘与初盘轨迹均不足。反证①主客映射冲突；②阿贾克斯轮换未知；③友谊赛强度不可控。置信：极低；正式方向：无。｜结算：90分钟终场1-1；部分赛程源主客顺序相反，但比分对称，不影响结果记录。赛前仅为只观察，两个市场均未执行、不计盈亏。</x:v>
      </x:c>
    </x:row>
    <x:row r="787" ht="38" customHeight="1">
      <x:c r="A787" s="65" t="str">
        <x:f>IF(B787="","",TEXT(B787,"yyyy-mm-dd")&amp;"|"&amp;D787&amp;"|"&amp;E787)</x:f>
        <x:v>2026-07-15|奥达巴斯（Ordabasy）|阿尔泰塞梅（Altai Semey）</x:v>
      </x:c>
      <x:c r="B787" s="66" t="n">
        <x:v>46218.95833333333</x:v>
      </x:c>
      <x:c r="C787" s="65" t="str">
        <x:v>哈萨克斯坦杯</x:v>
      </x:c>
      <x:c r="D787" s="65" t="str">
        <x:v>奥达巴斯（Ordabasy）</x:v>
      </x:c>
      <x:c r="E787" s="65" t="str">
        <x:v>阿尔泰塞梅（Altai Semey）</x:v>
      </x:c>
      <x:c r="F787" s="65" t="str">
        <x:v>只观察｜倾向奥达巴斯 -1.0；联赛排名与近况占优，主胜约1.26-1.37但低价</x:v>
      </x:c>
      <x:c r="G787" s="65" t="str">
        <x:v>只观察｜倾向小3.0；双方5月交锋0-0，奥达巴斯近期防守稳定；2.5大约1.73低价不追</x:v>
      </x:c>
      <x:c r="H787" s="65" t="str">
        <x:v>需确认杯赛轮换与亚洲主盘；让球/大小球低于1.80不进；不加仓</x:v>
      </x:c>
      <x:c r="I787" s="66" t="n">
        <x:v>46218.86458333333</x:v>
      </x:c>
      <x:c r="J787" s="65" t="str">
        <x:v>已结算</x:v>
      </x:c>
      <x:c r="K787" s="65" t="str">
        <x:v>3-1</x:v>
      </x:c>
      <x:c r="L787" s="65" t="str">
        <x:v>不计（只观察未执行）</x:v>
      </x:c>
      <x:c r="M787" s="65" t="str">
        <x:v>不计（只观察未执行）</x:v>
      </x:c>
      <x:c r="N787" s="67"/>
      <x:c r="O787" s="67"/>
      <x:c r="P787" s="67" t="str">
        <x:f>IF(COUNT(N787:O787)=0,"",SUM(N787:O787))</x:f>
      </x:c>
      <x:c r="Q787" s="65" t="str">
        <x:v>近况/排名｜https://www.forebet.com/en/football/matches/yelimay-semey-ordabasy-2435833；球队走势｜https://betimate.com/en/ordabasy-9668/team；赔率｜https://www.bari91.com/；查询时间：2026-07-15 20:45（北京时间） | 赛果源1：https://www.livescore.mobi/football/2026-07-15/ | 赛果源2：https://tipsterarea.com/matches/date-15-07-2026 | 查询时间：2026-07-16 23:40（北京时间）</x:v>
      </x:c>
      <x:c r="R787" s="65" t="str">
        <x:v>证据卡：哈萨克斯坦杯，奥达巴斯主场对联赛后段的阿尔泰塞梅。可见积分片段阿尔泰12场仅6球、排名15；奥达巴斯近6场多胜且5月客场0-0战平阿尔泰。杯赛轮换、伤停和确认首发未检索到，主客拆分样本仍不完整。奥达巴斯更适合控球压制，阿尔泰倾向低位防守。主胜约1.26-1.37；2.5大约1.73、小约1.97，亚洲让球轨迹不足。反证①杯赛轮换；②近期直接交锋0-0；③主胜低价。置信：中低；正式方向：无。｜结算：90分钟终场3-1；赛前仅为只观察/无正式方向，未执行，让球与大小球均不计注数及盈亏。</x:v>
      </x:c>
    </x:row>
    <x:row r="788" ht="38" customHeight="1">
      <x:c r="A788" s="65" t="str">
        <x:f>IF(B788="","",TEXT(B788,"yyyy-mm-dd")&amp;"|"&amp;D788&amp;"|"&amp;E788)</x:f>
        <x:v>2026-07-15|马利舍瓦（KF Malisheva）|维拉兹尼亚（Vllaznia Shkodër）</x:v>
      </x:c>
      <x:c r="B788" s="66" t="n">
        <x:v>46218.9375</x:v>
      </x:c>
      <x:c r="C788" s="65" t="str">
        <x:v>欧洲协会联赛（UEFA Europa Conference League）</x:v>
      </x:c>
      <x:c r="D788" s="65" t="str">
        <x:v>马利舍瓦（KF Malisheva）</x:v>
      </x:c>
      <x:c r="E788" s="65" t="str">
        <x:v>维拉兹尼亚（Vllaznia Shkodër）</x:v>
      </x:c>
      <x:c r="F788" s="65" t="str">
        <x:v>只观察｜倾向维拉兹尼亚 +0.25；客队总比分2-1领先且主队后卫停赛，但无可靠亚洲主盘</x:v>
      </x:c>
      <x:c r="G788" s="65" t="str">
        <x:v>只观察｜倾向大2.25；主队必须追分、后防停赛增加开放风险，未取得总盘二源</x:v>
      </x:c>
      <x:c r="H788" s="65" t="str">
        <x:v>待确认首发与亚洲双盘；若客受让且≥1.85可复核，低于1.80不进；不加仓</x:v>
      </x:c>
      <x:c r="I788" s="66" t="n">
        <x:v>46218.86458333333</x:v>
      </x:c>
      <x:c r="J788" s="65" t="str">
        <x:v>已结算</x:v>
      </x:c>
      <x:c r="K788" s="65" t="str">
        <x:v>5-0</x:v>
      </x:c>
      <x:c r="L788" s="65" t="str">
        <x:v>不计（只观察未执行）</x:v>
      </x:c>
      <x:c r="M788" s="65" t="str">
        <x:v>不计（只观察未执行）</x:v>
      </x:c>
      <x:c r="N788" s="67"/>
      <x:c r="O788" s="67"/>
      <x:c r="P788" s="67" t="str">
        <x:f>IF(COUNT(N788:O788)=0,"",SUM(N788:O788))</x:f>
      </x:c>
      <x:c r="Q788" s="65" t="str">
        <x:v>赛程/总比分｜https://www.365scores.com/football/match/uefa-conference-league-7685/kf-malisheva-vllaznia-5646-57450-7685；分析｜https://www.mightytips.com/football-predictions/malisheva-vs-vllaznia-prediction-15-07-2026/；赔率｜https://www.oddschecker.com/us/soccer/uefa-conference-league/malisheva-v-vllaznia；查询时间：2026-07-15 20:45（北京时间） | 赛果源1：https://www.livescore.mobi/football/2026-07-15/ | 赛果源2：https://tipsterarea.com/matches/date-15-07-2026 | 查询时间：2026-07-16 23:40（北京时间）</x:v>
      </x:c>
      <x:c r="R788" s="65" t="str">
        <x:v>证据卡：欧协联资格赛次回合，维拉兹尼亚首回合2-1领先；马利舍瓦回主场必须主动追分，且首回合染红的后卫Skovgaard停赛。双方完整近5场、主客拆分和确认首发未完全取得。战术上主队压上会给客队转换空间，客队也可低位控制总比分。可见1X2主胜约1.80-1.95，但可靠亚洲让球与大小球历史轨迹不足。反证①客队守优势可能压低节奏；②主队主场与战意；③阵容信息不完整。置信：中低；正式方向：无。｜结算：90分钟终场5-0；赛前仅为只观察/无正式方向，未执行，让球与大小球均不计注数及盈亏。</x:v>
      </x:c>
    </x:row>
    <x:row r="789" ht="38" customHeight="1">
      <x:c r="A789" s="65" t="str">
        <x:f>IF(B789="","",TEXT(B789,"yyyy-mm-dd")&amp;"|"&amp;D789&amp;"|"&amp;E789)</x:f>
        <x:v>2026-07-15|萨尔茨堡红牛（Red Bull Salzburg）|大阪钢巴（Gamba Osaka）</x:v>
      </x:c>
      <x:c r="B789" s="66" t="n">
        <x:v>46218.875</x:v>
      </x:c>
      <x:c r="C789" s="65" t="str">
        <x:v>国际俱乐部友谊赛</x:v>
      </x:c>
      <x:c r="D789" s="65" t="str">
        <x:v>萨尔茨堡红牛（Red Bull Salzburg）</x:v>
      </x:c>
      <x:c r="E789" s="65" t="str">
        <x:v>大阪钢巴（Gamba Osaka）</x:v>
      </x:c>
      <x:c r="F789" s="65" t="str">
        <x:v>只观察｜倾向萨尔茨堡 -0.25；主胜约1.75-2.00，但大阪钢巴近5场3胜且萨尔茨堡赛程密集</x:v>
      </x:c>
      <x:c r="G789" s="65" t="str">
        <x:v>只观察｜倾向大2.5；参考1.45为明显低价，低于1.80不进；3.5以上再评估</x:v>
      </x:c>
      <x:c r="H789" s="65" t="str">
        <x:v>确认首发和分组阵容后再看；萨尔茨堡同日还有第二场热身赛，当前不进、不加仓</x:v>
      </x:c>
      <x:c r="I789" s="66" t="n">
        <x:v>46218.86458333333</x:v>
      </x:c>
      <x:c r="J789" s="65" t="str">
        <x:v>已结算</x:v>
      </x:c>
      <x:c r="K789" s="65" t="str">
        <x:v>0-3</x:v>
      </x:c>
      <x:c r="L789" s="65" t="str">
        <x:v>未执行（只观察）</x:v>
      </x:c>
      <x:c r="M789" s="65" t="str">
        <x:v>未执行（只观察）</x:v>
      </x:c>
      <x:c r="N789" s="67"/>
      <x:c r="O789" s="67"/>
      <x:c r="P789" s="67" t="str">
        <x:f>IF(COUNT(N789:O789)=0,"",SUM(N789:O789))</x:f>
      </x:c>
      <x:c r="Q789" s="65" t="str">
        <x:v>萨尔茨堡官方：https://www.redbullsalzburg.at/en/2026-2027/fixtures/testspiel-26-fc-red-bull-salzburg-vs-gamba-osaka；LiveScore：https://www.livescore.mobi/football/2026-07-15/；TipsterArea：https://tipsterarea.com/matches/date-15-07-2026；查询时间：2026-07-17 23:45（北京时间）</x:v>
      </x:c>
      <x:c r="R789" s="65" t="str">
        <x:v>证据卡：萨尔茨堡同日友谊赛双赛之一，阵容很可能分组；大阪钢巴处于赛季中且近5场3胜，萨尔茨堡赛程更密。确认首发未公布，伤停与分组名单待核验；主客拆分受热身赛场地影响。萨尔茨堡高压与纵向推进对大阪后场出球形成压力，大阪的比赛节奏与反击是主要反证。主胜约1.75-2.00；总盘2.5大约1.45、3.5大约2.25，亚洲初盘不足。反证①双赛分阵；②大阪处于赛季中；③无确认首发。置信：低；正式方向：无。｜结算复核：终场比分来源冲突（0-3与0-4），依规则不猜测、不结算，留待后续复核。｜结算：终场0-3；赛前两市场均为只观察/无正式方向，不计注数与盈亏。历史冲突已由萨尔茨堡官方赛程与比赛报道确认终场0-3；Sofascore的0-4记录不采用。</x:v>
      </x:c>
    </x:row>
    <x:row r="790" ht="38" customHeight="1">
      <x:c r="A790" s="65" t="str">
        <x:f>IF(B790="","",TEXT(B790,"yyyy-mm-dd")&amp;"|"&amp;D790&amp;"|"&amp;E790)</x:f>
        <x:v>2026-07-15|奥胡斯（AGF）|霍森斯（AC Horsens）</x:v>
      </x:c>
      <x:c r="B790" s="66" t="n">
        <x:v>46218.83333333333</x:v>
      </x:c>
      <x:c r="C790" s="65" t="str">
        <x:v>国际俱乐部友谊赛</x:v>
      </x:c>
      <x:c r="D790" s="65" t="str">
        <x:v>奥胡斯（AGF）</x:v>
      </x:c>
      <x:c r="E790" s="65" t="str">
        <x:v>霍森斯（AC Horsens）</x:v>
      </x:c>
      <x:c r="F790" s="65" t="str">
        <x:v>补录只观察｜倾向奥胡斯 -1.0/-1.25；主胜约1.37-1.61，未取得可靠亚洲让球盘与水位</x:v>
      </x:c>
      <x:c r="G790" s="65" t="str">
        <x:v>补录只观察｜倾向大2.5但不追低价；友谊赛与层级差支持进球，盘口轨迹不足</x:v>
      </x:c>
      <x:c r="H790" s="65" t="str">
        <x:v>查询已晚于开球；不得按赛中比分倒推赛前方向；仅复盘，不加仓</x:v>
      </x:c>
      <x:c r="I790" s="66" t="n">
        <x:v>46218.86458333333</x:v>
      </x:c>
      <x:c r="J790" s="65" t="str">
        <x:v>已结算</x:v>
      </x:c>
      <x:c r="K790" s="65" t="str">
        <x:v>2-0</x:v>
      </x:c>
      <x:c r="L790" s="65" t="str">
        <x:v>不计（只观察未执行）</x:v>
      </x:c>
      <x:c r="M790" s="65" t="str">
        <x:v>不计（只观察未执行）</x:v>
      </x:c>
      <x:c r="N790" s="67"/>
      <x:c r="O790" s="67"/>
      <x:c r="P790" s="67" t="str">
        <x:f>IF(COUNT(N790:O790)=0,"",SUM(N790:O790))</x:f>
      </x:c>
      <x:c r="Q790" s="65" t="str">
        <x:v>赛程/比赛身份｜https://www.whoscored.com/matches/1980497/show/international-club-friendlies-2026-agf-ac-horsens；交锋｜https://tips.gg/archive/aarhus-agf-football-vs-ac-horsens-football/；赔率/概率｜https://www.wincomparator.com/predictions/agf-aarhus-ac-horsens-8538340/；查询时间：2026-07-15 20:45（北京时间） | 赛果源1：https://www.livescore.mobi/football/2026-07-15/ | 赛果源2：https://tipsterarea.com/matches/date-15-07-2026 | 查询时间：2026-07-16 23:40（北京时间）</x:v>
      </x:c>
      <x:c r="R790" s="65" t="str">
        <x:v>证据卡：丹麦球队热身赛，查询时已开球。近3次可见交锋AGF全胜、总比分7-2；更长主场样本AGF 7场6胜，但历史热身赛权重有限。双方确认首发、伤停及本场轮换计划未检索到，主客拆分不能等同正式联赛。AGF更可能高位控球，霍森斯以直接转换应对。主胜约1.37-1.61，亚洲让球与总盘初盘未形成可审计二源。反证①热身赛大幅轮换；②查询晚于开球；③旧交锋阵容变化。置信：低；正式方向：无。｜结算：90分钟终场2-0；赛前仅为只观察/无正式方向，未执行，让球与大小球均不计注数及盈亏。</x:v>
      </x:c>
    </x:row>
    <x:row r="791" ht="38" customHeight="1">
      <x:c r="A791" s="65" t="str">
        <x:f>IF(B791="","",TEXT(B791,"yyyy-mm-dd")&amp;"|"&amp;D791&amp;"|"&amp;E791)</x:f>
        <x:v>2026-07-15|阿马多拉之星（Estrela da Amadora）|纳瓦尔1893（Naval 1893）</x:v>
      </x:c>
      <x:c r="B791" s="66" t="n">
        <x:v>46218.83333333333</x:v>
      </x:c>
      <x:c r="C791" s="65" t="str">
        <x:v>国际俱乐部友谊赛</x:v>
      </x:c>
      <x:c r="D791" s="65" t="str">
        <x:v>阿马多拉之星（Estrela da Amadora）</x:v>
      </x:c>
      <x:c r="E791" s="65" t="str">
        <x:v>纳瓦尔1893（Naval 1893）</x:v>
      </x:c>
      <x:c r="F791" s="65" t="str">
        <x:v>补录只观察｜倾向阿马多拉之星 -1.0以上；级别优势明确，但无可靠亚洲让球主盘</x:v>
      </x:c>
      <x:c r="G791" s="65" t="str">
        <x:v>补录只观察｜倾向小3.25；阿马多拉末段联赛失球偏多、纳瓦尔低级别比赛偏谨慎，证据冲突</x:v>
      </x:c>
      <x:c r="H791" s="65" t="str">
        <x:v>查询已晚于开球；无正式方向；仅记录预计阵容待确认与盘口未开，不加仓</x:v>
      </x:c>
      <x:c r="I791" s="66" t="n">
        <x:v>46218.86458333333</x:v>
      </x:c>
      <x:c r="J791" s="65" t="str">
        <x:v>已结算</x:v>
      </x:c>
      <x:c r="K791" s="65" t="str">
        <x:v>2-0</x:v>
      </x:c>
      <x:c r="L791" s="65" t="str">
        <x:v>不计（只观察未执行）</x:v>
      </x:c>
      <x:c r="M791" s="65" t="str">
        <x:v>不计（只观察未执行）</x:v>
      </x:c>
      <x:c r="N791" s="67"/>
      <x:c r="O791" s="67"/>
      <x:c r="P791" s="67" t="str">
        <x:f>IF(COUNT(N791:O791)=0,"",SUM(N791:O791))</x:f>
      </x:c>
      <x:c r="Q791" s="65" t="str">
        <x:v>赛程｜https://www.flashscore.co.za/match/soccer/estrela-da-amadora-hrYABE5k/naval-1893-dlTRw4L5/?mid=tQLHwPbk；主队近况｜https://www.fotmob.com/teams/1074320/overview/estrela-da-amadora；客队赛果｜https://www.besoccer.com/team/matches/naval-1893；查询时间：2026-07-15 20:45（北京时间） | 赛果源1：https://www.livescore.mobi/football/2026-07-15/ | 查询时间：2026-07-16 23:40（北京时间）</x:v>
      </x:c>
      <x:c r="R791" s="65" t="str">
        <x:v>证据卡：葡萄牙跨级别热身赛，阿马多拉来自顶级联赛，纳瓦尔来自葡萄牙锦标赛。阿马多拉赛季末近5场0胜、失球偏多；纳瓦尔可见联赛样本多为0-0、1-0、2-1等低比分，但对手层级较低。双方确认阵容、伤停、主客拆分和本场轮换未检索到。对位上主队控球与个人能力占优，客队预计低位压缩。亚洲双盘及初盘轨迹未取得。反证①主队季末状态弱；②跨级别热身赛轮换可显著缩小差距；③查询晚于开球。置信：低；正式方向：无。｜结算：90分钟终场2-0；赛前仅为只观察/无正式方向，未执行，让球与大小球均不计注数及盈亏。</x:v>
      </x:c>
    </x:row>
    <x:row r="792" ht="38" customHeight="1">
      <x:c r="A792" s="65" t="str">
        <x:f>IF(B792="","",TEXT(B792,"yyyy-mm-dd")&amp;"|"&amp;D792&amp;"|"&amp;E792)</x:f>
        <x:v>2026-07-15|法马利康（Famalicão）|阿罗卡（Arouca）</x:v>
      </x:c>
      <x:c r="B792" s="66" t="n">
        <x:v>46218.83333333333</x:v>
      </x:c>
      <x:c r="C792" s="65" t="str">
        <x:v>国际俱乐部友谊赛</x:v>
      </x:c>
      <x:c r="D792" s="65" t="str">
        <x:v>法马利康（Famalicão）</x:v>
      </x:c>
      <x:c r="E792" s="65" t="str">
        <x:v>阿罗卡（Arouca）</x:v>
      </x:c>
      <x:c r="F792" s="65" t="str">
        <x:v>补录只观察｜双方同级，倾向阿罗卡 +0.25；次级来源出现对手名称冲突，不设正式盘口</x:v>
      </x:c>
      <x:c r="G792" s="65" t="str">
        <x:v>补录只观察｜倾向小3.0；同级热身赛与轮换不确定并存，未取得可靠亚洲大小球盘</x:v>
      </x:c>
      <x:c r="H792" s="65" t="str">
        <x:v>比赛身份以LiveScore全量池为准；次级页显示Famalicão-Lusitânia，需赛后核验；不执行</x:v>
      </x:c>
      <x:c r="I792" s="66" t="n">
        <x:v>46218.86458333333</x:v>
      </x:c>
      <x:c r="J792" s="65" t="str">
        <x:v>已取消</x:v>
      </x:c>
      <x:c r="K792" s="65" t="str">
        <x:v>取消</x:v>
      </x:c>
      <x:c r="L792" s="65" t="str">
        <x:v>不计（比赛取消）</x:v>
      </x:c>
      <x:c r="M792" s="65" t="str">
        <x:v>不计（比赛取消）</x:v>
      </x:c>
      <x:c r="N792" s="67"/>
      <x:c r="O792" s="67"/>
      <x:c r="P792" s="67" t="str">
        <x:f>IF(COUNT(N792:O792)=0,"",SUM(N792:O792))</x:f>
      </x:c>
      <x:c r="Q792" s="65" t="str">
        <x:v>赛程池｜https://www.livescore.mobi/football/2026-07-15/；冲突页｜https://tipsterarea.com/match/famalicao-arouca-club-friendly-935492；交锋入口｜https://www.soccerpunter.com/h2h/Arouca-vs-Famalicao/4092/3161/；查询时间：2026-07-15 20:45（北京时间） | 取消源1：https://www.livescore.mobi/football/2026-07-15/ | 取消源2：https://wyniki.sport.pl/pilka-nozna/Klubowe-mecze-towarzyskie-489/Famalicao-Arouca-5923748 | 查询时间：2026-07-16 23:40（北京时间）</x:v>
      </x:c>
      <x:c r="R792" s="65" t="str">
        <x:v>证据卡：葡萄牙同级别热身赛。LiveScore列为法马利康-阿罗卡，但搜索到的同场时间次级页面标题为该对阵、正文却显示法马利康-卢西塔尼亚，存在身份冲突；因此仍按已建立赛程池补录并降级。双方完整近5场、主客拆分、确认伤停/首发与战术计划未取得。法马利康常以结构化防守见长，阿罗卡具备反击与边路推进，但热身赛轮换削弱可迁移性。亚洲双盘、初盘轨迹均不足。反证①对手身份冲突；②查询晚于开球；③轮换未知。置信：极低；正式方向：无。｜结算：两项独立来源均标记比赛取消；不回填虚构比分、不计任何市场。</x:v>
      </x:c>
    </x:row>
    <x:row r="793" ht="38" customHeight="1">
      <x:c r="A793" s="65" t="str">
        <x:f>IF(B793="","",TEXT(B793,"yyyy-mm-dd")&amp;"|"&amp;D793&amp;"|"&amp;E793)</x:f>
        <x:v>2026-07-15|波尔蒂芒人（Portimonense）|里奥阿维（Rio Ave）</x:v>
      </x:c>
      <x:c r="B793" s="66" t="n">
        <x:v>46218.83333333333</x:v>
      </x:c>
      <x:c r="C793" s="65" t="str">
        <x:v>国际俱乐部友谊赛</x:v>
      </x:c>
      <x:c r="D793" s="65" t="str">
        <x:v>波尔蒂芒人（Portimonense）</x:v>
      </x:c>
      <x:c r="E793" s="65" t="str">
        <x:v>里奥阿维（Rio Ave）</x:v>
      </x:c>
      <x:c r="F793" s="65" t="str">
        <x:v>补录只观察｜倾向里奥阿维 0；近4次交锋2胜2平保持不败，但无可靠亚洲让球价格</x:v>
      </x:c>
      <x:c r="G793" s="65" t="str">
        <x:v>补录只观察｜倾向小3.0；近4次交锋有3场总进球不超过3，热身轮换构成反证</x:v>
      </x:c>
      <x:c r="H793" s="65" t="str">
        <x:v>查询已晚于开球；盘口、首发与场地未完成赛前冻结，仅复盘；不加仓</x:v>
      </x:c>
      <x:c r="I793" s="66" t="n">
        <x:v>46218.86458333333</x:v>
      </x:c>
      <x:c r="J793" s="65" t="str">
        <x:v>已结算</x:v>
      </x:c>
      <x:c r="K793" s="65" t="str">
        <x:v>0-3</x:v>
      </x:c>
      <x:c r="L793" s="65" t="str">
        <x:v>不计（只观察未执行）</x:v>
      </x:c>
      <x:c r="M793" s="65" t="str">
        <x:v>不计（只观察未执行）</x:v>
      </x:c>
      <x:c r="N793" s="67"/>
      <x:c r="O793" s="67"/>
      <x:c r="P793" s="67" t="str">
        <x:f>IF(COUNT(N793:O793)=0,"",SUM(N793:O793))</x:f>
      </x:c>
      <x:c r="Q793" s="65" t="str">
        <x:v>赛程/H2H｜https://www.flashscore.com/match/football/portimonense-6ecm9Xlr/rio-ave-jPzXLi4l/；交锋统计｜https://tips.gg/archive/portimonense-football-vs-rio-ave-football/；比赛信息｜https://ke.soccerway.com/match/portimonense-6ecm9Xlr/rio-ave-jPzXLi4l/?mid=GYhYghx1；查询时间：2026-07-15 20:45（北京时间） | 赛果源1：https://www.livescore.mobi/football/2026-07-15/ | 赛果源2：https://tipsterarea.com/matches/date-15-07-2026 | 查询时间：2026-07-16 23:40（北京时间）</x:v>
      </x:c>
      <x:c r="R793" s="65" t="str">
        <x:v>证据卡：葡萄牙热身赛；里奥阿维近4次正式交锋2胜2平、总比分7-4。可见近期摘要显示里奥阿维此前有1胜2平2负片段，但两队完整近5-10场、主客拆分与确认阵容未能审计。对位上里奥阿维整体级别和转换效率略占优，波尔蒂芒人可能以低位反击为主。亚洲盘口与水位未取得。反证①热身赛轮换；②交锋样本较旧；③查询晚于开球。置信：低；正式方向：无。｜结算：90分钟终场0-3；赛前仅为只观察/无正式方向，未执行，让球与大小球均不计注数及盈亏。</x:v>
      </x:c>
    </x:row>
    <x:row r="794" ht="38" customHeight="1">
      <x:c r="A794" s="65" t="str">
        <x:f>IF(B794="","",TEXT(B794,"yyyy-mm-dd")&amp;"|"&amp;D794&amp;"|"&amp;E794)</x:f>
        <x:v>2026-07-15|罗斯托夫（FC Rostov）|沃罗涅日火炬（Fakel Voronezh）</x:v>
      </x:c>
      <x:c r="B794" s="66" t="n">
        <x:v>46218.79166666667</x:v>
      </x:c>
      <x:c r="C794" s="65" t="str">
        <x:v>国际俱乐部友谊赛</x:v>
      </x:c>
      <x:c r="D794" s="65" t="str">
        <x:v>罗斯托夫（FC Rostov）</x:v>
      </x:c>
      <x:c r="E794" s="65" t="str">
        <x:v>沃罗涅日火炬（Fakel Voronezh）</x:v>
      </x:c>
      <x:c r="F794" s="65" t="str">
        <x:v>补录只观察｜倾向罗斯托夫 -0.25；主胜参考1.82-1.87，但未取得可交叉核验的亚洲让球主盘</x:v>
      </x:c>
      <x:c r="G794" s="65" t="str">
        <x:v>补录只观察｜倾向大2.5；参考1.74-1.80，低于1.80不进，且缺少亚洲总盘轨迹</x:v>
      </x:c>
      <x:c r="H794" s="65" t="str">
        <x:v>本次查询已晚于开球，不作为赛前执行结论；后续仅复盘；不加仓</x:v>
      </x:c>
      <x:c r="I794" s="66" t="n">
        <x:v>46218.86458333333</x:v>
      </x:c>
      <x:c r="J794" s="65" t="str">
        <x:v>已结算</x:v>
      </x:c>
      <x:c r="K794" s="65" t="str">
        <x:v>2-1</x:v>
      </x:c>
      <x:c r="L794" s="65" t="str">
        <x:v>不计（只观察未执行）</x:v>
      </x:c>
      <x:c r="M794" s="65" t="str">
        <x:v>不计（只观察未执行）</x:v>
      </x:c>
      <x:c r="N794" s="67"/>
      <x:c r="O794" s="67"/>
      <x:c r="P794" s="67" t="str">
        <x:f>IF(COUNT(N794:O794)=0,"",SUM(N794:O794))</x:f>
      </x:c>
      <x:c r="Q794" s="65" t="str">
        <x:v>赛程/阵容入口｜https://www.sofascore.com/football/match/fc-rostov-fakel-voronezh/rWsBW；近况/H2H｜https://footballpredictions.ai/football-predictions/fc-rostov-vs-fakel-predictions-tips-15-jul-2026/；赔率/分析｜https://tipstrike.com/prediction/fc-rostov-vs-fakel-betting-tips；查询时间：2026-07-15 20:45（北京时间） | 赛果源1：https://www.livescore.mobi/football/2026-07-15/ | 赛果源2：https://tipsterarea.com/matches/date-15-07-2026 | 查询时间：2026-07-16 23:40（北京时间）</x:v>
      </x:c>
      <x:c r="R794" s="65" t="str">
        <x:v>证据卡：俱乐部热身赛，查询时比赛已开球，故仅补录。近年交锋中罗斯托夫占优，但2026-07-07热身赛火炬3-1获胜，样本方向冲突；主客拆分受热身赛场地与轮换影响。预计阵容/伤停未检索到确认版本。战术上罗斯托夫更偏主动推进，火炬可利用转换；友谊赛轮换增加后段失球。欧赔主胜约1.82-1.87、总盘大2.5约1.74-1.80，亚洲初盘轨迹不足。反证①火炬刚在同对手身上取胜；②轮换和比赛已开球造成信息污染。置信：低；正式方向：无。｜结算：90分钟终场2-1；赛前仅为只观察/无正式方向，未执行，让球与大小球均不计注数及盈亏。</x:v>
      </x:c>
    </x:row>
    <x:row r="795" ht="38" customHeight="1">
      <x:c r="A795" s="65" t="str">
        <x:f>IF(B795="","",TEXT(B795,"yyyy-mm-dd")&amp;"|"&amp;D795&amp;"|"&amp;E795)</x:f>
        <x:v>2026-07-15|FK贝尔格莱德（FK Beograd）|北阳光雄鹰（North Sunshine Eagles）</x:v>
      </x:c>
      <x:c r="B795" s="66" t="n">
        <x:v>46218.75</x:v>
      </x:c>
      <x:c r="C795" s="65" t="str">
        <x:v>澳大利亚杯（Australia Cup）</x:v>
      </x:c>
      <x:c r="D795" s="65" t="str">
        <x:v>FK贝尔格莱德（FK Beograd）</x:v>
      </x:c>
      <x:c r="E795" s="65" t="str">
        <x:v>北阳光雄鹰（North Sunshine Eagles）</x:v>
      </x:c>
      <x:c r="F795" s="65" t="str">
        <x:v>FK贝尔格莱德 -1.25（亚洲让球，参考2.03；低于1.80不进）</x:v>
      </x:c>
      <x:c r="G795" s="65" t="str">
        <x:v>小3.25（亚洲大小球，参考1.96；低于1.80不进）</x:v>
      </x:c>
      <x:c r="H795" s="65" t="str">
        <x:v>小注；不加仓；主让升至-1.5或小球降盘3.0则放弃；开球前须再次确认时间</x:v>
      </x:c>
      <x:c r="I795" s="66" t="n">
        <x:v>46217.955555555556</x:v>
      </x:c>
      <x:c r="J795" s="65" t="str">
        <x:v>已结算</x:v>
      </x:c>
      <x:c r="K795" s="65" t="str">
        <x:v>2-3</x:v>
      </x:c>
      <x:c r="L795" s="65" t="str">
        <x:v>输</x:v>
      </x:c>
      <x:c r="M795" s="65" t="str">
        <x:v>输</x:v>
      </x:c>
      <x:c r="N795" s="67" t="n">
        <x:v>-1</x:v>
      </x:c>
      <x:c r="O795" s="67" t="n">
        <x:v>-1</x:v>
      </x:c>
      <x:c r="P795" s="67" t="n">
        <x:f>IF(COUNT(N795:O795)=0,"",SUM(N795:O795))</x:f>
        <x:v>-2</x:v>
      </x:c>
      <x:c r="Q795" s="65" t="str">
        <x:v>LiveScore赛果：https://www.livescore.mobi/football/2026-07-15/ | https://www.austadiums.com/sport/event/34740 | 查询时间：2026-07-15 23:40（北京时间）</x:v>
      </x:c>
      <x:c r="R795" s="65" t="str">
        <x:v>90分钟终场2-3；FK贝尔格莱德-1.25未穿，大3.25被突破。</x:v>
      </x:c>
    </x:row>
    <x:row r="796" ht="38" customHeight="1">
      <x:c r="A796" s="65" t="str">
        <x:f>IF(B796="","",TEXT(B796,"yyyy-mm-dd")&amp;"|"&amp;D796&amp;"|"&amp;E796)</x:f>
        <x:v>2026-07-15|马林海岸流浪者（Marlin Coast Rangers）|布伦瑞克尤文图斯（Brunswick Juventus）</x:v>
      </x:c>
      <x:c r="B796" s="66" t="n">
        <x:v>46218.72916666667</x:v>
      </x:c>
      <x:c r="C796" s="65" t="str">
        <x:v>澳大利亚杯（Australia Cup）</x:v>
      </x:c>
      <x:c r="D796" s="65" t="str">
        <x:v>马林海岸流浪者（Marlin Coast Rangers）</x:v>
      </x:c>
      <x:c r="E796" s="65" t="str">
        <x:v>布伦瑞克尤文图斯（Brunswick Juventus）</x:v>
      </x:c>
      <x:c r="F796" s="65" t="str">
        <x:v>布伦瑞克尤文图斯 -1.75（亚洲让球，参考2.02；低于1.80不进）</x:v>
      </x:c>
      <x:c r="G796" s="65" t="str">
        <x:v>大3.5（亚洲大小球，参考2.01；低于1.80不进）</x:v>
      </x:c>
      <x:c r="H796" s="65" t="str">
        <x:v>高波动小注；不加仓；客让升至-2或总盘升至3.75则放弃</x:v>
      </x:c>
      <x:c r="I796" s="66" t="n">
        <x:v>46217.955555555556</x:v>
      </x:c>
      <x:c r="J796" s="65" t="str">
        <x:v>已结算</x:v>
      </x:c>
      <x:c r="K796" s="65" t="str">
        <x:v>0-4</x:v>
      </x:c>
      <x:c r="L796" s="65" t="str">
        <x:v>赢</x:v>
      </x:c>
      <x:c r="M796" s="65" t="str">
        <x:v>赢</x:v>
      </x:c>
      <x:c r="N796" s="67" t="n">
        <x:v>1</x:v>
      </x:c>
      <x:c r="O796" s="67" t="n">
        <x:v>1</x:v>
      </x:c>
      <x:c r="P796" s="67" t="n">
        <x:f>IF(COUNT(N796:O796)=0,"",SUM(N796:O796))</x:f>
        <x:v>2</x:v>
      </x:c>
      <x:c r="Q796" s="65" t="str">
        <x:v>LiveScore赛果：https://www.livescore.mobi/football/2026-07-15/ | https://www.fctables.com/livescore/marlin_coast_rangers-brunswick_juventus-g2575743/ | 查询时间：2026-07-15 23:40（北京时间）</x:v>
      </x:c>
      <x:c r="R796" s="65" t="str">
        <x:v>90分钟终场0-4；布伦瑞克尤文图斯-1.75与大3.5均打出。</x:v>
      </x:c>
    </x:row>
    <x:row r="797" ht="38" customHeight="1">
      <x:c r="A797" s="65" t="str">
        <x:f>IF(B797="","",TEXT(B797,"yyyy-mm-dd")&amp;"|"&amp;D797&amp;"|"&amp;E797)</x:f>
        <x:v>2026-07-15|布朗德阿德罗格（Brown de Adrogué）|拉费雷雷（Deportivo Laferrere）</x:v>
      </x:c>
      <x:c r="B797" s="66" t="n">
        <x:v>46218.25</x:v>
      </x:c>
      <x:c r="C797" s="65" t="str">
        <x:v>阿根廷大都会乙级联赛（Primera B Metropolitana）</x:v>
      </x:c>
      <x:c r="D797" s="65" t="str">
        <x:v>布朗德阿德罗格（Brown de Adrogué）</x:v>
      </x:c>
      <x:c r="E797" s="65" t="str">
        <x:v>拉费雷雷（Deportivo Laferrere）</x:v>
      </x:c>
      <x:c r="F797" s="65" t="str">
        <x:v>拉费雷雷 0（亚洲平手盘，参考2.10；平局走水；低于1.80不进）</x:v>
      </x:c>
      <x:c r="G797" s="65" t="str">
        <x:v>小1.75（亚洲大小球，参考2.08；低于1.80不进）</x:v>
      </x:c>
      <x:c r="H797" s="65" t="str">
        <x:v>小注；不加仓；客队平手若降至1.80以下或总盘降至1.5则放弃</x:v>
      </x:c>
      <x:c r="I797" s="66" t="n">
        <x:v>46217.955555555556</x:v>
      </x:c>
      <x:c r="J797" s="65" t="str">
        <x:v>已结算</x:v>
      </x:c>
      <x:c r="K797" s="65" t="str">
        <x:v>0-1</x:v>
      </x:c>
      <x:c r="L797" s="65" t="str">
        <x:v>赢</x:v>
      </x:c>
      <x:c r="M797" s="65" t="str">
        <x:v>赢</x:v>
      </x:c>
      <x:c r="N797" s="67" t="n">
        <x:v>1</x:v>
      </x:c>
      <x:c r="O797" s="67" t="n">
        <x:v>1</x:v>
      </x:c>
      <x:c r="P797" s="67" t="n">
        <x:f>IF(COUNT(N797:O797)=0,"",SUM(N797:O797))</x:f>
        <x:v>2</x:v>
      </x:c>
      <x:c r="Q797" s="65" t="str">
        <x:v>LiveScore赛果：https://www.livescore.mobi/football/2026-07-14/ | https://www.livescores.com/football/argentina/primera-b-metropolitana-2026/ | 查询时间：2026-07-15 23:40（北京时间）</x:v>
      </x:c>
      <x:c r="R797" s="65" t="str">
        <x:v>90分钟终场0-1；拉费雷尔平手与小1.75均打出。</x:v>
      </x:c>
    </x:row>
    <x:row r="798" ht="38" customHeight="1">
      <x:c r="A798" s="65" t="str">
        <x:f>IF(B798="","",TEXT(B798,"yyyy-mm-dd")&amp;"|"&amp;D798&amp;"|"&amp;E798)</x:f>
        <x:v>2026-07-15|梅洛体育（Deportivo Merlo）|皇家皮拉尔（Real Pilar）</x:v>
      </x:c>
      <x:c r="B798" s="66" t="n">
        <x:v>46218.25</x:v>
      </x:c>
      <x:c r="C798" s="65" t="str">
        <x:v>阿根廷大都会乙级联赛（Primera B Metropolitana）</x:v>
      </x:c>
      <x:c r="D798" s="65" t="str">
        <x:v>梅洛体育（Deportivo Merlo）</x:v>
      </x:c>
      <x:c r="E798" s="65" t="str">
        <x:v>皇家皮拉尔（Real Pilar）</x:v>
      </x:c>
      <x:c r="F798" s="65" t="str">
        <x:v>皇家皮拉尔 0（亚洲平手盘，参考2.12；平局走水；低于1.80不进）</x:v>
      </x:c>
      <x:c r="G798" s="65" t="str">
        <x:v>小1.75（亚洲大小球，参考1.98；低于1.80不进）</x:v>
      </x:c>
      <x:c r="H798" s="65" t="str">
        <x:v>小注；不加仓；客队若改让-0.25或小球降盘1.5则放弃</x:v>
      </x:c>
      <x:c r="I798" s="66" t="n">
        <x:v>46217.955555555556</x:v>
      </x:c>
      <x:c r="J798" s="65" t="str">
        <x:v>已结算</x:v>
      </x:c>
      <x:c r="K798" s="65" t="str">
        <x:v>3-2</x:v>
      </x:c>
      <x:c r="L798" s="65" t="str">
        <x:v>输</x:v>
      </x:c>
      <x:c r="M798" s="65" t="str">
        <x:v>输</x:v>
      </x:c>
      <x:c r="N798" s="67" t="n">
        <x:v>-1</x:v>
      </x:c>
      <x:c r="O798" s="67" t="n">
        <x:v>-1</x:v>
      </x:c>
      <x:c r="P798" s="67" t="n">
        <x:f>IF(COUNT(N798:O798)=0,"",SUM(N798:O798))</x:f>
        <x:v>-2</x:v>
      </x:c>
      <x:c r="Q798" s="65" t="str">
        <x:v>LiveScore赛果：https://www.livescore.mobi/football/2026-07-14/ | https://www.livescores.com/football/argentina/primera-b-metropolitana-2026/ | 查询时间：2026-07-15 23:40（北京时间）</x:v>
      </x:c>
      <x:c r="R798" s="65" t="str">
        <x:v>90分钟终场3-2；皇家皮拉尔平手与小1.75均未打出。</x:v>
      </x:c>
    </x:row>
    <x:row r="799" ht="38" customHeight="1">
      <x:c r="A799" s="65" t="str">
        <x:f>IF(B799="","",TEXT(B799,"yyyy-mm-dd")&amp;"|"&amp;D799&amp;"|"&amp;E799)</x:f>
        <x:v>2026-07-15|伊图萨因戈（Ituzaingó）|布尔萨科圣马丁（San Martín de Burzaco）</x:v>
      </x:c>
      <x:c r="B799" s="66" t="n">
        <x:v>46218.25</x:v>
      </x:c>
      <x:c r="C799" s="65" t="str">
        <x:v>阿根廷大都会乙级联赛（Primera B Metropolitana）</x:v>
      </x:c>
      <x:c r="D799" s="65" t="str">
        <x:v>伊图萨因戈（Ituzaingó）</x:v>
      </x:c>
      <x:c r="E799" s="65" t="str">
        <x:v>布尔萨科圣马丁（San Martín de Burzaco）</x:v>
      </x:c>
      <x:c r="F799" s="65" t="str">
        <x:v>布尔萨科圣马丁 -0.25（亚洲让球，参考1.94；低于1.80不进）</x:v>
      </x:c>
      <x:c r="G799" s="65" t="str">
        <x:v>小1.75（亚洲大小球，参考2.05；低于1.80不进）</x:v>
      </x:c>
      <x:c r="H799" s="65" t="str">
        <x:v>小注；客让-0.25维持且≥1.90可加0.25注；升至-0.5或总盘降至1.5则放弃</x:v>
      </x:c>
      <x:c r="I799" s="66" t="n">
        <x:v>46217.955555555556</x:v>
      </x:c>
      <x:c r="J799" s="65" t="str">
        <x:v>已结算</x:v>
      </x:c>
      <x:c r="K799" s="65" t="str">
        <x:v>1-2</x:v>
      </x:c>
      <x:c r="L799" s="65" t="str">
        <x:v>赢</x:v>
      </x:c>
      <x:c r="M799" s="65" t="str">
        <x:v>输</x:v>
      </x:c>
      <x:c r="N799" s="67" t="n">
        <x:v>1</x:v>
      </x:c>
      <x:c r="O799" s="67" t="n">
        <x:v>-1</x:v>
      </x:c>
      <x:c r="P799" s="67" t="n">
        <x:f>IF(COUNT(N799:O799)=0,"",SUM(N799:O799))</x:f>
        <x:v>0</x:v>
      </x:c>
      <x:c r="Q799" s="65" t="str">
        <x:v>LiveScore赛果：https://www.livescore.mobi/football/2026-07-14/ | https://www.livescores.com/football/argentina/primera-b-metropolitana-2026/ | 查询时间：2026-07-15 23:40（北京时间）</x:v>
      </x:c>
      <x:c r="R799" s="65" t="str">
        <x:v>90分钟终场1-2；圣马丁布尔扎科-0.25打出，小1.75未打出。</x:v>
      </x:c>
    </x:row>
    <x:row r="800" ht="38" customHeight="1">
      <x:c r="A800" s="65" t="str">
        <x:f>IF(B800="","",TEXT(B800,"yyyy-mm-dd")&amp;"|"&amp;D800&amp;"|"&amp;E800)</x:f>
        <x:v>2026-07-15|马卡拉（CSD Macará）|穆舒克鲁纳（Mushuc Runa）</x:v>
      </x:c>
      <x:c r="B800" s="66" t="n">
        <x:v>46218.22916666667</x:v>
      </x:c>
      <x:c r="C800" s="65" t="str">
        <x:v>厄瓜多尔甲级联赛（LigaPro Serie A）</x:v>
      </x:c>
      <x:c r="D800" s="65" t="str">
        <x:v>马卡拉（CSD Macará）</x:v>
      </x:c>
      <x:c r="E800" s="65" t="str">
        <x:v>穆舒克鲁纳（Mushuc Runa）</x:v>
      </x:c>
      <x:c r="F800" s="65" t="str">
        <x:v>穆舒克鲁纳 +0.25（亚洲让球，参考2.16；低于1.80不进）</x:v>
      </x:c>
      <x:c r="G800" s="65" t="str">
        <x:v>小2.25（亚洲大小球，参考1.90；低于1.80不进）</x:v>
      </x:c>
      <x:c r="H800" s="65" t="str">
        <x:v>小注；不加仓；受让缩至平手或小球降盘2.0则放弃</x:v>
      </x:c>
      <x:c r="I800" s="66" t="n">
        <x:v>46217.955555555556</x:v>
      </x:c>
      <x:c r="J800" s="65" t="str">
        <x:v>已结算</x:v>
      </x:c>
      <x:c r="K800" s="65" t="str">
        <x:v>2-1</x:v>
      </x:c>
      <x:c r="L800" s="65" t="str">
        <x:v>输</x:v>
      </x:c>
      <x:c r="M800" s="65" t="str">
        <x:v>输</x:v>
      </x:c>
      <x:c r="N800" s="67" t="n">
        <x:v>-1</x:v>
      </x:c>
      <x:c r="O800" s="67" t="n">
        <x:v>-1</x:v>
      </x:c>
      <x:c r="P800" s="67" t="n">
        <x:f>IF(COUNT(N800:O800)=0,"",SUM(N800:O800))</x:f>
        <x:v>-2</x:v>
      </x:c>
      <x:c r="Q800" s="65" t="str">
        <x:v>LiveScore赛果：https://www.livescore.mobi/football/2026-07-14/ | https://www.youtube.com/watch?v=rRypps1AmLY | 查询时间：2026-07-15 23:40（北京时间）</x:v>
      </x:c>
      <x:c r="R800" s="65" t="str">
        <x:v>90分钟终场2-1；穆舒克鲁纳+0.25与小2.25均未打出。</x:v>
      </x:c>
    </x:row>
    <x:row r="801" ht="38" customHeight="1">
      <x:c r="A801" s="65" t="str">
        <x:f>IF(B801="","",TEXT(B801,"yyyy-mm-dd")&amp;"|"&amp;D801&amp;"|"&amp;E801)</x:f>
        <x:v>2026-07-15|法国|西班牙</x:v>
      </x:c>
      <x:c r="B801" s="66" t="n">
        <x:v>46218.125</x:v>
      </x:c>
      <x:c r="C801" s="65" t="str">
        <x:v>国际足联世界杯</x:v>
      </x:c>
      <x:c r="D801" s="65" t="str">
        <x:v>法国</x:v>
      </x:c>
      <x:c r="E801" s="65" t="str">
        <x:v>西班牙</x:v>
      </x:c>
      <x:c r="F801" s="65" t="str">
        <x:v>西班牙 +0.25（亚洲让球，参考约1.90；低于0.80不进）</x:v>
      </x:c>
      <x:c r="G801" s="65" t="str">
        <x:v>小2.5（亚洲大小球，参考约1.83-1.89；低于0.80不进）</x:v>
      </x:c>
      <x:c r="H801" s="65" t="str">
        <x:v>小注；不加仓；西班牙+0.25需水位≥0.85，若退至平手盘则放弃；小2.5需水位≥0.80，若降盘2.25则放弃</x:v>
      </x:c>
      <x:c r="I801" s="66" t="n">
        <x:v>46217.830555555556</x:v>
      </x:c>
      <x:c r="J801" s="65" t="str">
        <x:v>已结算</x:v>
      </x:c>
      <x:c r="K801" s="65" t="str">
        <x:v>0-2</x:v>
      </x:c>
      <x:c r="L801" s="65" t="str">
        <x:v>赢</x:v>
      </x:c>
      <x:c r="M801" s="65" t="str">
        <x:v>赢</x:v>
      </x:c>
      <x:c r="N801" s="67" t="n">
        <x:v>1</x:v>
      </x:c>
      <x:c r="O801" s="67" t="n">
        <x:v>1</x:v>
      </x:c>
      <x:c r="P801" s="67" t="n">
        <x:f>IF(COUNT(N801:O801)=0,"",SUM(N801:O801))</x:f>
        <x:v>2</x:v>
      </x:c>
      <x:c r="Q801" s="65" t="str">
        <x:v>LiveScore赛果：https://www.livescore.mobi/football/2026-07-14/ | https://www.fifa.com/en/tournaments/mens/worldcup/canadamexicousa2026/articles/france-spain-match-report-highlights | https://www.reuters.com/sports/soccer/spain-beat-france-2-0-reach-world-cup-final-2026-07-14/ | 查询时间：2026-07-15 23:40（北京时间）</x:v>
      </x:c>
      <x:c r="R801" s="65" t="str">
        <x:v>90分钟终场0-2；西班牙+0.25与小2.5均打出。</x:v>
      </x:c>
    </x:row>
    <x:row r="802" ht="38" customHeight="1">
      <x:c r="A802" s="65" t="str">
        <x:f>IF(B802="","",TEXT(B802,"yyyy-mm-dd")&amp;"|"&amp;D802&amp;"|"&amp;E802)</x:f>
        <x:v>2026-07-15|拉恩（Larne FC）|特雷菲奥里（SP Tre Fiori）</x:v>
      </x:c>
      <x:c r="B802" s="66" t="n">
        <x:v>46218.125</x:v>
      </x:c>
      <x:c r="C802" s="65" t="str">
        <x:v>欧洲冠军联赛（UEFA Champions League）</x:v>
      </x:c>
      <x:c r="D802" s="65" t="str">
        <x:v>拉恩（Larne FC）</x:v>
      </x:c>
      <x:c r="E802" s="65" t="str">
        <x:v>特雷菲奥里（SP Tre Fiori）</x:v>
      </x:c>
      <x:c r="F802" s="65" t="str">
        <x:v>特雷菲奥里 +2.0（亚洲让球；只接受港水≥0.80）</x:v>
      </x:c>
      <x:c r="G802" s="65" t="str">
        <x:v>小2.5（高水小注，参考约2.40-2.45；低于0.80不进）</x:v>
      </x:c>
      <x:c r="H802" s="65" t="str">
        <x:v>小注；不加仓；特雷菲奥里+2水位须≥0.80，若缩至+1.75则放弃；小2.5高水只小注，若跌破港水1.10则放弃</x:v>
      </x:c>
      <x:c r="I802" s="66" t="n">
        <x:v>46217.830555555556</x:v>
      </x:c>
      <x:c r="J802" s="65" t="str">
        <x:v>已结算</x:v>
      </x:c>
      <x:c r="K802" s="65" t="str">
        <x:v>2-1</x:v>
      </x:c>
      <x:c r="L802" s="65" t="str">
        <x:v>赢</x:v>
      </x:c>
      <x:c r="M802" s="65" t="str">
        <x:v>输</x:v>
      </x:c>
      <x:c r="N802" s="67" t="n">
        <x:v>1</x:v>
      </x:c>
      <x:c r="O802" s="67" t="n">
        <x:v>-1</x:v>
      </x:c>
      <x:c r="P802" s="67" t="n">
        <x:f>IF(COUNT(N802:O802)=0,"",SUM(N802:O802))</x:f>
        <x:v>0</x:v>
      </x:c>
      <x:c r="Q802" s="65" t="str">
        <x:v>LiveScore赛果：https://www.livescore.mobi/football/2026-07-14/ | https://www.uefa.com/uefachampionsleague/fixtures-results/ | 查询时间：2026-07-15 23:40（北京时间）</x:v>
      </x:c>
      <x:c r="R802" s="65" t="str">
        <x:v>90分钟终场2-1；特雷菲奥里+2打出，小2.5未打出。</x:v>
      </x:c>
    </x:row>
    <x:row r="803" ht="38" customHeight="1">
      <x:c r="A803" s="65" t="str">
        <x:f>IF(B803="","",TEXT(B803,"yyyy-mm-dd")&amp;"|"&amp;D803&amp;"|"&amp;E803)</x:f>
        <x:v>2026-07-15|沙姆洛克流浪（Shamrock Rovers）|弗洛里亚纳（Floriana）</x:v>
      </x:c>
      <x:c r="B803" s="66" t="n">
        <x:v>46218.125</x:v>
      </x:c>
      <x:c r="C803" s="65" t="str">
        <x:v>欧洲冠军联赛（UEFA Champions League）</x:v>
      </x:c>
      <x:c r="D803" s="65" t="str">
        <x:v>沙姆洛克流浪（Shamrock Rovers）</x:v>
      </x:c>
      <x:c r="E803" s="65" t="str">
        <x:v>弗洛里亚纳（Floriana）</x:v>
      </x:c>
      <x:c r="F803" s="65" t="str">
        <x:v>沙姆洛克流浪 -1.5（亚洲让球，参考约1.83；低于0.80不进）</x:v>
      </x:c>
      <x:c r="G803" s="65" t="str">
        <x:v>大2.5（参考约1.62，当前低水只观察；须回升至港水≥0.80才进）</x:v>
      </x:c>
      <x:c r="H803" s="65" t="str">
        <x:v>小注；不加仓；-1.5水位须≥0.80，若升至-1.75则放弃；大2.5当前低水不进，升盘3.0只在水位≥0.90时小注</x:v>
      </x:c>
      <x:c r="I803" s="66" t="n">
        <x:v>46217.830555555556</x:v>
      </x:c>
      <x:c r="J803" s="65" t="str">
        <x:v>已结算</x:v>
      </x:c>
      <x:c r="K803" s="65" t="str">
        <x:v>5-1</x:v>
      </x:c>
      <x:c r="L803" s="65" t="str">
        <x:v>赢</x:v>
      </x:c>
      <x:c r="M803" s="65" t="str">
        <x:v>不计（低水未执行）</x:v>
      </x:c>
      <x:c r="N803" s="67" t="n">
        <x:v>1</x:v>
      </x:c>
      <x:c r="O803" s="67"/>
      <x:c r="P803" s="67" t="n">
        <x:f>IF(COUNT(N803:O803)=0,"",SUM(N803:O803))</x:f>
        <x:v>1</x:v>
      </x:c>
      <x:c r="Q803" s="65" t="str">
        <x:v>LiveScore赛果：https://www.livescore.mobi/football/2026-07-14/ | https://www.uefa.com/uefachampionsleague/fixtures-results/ | 查询时间：2026-07-15 23:40（北京时间）</x:v>
      </x:c>
      <x:c r="R803" s="65" t="str">
        <x:v>90分钟终场5-1；沙姆洛克流浪-1.5打出；大2.5冻结参考1.62低于1.80，按规则未执行、不计盈亏。</x:v>
      </x:c>
    </x:row>
    <x:row r="804" ht="38" customHeight="1">
      <x:c r="A804" s="65" t="str">
        <x:f>IF(B804="","",TEXT(B804,"yyyy-mm-dd")&amp;"|"&amp;D804&amp;"|"&amp;E804)</x:f>
        <x:v>2026-07-15|埃尔金城（Elgin City）|彼得黑德（Peterhead）</x:v>
      </x:c>
      <x:c r="B804" s="66" t="n">
        <x:v>46218.11458333333</x:v>
      </x:c>
      <x:c r="C804" s="65" t="str">
        <x:v>苏格兰联赛杯（Scottish League Cup）</x:v>
      </x:c>
      <x:c r="D804" s="65" t="str">
        <x:v>埃尔金城（Elgin City）</x:v>
      </x:c>
      <x:c r="E804" s="65" t="str">
        <x:v>彼得黑德（Peterhead）</x:v>
      </x:c>
      <x:c r="F804" s="65" t="str">
        <x:v>埃尔金城 +0.25（亚洲让球，参考1.99；低于1.80不进）</x:v>
      </x:c>
      <x:c r="G804" s="65" t="str">
        <x:v>小2.75（亚洲大小球，参考1.98；低于1.80不进）</x:v>
      </x:c>
      <x:c r="H804" s="65" t="str">
        <x:v>小注；不加仓；受让退至平手或小球降至2.5则放弃</x:v>
      </x:c>
      <x:c r="I804" s="66" t="n">
        <x:v>46217.955555555556</x:v>
      </x:c>
      <x:c r="J804" s="65" t="str">
        <x:v>已结算</x:v>
      </x:c>
      <x:c r="K804" s="65" t="str">
        <x:v>1-3</x:v>
      </x:c>
      <x:c r="L804" s="65" t="str">
        <x:v>输</x:v>
      </x:c>
      <x:c r="M804" s="65" t="str">
        <x:v>输</x:v>
      </x:c>
      <x:c r="N804" s="67" t="n">
        <x:v>-1</x:v>
      </x:c>
      <x:c r="O804" s="67" t="n">
        <x:v>-1</x:v>
      </x:c>
      <x:c r="P804" s="67" t="n">
        <x:f>IF(COUNT(N804:O804)=0,"",SUM(N804:O804))</x:f>
        <x:v>-2</x:v>
      </x:c>
      <x:c r="Q804" s="65" t="str">
        <x:v>LiveScore赛果：https://www.livescore.mobi/football/2026-07-14/ | https://spfl.co.uk/league/league-cup/results | 查询时间：2026-07-15 23:40（北京时间）</x:v>
      </x:c>
      <x:c r="R804" s="65" t="str">
        <x:v>90分钟终场1-3；埃尔金城+0.25与小2.75均未打出。</x:v>
      </x:c>
    </x:row>
    <x:row r="805" ht="38" customHeight="1">
      <x:c r="A805" s="65" t="str">
        <x:f>IF(B805="","",TEXT(B805,"yyyy-mm-dd")&amp;"|"&amp;D805&amp;"|"&amp;E805)</x:f>
        <x:v>2026-07-15|安南竞技（Annan Athletic）|邓迪（Dundee）</x:v>
      </x:c>
      <x:c r="B805" s="66" t="n">
        <x:v>46218.11458333333</x:v>
      </x:c>
      <x:c r="C805" s="65" t="str">
        <x:v>苏格兰联赛杯（Scottish League Cup）</x:v>
      </x:c>
      <x:c r="D805" s="65" t="str">
        <x:v>安南竞技（Annan Athletic）</x:v>
      </x:c>
      <x:c r="E805" s="65" t="str">
        <x:v>邓迪（Dundee）</x:v>
      </x:c>
      <x:c r="F805" s="65" t="str">
        <x:v>邓迪 -2.25（亚洲让球，参考1.99；低于1.80不进）</x:v>
      </x:c>
      <x:c r="G805" s="65" t="str">
        <x:v>小3.5（亚洲大小球，参考1.90；低于1.80不进）</x:v>
      </x:c>
      <x:c r="H805" s="65" t="str">
        <x:v>小注；邓迪-2.25维持且≥1.95可加0.25注；升至-2.5或小球降盘3.25则放弃</x:v>
      </x:c>
      <x:c r="I805" s="66" t="n">
        <x:v>46217.955555555556</x:v>
      </x:c>
      <x:c r="J805" s="65" t="str">
        <x:v>已结算</x:v>
      </x:c>
      <x:c r="K805" s="65" t="str">
        <x:v>0-5</x:v>
      </x:c>
      <x:c r="L805" s="65" t="str">
        <x:v>赢</x:v>
      </x:c>
      <x:c r="M805" s="65" t="str">
        <x:v>输</x:v>
      </x:c>
      <x:c r="N805" s="67" t="n">
        <x:v>1</x:v>
      </x:c>
      <x:c r="O805" s="67" t="n">
        <x:v>-1</x:v>
      </x:c>
      <x:c r="P805" s="67" t="n">
        <x:f>IF(COUNT(N805:O805)=0,"",SUM(N805:O805))</x:f>
        <x:v>0</x:v>
      </x:c>
      <x:c r="Q805" s="65" t="str">
        <x:v>LiveScore赛果：https://www.livescore.mobi/football/2026-07-14/ | https://spfl.co.uk/league/league-cup/results | 查询时间：2026-07-15 23:40（北京时间）</x:v>
      </x:c>
      <x:c r="R805" s="65" t="str">
        <x:v>90分钟终场0-5；邓迪-2.25打出，小3.5未打出。</x:v>
      </x:c>
    </x:row>
    <x:row r="806" ht="38" customHeight="1">
      <x:c r="A806" s="65" t="str">
        <x:f>IF(B806="","",TEXT(B806,"yyyy-mm-dd")&amp;"|"&amp;D806&amp;"|"&amp;E806)</x:f>
        <x:v>2026-07-15|布里金城（Brechin City）|利文斯顿（Livingston）</x:v>
      </x:c>
      <x:c r="B806" s="66" t="n">
        <x:v>46218.11458333333</x:v>
      </x:c>
      <x:c r="C806" s="65" t="str">
        <x:v>苏格兰联赛杯（Scottish League Cup）</x:v>
      </x:c>
      <x:c r="D806" s="65" t="str">
        <x:v>布里金城（Brechin City）</x:v>
      </x:c>
      <x:c r="E806" s="65" t="str">
        <x:v>利文斯顿（Livingston）</x:v>
      </x:c>
      <x:c r="F806" s="65" t="str">
        <x:v>布里金城 +3.25（亚洲让球，参考2.16；低于1.80不进）</x:v>
      </x:c>
      <x:c r="G806" s="65" t="str">
        <x:v>小4.25（亚洲大小球，参考2.06；低于1.80不进）</x:v>
      </x:c>
      <x:c r="H806" s="65" t="str">
        <x:v>高波动小注；不加仓；受让缩至+3或总盘降至4.0则放弃；低于1.80不执行</x:v>
      </x:c>
      <x:c r="I806" s="66" t="n">
        <x:v>46217.955555555556</x:v>
      </x:c>
      <x:c r="J806" s="65" t="str">
        <x:v>已结算</x:v>
      </x:c>
      <x:c r="K806" s="65" t="str">
        <x:v>0-2</x:v>
      </x:c>
      <x:c r="L806" s="65" t="str">
        <x:v>赢</x:v>
      </x:c>
      <x:c r="M806" s="65" t="str">
        <x:v>赢</x:v>
      </x:c>
      <x:c r="N806" s="67" t="n">
        <x:v>1</x:v>
      </x:c>
      <x:c r="O806" s="67" t="n">
        <x:v>1</x:v>
      </x:c>
      <x:c r="P806" s="67" t="n">
        <x:f>IF(COUNT(N806:O806)=0,"",SUM(N806:O806))</x:f>
        <x:v>2</x:v>
      </x:c>
      <x:c r="Q806" s="65" t="str">
        <x:v>LiveScore赛果：https://www.livescore.mobi/football/2026-07-14/ | https://spfl.co.uk/league/league-cup/results | 查询时间：2026-07-15 23:40（北京时间）</x:v>
      </x:c>
      <x:c r="R806" s="65" t="str">
        <x:v>90分钟终场0-2；布里金城+3.25与小4.25均打出。</x:v>
      </x:c>
    </x:row>
    <x:row r="807" ht="38" customHeight="1">
      <x:c r="A807" s="65" t="str">
        <x:f>IF(B807="","",TEXT(B807,"yyyy-mm-dd")&amp;"|"&amp;D807&amp;"|"&amp;E807)</x:f>
        <x:v>2026-07-15|邓弗姆林（Dunfermline Athletic）|邓巴顿（Dumbarton）</x:v>
      </x:c>
      <x:c r="B807" s="66" t="n">
        <x:v>46218.11458333333</x:v>
      </x:c>
      <x:c r="C807" s="65" t="str">
        <x:v>苏格兰联赛杯（Scottish League Cup）</x:v>
      </x:c>
      <x:c r="D807" s="65" t="str">
        <x:v>邓弗姆林（Dunfermline Athletic）</x:v>
      </x:c>
      <x:c r="E807" s="65" t="str">
        <x:v>邓巴顿（Dumbarton）</x:v>
      </x:c>
      <x:c r="F807" s="65" t="str">
        <x:v>邓弗姆林 -2.0（亚洲让球，参考1.91；赢2球走水；低于1.80不进）</x:v>
      </x:c>
      <x:c r="G807" s="65" t="str">
        <x:v>小3.25（亚洲大小球，参考2.05；低于1.80不进）</x:v>
      </x:c>
      <x:c r="H807" s="65" t="str">
        <x:v>小注；邓弗姆林-2维持且≥1.90可加0.25注；升至-2.25或小球降盘3.0则放弃</x:v>
      </x:c>
      <x:c r="I807" s="66" t="n">
        <x:v>46217.955555555556</x:v>
      </x:c>
      <x:c r="J807" s="65" t="str">
        <x:v>已结算</x:v>
      </x:c>
      <x:c r="K807" s="65" t="str">
        <x:v>4-1</x:v>
      </x:c>
      <x:c r="L807" s="65" t="str">
        <x:v>赢</x:v>
      </x:c>
      <x:c r="M807" s="65" t="str">
        <x:v>输</x:v>
      </x:c>
      <x:c r="N807" s="67" t="n">
        <x:v>1</x:v>
      </x:c>
      <x:c r="O807" s="67" t="n">
        <x:v>-1</x:v>
      </x:c>
      <x:c r="P807" s="67" t="n">
        <x:f>IF(COUNT(N807:O807)=0,"",SUM(N807:O807))</x:f>
        <x:v>0</x:v>
      </x:c>
      <x:c r="Q807" s="65" t="str">
        <x:v>LiveScore赛果：https://www.livescore.mobi/football/2026-07-14/ | https://spfl.co.uk/league/league-cup/results | 查询时间：2026-07-15 23:40（北京时间）</x:v>
      </x:c>
      <x:c r="R807" s="65" t="str">
        <x:v>90分钟终场4-1；邓弗姆林-2打出，小3.25未打出。</x:v>
      </x:c>
    </x:row>
    <x:row r="808" ht="38" customHeight="1">
      <x:c r="A808" s="65" t="str">
        <x:f>IF(B808="","",TEXT(B808,"yyyy-mm-dd")&amp;"|"&amp;D808&amp;"|"&amp;E808)</x:f>
        <x:v>2026-07-15|东法夫（East Fife）|摩顿（Greenock Morton）</x:v>
      </x:c>
      <x:c r="B808" s="66" t="n">
        <x:v>46218.11458333333</x:v>
      </x:c>
      <x:c r="C808" s="65" t="str">
        <x:v>苏格兰联赛杯（Scottish League Cup）</x:v>
      </x:c>
      <x:c r="D808" s="65" t="str">
        <x:v>东法夫（East Fife）</x:v>
      </x:c>
      <x:c r="E808" s="65" t="str">
        <x:v>摩顿（Greenock Morton）</x:v>
      </x:c>
      <x:c r="F808" s="65" t="str">
        <x:v>东法夫 0（亚洲平手盘，参考2.15；平局走水；低于1.80不进）</x:v>
      </x:c>
      <x:c r="G808" s="65" t="str">
        <x:v>小2.75（亚洲大小球，参考2.03；低于1.80不进）</x:v>
      </x:c>
      <x:c r="H808" s="65" t="str">
        <x:v>小注；不加仓；平手退至受让方低水或小球降盘2.5则放弃</x:v>
      </x:c>
      <x:c r="I808" s="66" t="n">
        <x:v>46217.955555555556</x:v>
      </x:c>
      <x:c r="J808" s="65" t="str">
        <x:v>已结算</x:v>
      </x:c>
      <x:c r="K808" s="65" t="str">
        <x:v>2-0</x:v>
      </x:c>
      <x:c r="L808" s="65" t="str">
        <x:v>赢</x:v>
      </x:c>
      <x:c r="M808" s="65" t="str">
        <x:v>赢</x:v>
      </x:c>
      <x:c r="N808" s="67" t="n">
        <x:v>1</x:v>
      </x:c>
      <x:c r="O808" s="67" t="n">
        <x:v>1</x:v>
      </x:c>
      <x:c r="P808" s="67" t="n">
        <x:f>IF(COUNT(N808:O808)=0,"",SUM(N808:O808))</x:f>
        <x:v>2</x:v>
      </x:c>
      <x:c r="Q808" s="65" t="str">
        <x:v>LiveScore赛果：https://www.livescore.mobi/football/2026-07-14/ | https://spfl.co.uk/league/league-cup/results | 查询时间：2026-07-15 23:40（北京时间）</x:v>
      </x:c>
      <x:c r="R808" s="65" t="str">
        <x:v>90分钟终场2-0；东法夫平手与小2.75均打出。</x:v>
      </x:c>
    </x:row>
    <x:row r="809" ht="38" customHeight="1">
      <x:c r="A809" s="65" t="str">
        <x:f>IF(B809="","",TEXT(B809,"yyyy-mm-dd")&amp;"|"&amp;D809&amp;"|"&amp;E809)</x:f>
        <x:v>2026-07-15|福尔柯克（Falkirk）|艾尔联（Ayr United）</x:v>
      </x:c>
      <x:c r="B809" s="66" t="n">
        <x:v>46218.11458333333</x:v>
      </x:c>
      <x:c r="C809" s="65" t="str">
        <x:v>苏格兰联赛杯（Scottish League Cup）</x:v>
      </x:c>
      <x:c r="D809" s="65" t="str">
        <x:v>福尔柯克（Falkirk）</x:v>
      </x:c>
      <x:c r="E809" s="65" t="str">
        <x:v>艾尔联（Ayr United）</x:v>
      </x:c>
      <x:c r="F809" s="65" t="str">
        <x:v>福尔柯克 -1.25（亚洲让球，参考2.00；低于1.80不进）</x:v>
      </x:c>
      <x:c r="G809" s="65" t="str">
        <x:v>大3.0（亚洲大小球，参考1.88；3球走水；低于1.80不进）</x:v>
      </x:c>
      <x:c r="H809" s="65" t="str">
        <x:v>小注；福尔柯克-1.25维持且≥1.95可加0.25注；升至-1.5或大球升盘3.25则放弃</x:v>
      </x:c>
      <x:c r="I809" s="66" t="n">
        <x:v>46217.955555555556</x:v>
      </x:c>
      <x:c r="J809" s="65" t="str">
        <x:v>已结算</x:v>
      </x:c>
      <x:c r="K809" s="65" t="str">
        <x:v>0-1</x:v>
      </x:c>
      <x:c r="L809" s="65" t="str">
        <x:v>输</x:v>
      </x:c>
      <x:c r="M809" s="65" t="str">
        <x:v>输</x:v>
      </x:c>
      <x:c r="N809" s="67" t="n">
        <x:v>-1</x:v>
      </x:c>
      <x:c r="O809" s="67" t="n">
        <x:v>-1</x:v>
      </x:c>
      <x:c r="P809" s="67" t="n">
        <x:f>IF(COUNT(N809:O809)=0,"",SUM(N809:O809))</x:f>
        <x:v>-2</x:v>
      </x:c>
      <x:c r="Q809" s="65" t="str">
        <x:v>LiveScore赛果：https://www.livescore.mobi/football/2026-07-14/ | https://spfl.co.uk/league/league-cup/results | 查询时间：2026-07-15 23:40（北京时间）</x:v>
      </x:c>
      <x:c r="R809" s="65" t="str">
        <x:v>90分钟终场0-1；福尔柯克-1.25与大3均未打出。</x:v>
      </x:c>
    </x:row>
    <x:row r="810" ht="38" customHeight="1">
      <x:c r="A810" s="65" t="str">
        <x:f>IF(B810="","",TEXT(B810,"yyyy-mm-dd")&amp;"|"&amp;D810&amp;"|"&amp;E810)</x:f>
        <x:v>2026-07-15|福弗尔竞技（Forfar Athletic）|帕尔蒂克蓟（Partick Thistle）</x:v>
      </x:c>
      <x:c r="B810" s="66" t="n">
        <x:v>46218.11458333333</x:v>
      </x:c>
      <x:c r="C810" s="65" t="str">
        <x:v>苏格兰联赛杯（Scottish League Cup）</x:v>
      </x:c>
      <x:c r="D810" s="65" t="str">
        <x:v>福弗尔竞技（Forfar Athletic）</x:v>
      </x:c>
      <x:c r="E810" s="65" t="str">
        <x:v>帕尔蒂克蓟（Partick Thistle）</x:v>
      </x:c>
      <x:c r="F810" s="65" t="str">
        <x:v>福弗尔竞技 +1.75（亚洲让球，参考2.20；低于1.80不进）</x:v>
      </x:c>
      <x:c r="G810" s="65" t="str">
        <x:v>小3.5（亚洲大小球，参考1.86；低于1.80不进）</x:v>
      </x:c>
      <x:c r="H810" s="65" t="str">
        <x:v>小注；不加仓；受让缩至+1.5或小球降盘3.25则放弃</x:v>
      </x:c>
      <x:c r="I810" s="66" t="n">
        <x:v>46217.955555555556</x:v>
      </x:c>
      <x:c r="J810" s="65" t="str">
        <x:v>已结算</x:v>
      </x:c>
      <x:c r="K810" s="65" t="str">
        <x:v>0-4</x:v>
      </x:c>
      <x:c r="L810" s="65" t="str">
        <x:v>输</x:v>
      </x:c>
      <x:c r="M810" s="65" t="str">
        <x:v>输</x:v>
      </x:c>
      <x:c r="N810" s="67" t="n">
        <x:v>-1</x:v>
      </x:c>
      <x:c r="O810" s="67" t="n">
        <x:v>-1</x:v>
      </x:c>
      <x:c r="P810" s="67" t="n">
        <x:f>IF(COUNT(N810:O810)=0,"",SUM(N810:O810))</x:f>
        <x:v>-2</x:v>
      </x:c>
      <x:c r="Q810" s="65" t="str">
        <x:v>LiveScore赛果：https://www.livescore.mobi/football/2026-07-14/ | https://spfl.co.uk/league/league-cup/results | 查询时间：2026-07-15 23:40（北京时间）</x:v>
      </x:c>
      <x:c r="R810" s="65" t="str">
        <x:v>90分钟终场0-4；福弗尔+1.75与小3.5均未打出。</x:v>
      </x:c>
    </x:row>
    <x:row r="811" ht="38" customHeight="1">
      <x:c r="A811" s="65" t="str">
        <x:f>IF(B811="","",TEXT(B811,"yyyy-mm-dd")&amp;"|"&amp;D811&amp;"|"&amp;E811)</x:f>
        <x:v>2026-07-15|基尔马诺克（Kilmarnock）|拉茨流浪者（Raith Rovers）</x:v>
      </x:c>
      <x:c r="B811" s="66" t="n">
        <x:v>46218.11458333333</x:v>
      </x:c>
      <x:c r="C811" s="65" t="str">
        <x:v>苏格兰联赛杯（Scottish League Cup）</x:v>
      </x:c>
      <x:c r="D811" s="65" t="str">
        <x:v>基尔马诺克（Kilmarnock）</x:v>
      </x:c>
      <x:c r="E811" s="65" t="str">
        <x:v>拉茨流浪者（Raith Rovers）</x:v>
      </x:c>
      <x:c r="F811" s="65" t="str">
        <x:v>拉茨流浪者 +0.75（亚洲让球，参考2.05；低于1.80不进）</x:v>
      </x:c>
      <x:c r="G811" s="65" t="str">
        <x:v>小2.5（亚洲大小球，参考2.08；低于1.80不进）</x:v>
      </x:c>
      <x:c r="H811" s="65" t="str">
        <x:v>小注；不加仓；受让缩至+0.5或小球降盘2.25则放弃</x:v>
      </x:c>
      <x:c r="I811" s="66" t="n">
        <x:v>46217.955555555556</x:v>
      </x:c>
      <x:c r="J811" s="65" t="str">
        <x:v>已结算</x:v>
      </x:c>
      <x:c r="K811" s="65" t="str">
        <x:v>0-0</x:v>
      </x:c>
      <x:c r="L811" s="65" t="str">
        <x:v>赢</x:v>
      </x:c>
      <x:c r="M811" s="65" t="str">
        <x:v>赢</x:v>
      </x:c>
      <x:c r="N811" s="67" t="n">
        <x:v>1</x:v>
      </x:c>
      <x:c r="O811" s="67" t="n">
        <x:v>1</x:v>
      </x:c>
      <x:c r="P811" s="67" t="n">
        <x:f>IF(COUNT(N811:O811)=0,"",SUM(N811:O811))</x:f>
        <x:v>2</x:v>
      </x:c>
      <x:c r="Q811" s="65" t="str">
        <x:v>LiveScore赛果：https://www.livescore.mobi/football/2026-07-14/ | https://spfl.co.uk/league/league-cup/results | 查询时间：2026-07-15 23:40（北京时间）</x:v>
      </x:c>
      <x:c r="R811" s="65" t="str">
        <x:v>按亚洲盘常规时间结算为0-0；点球大战仅决定晋级，不计入盘口。拉夫流浪+0.75与小2.5均打出。</x:v>
      </x:c>
    </x:row>
    <x:row r="812" ht="38" customHeight="1">
      <x:c r="A812" s="65" t="str">
        <x:f>IF(B812="","",TEXT(B812,"yyyy-mm-dd")&amp;"|"&amp;D812&amp;"|"&amp;E812)</x:f>
        <x:v>2026-07-15|凯尔蒂赫斯（Kelty Hearts）|女王公园（Queen's Park）</x:v>
      </x:c>
      <x:c r="B812" s="66" t="n">
        <x:v>46218.11458333333</x:v>
      </x:c>
      <x:c r="C812" s="65" t="str">
        <x:v>苏格兰联赛杯（Scottish League Cup）</x:v>
      </x:c>
      <x:c r="D812" s="65" t="str">
        <x:v>凯尔蒂赫斯（Kelty Hearts）</x:v>
      </x:c>
      <x:c r="E812" s="65" t="str">
        <x:v>女王公园（Queen's Park）</x:v>
      </x:c>
      <x:c r="F812" s="65" t="str">
        <x:v>女王公园 -0.75（亚洲让球，参考2.03；低于1.80不进）</x:v>
      </x:c>
      <x:c r="G812" s="65" t="str">
        <x:v>小2.5（亚洲大小球，参考1.85；低于1.80不进）</x:v>
      </x:c>
      <x:c r="H812" s="65" t="str">
        <x:v>小注；女王公园维持-0.75且≥1.90可加0.25注；升至-1或任一方向低于1.80则放弃</x:v>
      </x:c>
      <x:c r="I812" s="66" t="n">
        <x:v>46217.955555555556</x:v>
      </x:c>
      <x:c r="J812" s="65" t="str">
        <x:v>已结算</x:v>
      </x:c>
      <x:c r="K812" s="65" t="str">
        <x:v>0-2</x:v>
      </x:c>
      <x:c r="L812" s="65" t="str">
        <x:v>赢</x:v>
      </x:c>
      <x:c r="M812" s="65" t="str">
        <x:v>赢</x:v>
      </x:c>
      <x:c r="N812" s="67" t="n">
        <x:v>1</x:v>
      </x:c>
      <x:c r="O812" s="67" t="n">
        <x:v>1</x:v>
      </x:c>
      <x:c r="P812" s="67" t="n">
        <x:f>IF(COUNT(N812:O812)=0,"",SUM(N812:O812))</x:f>
        <x:v>2</x:v>
      </x:c>
      <x:c r="Q812" s="65" t="str">
        <x:v>LiveScore赛果：https://www.livescore.mobi/football/2026-07-14/ | https://spfl.co.uk/league/league-cup/results | 查询时间：2026-07-15 23:40（北京时间）</x:v>
      </x:c>
      <x:c r="R812" s="65" t="str">
        <x:v>90分钟终场0-2；女王公园-0.75与小2.5均打出。</x:v>
      </x:c>
    </x:row>
    <x:row r="813" ht="38" customHeight="1">
      <x:c r="A813" s="65" t="str">
        <x:f>IF(B813="","",TEXT(B813,"yyyy-mm-dd")&amp;"|"&amp;D813&amp;"|"&amp;E813)</x:f>
        <x:v>2026-07-15|科夫流浪者（Cove Rangers）|东基尔布赖德（East Kilbride）</x:v>
      </x:c>
      <x:c r="B813" s="66" t="n">
        <x:v>46218.11458333333</x:v>
      </x:c>
      <x:c r="C813" s="65" t="str">
        <x:v>苏格兰联赛杯（Scottish League Cup）</x:v>
      </x:c>
      <x:c r="D813" s="65" t="str">
        <x:v>科夫流浪者（Cove Rangers）</x:v>
      </x:c>
      <x:c r="E813" s="65" t="str">
        <x:v>东基尔布赖德（East Kilbride）</x:v>
      </x:c>
      <x:c r="F813" s="65" t="str">
        <x:v>东基尔布赖德 -0.5（亚洲让球，参考2.04；低于1.80不进）</x:v>
      </x:c>
      <x:c r="G813" s="65" t="str">
        <x:v>小2.75（亚洲大小球，参考2.00；低于1.80不进）</x:v>
      </x:c>
      <x:c r="H813" s="65" t="str">
        <x:v>小注；不加仓；客让退至-0.25或小球降盘2.5则放弃；任一低于1.80不执行</x:v>
      </x:c>
      <x:c r="I813" s="66" t="n">
        <x:v>46217.955555555556</x:v>
      </x:c>
      <x:c r="J813" s="65" t="str">
        <x:v>已结算</x:v>
      </x:c>
      <x:c r="K813" s="65" t="str">
        <x:v>3-2</x:v>
      </x:c>
      <x:c r="L813" s="65" t="str">
        <x:v>输</x:v>
      </x:c>
      <x:c r="M813" s="65" t="str">
        <x:v>输</x:v>
      </x:c>
      <x:c r="N813" s="67" t="n">
        <x:v>-1</x:v>
      </x:c>
      <x:c r="O813" s="67" t="n">
        <x:v>-1</x:v>
      </x:c>
      <x:c r="P813" s="67" t="n">
        <x:f>IF(COUNT(N813:O813)=0,"",SUM(N813:O813))</x:f>
        <x:v>-2</x:v>
      </x:c>
      <x:c r="Q813" s="65" t="str">
        <x:v>LiveScore赛果：https://www.livescore.mobi/football/2026-07-14/ | https://spfl.co.uk/league/league-cup/results | 查询时间：2026-07-15 23:40（北京时间）</x:v>
      </x:c>
      <x:c r="R813" s="65" t="str">
        <x:v>90分钟终场3-2；东基尔布莱德-0.5与小2.75均未打出。</x:v>
      </x:c>
    </x:row>
    <x:row r="814" ht="38" customHeight="1">
      <x:c r="A814" s="65" t="str">
        <x:f>IF(B814="","",TEXT(B814,"yyyy-mm-dd")&amp;"|"&amp;D814&amp;"|"&amp;E814)</x:f>
        <x:v>2026-07-15|克莱德（Clyde）|艾尔德里联（Airdrieonians）</x:v>
      </x:c>
      <x:c r="B814" s="66" t="n">
        <x:v>46218.11458333333</x:v>
      </x:c>
      <x:c r="C814" s="65" t="str">
        <x:v>苏格兰联赛杯（Scottish League Cup）</x:v>
      </x:c>
      <x:c r="D814" s="65" t="str">
        <x:v>克莱德（Clyde）</x:v>
      </x:c>
      <x:c r="E814" s="65" t="str">
        <x:v>艾尔德里联（Airdrieonians）</x:v>
      </x:c>
      <x:c r="F814" s="65" t="str">
        <x:v>艾尔德里联 -0.5（亚洲让球，参考2.00；低于1.80不进）</x:v>
      </x:c>
      <x:c r="G814" s="65" t="str">
        <x:v>小3.0（亚洲大小球，参考2.02；3球走水；低于1.80不进）</x:v>
      </x:c>
      <x:c r="H814" s="65" t="str">
        <x:v>小注；不加仓；让球升至-0.75或总盘降至2.75则放弃</x:v>
      </x:c>
      <x:c r="I814" s="66" t="n">
        <x:v>46217.955555555556</x:v>
      </x:c>
      <x:c r="J814" s="65" t="str">
        <x:v>已结算</x:v>
      </x:c>
      <x:c r="K814" s="65" t="str">
        <x:v>1-0</x:v>
      </x:c>
      <x:c r="L814" s="65" t="str">
        <x:v>输</x:v>
      </x:c>
      <x:c r="M814" s="65" t="str">
        <x:v>赢</x:v>
      </x:c>
      <x:c r="N814" s="67" t="n">
        <x:v>-1</x:v>
      </x:c>
      <x:c r="O814" s="67" t="n">
        <x:v>1</x:v>
      </x:c>
      <x:c r="P814" s="67" t="n">
        <x:f>IF(COUNT(N814:O814)=0,"",SUM(N814:O814))</x:f>
        <x:v>0</x:v>
      </x:c>
      <x:c r="Q814" s="65" t="str">
        <x:v>LiveScore赛果：https://www.livescore.mobi/football/2026-07-14/ | https://spfl.co.uk/league/league-cup/results | 查询时间：2026-07-15 23:40（北京时间）</x:v>
      </x:c>
      <x:c r="R814" s="65" t="str">
        <x:v>90分钟终场1-0；艾尔德里联-0.5未打出，小3打出。</x:v>
      </x:c>
    </x:row>
    <x:row r="815" ht="38" customHeight="1">
      <x:c r="A815" s="65" t="str">
        <x:f>IF(B815="","",TEXT(B815,"yyyy-mm-dd")&amp;"|"&amp;D815&amp;"|"&amp;E815)</x:f>
        <x:v>2026-07-15|蒙特罗斯（Montrose）|邓迪联（Dundee United）</x:v>
      </x:c>
      <x:c r="B815" s="66" t="n">
        <x:v>46218.11458333333</x:v>
      </x:c>
      <x:c r="C815" s="65" t="str">
        <x:v>苏格兰联赛杯（Scottish League Cup）</x:v>
      </x:c>
      <x:c r="D815" s="65" t="str">
        <x:v>蒙特罗斯（Montrose）</x:v>
      </x:c>
      <x:c r="E815" s="65" t="str">
        <x:v>邓迪联（Dundee United）</x:v>
      </x:c>
      <x:c r="F815" s="65" t="str">
        <x:v>邓迪联 -1.5（亚洲让球，参考1.90；低于1.80不进）</x:v>
      </x:c>
      <x:c r="G815" s="65" t="str">
        <x:v>小3.25（亚洲大小球，参考1.90；低于1.80不进）</x:v>
      </x:c>
      <x:c r="H815" s="65" t="str">
        <x:v>小注；不加仓；客让升至-1.75或小球降盘3.0则放弃</x:v>
      </x:c>
      <x:c r="I815" s="66" t="n">
        <x:v>46217.955555555556</x:v>
      </x:c>
      <x:c r="J815" s="65" t="str">
        <x:v>已结算</x:v>
      </x:c>
      <x:c r="K815" s="65" t="str">
        <x:v>1-0</x:v>
      </x:c>
      <x:c r="L815" s="65" t="str">
        <x:v>输</x:v>
      </x:c>
      <x:c r="M815" s="65" t="str">
        <x:v>赢</x:v>
      </x:c>
      <x:c r="N815" s="67" t="n">
        <x:v>-1</x:v>
      </x:c>
      <x:c r="O815" s="67" t="n">
        <x:v>1</x:v>
      </x:c>
      <x:c r="P815" s="67" t="n">
        <x:f>IF(COUNT(N815:O815)=0,"",SUM(N815:O815))</x:f>
        <x:v>0</x:v>
      </x:c>
      <x:c r="Q815" s="65" t="str">
        <x:v>LiveScore赛果：https://www.livescore.mobi/football/2026-07-14/ | https://spfl.co.uk/league/league-cup/results | 查询时间：2026-07-15 23:40（北京时间）</x:v>
      </x:c>
      <x:c r="R815" s="65" t="str">
        <x:v>90分钟终场1-0；邓迪联-1.5未打出，小3.25打出。</x:v>
      </x:c>
    </x:row>
    <x:row r="816" ht="38" customHeight="1">
      <x:c r="A816" s="65" t="str">
        <x:f>IF(B816="","",TEXT(B816,"yyyy-mm-dd")&amp;"|"&amp;D816&amp;"|"&amp;E816)</x:f>
        <x:v>2026-07-15|斯巴达人（The Spartans）|斯特灵阿尔比恩（Stirling Albion）</x:v>
      </x:c>
      <x:c r="B816" s="66" t="n">
        <x:v>46218.11458333333</x:v>
      </x:c>
      <x:c r="C816" s="65" t="str">
        <x:v>苏格兰联赛杯（Scottish League Cup）</x:v>
      </x:c>
      <x:c r="D816" s="65" t="str">
        <x:v>斯巴达人（The Spartans）</x:v>
      </x:c>
      <x:c r="E816" s="65" t="str">
        <x:v>斯特灵阿尔比恩（Stirling Albion）</x:v>
      </x:c>
      <x:c r="F816" s="65" t="str">
        <x:v>斯巴达人 -0.5（亚洲让球，参考1.86；低于1.80不进）</x:v>
      </x:c>
      <x:c r="G816" s="65" t="str">
        <x:v>小3.0（亚洲大小球，参考2.05；3球走水；低于1.80不进）</x:v>
      </x:c>
      <x:c r="H816" s="65" t="str">
        <x:v>小注；不加仓；让球升至-0.75或大小球降至2.75则放弃；低于1.80不执行</x:v>
      </x:c>
      <x:c r="I816" s="66" t="n">
        <x:v>46217.955555555556</x:v>
      </x:c>
      <x:c r="J816" s="65" t="str">
        <x:v>已结算</x:v>
      </x:c>
      <x:c r="K816" s="65" t="str">
        <x:v>1-3</x:v>
      </x:c>
      <x:c r="L816" s="65" t="str">
        <x:v>输</x:v>
      </x:c>
      <x:c r="M816" s="65" t="str">
        <x:v>输</x:v>
      </x:c>
      <x:c r="N816" s="67" t="n">
        <x:v>-1</x:v>
      </x:c>
      <x:c r="O816" s="67" t="n">
        <x:v>-1</x:v>
      </x:c>
      <x:c r="P816" s="67" t="n">
        <x:f>IF(COUNT(N816:O816)=0,"",SUM(N816:O816))</x:f>
        <x:v>-2</x:v>
      </x:c>
      <x:c r="Q816" s="65" t="str">
        <x:v>LiveScore赛果：https://www.livescore.mobi/football/2026-07-14/ | https://spfl.co.uk/league/league-cup/results | 查询时间：2026-07-15 23:40（北京时间）</x:v>
      </x:c>
      <x:c r="R816" s="65" t="str">
        <x:v>90分钟终场1-3；斯巴达人-0.5与小3均未打出。</x:v>
      </x:c>
    </x:row>
    <x:row r="817" ht="38" customHeight="1">
      <x:c r="A817" s="65" t="str">
        <x:f>IF(B817="","",TEXT(B817,"yyyy-mm-dd")&amp;"|"&amp;D817&amp;"|"&amp;E817)</x:f>
        <x:v>2026-07-15|阿梅尼奥（Deportivo Armenio）|塔勒雷斯雷梅迪奥斯（Talleres de Remedios de Escalada）</x:v>
      </x:c>
      <x:c r="B817" s="66" t="n">
        <x:v>46218.10416666667</x:v>
      </x:c>
      <x:c r="C817" s="65" t="str">
        <x:v>阿根廷大都会乙级联赛（Primera B Metropolitana）</x:v>
      </x:c>
      <x:c r="D817" s="65" t="str">
        <x:v>阿梅尼奥（Deportivo Armenio）</x:v>
      </x:c>
      <x:c r="E817" s="65" t="str">
        <x:v>塔勒雷斯雷梅迪奥斯（Talleres de Remedios de Escalada）</x:v>
      </x:c>
      <x:c r="F817" s="65" t="str">
        <x:v>阿梅尼奥 +0.25（亚洲让球，参考1.90；低于1.80不进）</x:v>
      </x:c>
      <x:c r="G817" s="65" t="str">
        <x:v>小1.75（亚洲大小球，参考2.00；低于1.80不进）</x:v>
      </x:c>
      <x:c r="H817" s="65" t="str">
        <x:v>小注；不加仓；受让退至平手或总盘降至1.5则放弃</x:v>
      </x:c>
      <x:c r="I817" s="66" t="n">
        <x:v>46217.955555555556</x:v>
      </x:c>
      <x:c r="J817" s="65" t="str">
        <x:v>已结算</x:v>
      </x:c>
      <x:c r="K817" s="65" t="str">
        <x:v>2-1</x:v>
      </x:c>
      <x:c r="L817" s="65" t="str">
        <x:v>赢</x:v>
      </x:c>
      <x:c r="M817" s="65" t="str">
        <x:v>输</x:v>
      </x:c>
      <x:c r="N817" s="67" t="n">
        <x:v>1</x:v>
      </x:c>
      <x:c r="O817" s="67" t="n">
        <x:v>-1</x:v>
      </x:c>
      <x:c r="P817" s="67" t="n">
        <x:f>IF(COUNT(N817:O817)=0,"",SUM(N817:O817))</x:f>
        <x:v>0</x:v>
      </x:c>
      <x:c r="Q817" s="65" t="str">
        <x:v>LiveScore赛果：https://www.livescore.mobi/football/2026-07-14/ | https://www.livescores.com/football/argentina/primera-b-metropolitana-2026/ | 查询时间：2026-07-15 23:40（北京时间）</x:v>
      </x:c>
      <x:c r="R817" s="65" t="str">
        <x:v>90分钟终场2-1；阿梅尼奥+0.25打出，小1.75未打出。</x:v>
      </x:c>
    </x:row>
    <x:row r="818" ht="38" customHeight="1">
      <x:c r="A818" s="65" t="str">
        <x:f>IF(B818="","",TEXT(B818,"yyyy-mm-dd")&amp;"|"&amp;D818&amp;"|"&amp;E818)</x:f>
        <x:v>2026-07-15|阿根廷基尔梅斯（Argentino de Quilmes）|萨兰迪兵工厂（Arsenal de Sarandí）</x:v>
      </x:c>
      <x:c r="B818" s="66" t="n">
        <x:v>46218.08333333333</x:v>
      </x:c>
      <x:c r="C818" s="65" t="str">
        <x:v>阿根廷大都会乙级联赛（Primera B Metropolitana）</x:v>
      </x:c>
      <x:c r="D818" s="65" t="str">
        <x:v>阿根廷基尔梅斯（Argentino de Quilmes）</x:v>
      </x:c>
      <x:c r="E818" s="65" t="str">
        <x:v>萨兰迪兵工厂（Arsenal de Sarandí）</x:v>
      </x:c>
      <x:c r="F818" s="65" t="str">
        <x:v>阿根廷基尔梅斯 +0.75（亚洲让球，参考1.91；低于1.80不进）</x:v>
      </x:c>
      <x:c r="G818" s="65" t="str">
        <x:v>小2.0（亚洲大小球，参考1.88；2球走水；低于1.80不进）</x:v>
      </x:c>
      <x:c r="H818" s="65" t="str">
        <x:v>小注；不加仓；受让缩至+0.5或总盘降至1.75则放弃</x:v>
      </x:c>
      <x:c r="I818" s="66" t="n">
        <x:v>46217.955555555556</x:v>
      </x:c>
      <x:c r="J818" s="65" t="str">
        <x:v>已结算</x:v>
      </x:c>
      <x:c r="K818" s="65" t="str">
        <x:v>1-0</x:v>
      </x:c>
      <x:c r="L818" s="65" t="str">
        <x:v>赢</x:v>
      </x:c>
      <x:c r="M818" s="65" t="str">
        <x:v>赢</x:v>
      </x:c>
      <x:c r="N818" s="67" t="n">
        <x:v>1</x:v>
      </x:c>
      <x:c r="O818" s="67" t="n">
        <x:v>1</x:v>
      </x:c>
      <x:c r="P818" s="67" t="n">
        <x:f>IF(COUNT(N818:O818)=0,"",SUM(N818:O818))</x:f>
        <x:v>2</x:v>
      </x:c>
      <x:c r="Q818" s="65" t="str">
        <x:v>LiveScore赛果：https://www.livescore.mobi/football/2026-07-14/ | https://www.livescores.com/football/argentina/primera-b-metropolitana-2026/ | 查询时间：2026-07-15 23:40（北京时间）</x:v>
      </x:c>
      <x:c r="R818" s="65" t="str">
        <x:v>90分钟终场1-0；基尔梅斯阿根廷人+0.75与小2均打出。</x:v>
      </x:c>
    </x:row>
    <x:row r="819" ht="38" customHeight="1">
      <x:c r="A819" s="65" t="str">
        <x:f>IF(B819="","",TEXT(B819,"yyyy-mm-dd")&amp;"|"&amp;D819&amp;"|"&amp;E819)</x:f>
        <x:v>2026-07-15|多克苏德（Dock Sud）|乌尔基萨大学（UAI Urquiza）</x:v>
      </x:c>
      <x:c r="B819" s="66" t="n">
        <x:v>46218.08333333333</x:v>
      </x:c>
      <x:c r="C819" s="65" t="str">
        <x:v>阿根廷大都会乙级联赛（Primera B Metropolitana）</x:v>
      </x:c>
      <x:c r="D819" s="65" t="str">
        <x:v>多克苏德（Dock Sud）</x:v>
      </x:c>
      <x:c r="E819" s="65" t="str">
        <x:v>乌尔基萨大学（UAI Urquiza）</x:v>
      </x:c>
      <x:c r="F819" s="65" t="str">
        <x:v>多克苏德 -0.5（亚洲让球，参考1.85；低于1.80不进）</x:v>
      </x:c>
      <x:c r="G819" s="65" t="str">
        <x:v>小2.0（亚洲大小球，参考1.88；2球走水；低于1.80不进）</x:v>
      </x:c>
      <x:c r="H819" s="65" t="str">
        <x:v>小注；不加仓；让球升至-0.75或总盘降至1.75则放弃</x:v>
      </x:c>
      <x:c r="I819" s="66" t="n">
        <x:v>46217.955555555556</x:v>
      </x:c>
      <x:c r="J819" s="65" t="str">
        <x:v>已结算</x:v>
      </x:c>
      <x:c r="K819" s="65" t="str">
        <x:v>0-0</x:v>
      </x:c>
      <x:c r="L819" s="65" t="str">
        <x:v>输</x:v>
      </x:c>
      <x:c r="M819" s="65" t="str">
        <x:v>赢</x:v>
      </x:c>
      <x:c r="N819" s="67" t="n">
        <x:v>-1</x:v>
      </x:c>
      <x:c r="O819" s="67" t="n">
        <x:v>1</x:v>
      </x:c>
      <x:c r="P819" s="67" t="n">
        <x:f>IF(COUNT(N819:O819)=0,"",SUM(N819:O819))</x:f>
        <x:v>0</x:v>
      </x:c>
      <x:c r="Q819" s="65" t="str">
        <x:v>LiveScore赛果：https://www.livescore.mobi/football/2026-07-14/ | https://www.livescores.com/football/argentina/primera-b-metropolitana-2026/ | 查询时间：2026-07-15 23:40（北京时间）</x:v>
      </x:c>
      <x:c r="R819" s="65" t="str">
        <x:v>90分钟终场0-0；多克苏德-0.5未打出，小2打出。</x:v>
      </x:c>
    </x:row>
    <x:row r="820" ht="38" customHeight="1">
      <x:c r="A820" s="65" t="str">
        <x:f>IF(B820="","",TEXT(B820,"yyyy-mm-dd")&amp;"|"&amp;D820&amp;"|"&amp;E820)</x:f>
        <x:v>2026-07-15|弗兰德利亚（Flandria）|梅洛阿根廷人（Argentino de Merlo）</x:v>
      </x:c>
      <x:c r="B820" s="66" t="n">
        <x:v>46218.08333333333</x:v>
      </x:c>
      <x:c r="C820" s="65" t="str">
        <x:v>阿根廷大都会乙级联赛（Primera B Metropolitana）</x:v>
      </x:c>
      <x:c r="D820" s="65" t="str">
        <x:v>弗兰德利亚（Flandria）</x:v>
      </x:c>
      <x:c r="E820" s="65" t="str">
        <x:v>梅洛阿根廷人（Argentino de Merlo）</x:v>
      </x:c>
      <x:c r="F820" s="65" t="str">
        <x:v>弗兰德利亚 -0.25（亚洲让球，参考2.08；低于1.80不进）</x:v>
      </x:c>
      <x:c r="G820" s="65" t="str">
        <x:v>小1.75（亚洲大小球，参考2.07；低于1.80不进）</x:v>
      </x:c>
      <x:c r="H820" s="65" t="str">
        <x:v>小注；不加仓；让球升至-0.5或总盘降至1.5则放弃</x:v>
      </x:c>
      <x:c r="I820" s="66" t="n">
        <x:v>46217.955555555556</x:v>
      </x:c>
      <x:c r="J820" s="65" t="str">
        <x:v>已结算</x:v>
      </x:c>
      <x:c r="K820" s="65" t="str">
        <x:v>1-0</x:v>
      </x:c>
      <x:c r="L820" s="65" t="str">
        <x:v>赢</x:v>
      </x:c>
      <x:c r="M820" s="65" t="str">
        <x:v>赢</x:v>
      </x:c>
      <x:c r="N820" s="67" t="n">
        <x:v>1</x:v>
      </x:c>
      <x:c r="O820" s="67" t="n">
        <x:v>1</x:v>
      </x:c>
      <x:c r="P820" s="67" t="n">
        <x:f>IF(COUNT(N820:O820)=0,"",SUM(N820:O820))</x:f>
        <x:v>2</x:v>
      </x:c>
      <x:c r="Q820" s="65" t="str">
        <x:v>LiveScore赛果：https://www.livescore.mobi/football/2026-07-14/ | https://www.livescores.com/football/argentina/primera-b-metropolitana-2026/ | 查询时间：2026-07-15 23:40（北京时间）</x:v>
      </x:c>
      <x:c r="R820" s="65" t="str">
        <x:v>90分钟终场1-0；弗兰德利亚-0.25与小1.75均打出。</x:v>
      </x:c>
    </x:row>
    <x:row r="821" ht="38" customHeight="1">
      <x:c r="A821" s="65" t="str">
        <x:f>IF(B821="","",TEXT(B821,"yyyy-mm-dd")&amp;"|"&amp;D821&amp;"|"&amp;E821)</x:f>
        <x:v>2026-07-15|卡米奥内罗斯（Camioneros）|利涅尔斯（Deportivo Liniers）</x:v>
      </x:c>
      <x:c r="B821" s="66" t="n">
        <x:v>46218.08333333333</x:v>
      </x:c>
      <x:c r="C821" s="65" t="str">
        <x:v>阿根廷大都会乙级联赛（Primera B Metropolitana）</x:v>
      </x:c>
      <x:c r="D821" s="65" t="str">
        <x:v>卡米奥内罗斯（Camioneros）</x:v>
      </x:c>
      <x:c r="E821" s="65" t="str">
        <x:v>利涅尔斯（Deportivo Liniers）</x:v>
      </x:c>
      <x:c r="F821" s="65" t="str">
        <x:v>卡米奥内罗斯 -0.5（亚洲让球，参考2.09；低于1.80不进）</x:v>
      </x:c>
      <x:c r="G821" s="65" t="str">
        <x:v>小2.0（亚洲大小球，参考1.80；2球走水；低于1.80不进）</x:v>
      </x:c>
      <x:c r="H821" s="65" t="str">
        <x:v>小注；不加仓；让球升至-0.75、总盘降至1.75或任何价格低于1.80则放弃</x:v>
      </x:c>
      <x:c r="I821" s="66" t="n">
        <x:v>46217.955555555556</x:v>
      </x:c>
      <x:c r="J821" s="65" t="str">
        <x:v>已结算</x:v>
      </x:c>
      <x:c r="K821" s="65" t="str">
        <x:v>1-0</x:v>
      </x:c>
      <x:c r="L821" s="65" t="str">
        <x:v>赢</x:v>
      </x:c>
      <x:c r="M821" s="65" t="str">
        <x:v>赢</x:v>
      </x:c>
      <x:c r="N821" s="67" t="n">
        <x:v>1</x:v>
      </x:c>
      <x:c r="O821" s="67" t="n">
        <x:v>1</x:v>
      </x:c>
      <x:c r="P821" s="67" t="n">
        <x:f>IF(COUNT(N821:O821)=0,"",SUM(N821:O821))</x:f>
        <x:v>2</x:v>
      </x:c>
      <x:c r="Q821" s="65" t="str">
        <x:v>LiveScore赛果：https://www.livescore.mobi/football/2026-07-14/ | https://www.livescores.com/football/argentina/primera-b-metropolitana-2026/ | 查询时间：2026-07-15 23:40（北京时间）</x:v>
      </x:c>
      <x:c r="R821" s="65" t="str">
        <x:v>90分钟终场1-0；卡米奥内罗斯-0.5与小2均打出。</x:v>
      </x:c>
    </x:row>
    <x:row r="822" ht="38" customHeight="1">
      <x:c r="A822" s="65" t="str">
        <x:f>IF(B822="","",TEXT(B822,"yyyy-mm-dd")&amp;"|"&amp;D822&amp;"|"&amp;E822)</x:f>
        <x:v>2026-07-15|联合防卫队（Defensores Unidos）|远足者（Excursionistas）</x:v>
      </x:c>
      <x:c r="B822" s="66" t="n">
        <x:v>46218.08333333333</x:v>
      </x:c>
      <x:c r="C822" s="65" t="str">
        <x:v>阿根廷大都会乙级联赛（Primera B Metropolitana）</x:v>
      </x:c>
      <x:c r="D822" s="65" t="str">
        <x:v>联合防卫队（Defensores Unidos）</x:v>
      </x:c>
      <x:c r="E822" s="65" t="str">
        <x:v>远足者（Excursionistas）</x:v>
      </x:c>
      <x:c r="F822" s="65" t="str">
        <x:v>联合防卫队 +0.25（亚洲让球，参考2.00；低于1.80不进）</x:v>
      </x:c>
      <x:c r="G822" s="65" t="str">
        <x:v>小2.0（亚洲大小球，参考1.95；2球走水；低于1.80不进）</x:v>
      </x:c>
      <x:c r="H822" s="65" t="str">
        <x:v>小注；不加仓；受让退至平手或总盘降至1.75则放弃</x:v>
      </x:c>
      <x:c r="I822" s="66" t="n">
        <x:v>46217.955555555556</x:v>
      </x:c>
      <x:c r="J822" s="65" t="str">
        <x:v>已结算</x:v>
      </x:c>
      <x:c r="K822" s="65" t="str">
        <x:v>0-2</x:v>
      </x:c>
      <x:c r="L822" s="65" t="str">
        <x:v>输</x:v>
      </x:c>
      <x:c r="M822" s="65" t="str">
        <x:v>走水</x:v>
      </x:c>
      <x:c r="N822" s="67" t="n">
        <x:v>-1</x:v>
      </x:c>
      <x:c r="O822" s="67" t="n">
        <x:v>0</x:v>
      </x:c>
      <x:c r="P822" s="67" t="n">
        <x:f>IF(COUNT(N822:O822)=0,"",SUM(N822:O822))</x:f>
        <x:v>-1</x:v>
      </x:c>
      <x:c r="Q822" s="65" t="str">
        <x:v>LiveScore赛果：https://www.livescore.mobi/football/2026-07-14/ | https://www.livescores.com/football/argentina/primera-b-metropolitana-2026/ | 查询时间：2026-07-15 23:40（北京时间）</x:v>
      </x:c>
      <x:c r="R822" s="65" t="str">
        <x:v>90分钟终场0-2；联合防卫+0.25未打出，小2走水。</x:v>
      </x:c>
    </x:row>
    <x:row r="823" ht="38" customHeight="1">
      <x:c r="A823" s="65" t="str">
        <x:f>IF(B823="","",TEXT(B823,"yyyy-mm-dd")&amp;"|"&amp;D823&amp;"|"&amp;E823)</x:f>
        <x:v>2026-07-15|意大利体育会（Sportivo Italiano）|维拉圣卡洛斯（Villa San Carlos）</x:v>
      </x:c>
      <x:c r="B823" s="66" t="n">
        <x:v>46218.08333333333</x:v>
      </x:c>
      <x:c r="C823" s="65" t="str">
        <x:v>阿根廷大都会乙级联赛（Primera B Metropolitana）</x:v>
      </x:c>
      <x:c r="D823" s="65" t="str">
        <x:v>意大利体育会（Sportivo Italiano）</x:v>
      </x:c>
      <x:c r="E823" s="65" t="str">
        <x:v>维拉圣卡洛斯（Villa San Carlos）</x:v>
      </x:c>
      <x:c r="F823" s="65" t="str">
        <x:v>意大利体育会 -0.5（亚洲让球，参考1.83；低于1.80不进）</x:v>
      </x:c>
      <x:c r="G823" s="65" t="str">
        <x:v>小2.0（亚洲大小球，参考1.83；2球走水；低于1.80不进）</x:v>
      </x:c>
      <x:c r="H823" s="65" t="str">
        <x:v>小注；不加仓；两项均接近阈值，任一低于1.80或盘位恶化即放弃</x:v>
      </x:c>
      <x:c r="I823" s="66" t="n">
        <x:v>46217.955555555556</x:v>
      </x:c>
      <x:c r="J823" s="65" t="str">
        <x:v>已结算</x:v>
      </x:c>
      <x:c r="K823" s="65" t="str">
        <x:v>1-0</x:v>
      </x:c>
      <x:c r="L823" s="65" t="str">
        <x:v>赢</x:v>
      </x:c>
      <x:c r="M823" s="65" t="str">
        <x:v>赢</x:v>
      </x:c>
      <x:c r="N823" s="67" t="n">
        <x:v>1</x:v>
      </x:c>
      <x:c r="O823" s="67" t="n">
        <x:v>1</x:v>
      </x:c>
      <x:c r="P823" s="67" t="n">
        <x:f>IF(COUNT(N823:O823)=0,"",SUM(N823:O823))</x:f>
        <x:v>2</x:v>
      </x:c>
      <x:c r="Q823" s="65" t="str">
        <x:v>LiveScore赛果：https://www.livescore.mobi/football/2026-07-14/ | https://www.livescores.com/football/argentina/primera-b-metropolitana-2026/ | 查询时间：2026-07-15 23:40（北京时间）</x:v>
      </x:c>
      <x:c r="R823" s="65" t="str">
        <x:v>90分钟终场1-0；意大利体育-0.5与小2均打出。</x:v>
      </x:c>
    </x:row>
    <x:row r="824" ht="38" customHeight="1">
      <x:c r="A824" s="65" t="str">
        <x:f>IF(B824="","",TEXT(B824,"yyyy-mm-dd")&amp;"|"&amp;D824&amp;"|"&amp;E824)</x:f>
        <x:v>2026-07-15|德里塔（FC Drita）|考纳斯扎尔吉里斯（Kauno Žalgiris）</x:v>
      </x:c>
      <x:c r="B824" s="66" t="n">
        <x:v>46218.08333333333</x:v>
      </x:c>
      <x:c r="C824" s="65" t="str">
        <x:v>欧洲冠军联赛（UEFA Champions League）</x:v>
      </x:c>
      <x:c r="D824" s="65" t="str">
        <x:v>德里塔（FC Drita）</x:v>
      </x:c>
      <x:c r="E824" s="65" t="str">
        <x:v>考纳斯扎尔吉里斯（Kauno Žalgiris）</x:v>
      </x:c>
      <x:c r="F824" s="65" t="str">
        <x:v>考纳斯扎尔吉里斯 +0.5（参考约1.53，当前低水只观察；须回升至港水≥0.80才进）</x:v>
      </x:c>
      <x:c r="G824" s="65" t="str">
        <x:v>小2.5（参考约1.63，当前低水只观察；须回升至港水≥0.80才进）</x:v>
      </x:c>
      <x:c r="H824" s="65" t="str">
        <x:v>本场只观察；两项均须回升至港水≥0.80才小注；若让球退至+0.25或大小球降至2.25则直接放弃</x:v>
      </x:c>
      <x:c r="I824" s="66" t="n">
        <x:v>46217.830555555556</x:v>
      </x:c>
      <x:c r="J824" s="65" t="str">
        <x:v>已结算</x:v>
      </x:c>
      <x:c r="K824" s="65" t="str">
        <x:v>2-3</x:v>
      </x:c>
      <x:c r="L824" s="65" t="str">
        <x:v>不计（低水未执行）</x:v>
      </x:c>
      <x:c r="M824" s="65" t="str">
        <x:v>不计（低水未执行）</x:v>
      </x:c>
      <x:c r="N824" s="67"/>
      <x:c r="O824" s="67"/>
      <x:c r="P824" s="67" t="str">
        <x:f>IF(COUNT(N824:O824)=0,"",SUM(N824:O824))</x:f>
      </x:c>
      <x:c r="Q824" s="65" t="str">
        <x:v>LiveScore赛果：https://www.livescore.mobi/football/2026-07-14/ | https://www.uefa.com/uefachampionsleague/fixtures-results/ | 查询时间：2026-07-15 23:40（北京时间）</x:v>
      </x:c>
      <x:c r="R824" s="65" t="str">
        <x:v>90分钟终场2-3；两项冻结参考价均低于1.80，按规则未执行、不计盈亏。</x:v>
      </x:c>
    </x:row>
    <x:row r="825" ht="38" customHeight="1">
      <x:c r="A825" s="65" t="str">
        <x:f>IF(B825="","",TEXT(B825,"yyyy-mm-dd")&amp;"|"&amp;D825&amp;"|"&amp;E825)</x:f>
        <x:v>2026-07-15|伊斯卡尔德斯国际（Inter Club d'Escaldes）|林肯红魔（Lincoln Red Imps）</x:v>
      </x:c>
      <x:c r="B825" s="66" t="n">
        <x:v>46218.08333333333</x:v>
      </x:c>
      <x:c r="C825" s="65" t="str">
        <x:v>欧洲冠军联赛（UEFA Champions League）</x:v>
      </x:c>
      <x:c r="D825" s="65" t="str">
        <x:v>伊斯卡尔德斯国际（Inter Club d'Escaldes）</x:v>
      </x:c>
      <x:c r="E825" s="65" t="str">
        <x:v>林肯红魔（Lincoln Red Imps）</x:v>
      </x:c>
      <x:c r="F825" s="65" t="str">
        <x:v>林肯红魔 +0.5（亚洲让球，参考约2.10；低于0.80不进）</x:v>
      </x:c>
      <x:c r="G825" s="65" t="str">
        <x:v>大3.5（亚洲大小球，参考约1.99；低于0.80不进）</x:v>
      </x:c>
      <x:c r="H825" s="65" t="str">
        <x:v>小注；不加仓；林肯+0.5需水位≥0.90，若退至+0.25则放弃；大3.5需水位≥0.90，升至3.75则放弃</x:v>
      </x:c>
      <x:c r="I825" s="66" t="n">
        <x:v>46217.830555555556</x:v>
      </x:c>
      <x:c r="J825" s="65" t="str">
        <x:v>已结算</x:v>
      </x:c>
      <x:c r="K825" s="65" t="str">
        <x:v>1-1</x:v>
      </x:c>
      <x:c r="L825" s="65" t="str">
        <x:v>赢</x:v>
      </x:c>
      <x:c r="M825" s="65" t="str">
        <x:v>输</x:v>
      </x:c>
      <x:c r="N825" s="67" t="n">
        <x:v>1</x:v>
      </x:c>
      <x:c r="O825" s="67" t="n">
        <x:v>-1</x:v>
      </x:c>
      <x:c r="P825" s="67" t="n">
        <x:f>IF(COUNT(N825:O825)=0,"",SUM(N825:O825))</x:f>
        <x:v>0</x:v>
      </x:c>
      <x:c r="Q825" s="65" t="str">
        <x:v>LiveScore赛果：https://www.livescore.mobi/football/2026-07-14/ | https://www.uefa.com/uefachampionsleague/fixtures-results/ | 查询时间：2026-07-15 23:40（北京时间）</x:v>
      </x:c>
      <x:c r="R825" s="65" t="str">
        <x:v>90分钟终场1-1；林肯红魔+0.5打出，大3.5未打出。</x:v>
      </x:c>
    </x:row>
    <x:row r="826" ht="38" customHeight="1">
      <x:c r="A826" s="65" t="str">
        <x:f>IF(B826="","",TEXT(B826,"yyyy-mm-dd")&amp;"|"&amp;D826&amp;"|"&amp;E826)</x:f>
        <x:v>2026-07-15|索菲亚列夫斯基（Levski Sofia）|巴尼亚卢卡战士（Borac Banja Luka）</x:v>
      </x:c>
      <x:c r="B826" s="66" t="n">
        <x:v>46218.0625</x:v>
      </x:c>
      <x:c r="C826" s="65" t="str">
        <x:v>欧洲冠军联赛（UEFA Champions League）</x:v>
      </x:c>
      <x:c r="D826" s="65" t="str">
        <x:v>索菲亚列夫斯基（Levski Sofia）</x:v>
      </x:c>
      <x:c r="E826" s="65" t="str">
        <x:v>巴尼亚卢卡战士（Borac Banja Luka）</x:v>
      </x:c>
      <x:c r="F826" s="65" t="str">
        <x:v>索菲亚列夫斯基 -1.25（亚洲让球，参考约1.80；低于0.80不进）</x:v>
      </x:c>
      <x:c r="G826" s="65" t="str">
        <x:v>小2.5（参考约1.73，当前低水只观察；须回升至港水≥0.80才进）</x:v>
      </x:c>
      <x:c r="H826" s="65" t="str">
        <x:v>小注；不加仓；-1.25仅在水位≥0.80执行，若升至-1.5需≥0.95；小2.5低于0.80或降盘2.25则放弃</x:v>
      </x:c>
      <x:c r="I826" s="66" t="n">
        <x:v>46217.830555555556</x:v>
      </x:c>
      <x:c r="J826" s="65" t="str">
        <x:v>已结算</x:v>
      </x:c>
      <x:c r="K826" s="65" t="str">
        <x:v>4-0</x:v>
      </x:c>
      <x:c r="L826" s="65" t="str">
        <x:v>赢</x:v>
      </x:c>
      <x:c r="M826" s="65" t="str">
        <x:v>不计（低水未执行）</x:v>
      </x:c>
      <x:c r="N826" s="67" t="n">
        <x:v>1</x:v>
      </x:c>
      <x:c r="O826" s="67"/>
      <x:c r="P826" s="67" t="n">
        <x:f>IF(COUNT(N826:O826)=0,"",SUM(N826:O826))</x:f>
        <x:v>1</x:v>
      </x:c>
      <x:c r="Q826" s="65" t="str">
        <x:v>LiveScore赛果：https://www.livescore.mobi/football/2026-07-14/ | https://www.uefa.com/uefachampionsleague/fixtures-results/ | 查询时间：2026-07-15 23:40（北京时间）</x:v>
      </x:c>
      <x:c r="R826" s="65" t="str">
        <x:v>90分钟终场4-0；索菲亚列夫斯基-1.25打出；小2.5参考1.73低于1.80，未执行。</x:v>
      </x:c>
    </x:row>
    <x:row r="827" ht="38" customHeight="1">
      <x:c r="A827" s="65" t="str">
        <x:f>IF(B827="","",TEXT(B827,"yyyy-mm-dd")&amp;"|"&amp;D827&amp;"|"&amp;E827)</x:f>
        <x:v>2026-07-15|新圣徒（The New Saints）|萨巴赫（Sabah FK）</x:v>
      </x:c>
      <x:c r="B827" s="66" t="n">
        <x:v>46218.0625</x:v>
      </x:c>
      <x:c r="C827" s="65" t="str">
        <x:v>欧洲冠军联赛（UEFA Champions League）</x:v>
      </x:c>
      <x:c r="D827" s="65" t="str">
        <x:v>新圣徒（The New Saints）</x:v>
      </x:c>
      <x:c r="E827" s="65" t="str">
        <x:v>萨巴赫（Sabah FK）</x:v>
      </x:c>
      <x:c r="F827" s="65" t="str">
        <x:v>萨巴赫 -1.0（亚洲让球，参考约1.95-2.01；赢1球走水；低于0.80不进）</x:v>
      </x:c>
      <x:c r="G827" s="65" t="str">
        <x:v>小2.5（参考约1.73，当前低水只观察；须回升至港水≥0.80才进）</x:v>
      </x:c>
      <x:c r="H827" s="65" t="str">
        <x:v>小注；萨巴赫-1水位≥0.90可加0.25注；若升至-1.25或低于0.80则放弃让球；小2.5当前低水不进</x:v>
      </x:c>
      <x:c r="I827" s="66" t="n">
        <x:v>46217.830555555556</x:v>
      </x:c>
      <x:c r="J827" s="65" t="str">
        <x:v>已结算</x:v>
      </x:c>
      <x:c r="K827" s="65" t="str">
        <x:v>1-2</x:v>
      </x:c>
      <x:c r="L827" s="65" t="str">
        <x:v>走水</x:v>
      </x:c>
      <x:c r="M827" s="65" t="str">
        <x:v>不计（低水未执行）</x:v>
      </x:c>
      <x:c r="N827" s="67" t="n">
        <x:v>0</x:v>
      </x:c>
      <x:c r="O827" s="67"/>
      <x:c r="P827" s="67" t="n">
        <x:f>IF(COUNT(N827:O827)=0,"",SUM(N827:O827))</x:f>
        <x:v>0</x:v>
      </x:c>
      <x:c r="Q827" s="65" t="str">
        <x:v>LiveScore赛果：https://www.livescore.mobi/football/2026-07-14/ | https://www.uefa.com/uefachampionsleague/fixtures-results/ | 查询时间：2026-07-15 23:40（北京时间）</x:v>
      </x:c>
      <x:c r="R827" s="65" t="str">
        <x:v>90分钟终场1-2；沙巴-1走水；小2.5参考1.73低于1.80，未执行。</x:v>
      </x:c>
    </x:row>
    <x:row r="828" ht="38" customHeight="1">
      <x:c r="A828" s="65" t="str">
        <x:f>IF(B828="","",TEXT(B828,"yyyy-mm-dd")&amp;"|"&amp;D828&amp;"|"&amp;E828)</x:f>
        <x:v>2026-07-15|吉奥利ETO（Győri ETO FC）|雷克雅未克维京人（Víkingur Reykjavík）</x:v>
      </x:c>
      <x:c r="B828" s="66" t="n">
        <x:v>46218.04166666667</x:v>
      </x:c>
      <x:c r="C828" s="65" t="str">
        <x:v>欧洲冠军联赛（UEFA Champions League）</x:v>
      </x:c>
      <x:c r="D828" s="65" t="str">
        <x:v>吉奥利ETO（Győri ETO FC）</x:v>
      </x:c>
      <x:c r="E828" s="65" t="str">
        <x:v>雷克雅未克维京人（Víkingur Reykjavík）</x:v>
      </x:c>
      <x:c r="F828" s="65" t="str">
        <x:v>雷克雅未克维京人 +0.5（亚洲让球，参考约2.10；低于0.80不进）</x:v>
      </x:c>
      <x:c r="G828" s="65" t="str">
        <x:v>小2.5（高水小注，参考约2.45；低于0.80不进）</x:v>
      </x:c>
      <x:c r="H828" s="65" t="str">
        <x:v>小注；不加仓；维京人+0.5低于0.80或退至+0.25则放弃；小2.5若跌破港水1.00则放弃</x:v>
      </x:c>
      <x:c r="I828" s="66" t="n">
        <x:v>46217.830555555556</x:v>
      </x:c>
      <x:c r="J828" s="65" t="str">
        <x:v>已结算</x:v>
      </x:c>
      <x:c r="K828" s="65" t="str">
        <x:v>2-2</x:v>
      </x:c>
      <x:c r="L828" s="65" t="str">
        <x:v>赢</x:v>
      </x:c>
      <x:c r="M828" s="65" t="str">
        <x:v>输</x:v>
      </x:c>
      <x:c r="N828" s="67" t="n">
        <x:v>1</x:v>
      </x:c>
      <x:c r="O828" s="67" t="n">
        <x:v>-1</x:v>
      </x:c>
      <x:c r="P828" s="67" t="n">
        <x:f>IF(COUNT(N828:O828)=0,"",SUM(N828:O828))</x:f>
        <x:v>0</x:v>
      </x:c>
      <x:c r="Q828" s="65" t="str">
        <x:v>LiveScore赛果：https://www.livescore.mobi/football/2026-07-14/ | https://www.uefa.com/uefachampionsleague/fixtures-results/ | 查询时间：2026-07-15 23:40（北京时间）</x:v>
      </x:c>
      <x:c r="R828" s="65" t="str">
        <x:v>90分钟终场2-2；维京古+0.5打出，小2.5未打出。</x:v>
      </x:c>
    </x:row>
    <x:row r="829" ht="38" customHeight="1">
      <x:c r="A829" s="65" t="str">
        <x:f>IF(B829="","",TEXT(B829,"yyyy-mm-dd")&amp;"|"&amp;D829&amp;"|"&amp;E829)</x:f>
        <x:v>2026-07-15|里加FC（Riga FC）|阿拉特亚美尼亚（Ararat-Armenia）</x:v>
      </x:c>
      <x:c r="B829" s="66" t="n">
        <x:v>46218.04166666667</x:v>
      </x:c>
      <x:c r="C829" s="65" t="str">
        <x:v>欧洲冠军联赛（UEFA Champions League）</x:v>
      </x:c>
      <x:c r="D829" s="65" t="str">
        <x:v>里加FC（Riga FC）</x:v>
      </x:c>
      <x:c r="E829" s="65" t="str">
        <x:v>阿拉特亚美尼亚（Ararat-Armenia）</x:v>
      </x:c>
      <x:c r="F829" s="65" t="str">
        <x:v>里加FC -1.0（亚洲让球，参考约1.97；赢1球走水；低于0.80不进）</x:v>
      </x:c>
      <x:c r="G829" s="65" t="str">
        <x:v>大2.5（参考约1.80-1.83；只在港水≥0.80时进）</x:v>
      </x:c>
      <x:c r="H829" s="65" t="str">
        <x:v>小注；临场仍为-1且水位≥0.90可加0.25注；若升至-1.25或低于0.80则放弃让球，大2.5低于0.80则放弃</x:v>
      </x:c>
      <x:c r="I829" s="66" t="n">
        <x:v>46217.830555555556</x:v>
      </x:c>
      <x:c r="J829" s="65" t="str">
        <x:v>已结算</x:v>
      </x:c>
      <x:c r="K829" s="65" t="str">
        <x:v>3-2</x:v>
      </x:c>
      <x:c r="L829" s="65" t="str">
        <x:v>走水</x:v>
      </x:c>
      <x:c r="M829" s="65" t="str">
        <x:v>赢</x:v>
      </x:c>
      <x:c r="N829" s="67" t="n">
        <x:v>0</x:v>
      </x:c>
      <x:c r="O829" s="67" t="n">
        <x:v>1</x:v>
      </x:c>
      <x:c r="P829" s="67" t="n">
        <x:f>IF(COUNT(N829:O829)=0,"",SUM(N829:O829))</x:f>
        <x:v>1</x:v>
      </x:c>
      <x:c r="Q829" s="65" t="str">
        <x:v>LiveScore赛果：https://www.livescore.mobi/football/2026-07-14/ | https://www.uefa.com/uefachampionsleague/fixtures-results/ | 查询时间：2026-07-15 23:40（北京时间）</x:v>
      </x:c>
      <x:c r="R829" s="65" t="str">
        <x:v>90分钟终场3-2；里加-1走水，大2.5按冻结允许价打出。</x:v>
      </x:c>
    </x:row>
    <x:row r="830" ht="38" customHeight="1">
      <x:c r="A830" s="65" t="str">
        <x:f>IF(B830="","",TEXT(B830,"yyyy-mm-dd")&amp;"|"&amp;D830&amp;"|"&amp;E830)</x:f>
        <x:v>2026-07-15|伊比利亚第比利斯（FC Iberia 1999）|塔林弗洛拉（Flora Tallinn）</x:v>
      </x:c>
      <x:c r="B830" s="66" t="n">
        <x:v>46218</x:v>
      </x:c>
      <x:c r="C830" s="65" t="str">
        <x:v>欧洲冠军联赛（UEFA Champions League）</x:v>
      </x:c>
      <x:c r="D830" s="65" t="str">
        <x:v>伊比利亚第比利斯（FC Iberia 1999）</x:v>
      </x:c>
      <x:c r="E830" s="65" t="str">
        <x:v>塔林弗洛拉（Flora Tallinn）</x:v>
      </x:c>
      <x:c r="F830" s="65" t="str">
        <x:v>塔林弗洛拉 +1.0（亚洲让球，参考约1.87-1.95；低于0.80不进）</x:v>
      </x:c>
      <x:c r="G830" s="65" t="str">
        <x:v>大2.5（参考约1.48-1.56，当前低水只观察；须升至港水≥0.80才进）</x:v>
      </x:c>
      <x:c r="H830" s="65" t="str">
        <x:v>小注；不加仓；仅在弗洛拉+1水位≥0.90时执行，若退至+0.75或低于0.80则放弃让球；大2.5当前低水不进</x:v>
      </x:c>
      <x:c r="I830" s="66" t="n">
        <x:v>46217.830555555556</x:v>
      </x:c>
      <x:c r="J830" s="65" t="str">
        <x:v>已结算</x:v>
      </x:c>
      <x:c r="K830" s="65" t="str">
        <x:v>2-2</x:v>
      </x:c>
      <x:c r="L830" s="65" t="str">
        <x:v>赢</x:v>
      </x:c>
      <x:c r="M830" s="65" t="str">
        <x:v>不计（低水未执行）</x:v>
      </x:c>
      <x:c r="N830" s="67" t="n">
        <x:v>1</x:v>
      </x:c>
      <x:c r="O830" s="67"/>
      <x:c r="P830" s="67" t="n">
        <x:f>IF(COUNT(N830:O830)=0,"",SUM(N830:O830))</x:f>
        <x:v>1</x:v>
      </x:c>
      <x:c r="Q830" s="65" t="str">
        <x:v>LiveScore赛果：https://www.livescore.mobi/football/2026-07-14/ | https://www.uefa.com/uefachampionsleague/fixtures-results/ | 查询时间：2026-07-15 23:40（北京时间）</x:v>
      </x:c>
      <x:c r="R830" s="65" t="str">
        <x:v>90分钟终场2-2；塔林弗洛拉+1打出；大2.5参考低于1.80，未执行。</x:v>
      </x:c>
    </x:row>
    <x:row r="831" ht="38" customHeight="1">
      <x:c r="A831" s="65" t="str">
        <x:f>IF(B831="","",TEXT(B831,"yyyy-mm-dd")&amp;"|"&amp;D831&amp;"|"&amp;E831)</x:f>
        <x:v>2026-07-14|库奥皮奥（KuPS）|瓦尔达尔（FK Vardar）</x:v>
      </x:c>
      <x:c r="B831" s="66" t="n">
        <x:v>46217.95833333333</x:v>
      </x:c>
      <x:c r="C831" s="65" t="str">
        <x:v>欧洲冠军联赛（UEFA Champions League）</x:v>
      </x:c>
      <x:c r="D831" s="65" t="str">
        <x:v>库奥皮奥（KuPS）</x:v>
      </x:c>
      <x:c r="E831" s="65" t="str">
        <x:v>瓦尔达尔（FK Vardar）</x:v>
      </x:c>
      <x:c r="F831" s="65" t="str">
        <x:v>库奥皮奥 -1.5（亚洲让球，参考2.20／港水1.20；低于1.80不进）</x:v>
      </x:c>
      <x:c r="G831" s="65" t="str">
        <x:v>小2.5（亚洲大小球，参考2.22／港水1.22；低于1.80不进）</x:v>
      </x:c>
      <x:c r="H831" s="65" t="str">
        <x:v>小注；不加仓；让球若升至-1.75则放弃，大小球若降至2.25则放弃；任一选项低于十进制1.80不执行</x:v>
      </x:c>
      <x:c r="I831" s="66" t="n">
        <x:v>46217.955555555556</x:v>
      </x:c>
      <x:c r="J831" s="65" t="str">
        <x:v>已结算</x:v>
      </x:c>
      <x:c r="K831" s="65" t="str">
        <x:v>0-2</x:v>
      </x:c>
      <x:c r="L831" s="65" t="str">
        <x:v>输</x:v>
      </x:c>
      <x:c r="M831" s="65" t="str">
        <x:v>赢</x:v>
      </x:c>
      <x:c r="N831" s="67" t="n">
        <x:v>-1</x:v>
      </x:c>
      <x:c r="O831" s="67" t="n">
        <x:v>1</x:v>
      </x:c>
      <x:c r="P831" s="67" t="n">
        <x:f>IF(COUNT(N831:O831)=0,"",SUM(N831:O831))</x:f>
        <x:v>0</x:v>
      </x:c>
      <x:c r="Q831" s="65" t="str">
        <x:v>LiveScore赛果：https://www.livescore.mobi/football/2026-07-14/ | https://www.skysports.com/football/kups-kuopio-vs-vardar/557647 | https://www.espn.com/soccer/match/_/gameId/401877820/vardar-kups-kuopio | 查询时间：2026-07-15 23:40（北京时间）</x:v>
      </x:c>
      <x:c r="R831" s="65" t="str">
        <x:v>亚洲盘按90分钟0-2结算：库普斯-1.5未打出，小2.5打出；加时后总比分2-3仅作赛制备注，不计入盘口。</x:v>
      </x:c>
    </x:row>
    <x:row r="832" ht="38" customHeight="1">
      <x:c r="A832" s="65" t="str">
        <x:f>IF(B832="","",TEXT(B832,"yyyy-mm-dd")&amp;"|"&amp;D832&amp;"|"&amp;E832)</x:f>
        <x:v>2026-07-14|浙江队|青岛海牛</x:v>
      </x:c>
      <x:c r="B832" s="66" t="n">
        <x:v>46217.81597222222</x:v>
      </x:c>
      <x:c r="C832" s="65" t="str">
        <x:v>中国足球超级联赛</x:v>
      </x:c>
      <x:c r="D832" s="65" t="str">
        <x:v>浙江队</x:v>
      </x:c>
      <x:c r="E832" s="65" t="str">
        <x:v>青岛海牛</x:v>
      </x:c>
      <x:c r="F832" s="65" t="str">
        <x:v>青岛海牛 +1.25（亚洲让球，参考水位约0.96；低于0.80不进）</x:v>
      </x:c>
      <x:c r="G832" s="65" t="str">
        <x:v>小3.5（亚洲大小球，参考水位约0.96；若降至3.0或3.25则不追小）</x:v>
      </x:c>
      <x:c r="H832" s="65" t="str">
        <x:v>无加仓；浙江队 -1低于0.80不进单；让球或大小球低于执行阈值均放弃</x:v>
      </x:c>
      <x:c r="I832" s="66" t="n">
        <x:v>46217.8125</x:v>
      </x:c>
      <x:c r="J832" s="65" t="str">
        <x:v>已结算</x:v>
      </x:c>
      <x:c r="K832" s="65" t="str">
        <x:v>3-2</x:v>
      </x:c>
      <x:c r="L832" s="65" t="str">
        <x:v>赢</x:v>
      </x:c>
      <x:c r="M832" s="65" t="str">
        <x:v>输</x:v>
      </x:c>
      <x:c r="N832" s="67" t="n">
        <x:v>1</x:v>
      </x:c>
      <x:c r="O832" s="67" t="n">
        <x:v>-1</x:v>
      </x:c>
      <x:c r="P832" s="67" t="n">
        <x:f>IF(COUNT(N832:O832)=0,"",SUM(N832:O832))</x:f>
        <x:v>0</x:v>
      </x:c>
      <x:c r="Q832" s="65" t="str">
        <x:v>LiveScore赛果：https://www.livescore.mobi/football/2026-07-14/ | https://www.espn.com/soccer/match/_/gameId/401861419/qingdao-hainiu-zhejiang-professional-fc | https://www.thescore.com/chsl/event/96465 | 查询时间：2026-07-15 23:40（北京时间）</x:v>
      </x:c>
      <x:c r="R832" s="65" t="str">
        <x:v>90分钟终场3-2；青岛海牛+1.25打出，小3.5未打出。</x:v>
      </x:c>
    </x:row>
    <x:row r="833" ht="38" customHeight="1">
      <x:c r="A833" s="65" t="str">
        <x:f>IF(B833="","",TEXT(B833,"yyyy-mm-dd")&amp;"|"&amp;D833&amp;"|"&amp;E833)</x:f>
        <x:v>2026-07-14|骑兵队（Cavalry FC）|温哥华白帽（Vancouver Whitecaps FC）</x:v>
      </x:c>
      <x:c r="B833" s="66" t="n">
        <x:v>46217.395833333336</x:v>
      </x:c>
      <x:c r="C833" s="65" t="str">
        <x:v>加拿大锦标赛（Canadian Championship）</x:v>
      </x:c>
      <x:c r="D833" s="65" t="str">
        <x:v>骑兵队（Cavalry FC）</x:v>
      </x:c>
      <x:c r="E833" s="65" t="str">
        <x:v>温哥华白帽（Vancouver Whitecaps FC）</x:v>
      </x:c>
      <x:c r="F833" s="65" t="str">
        <x:v>滚球：骑兵队 +0.5（只接受欧赔1.90-2.03/港水0.90-1.03；低于0.80不进单）</x:v>
      </x:c>
      <x:c r="G833" s="65" t="str">
        <x:v>滚球：全场小2.5（只接受欧赔2.15-2.38/港水1.15-1.38；若盘口已降至2/2.25则放弃）</x:v>
      </x:c>
      <x:c r="H833" s="65" t="str">
        <x:v>无加仓；骑兵队进球大0.5仅观察，约1.45属低价值，不进单</x:v>
      </x:c>
      <x:c r="I833" s="66" t="n">
        <x:v>46217.41332175926</x:v>
      </x:c>
      <x:c r="J833" s="65" t="str">
        <x:v>已结算</x:v>
      </x:c>
      <x:c r="K833" s="65" t="str">
        <x:v>1-1</x:v>
      </x:c>
      <x:c r="L833" s="65" t="str">
        <x:v>赢</x:v>
      </x:c>
      <x:c r="M833" s="65" t="str">
        <x:v>赢</x:v>
      </x:c>
      <x:c r="N833" s="67" t="n">
        <x:v>1</x:v>
      </x:c>
      <x:c r="O833" s="67" t="n">
        <x:v>1</x:v>
      </x:c>
      <x:c r="P833" s="67" t="n">
        <x:f>IF(COUNT(N833:O833)=0,"",SUM(N833:O833))</x:f>
        <x:v>2</x:v>
      </x:c>
      <x:c r="Q833" s="65" t="str">
        <x:v>https://www.mlssoccer.com/news/vancouver-whitecaps-eliminate-cavalry-fc-to-reach-canchamp-semifinals | https://www.foxsports.com/soccer/canadian-championship-cavalry-fc-vs-vancouver-jul-13-2026-game-boxscore-835192 | 查询时间：2026-07-15 23:40（北京时间）</x:v>
      </x:c>
      <x:c r="R833" s="65" t="str">
        <x:v>历史积压补结：90分钟1-1；滚球骑兵+0.5与小2.5均打出。</x:v>
      </x:c>
    </x:row>
    <x:row r="834" ht="38" customHeight="1">
      <x:c r="A834" s="65" t="str">
        <x:f>IF(B834="","",TEXT(B834,"yyyy-mm-dd")&amp;"|"&amp;D834&amp;"|"&amp;E834)</x:f>
        <x:v>2026-07-13|布琳狮子U23（Bulleen Lions U23）|布伦瑞克城U23（Brunswick City U23）</x:v>
      </x:c>
      <x:c r="B834" s="66" t="n">
        <x:v>46216.677083333336</x:v>
      </x:c>
      <x:c r="C834" s="65" t="str">
        <x:v>澳大利亚维多利亚州超级联赛1（VPL1）</x:v>
      </x:c>
      <x:c r="D834" s="65" t="str">
        <x:v>布琳狮子U23（Bulleen Lions U23）</x:v>
      </x:c>
      <x:c r="E834" s="65" t="str">
        <x:v>布伦瑞克城U23（Brunswick City U23）</x:v>
      </x:c>
      <x:c r="F834" s="65" t="str">
        <x:v>布琳狮子U23 -1.75，水位0.80或以上才进</x:v>
      </x:c>
      <x:c r="G834" s="65" t="str">
        <x:v>大4.75，水位0.90左右；低于0.80不进单</x:v>
      </x:c>
      <x:c r="H834" s="65" t="str">
        <x:v>主推让球；大小球小注。可选布琳狮子U23球队进球大2.5，仅限水位0.80或以上</x:v>
      </x:c>
      <x:c r="I834" s="66" t="n">
        <x:v>46216.651030092595</x:v>
      </x:c>
      <x:c r="J834" s="65" t="str">
        <x:v>已结算</x:v>
      </x:c>
      <x:c r="K834" s="65" t="str">
        <x:v>4-1</x:v>
      </x:c>
      <x:c r="L834" s="65" t="str">
        <x:v>赢</x:v>
      </x:c>
      <x:c r="M834" s="65" t="str">
        <x:v>赢半</x:v>
      </x:c>
      <x:c r="N834" s="67" t="n">
        <x:v>1</x:v>
      </x:c>
      <x:c r="O834" s="67" t="n">
        <x:v>0.5</x:v>
      </x:c>
      <x:c r="P834" s="67" t="n">
        <x:f>IF(COUNT(N834:O834)=0,"",SUM(N834:O834))</x:f>
        <x:v>1.5</x:v>
      </x:c>
      <x:c r="Q834" s="65"/>
      <x:c r="R834" s="65" t="str">
        <x:v>完场4-1。布琳狮子U23净胜3球，-1.75赢；全场5球，大4.75赢半。</x:v>
      </x:c>
    </x:row>
    <x:row r="835" ht="38" customHeight="1">
      <x:c r="A835" s="65" t="str">
        <x:f>IF(B835="","",TEXT(B835,"yyyy-mm-dd")&amp;"|"&amp;D835&amp;"|"&amp;E835)</x:f>
        <x:v>2026-07-11|莱卡特老虎（APIA Leichhardt Tigers）|悉尼FC青年（Sydney FC Youth）</x:v>
      </x:c>
      <x:c r="B835" s="66" t="n">
        <x:v>46214.645833333336</x:v>
      </x:c>
      <x:c r="C835" s="65" t="str">
        <x:v>澳大利亚新南威尔士州国家超级联赛（NPL NSW）</x:v>
      </x:c>
      <x:c r="D835" s="65" t="str">
        <x:v>莱卡特老虎（APIA Leichhardt Tigers）</x:v>
      </x:c>
      <x:c r="E835" s="65" t="str">
        <x:v>悉尼FC青年（Sydney FC Youth）</x:v>
      </x:c>
      <x:c r="F835" s="65" t="str">
        <x:v>莱卡特老虎 -1.5（亚洲让球，参考水位约1.22；低于0.80不进）</x:v>
      </x:c>
      <x:c r="G835" s="65" t="str">
        <x:v>大3.5（高水小注，参考水位约1.10-1.34；大2.5低水不进；低于0.80不进）</x:v>
      </x:c>
      <x:c r="H835" s="65" t="str">
        <x:v>小注；不加仓；主胜/-0.5/DNB低水不进；若莱卡特-1.5低于0.80则放弃让球；若已开赛仅记录赛前盘口策略，不追赛中变盘</x:v>
      </x:c>
      <x:c r="I835" s="66" t="n">
        <x:v>46214.67628472222</x:v>
      </x:c>
      <x:c r="J835" s="65" t="str">
        <x:v>已结算</x:v>
      </x:c>
      <x:c r="K835" s="65" t="str">
        <x:v>2-1</x:v>
      </x:c>
      <x:c r="L835" s="65" t="str">
        <x:v>输</x:v>
      </x:c>
      <x:c r="M835" s="65" t="str">
        <x:v>输</x:v>
      </x:c>
      <x:c r="N835" s="67" t="n">
        <x:v>-1</x:v>
      </x:c>
      <x:c r="O835" s="67" t="n">
        <x:v>-1</x:v>
      </x:c>
      <x:c r="P835" s="67" t="n">
        <x:f>IF(COUNT(N835:O835)=0,"",SUM(N835:O835))</x:f>
        <x:v>-2</x:v>
      </x:c>
      <x:c r="Q835" s="65"/>
      <x:c r="R835" s="65" t="str">
        <x:v>完场2-1。莱卡特老虎仅净胜1球，-1.5输；全场3球，大3.5输。</x:v>
      </x:c>
    </x:row>
    <x:row r="836" ht="38" customHeight="1">
      <x:c r="A836" s="65" t="str">
        <x:f>IF(B836="","",TEXT(B836,"yyyy-mm-dd")&amp;"|"&amp;D836&amp;"|"&amp;E836)</x:f>
        <x:v>2026-07-11|西班牙|比利时</x:v>
      </x:c>
      <x:c r="B836" s="66" t="n">
        <x:v>46214.125</x:v>
      </x:c>
      <x:c r="C836" s="65" t="str">
        <x:v>国际足联世界杯</x:v>
      </x:c>
      <x:c r="D836" s="65" t="str">
        <x:v>西班牙</x:v>
      </x:c>
      <x:c r="E836" s="65" t="str">
        <x:v>比利时</x:v>
      </x:c>
      <x:c r="F836" s="65" t="str">
        <x:v>西班牙 -1.0（亚洲让球，参考水位约0.98；赢1球走水；低于0.80不进）</x:v>
      </x:c>
      <x:c r="G836" s="65" t="str">
        <x:v>小2.5（参考水位约1.00-1.07；低于0.80不进；大2.5低水不进）</x:v>
      </x:c>
      <x:c r="H836" s="65" t="str">
        <x:v>小注；不加仓；西班牙主胜/晋级低水不进；若西班牙-1.0跌破0.80则放弃让球，若小2.5低于0.80则放弃大小球</x:v>
      </x:c>
      <x:c r="I836" s="66" t="n">
        <x:v>46214.086377314816</x:v>
      </x:c>
      <x:c r="J836" s="65" t="str">
        <x:v>已结算</x:v>
      </x:c>
      <x:c r="K836" s="65" t="str">
        <x:v>2-1</x:v>
      </x:c>
      <x:c r="L836" s="65" t="str">
        <x:v>走水</x:v>
      </x:c>
      <x:c r="M836" s="65" t="str">
        <x:v>输</x:v>
      </x:c>
      <x:c r="N836" s="67" t="n">
        <x:v>0</x:v>
      </x:c>
      <x:c r="O836" s="67" t="n">
        <x:v>-1</x:v>
      </x:c>
      <x:c r="P836" s="67" t="n">
        <x:f>IF(COUNT(N836:O836)=0,"",SUM(N836:O836))</x:f>
        <x:v>-1</x:v>
      </x:c>
      <x:c r="Q836" s="65"/>
      <x:c r="R836" s="65" t="str">
        <x:v>完场2-1。西班牙净胜1球，-1.0走水；全场3球，小2.5输。</x:v>
      </x:c>
    </x:row>
    <x:row r="837" ht="38" customHeight="1">
      <x:c r="A837" s="65" t="str">
        <x:f>IF(B837="","",TEXT(B837,"yyyy-mm-dd")&amp;"|"&amp;D837&amp;"|"&amp;E837)</x:f>
        <x:v>2026-07-11|VPS瓦萨（Vaasa PS）|赛那乔其（SJK Seinäjoki）</x:v>
      </x:c>
      <x:c r="B837" s="66" t="n">
        <x:v>46214</x:v>
      </x:c>
      <x:c r="C837" s="65" t="str">
        <x:v>芬兰超级联赛（Veikkausliiga）</x:v>
      </x:c>
      <x:c r="D837" s="65" t="str">
        <x:v>VPS瓦萨（Vaasa PS）</x:v>
      </x:c>
      <x:c r="E837" s="65" t="str">
        <x:v>赛那乔其（SJK Seinäjoki）</x:v>
      </x:c>
      <x:c r="F837" s="65" t="str">
        <x:v>VPS瓦萨 -0.5（亚洲让球，参考水位约0.83；低于0.80不进）</x:v>
      </x:c>
      <x:c r="G837" s="65" t="str">
        <x:v>大3.0（亚洲大小，参考水位约0.93；3球走水；低于0.80不进；大2.5低水不进）</x:v>
      </x:c>
      <x:c r="H837" s="65" t="str">
        <x:v>小注；不加仓；VPS -0.25低水不进，若VPS -0.5跌破0.80则放弃让球；若大3.0低于0.80则放弃大小球</x:v>
      </x:c>
      <x:c r="I837" s="66" t="n">
        <x:v>46213.99895833333</x:v>
      </x:c>
      <x:c r="J837" s="65" t="str">
        <x:v>已结算</x:v>
      </x:c>
      <x:c r="K837" s="65" t="str">
        <x:v>1-0</x:v>
      </x:c>
      <x:c r="L837" s="65" t="str">
        <x:v>赢</x:v>
      </x:c>
      <x:c r="M837" s="65" t="str">
        <x:v>输</x:v>
      </x:c>
      <x:c r="N837" s="67" t="n">
        <x:v>1</x:v>
      </x:c>
      <x:c r="O837" s="67" t="n">
        <x:v>-1</x:v>
      </x:c>
      <x:c r="P837" s="67" t="n">
        <x:f>IF(COUNT(N837:O837)=0,"",SUM(N837:O837))</x:f>
        <x:v>0</x:v>
      </x:c>
      <x:c r="Q837" s="65"/>
      <x:c r="R837" s="65" t="str">
        <x:v>完场1-0。VPS瓦萨-0.5赢；全场1球，大3.0输。</x:v>
      </x:c>
    </x:row>
    <x:row r="838" ht="38" customHeight="1">
      <x:c r="A838" s="65" t="str">
        <x:f>IF(B838="","",TEXT(B838,"yyyy-mm-dd")&amp;"|"&amp;D838&amp;"|"&amp;E838)</x:f>
        <x:v>2026-07-10|普雷斯顿狮子（Preston Lions）|休城（Hume City）</x:v>
      </x:c>
      <x:c r="B838" s="66" t="n">
        <x:v>46213.770833333336</x:v>
      </x:c>
      <x:c r="C838" s="65" t="str">
        <x:v>澳大利亚维多利亚州超级联赛1（VPL1）</x:v>
      </x:c>
      <x:c r="D838" s="65" t="str">
        <x:v>普雷斯顿狮子（Preston Lions）</x:v>
      </x:c>
      <x:c r="E838" s="65" t="str">
        <x:v>休城（Hume City）</x:v>
      </x:c>
      <x:c r="F838" s="65" t="str">
        <x:v>休城 +0.25（亚洲让球，参考水位约0.90-1.00；低于0.80不进）</x:v>
      </x:c>
      <x:c r="G838" s="65" t="str">
        <x:v>大3.5（高水小注，参考水位约1.88；低于0.80不进；大2.5低水不进）</x:v>
      </x:c>
      <x:c r="H838" s="65" t="str">
        <x:v>小注；不加仓；普雷斯顿主胜/-0.25若低水不进，休城X2低水不进；若休城+0.25低于0.80则放弃让球</x:v>
      </x:c>
      <x:c r="I838" s="66" t="n">
        <x:v>46213.660358796296</x:v>
      </x:c>
      <x:c r="J838" s="65" t="str">
        <x:v>已结算</x:v>
      </x:c>
      <x:c r="K838" s="65" t="str">
        <x:v>2-1</x:v>
      </x:c>
      <x:c r="L838" s="65" t="str">
        <x:v>输</x:v>
      </x:c>
      <x:c r="M838" s="65" t="str">
        <x:v>输</x:v>
      </x:c>
      <x:c r="N838" s="67" t="n">
        <x:v>-1</x:v>
      </x:c>
      <x:c r="O838" s="67" t="n">
        <x:v>-1</x:v>
      </x:c>
      <x:c r="P838" s="67" t="n">
        <x:f>IF(COUNT(N838:O838)=0,"",SUM(N838:O838))</x:f>
        <x:v>-2</x:v>
      </x:c>
      <x:c r="Q838" s="65"/>
      <x:c r="R838" s="65" t="str">
        <x:v>完场2-1。休城+0.25输；全场3球，大3.5输。</x:v>
      </x:c>
    </x:row>
    <x:row r="839" ht="38" customHeight="1">
      <x:c r="A839" s="65" t="str">
        <x:f>IF(B839="","",TEXT(B839,"yyyy-mm-dd")&amp;"|"&amp;D839&amp;"|"&amp;E839)</x:f>
        <x:v>2026-07-10|布伦瑞克尤文图斯（Brunswick Juventus）|西部联青年（Western United Reserves Youth）</x:v>
      </x:c>
      <x:c r="B839" s="66" t="n">
        <x:v>46213.770833333336</x:v>
      </x:c>
      <x:c r="C839" s="65" t="str">
        <x:v>澳大利亚维多利亚州超级联赛1（VPL1）</x:v>
      </x:c>
      <x:c r="D839" s="65" t="str">
        <x:v>布伦瑞克尤文图斯（Brunswick Juventus）</x:v>
      </x:c>
      <x:c r="E839" s="65" t="str">
        <x:v>西部联青年（Western United Reserves Youth）</x:v>
      </x:c>
      <x:c r="F839" s="65" t="str">
        <x:v>布伦瑞克尤文图斯 -1.5（亚洲让球，参考水位约0.94；低于0.80不进）</x:v>
      </x:c>
      <x:c r="G839" s="65" t="str">
        <x:v>大4.0（亚洲大小，参考水位约0.95；4球走水；低于0.80不进）</x:v>
      </x:c>
      <x:c r="H839" s="65" t="str">
        <x:v>小注；不加仓；主胜/-0.5低水不进；若布伦瑞克尤文图斯-1.5跌破0.80则放弃让球，大2.5/大3.5低水不进</x:v>
      </x:c>
      <x:c r="I839" s="66" t="n">
        <x:v>46213.65452546296</x:v>
      </x:c>
      <x:c r="J839" s="65" t="str">
        <x:v>已结算</x:v>
      </x:c>
      <x:c r="K839" s="65" t="str">
        <x:v>5-4</x:v>
      </x:c>
      <x:c r="L839" s="65" t="str">
        <x:v>输</x:v>
      </x:c>
      <x:c r="M839" s="65" t="str">
        <x:v>赢</x:v>
      </x:c>
      <x:c r="N839" s="67" t="n">
        <x:v>-1</x:v>
      </x:c>
      <x:c r="O839" s="67" t="n">
        <x:v>1</x:v>
      </x:c>
      <x:c r="P839" s="67" t="n">
        <x:f>IF(COUNT(N839:O839)=0,"",SUM(N839:O839))</x:f>
        <x:v>0</x:v>
      </x:c>
      <x:c r="Q839" s="65"/>
      <x:c r="R839" s="65" t="str">
        <x:v>完场5-4。布伦瑞克尤文图斯仅净胜1球，-1.5输；全场9球，大4.0赢。</x:v>
      </x:c>
    </x:row>
    <x:row r="840" ht="38" customHeight="1">
      <x:c r="A840" s="65" t="str">
        <x:f>IF(B840="","",TEXT(B840,"yyyy-mm-dd")&amp;"|"&amp;D840&amp;"|"&amp;E840)</x:f>
        <x:v>2026-07-10|格林古利（Green Gully）|阿尔托那魔法（Altona Magic）</x:v>
      </x:c>
      <x:c r="B840" s="66" t="n">
        <x:v>46213.729166666664</x:v>
      </x:c>
      <x:c r="C840" s="65" t="str">
        <x:v>澳大利亚维多利亚州超级联赛1（VPL1）</x:v>
      </x:c>
      <x:c r="D840" s="65" t="str">
        <x:v>格林古利（Green Gully）</x:v>
      </x:c>
      <x:c r="E840" s="65" t="str">
        <x:v>阿尔托那魔法（Altona Magic）</x:v>
      </x:c>
      <x:c r="F840" s="65" t="str">
        <x:v>阿尔托那魔法 -0.25（亚洲让球，参考水位约1.00；低于0.80不进）</x:v>
      </x:c>
      <x:c r="G840" s="65" t="str">
        <x:v>大3.0（亚洲大小，参考水位需≥0.85；3球走水；若只能买到大3.5高水则小注替代；低于0.80不进）</x:v>
      </x:c>
      <x:c r="H840" s="65" t="str">
        <x:v>小注；不加仓；阿尔托那魔法DNB/双重机会低水不进；大2.5低水不进，若阿尔托那-0.25低于0.80则放弃让球</x:v>
      </x:c>
      <x:c r="I840" s="66" t="n">
        <x:v>46213.747511574074</x:v>
      </x:c>
      <x:c r="J840" s="65" t="str">
        <x:v>已结算</x:v>
      </x:c>
      <x:c r="K840" s="65" t="str">
        <x:v>1-3</x:v>
      </x:c>
      <x:c r="L840" s="65" t="str">
        <x:v>赢</x:v>
      </x:c>
      <x:c r="M840" s="65" t="str">
        <x:v>赢</x:v>
      </x:c>
      <x:c r="N840" s="67" t="n">
        <x:v>1</x:v>
      </x:c>
      <x:c r="O840" s="67" t="n">
        <x:v>1</x:v>
      </x:c>
      <x:c r="P840" s="67" t="n">
        <x:f>IF(COUNT(N840:O840)=0,"",SUM(N840:O840))</x:f>
        <x:v>2</x:v>
      </x:c>
      <x:c r="Q840" s="65"/>
      <x:c r="R840" s="65" t="str">
        <x:v>完场1-3。阿尔托那魔法净胜2球，-0.25赢；全场4球，大3.0赢。</x:v>
      </x:c>
    </x:row>
    <x:row r="841" ht="38" customHeight="1">
      <x:c r="A841" s="65" t="str">
        <x:f>IF(B841="","",TEXT(B841,"yyyy-mm-dd")&amp;"|"&amp;D841&amp;"|"&amp;E841)</x:f>
        <x:v>2026-07-10|半岛电力（Peninsula Power）|温纳姆狼队（Wynnum Wolves FC）</x:v>
      </x:c>
      <x:c r="B841" s="66" t="n">
        <x:v>46213.729166666664</x:v>
      </x:c>
      <x:c r="C841" s="65" t="str">
        <x:v>澳大利亚昆士兰州国家超级联赛（NPL Queensland）</x:v>
      </x:c>
      <x:c r="D841" s="65" t="str">
        <x:v>半岛电力（Peninsula Power）</x:v>
      </x:c>
      <x:c r="E841" s="65" t="str">
        <x:v>温纳姆狼队（Wynnum Wolves FC）</x:v>
      </x:c>
      <x:c r="F841" s="65" t="str">
        <x:v>半岛电力 -1.5（2-way handicap/亚洲等效，参考水位约1.10；低于0.80不进）</x:v>
      </x:c>
      <x:c r="G841" s="65" t="str">
        <x:v>大4.5（高水小注，参考水位约1.36-1.45；大3.5低水不进；低于0.80不进）</x:v>
      </x:c>
      <x:c r="H841" s="65" t="str">
        <x:v>小注；不加仓；主胜/-0.5/DNB低水不进；若半岛电力-1.5跌破0.80则放弃让球，大小球只接受大4.5高水</x:v>
      </x:c>
      <x:c r="I841" s="66" t="n">
        <x:v>46213.34537037037</x:v>
      </x:c>
      <x:c r="J841" s="65" t="str">
        <x:v>已结算</x:v>
      </x:c>
      <x:c r="K841" s="65" t="str">
        <x:v>0-0</x:v>
      </x:c>
      <x:c r="L841" s="65" t="str">
        <x:v>输</x:v>
      </x:c>
      <x:c r="M841" s="65" t="str">
        <x:v>输</x:v>
      </x:c>
      <x:c r="N841" s="67" t="n">
        <x:v>-1</x:v>
      </x:c>
      <x:c r="O841" s="67" t="n">
        <x:v>-1</x:v>
      </x:c>
      <x:c r="P841" s="67" t="n">
        <x:f>IF(COUNT(N841:O841)=0,"",SUM(N841:O841))</x:f>
        <x:v>-2</x:v>
      </x:c>
      <x:c r="Q841" s="65"/>
      <x:c r="R841" s="65" t="str">
        <x:v>完场0-0。半岛电力-1.5未打出；全场0球，大4.5未打出。</x:v>
      </x:c>
    </x:row>
    <x:row r="842" ht="38" customHeight="1">
      <x:c r="A842" s="65" t="str">
        <x:f>IF(B842="","",TEXT(B842,"yyyy-mm-dd")&amp;"|"&amp;D842&amp;"|"&amp;E842)</x:f>
        <x:v>2026-07-10|普雷斯顿狮子女足（Preston Lions Women）|布林狮子女足（FC Bulleen Lions Women）</x:v>
      </x:c>
      <x:c r="B842" s="66" t="n">
        <x:v>46213.677083333336</x:v>
      </x:c>
      <x:c r="C842" s="65" t="str">
        <x:v>澳大利亚维多利亚州女子国家超级联赛（NPL Victoria Women）</x:v>
      </x:c>
      <x:c r="D842" s="65" t="str">
        <x:v>普雷斯顿狮子女足（Preston Lions Women）</x:v>
      </x:c>
      <x:c r="E842" s="65" t="str">
        <x:v>布林狮子女足（FC Bulleen Lions Women）</x:v>
      </x:c>
      <x:c r="F842" s="65" t="str">
        <x:v>布林狮子女足 -2.5（2-way handicap/亚洲等效，参考水位约1.41；高风险小注；低于0.80不进）</x:v>
      </x:c>
      <x:c r="G842" s="65" t="str">
        <x:v>大3.5（参考水位约0.87；低于0.80不进；大2.5低水不进）</x:v>
      </x:c>
      <x:c r="H842" s="65" t="str">
        <x:v>小注；不加仓；布林狮子女足主胜/-0.5/-1.5低水不进；若-2.5水位低于0.80则放弃让球，大4.5只观察不加仓</x:v>
      </x:c>
      <x:c r="I842" s="66" t="n">
        <x:v>46213.65783564815</x:v>
      </x:c>
      <x:c r="J842" s="65" t="str">
        <x:v>已结算</x:v>
      </x:c>
      <x:c r="K842" s="65" t="str">
        <x:v>2-2</x:v>
      </x:c>
      <x:c r="L842" s="65" t="str">
        <x:v>输</x:v>
      </x:c>
      <x:c r="M842" s="65" t="str">
        <x:v>赢</x:v>
      </x:c>
      <x:c r="N842" s="67" t="n">
        <x:v>-1</x:v>
      </x:c>
      <x:c r="O842" s="67" t="n">
        <x:v>1</x:v>
      </x:c>
      <x:c r="P842" s="67" t="n">
        <x:f>IF(COUNT(N842:O842)=0,"",SUM(N842:O842))</x:f>
        <x:v>0</x:v>
      </x:c>
      <x:c r="Q842" s="65"/>
      <x:c r="R842" s="65" t="str">
        <x:v>完场2-2。布林狮子女足-2.5输；全场4球，大3.5赢。</x:v>
      </x:c>
    </x:row>
    <x:row r="843" ht="38" customHeight="1">
      <x:c r="A843" s="65" t="str">
        <x:f>IF(B843="","",TEXT(B843,"yyyy-mm-dd")&amp;"|"&amp;D843&amp;"|"&amp;E843)</x:f>
        <x:v>2026-07-10|国民波托西（Nacional Potosí）|奥罗拉（Club Aurora）</x:v>
      </x:c>
      <x:c r="B843" s="66" t="n">
        <x:v>46213.333333333336</x:v>
      </x:c>
      <x:c r="C843" s="65" t="str">
        <x:v>玻利维亚甲级联赛</x:v>
      </x:c>
      <x:c r="D843" s="65" t="str">
        <x:v>国民波托西（Nacional Potosí）</x:v>
      </x:c>
      <x:c r="E843" s="65" t="str">
        <x:v>奥罗拉（Club Aurora）</x:v>
      </x:c>
      <x:c r="F843" s="65" t="str">
        <x:v>奥罗拉 +0.75（亚洲让球，参考水位约0.94；低于0.80不进）</x:v>
      </x:c>
      <x:c r="G843" s="65" t="str">
        <x:v>大3.0（亚洲大小，参考水位约0.87；3球走水；低于0.80不进）</x:v>
      </x:c>
      <x:c r="H843" s="65" t="str">
        <x:v>小注；不加仓；不追国民波托西主胜/-0.5低水；若奥罗拉+0.75低于0.80则放弃让球，若大3.0低于0.80则放弃大小球</x:v>
      </x:c>
      <x:c r="I843" s="66" t="n">
        <x:v>46213.262511574074</x:v>
      </x:c>
      <x:c r="J843" s="65" t="str">
        <x:v>已结算</x:v>
      </x:c>
      <x:c r="K843" s="65" t="str">
        <x:v>2-0</x:v>
      </x:c>
      <x:c r="L843" s="65" t="str">
        <x:v>输</x:v>
      </x:c>
      <x:c r="M843" s="65" t="str">
        <x:v>输</x:v>
      </x:c>
      <x:c r="N843" s="67" t="n">
        <x:v>-1</x:v>
      </x:c>
      <x:c r="O843" s="67" t="n">
        <x:v>-1</x:v>
      </x:c>
      <x:c r="P843" s="67" t="n">
        <x:f>IF(COUNT(N843:O843)=0,"",SUM(N843:O843))</x:f>
        <x:v>-2</x:v>
      </x:c>
      <x:c r="Q843" s="65"/>
      <x:c r="R843" s="65" t="str">
        <x:v>赛果2-0；奥罗拉 +0.75 输；大3.0 输。</x:v>
      </x:c>
    </x:row>
    <x:row r="844" ht="38" customHeight="1">
      <x:c r="A844" s="65" t="str">
        <x:f>IF(B844="","",TEXT(B844,"yyyy-mm-dd")&amp;"|"&amp;D844&amp;"|"&amp;E844)</x:f>
        <x:v>2026-07-09|萨克拉门托共和国（Sacramento Republic）|罗德岛FC（Rhode Island FC）</x:v>
      </x:c>
      <x:c r="B844" s="66" t="n">
        <x:v>46212.4375</x:v>
      </x:c>
      <x:c r="C844" s="65" t="str">
        <x:v>美国USL冠军联赛（USL Championship）</x:v>
      </x:c>
      <x:c r="D844" s="65" t="str">
        <x:v>萨克拉门托共和国（Sacramento Republic）</x:v>
      </x:c>
      <x:c r="E844" s="65" t="str">
        <x:v>罗德岛FC（Rhode Island FC）</x:v>
      </x:c>
      <x:c r="F844" s="65" t="str">
        <x:v>萨克拉门托共和国 -0.25（亚洲让球，参考水位约0.80；低于0.80不进）</x:v>
      </x:c>
      <x:c r="G844" s="65" t="str">
        <x:v>大2.5（参考水位约1.05；低于0.80不进）</x:v>
      </x:c>
      <x:c r="H844" s="65" t="str">
        <x:v>小注；不加仓；若萨克拉门托-0.25低于0.80则放弃让球，不追主胜低水；大小球只接受大2.5高水</x:v>
      </x:c>
      <x:c r="I844" s="66" t="n">
        <x:v>46212.35559027778</x:v>
      </x:c>
      <x:c r="J844" s="65" t="str">
        <x:v>已结算</x:v>
      </x:c>
      <x:c r="K844" s="65" t="str">
        <x:v>2-1</x:v>
      </x:c>
      <x:c r="L844" s="65" t="str">
        <x:v>赢</x:v>
      </x:c>
      <x:c r="M844" s="65" t="str">
        <x:v>赢</x:v>
      </x:c>
      <x:c r="N844" s="67" t="n">
        <x:v>1</x:v>
      </x:c>
      <x:c r="O844" s="67" t="n">
        <x:v>1</x:v>
      </x:c>
      <x:c r="P844" s="67" t="n">
        <x:f>IF(COUNT(N844:O844)=0,"",SUM(N844:O844))</x:f>
        <x:v>2</x:v>
      </x:c>
      <x:c r="Q844" s="65"/>
      <x:c r="R844" s="65" t="str">
        <x:v>赛果2-1；萨克拉门托共和国 -0.25 赢；大2.5 赢。</x:v>
      </x:c>
    </x:row>
    <x:row r="845" ht="38" customHeight="1">
      <x:c r="A845" s="65" t="str">
        <x:f>IF(B845="","",TEXT(B845,"yyyy-mm-dd")&amp;"|"&amp;D845&amp;"|"&amp;E845)</x:f>
        <x:v>2026-07-09|皇家波托西（Real Potosí）|玻利维亚足球学院（ABB，Academia del Balompié Boliviano）</x:v>
      </x:c>
      <x:c r="B845" s="66" t="n">
        <x:v>46212.333333333336</x:v>
      </x:c>
      <x:c r="C845" s="65" t="str">
        <x:v>玻利维亚甲级联赛</x:v>
      </x:c>
      <x:c r="D845" s="65" t="str">
        <x:v>皇家波托西（Real Potosí）</x:v>
      </x:c>
      <x:c r="E845" s="65" t="str">
        <x:v>玻利维亚足球学院（ABB，Academia del Balompié Boliviano）</x:v>
      </x:c>
      <x:c r="F845" s="65" t="str">
        <x:v>皇家波托西 -1.5（2-way/AH半球线等效，参考水位约1.73；高风险小注；低于0.80不进）</x:v>
      </x:c>
      <x:c r="G845" s="65" t="str">
        <x:v>大3.5（参考水位约1.20；低于0.80不进；大2.5低水不进）</x:v>
      </x:c>
      <x:c r="H845" s="65" t="str">
        <x:v>小注；不加仓；主胜/-0.5低水不进；若已开赛仅记录赛前盘口策略，不追赛中变盘</x:v>
      </x:c>
      <x:c r="I845" s="66" t="n">
        <x:v>46212.37578703704</x:v>
      </x:c>
      <x:c r="J845" s="65" t="str">
        <x:v>已结算</x:v>
      </x:c>
      <x:c r="K845" s="65" t="str">
        <x:v>3-1</x:v>
      </x:c>
      <x:c r="L845" s="65" t="str">
        <x:v>赢</x:v>
      </x:c>
      <x:c r="M845" s="65" t="str">
        <x:v>赢</x:v>
      </x:c>
      <x:c r="N845" s="67" t="n">
        <x:v>1</x:v>
      </x:c>
      <x:c r="O845" s="67" t="n">
        <x:v>1</x:v>
      </x:c>
      <x:c r="P845" s="67" t="n">
        <x:f>IF(COUNT(N845:O845)=0,"",SUM(N845:O845))</x:f>
        <x:v>2</x:v>
      </x:c>
      <x:c r="Q845" s="65"/>
      <x:c r="R845" s="65" t="str">
        <x:v>赛果3-1；皇家波托西 -1.5 赢；大3.5 赢。</x:v>
      </x:c>
    </x:row>
    <x:row r="846" ht="38" customHeight="1">
      <x:c r="A846" s="65" t="str">
        <x:f>IF(B846="","",TEXT(B846,"yyyy-mm-dd")&amp;"|"&amp;D846&amp;"|"&amp;E846)</x:f>
        <x:v>2026-07-08|阿拉木图凯拉特（Kairat Almaty）|苏捷斯卡尼克希奇（FK Sutjeska Nikšić）</x:v>
      </x:c>
      <x:c r="B846" s="66" t="n">
        <x:v>46211.958333333336</x:v>
      </x:c>
      <x:c r="C846" s="65" t="str">
        <x:v>欧洲冠军联赛（UEFA Champions League）</x:v>
      </x:c>
      <x:c r="D846" s="65" t="str">
        <x:v>阿拉木图凯拉特（Kairat Almaty）</x:v>
      </x:c>
      <x:c r="E846" s="65" t="str">
        <x:v>苏捷斯卡尼克希奇（FK Sutjeska Nikšić）</x:v>
      </x:c>
      <x:c r="F846" s="65" t="str">
        <x:v>阿拉木图凯拉特 -2.0（亚洲让球，参考水位约0.87；2球赢走水；低于0.80不进）</x:v>
      </x:c>
      <x:c r="G846" s="65" t="str">
        <x:v>大3.0（亚洲大小，参考水位约0.85；3球走水；低于0.80不进）</x:v>
      </x:c>
      <x:c r="H846" s="65" t="str">
        <x:v>小注；不加仓；主胜/1X低水不进，凯拉特-1.5若低于0.80不进；若-2降到低于0.80则放弃让球</x:v>
      </x:c>
      <x:c r="I846" s="66" t="n">
        <x:v>46211.88451388889</x:v>
      </x:c>
      <x:c r="J846" s="65" t="str">
        <x:v>已结算</x:v>
      </x:c>
      <x:c r="K846" s="65" t="str">
        <x:v>2-1</x:v>
      </x:c>
      <x:c r="L846" s="65" t="str">
        <x:v>输</x:v>
      </x:c>
      <x:c r="M846" s="65" t="str">
        <x:v>走水</x:v>
      </x:c>
      <x:c r="N846" s="67" t="n">
        <x:v>-1</x:v>
      </x:c>
      <x:c r="O846" s="67" t="n">
        <x:v>0</x:v>
      </x:c>
      <x:c r="P846" s="67" t="n">
        <x:f>IF(COUNT(N846:O846)=0,"",SUM(N846:O846))</x:f>
        <x:v>-1</x:v>
      </x:c>
      <x:c r="Q846" s="65"/>
      <x:c r="R846" s="65" t="str">
        <x:v>赛果2-1；阿拉木图凯拉特 -2.0 输；大3.0 走水。</x:v>
      </x:c>
    </x:row>
    <x:row r="847" ht="38" customHeight="1">
      <x:c r="A847" s="65" t="str">
        <x:f>IF(B847="","",TEXT(B847,"yyyy-mm-dd")&amp;"|"&amp;D847&amp;"|"&amp;E847)</x:f>
        <x:v>2026-07-08|奥卡斯（SD Aucas）|瓜亚基尔城（Guayaquil City）</x:v>
      </x:c>
      <x:c r="B847" s="66" t="n">
        <x:v>46211.333333333336</x:v>
      </x:c>
      <x:c r="C847" s="65" t="str">
        <x:v>厄瓜多尔甲级联赛（LigaPro Serie A）</x:v>
      </x:c>
      <x:c r="D847" s="65" t="str">
        <x:v>奥卡斯（SD Aucas）</x:v>
      </x:c>
      <x:c r="E847" s="65" t="str">
        <x:v>瓜亚基尔城（Guayaquil City）</x:v>
      </x:c>
      <x:c r="F847" s="65" t="str">
        <x:v>奥卡斯 -1.25（亚洲让球，参考水位约0.98；低于0.80不进）</x:v>
      </x:c>
      <x:c r="G847" s="65" t="str">
        <x:v>小2.5（参考水位约1.00；低于0.80不进）</x:v>
      </x:c>
      <x:c r="H847" s="65" t="str">
        <x:v>小注；不加仓；主胜/-0.5低水不进；若奥卡斯-1.25低于0.80则放弃让球，若小2.5跌破0.80则放弃大小球</x:v>
      </x:c>
      <x:c r="I847" s="66" t="n">
        <x:v>46211.306076388886</x:v>
      </x:c>
      <x:c r="J847" s="65" t="str">
        <x:v>已结算</x:v>
      </x:c>
      <x:c r="K847" s="65" t="str">
        <x:v>1-0</x:v>
      </x:c>
      <x:c r="L847" s="65" t="str">
        <x:v>输半</x:v>
      </x:c>
      <x:c r="M847" s="65" t="str">
        <x:v>赢</x:v>
      </x:c>
      <x:c r="N847" s="67" t="n">
        <x:v>-0.5</x:v>
      </x:c>
      <x:c r="O847" s="67" t="n">
        <x:v>1</x:v>
      </x:c>
      <x:c r="P847" s="67" t="n">
        <x:f>IF(COUNT(N847:O847)=0,"",SUM(N847:O847))</x:f>
        <x:v>0.5</x:v>
      </x:c>
      <x:c r="Q847" s="65"/>
      <x:c r="R847" s="65" t="str">
        <x:v>赛果1-0；奥卡斯 -1.25 输半；小2.5 赢。</x:v>
      </x:c>
    </x:row>
    <x:row r="848" ht="38" customHeight="1">
      <x:c r="A848" s="65" t="str">
        <x:f>IF(B848="","",TEXT(B848,"yyyy-mm-dd")&amp;"|"&amp;D848&amp;"|"&amp;E848)</x:f>
        <x:v>2026-07-08|GV圣何塞（GV San José）|皇家托亚马波（Real Tomayapo）</x:v>
      </x:c>
      <x:c r="B848" s="66" t="n">
        <x:v>46211.291666666664</x:v>
      </x:c>
      <x:c r="C848" s="65" t="str">
        <x:v>玻利维亚甲级联赛</x:v>
      </x:c>
      <x:c r="D848" s="65" t="str">
        <x:v>GV圣何塞（GV San José）</x:v>
      </x:c>
      <x:c r="E848" s="65" t="str">
        <x:v>皇家托亚马波（Real Tomayapo）</x:v>
      </x:c>
      <x:c r="F848" s="65" t="str">
        <x:v>GV圣何塞 -1.25（亚洲让球，参考水位约0.85-1.00；低于0.80不进）</x:v>
      </x:c>
      <x:c r="G848" s="65" t="str">
        <x:v>大3.25（参考水位约0.85+；若只能拿到大3.5 +105左右则小注替代；低于0.80不进）</x:v>
      </x:c>
      <x:c r="H848" s="65" t="str">
        <x:v>小注；不加仓；主胜/-0.5低水不进，若-1.25低于0.80则放弃让球</x:v>
      </x:c>
      <x:c r="I848" s="66" t="n">
        <x:v>46211.30262731481</x:v>
      </x:c>
      <x:c r="J848" s="65" t="str">
        <x:v>已结算</x:v>
      </x:c>
      <x:c r="K848" s="65" t="str">
        <x:v>3-2</x:v>
      </x:c>
      <x:c r="L848" s="65" t="str">
        <x:v>输半</x:v>
      </x:c>
      <x:c r="M848" s="65" t="str">
        <x:v>赢</x:v>
      </x:c>
      <x:c r="N848" s="67" t="n">
        <x:v>-0.5</x:v>
      </x:c>
      <x:c r="O848" s="67" t="n">
        <x:v>1</x:v>
      </x:c>
      <x:c r="P848" s="67" t="n">
        <x:f>IF(COUNT(N848:O848)=0,"",SUM(N848:O848))</x:f>
        <x:v>0.5</x:v>
      </x:c>
      <x:c r="Q848" s="65"/>
      <x:c r="R848" s="65" t="str">
        <x:v>赛果3-2；GV圣何塞 -1.25 输半；大3.25 赢。</x:v>
      </x:c>
    </x:row>
    <x:row r="849" ht="38" customHeight="1">
      <x:c r="A849" s="65" t="str">
        <x:f>IF(B849="","",TEXT(B849,"yyyy-mm-dd")&amp;"|"&amp;D849&amp;"|"&amp;E849)</x:f>
        <x:v>2026-07-08|瑞士|哥伦比亚</x:v>
      </x:c>
      <x:c r="B849" s="66" t="n">
        <x:v>46211.166666666664</x:v>
      </x:c>
      <x:c r="C849" s="65" t="str">
        <x:v>国际足联世界杯</x:v>
      </x:c>
      <x:c r="D849" s="65" t="str">
        <x:v>瑞士</x:v>
      </x:c>
      <x:c r="E849" s="65" t="str">
        <x:v>哥伦比亚</x:v>
      </x:c>
      <x:c r="F849" s="65" t="str">
        <x:v>哥伦比亚 -0.25（亚洲让球，参考水位约0.90-0.93；低于0.80不进）</x:v>
      </x:c>
      <x:c r="G849" s="65" t="str">
        <x:v>大2.5（高水小注，参考水位约1.30+；低于0.80不进）</x:v>
      </x:c>
      <x:c r="H849" s="65" t="str">
        <x:v>小注；不加仓；不追哥伦比亚晋级低水，不买小2.5低水；若哥伦比亚-0.25低于0.80则放弃让球</x:v>
      </x:c>
      <x:c r="I849" s="66" t="n">
        <x:v>46211.16752314815</x:v>
      </x:c>
      <x:c r="J849" s="65" t="str">
        <x:v>已结算</x:v>
      </x:c>
      <x:c r="K849" s="65" t="str">
        <x:v>0-0</x:v>
      </x:c>
      <x:c r="L849" s="65" t="str">
        <x:v>输半</x:v>
      </x:c>
      <x:c r="M849" s="65" t="str">
        <x:v>输</x:v>
      </x:c>
      <x:c r="N849" s="67" t="n">
        <x:v>-0.5</x:v>
      </x:c>
      <x:c r="O849" s="67" t="n">
        <x:v>-1</x:v>
      </x:c>
      <x:c r="P849" s="67" t="n">
        <x:f>IF(COUNT(N849:O849)=0,"",SUM(N849:O849))</x:f>
        <x:v>-1.5</x:v>
      </x:c>
      <x:c r="Q849" s="65"/>
      <x:c r="R849" s="65" t="str">
        <x:v>90分钟赛果0-0（点球瑞士4-3晋级，点球不计入盘口）；哥伦比亚 -0.25 输半；大2.5 输。</x:v>
      </x:c>
    </x:row>
    <x:row r="850" ht="38" customHeight="1">
      <x:c r="A850" s="65" t="str">
        <x:f>IF(B850="","",TEXT(B850,"yyyy-mm-dd")&amp;"|"&amp;D850&amp;"|"&amp;E850)</x:f>
        <x:v>2026-07-08|阿拉特亚美尼亚（Ararat-Armenia）|里加（Riga FC）</x:v>
      </x:c>
      <x:c r="B850" s="66" t="n">
        <x:v>46211</x:v>
      </x:c>
      <x:c r="C850" s="65" t="str">
        <x:v>欧洲冠军联赛（UEFA Champions League）</x:v>
      </x:c>
      <x:c r="D850" s="65" t="str">
        <x:v>阿拉特亚美尼亚（Ararat-Armenia）</x:v>
      </x:c>
      <x:c r="E850" s="65" t="str">
        <x:v>里加（Riga FC）</x:v>
      </x:c>
      <x:c r="F850" s="65" t="str">
        <x:v>里加 平手盘（AH 0，参考水位约0.80；低于0.80不进）</x:v>
      </x:c>
      <x:c r="G850" s="65" t="str">
        <x:v>大2.5（参考水位约0.95-1.04；低于0.80不进）</x:v>
      </x:c>
      <x:c r="H850" s="65" t="str">
        <x:v>小注；不加仓；若里加0盘低于0.80则放弃让球，不追X2低水；BTTS低水不进</x:v>
      </x:c>
      <x:c r="I850" s="66" t="n">
        <x:v>46210.99202546296</x:v>
      </x:c>
      <x:c r="J850" s="65" t="str">
        <x:v>已结算</x:v>
      </x:c>
      <x:c r="K850" s="65" t="str">
        <x:v>2-0</x:v>
      </x:c>
      <x:c r="L850" s="65" t="str">
        <x:v>输</x:v>
      </x:c>
      <x:c r="M850" s="65" t="str">
        <x:v>输</x:v>
      </x:c>
      <x:c r="N850" s="67" t="n">
        <x:v>-1</x:v>
      </x:c>
      <x:c r="O850" s="67" t="n">
        <x:v>-1</x:v>
      </x:c>
      <x:c r="P850" s="67" t="n">
        <x:f>IF(COUNT(N850:O850)=0,"",SUM(N850:O850))</x:f>
        <x:v>-2</x:v>
      </x:c>
      <x:c r="Q850" s="65"/>
      <x:c r="R850" s="65" t="str">
        <x:v>赛果2-0；里加 0（平手/DNB）输；大2.5 输。</x:v>
      </x:c>
    </x:row>
    <x:row r="851" ht="38" customHeight="1">
      <x:c r="A851" s="65" t="str">
        <x:f>IF(B851="","",TEXT(B851,"yyyy-mm-dd")&amp;"|"&amp;D851&amp;"|"&amp;E851)</x:f>
        <x:v>2026-07-08|林肯红魔|伊斯卡尔德斯（Inter Club d'Escaldes）</x:v>
      </x:c>
      <x:c r="B851" s="66" t="n">
        <x:v>46211</x:v>
      </x:c>
      <x:c r="C851" s="65" t="str">
        <x:v>欧洲冠军联赛（UEFA Champions League）</x:v>
      </x:c>
      <x:c r="D851" s="65" t="str">
        <x:v>林肯红魔</x:v>
      </x:c>
      <x:c r="E851" s="65" t="str">
        <x:v>伊斯卡尔德斯（Inter Club d'Escaldes）</x:v>
      </x:c>
      <x:c r="F851" s="65" t="str">
        <x:v>林肯红魔 -0.25（亚洲让球，参考香港水约0.80-0.90；低于0.80不进）</x:v>
      </x:c>
      <x:c r="G851" s="65" t="str">
        <x:v>大2.5（参考香港水约0.85-0.95；低于0.80不进）</x:v>
      </x:c>
      <x:c r="H851" s="65" t="str">
        <x:v>小注；不加仓；若林肯红魔-0.25低于0.80则放弃让球，大小球可用BTTS Yes高水作替代观察</x:v>
      </x:c>
      <x:c r="I851" s="66" t="n">
        <x:v>46210.988171296296</x:v>
      </x:c>
      <x:c r="J851" s="65" t="str">
        <x:v>已结算</x:v>
      </x:c>
      <x:c r="K851" s="65" t="str">
        <x:v>3-1</x:v>
      </x:c>
      <x:c r="L851" s="65" t="str">
        <x:v>赢</x:v>
      </x:c>
      <x:c r="M851" s="65" t="str">
        <x:v>赢</x:v>
      </x:c>
      <x:c r="N851" s="67" t="n">
        <x:v>1</x:v>
      </x:c>
      <x:c r="O851" s="67" t="n">
        <x:v>1</x:v>
      </x:c>
      <x:c r="P851" s="67" t="n">
        <x:f>IF(COUNT(N851:O851)=0,"",SUM(N851:O851))</x:f>
        <x:v>2</x:v>
      </x:c>
      <x:c r="Q851" s="65"/>
      <x:c r="R851" s="65" t="str">
        <x:v>赛果3-1；林肯红魔 -0.25 赢；大2.5 赢。</x:v>
      </x:c>
    </x:row>
    <x:row r="852" ht="38" customHeight="1">
      <x:c r="A852" s="65" t="str">
        <x:f>IF(B852="","",TEXT(B852,"yyyy-mm-dd")&amp;"|"&amp;D852&amp;"|"&amp;E852)</x:f>
        <x:v>2026-07-08|阿根廷|埃及</x:v>
      </x:c>
      <x:c r="B852" s="66" t="n">
        <x:v>46211</x:v>
      </x:c>
      <x:c r="C852" s="65" t="str">
        <x:v>国际足联世界杯</x:v>
      </x:c>
      <x:c r="D852" s="65" t="str">
        <x:v>阿根廷</x:v>
      </x:c>
      <x:c r="E852" s="65" t="str">
        <x:v>埃及</x:v>
      </x:c>
      <x:c r="F852" s="65" t="str">
        <x:v>阿根廷 -1.25（亚洲让球，参考水位约0.83；低于0.80不进）</x:v>
      </x:c>
      <x:c r="G852" s="65" t="str">
        <x:v>大2.5（参考水位约0.95；低于0.80不进）</x:v>
      </x:c>
      <x:c r="H852" s="65" t="str">
        <x:v>小注；不加仓；若阿根廷 -1.25 低于0.80则改观察，若大2.5降至低水则放弃大小球</x:v>
      </x:c>
      <x:c r="I852" s="66" t="n">
        <x:v>46210.96210648148</x:v>
      </x:c>
      <x:c r="J852" s="65" t="str">
        <x:v>已结算</x:v>
      </x:c>
      <x:c r="K852" s="65" t="str">
        <x:v>3-2</x:v>
      </x:c>
      <x:c r="L852" s="65" t="str">
        <x:v>输半</x:v>
      </x:c>
      <x:c r="M852" s="65" t="str">
        <x:v>赢</x:v>
      </x:c>
      <x:c r="N852" s="67" t="n">
        <x:v>-0.5</x:v>
      </x:c>
      <x:c r="O852" s="67" t="n">
        <x:v>1</x:v>
      </x:c>
      <x:c r="P852" s="67" t="n">
        <x:f>IF(COUNT(N852:O852)=0,"",SUM(N852:O852))</x:f>
        <x:v>0.5</x:v>
      </x:c>
      <x:c r="Q852" s="65"/>
      <x:c r="R852" s="65" t="str">
        <x:v>赛果3-2；阿根廷 -1.25 输半；大2.5 赢。</x:v>
      </x:c>
    </x:row>
    <x:row r="853" ht="38" customHeight="1">
      <x:c r="A853" s="65" t="str">
        <x:f>IF(B853="","",TEXT(B853,"yyyy-mm-dd")&amp;"|"&amp;D853&amp;"|"&amp;E853)</x:f>
        <x:v>2026-07-07|美国|比利时</x:v>
      </x:c>
      <x:c r="B853" s="66" t="n">
        <x:v>46210.333333333336</x:v>
      </x:c>
      <x:c r="C853" s="65" t="str">
        <x:v>国际足联世界杯</x:v>
      </x:c>
      <x:c r="D853" s="65" t="str">
        <x:v>美国</x:v>
      </x:c>
      <x:c r="E853" s="65" t="str">
        <x:v>比利时</x:v>
      </x:c>
      <x:c r="F853" s="65" t="str">
        <x:v>美国 平手盘（AH 0，水位约0.95；低于0.80不进）</x:v>
      </x:c>
      <x:c r="G853" s="65" t="str">
        <x:v>大2.75（仅限水位≥0.85；大2.5低水不进）</x:v>
      </x:c>
      <x:c r="H853" s="65" t="str">
        <x:v>小注；可选美国晋级，不加仓；若大2.75临场低于0.80则放弃大小球</x:v>
      </x:c>
      <x:c r="I853" s="66" t="n">
        <x:v>46210.320381944446</x:v>
      </x:c>
      <x:c r="J853" s="65" t="str">
        <x:v>已结算</x:v>
      </x:c>
      <x:c r="K853" s="65" t="str">
        <x:v>1-4</x:v>
      </x:c>
      <x:c r="L853" s="65" t="str">
        <x:v>输</x:v>
      </x:c>
      <x:c r="M853" s="65" t="str">
        <x:v>赢</x:v>
      </x:c>
      <x:c r="N853" s="67" t="n">
        <x:v>-1</x:v>
      </x:c>
      <x:c r="O853" s="67" t="n">
        <x:v>1</x:v>
      </x:c>
      <x:c r="P853" s="67" t="n">
        <x:f>IF(COUNT(N853:O853)=0,"",SUM(N853:O853))</x:f>
        <x:v>0</x:v>
      </x:c>
      <x:c r="Q853" s="65"/>
      <x:c r="R853" s="65" t="str">
        <x:v>赛果1-4；美国 0（平手/DNB）输；大2.75 赢。</x:v>
      </x:c>
    </x:row>
    <x:row r="854" ht="38" customHeight="1">
      <x:c r="A854" s="65" t="str">
        <x:f>IF(B854="","",TEXT(B854,"yyyy-mm-dd")&amp;"|"&amp;D854&amp;"|"&amp;E854)</x:f>
        <x:v>2026-07-07|葡萄牙|西班牙</x:v>
      </x:c>
      <x:c r="B854" s="66" t="n">
        <x:v>46210.125</x:v>
      </x:c>
      <x:c r="C854" s="65" t="str">
        <x:v>国际足联世界杯</x:v>
      </x:c>
      <x:c r="D854" s="65" t="str">
        <x:v>葡萄牙</x:v>
      </x:c>
      <x:c r="E854" s="65" t="str">
        <x:v>西班牙</x:v>
      </x:c>
      <x:c r="F854" s="65" t="str">
        <x:v>葡萄牙 +0.5（亚洲让球，约1.93；低于0.80不进单）</x:v>
      </x:c>
      <x:c r="G854" s="65" t="str">
        <x:v>小于2.5球（约1.98-2.02；低于0.80不进单）</x:v>
      </x:c>
      <x:c r="H854" s="65" t="str">
        <x:v>不加仓；比分倾向0-0/1-1；葡萄牙+0.25若高水可小注，西班牙-0.5不追，BTTS Yes低水不进单</x:v>
      </x:c>
      <x:c r="I854" s="66" t="n">
        <x:v>46210.18268518519</x:v>
      </x:c>
      <x:c r="J854" s="65" t="str">
        <x:v>已结算</x:v>
      </x:c>
      <x:c r="K854" s="65" t="str">
        <x:v>0-1</x:v>
      </x:c>
      <x:c r="L854" s="65" t="str">
        <x:v>输</x:v>
      </x:c>
      <x:c r="M854" s="65" t="str">
        <x:v>赢</x:v>
      </x:c>
      <x:c r="N854" s="67" t="n">
        <x:v>-1</x:v>
      </x:c>
      <x:c r="O854" s="67" t="n">
        <x:v>1</x:v>
      </x:c>
      <x:c r="P854" s="67" t="n">
        <x:f>IF(COUNT(N854:O854)=0,"",SUM(N854:O854))</x:f>
        <x:v>0</x:v>
      </x:c>
      <x:c r="Q854" s="65"/>
      <x:c r="R854" s="65" t="str">
        <x:v>赛果0-1；葡萄牙 +0.5 输；小于2.5球 赢。</x:v>
      </x:c>
    </x:row>
    <x:row r="855" ht="38" customHeight="1">
      <x:c r="A855" s="65" t="str">
        <x:f>IF(B855="","",TEXT(B855,"yyyy-mm-dd")&amp;"|"&amp;D855&amp;"|"&amp;E855)</x:f>
        <x:v>2026-07-07|布洛马波卡纳（IF Brommapojkarna）|哥德堡盖斯（GAIS）</x:v>
      </x:c>
      <x:c r="B855" s="66" t="n">
        <x:v>46210.041666666664</x:v>
      </x:c>
      <x:c r="C855" s="65" t="str">
        <x:v>瑞典超级联赛</x:v>
      </x:c>
      <x:c r="D855" s="65" t="str">
        <x:v>布洛马波卡纳（IF Brommapojkarna）</x:v>
      </x:c>
      <x:c r="E855" s="65" t="str">
        <x:v>哥德堡盖斯（GAIS）</x:v>
      </x:c>
      <x:c r="F855" s="65" t="str">
        <x:v>布洛马波卡纳 +0.25（亚洲让球，约1.88；低于0.80不进单）</x:v>
      </x:c>
      <x:c r="G855" s="65" t="str">
        <x:v>大于2.5球（约1.90-1.92；低于0.80不进单）</x:v>
      </x:c>
      <x:c r="H855" s="65" t="str">
        <x:v>不加仓；比分倾向1-1/2-1/2-2；GAIS -0.25若只有1.74低水不进单，高水客胜只作观察</x:v>
      </x:c>
      <x:c r="I855" s="66" t="n">
        <x:v>46209.9530787037</x:v>
      </x:c>
      <x:c r="J855" s="65" t="str">
        <x:v>已结算</x:v>
      </x:c>
      <x:c r="K855" s="65" t="str">
        <x:v>1-1</x:v>
      </x:c>
      <x:c r="L855" s="65" t="str">
        <x:v>赢半</x:v>
      </x:c>
      <x:c r="M855" s="65" t="str">
        <x:v>输</x:v>
      </x:c>
      <x:c r="N855" s="67" t="n">
        <x:v>0.5</x:v>
      </x:c>
      <x:c r="O855" s="67" t="n">
        <x:v>-1</x:v>
      </x:c>
      <x:c r="P855" s="67" t="n">
        <x:f>IF(COUNT(N855:O855)=0,"",SUM(N855:O855))</x:f>
        <x:v>-0.5</x:v>
      </x:c>
      <x:c r="Q855" s="65"/>
      <x:c r="R855" s="65" t="str">
        <x:v>赛果1-1；布洛马波卡纳 +0.25 赢半；大于2.5球 输。</x:v>
      </x:c>
    </x:row>
    <x:row r="856" ht="38" customHeight="1">
      <x:c r="A856" s="65" t="str">
        <x:f>IF(B856="","",TEXT(B856,"yyyy-mm-dd")&amp;"|"&amp;D856&amp;"|"&amp;E856)</x:f>
        <x:v>2026-07-07|赫根（BK Häcken）|尤尔加登（Djurgårdens IF）</x:v>
      </x:c>
      <x:c r="B856" s="66" t="n">
        <x:v>46210.041666666664</x:v>
      </x:c>
      <x:c r="C856" s="65" t="str">
        <x:v>瑞典超级联赛</x:v>
      </x:c>
      <x:c r="D856" s="65" t="str">
        <x:v>赫根（BK Häcken）</x:v>
      </x:c>
      <x:c r="E856" s="65" t="str">
        <x:v>尤尔加登（Djurgårdens IF）</x:v>
      </x:c>
      <x:c r="F856" s="65" t="str">
        <x:v>赫根 -0.25（亚洲让球，约2.02；低于0.80不进单）</x:v>
      </x:c>
      <x:c r="G856" s="65" t="str">
        <x:v>赫根队进球数大于1.5（球队进球数，约1.86；传统大2.5低水不进单）</x:v>
      </x:c>
      <x:c r="H856" s="65" t="str">
        <x:v>不加仓；比分倾向2-1/3-2；尤尔加登+0.25低水不进单，大3.5约2.22只小注观察</x:v>
      </x:c>
      <x:c r="I856" s="66" t="n">
        <x:v>46209.81585648148</x:v>
      </x:c>
      <x:c r="J856" s="65" t="str">
        <x:v>已结算</x:v>
      </x:c>
      <x:c r="K856" s="65" t="str">
        <x:v>2-4</x:v>
      </x:c>
      <x:c r="L856" s="65" t="str">
        <x:v>输</x:v>
      </x:c>
      <x:c r="M856" s="65" t="str">
        <x:v>赢</x:v>
      </x:c>
      <x:c r="N856" s="67" t="n">
        <x:v>-1</x:v>
      </x:c>
      <x:c r="O856" s="67" t="n">
        <x:v>1</x:v>
      </x:c>
      <x:c r="P856" s="67" t="n">
        <x:f>IF(COUNT(N856:O856)=0,"",SUM(N856:O856))</x:f>
        <x:v>0</x:v>
      </x:c>
      <x:c r="Q856" s="65"/>
      <x:c r="R856" s="65" t="str">
        <x:v>赛果2-4；赫根 -0.25 输；赫根队进球数大于1.5 赢。</x:v>
      </x:c>
    </x:row>
    <x:row r="857" ht="38" customHeight="1">
      <x:c r="A857" s="65" t="str">
        <x:f>IF(B857="","",TEXT(B857,"yyyy-mm-dd")&amp;"|"&amp;D857&amp;"|"&amp;E857)</x:f>
        <x:v>2026-07-06|墨西哥|英格兰</x:v>
      </x:c>
      <x:c r="B857" s="66" t="n">
        <x:v>46209.333333333336</x:v>
      </x:c>
      <x:c r="C857" s="65" t="str">
        <x:v>国际足联世界杯</x:v>
      </x:c>
      <x:c r="D857" s="65" t="str">
        <x:v>墨西哥</x:v>
      </x:c>
      <x:c r="E857" s="65" t="str">
        <x:v>英格兰</x:v>
      </x:c>
      <x:c r="F857" s="65" t="str">
        <x:v>墨西哥 +0.25（亚洲让球，约1.84-1.85；若只剩1.74低水不进单）</x:v>
      </x:c>
      <x:c r="G857" s="65" t="str">
        <x:v>双方进球：是（BTTS Yes，约1.93；传统小2.5低水不进单；大2.25约2.10可小注替代）</x:v>
      </x:c>
      <x:c r="H857" s="65" t="str">
        <x:v>不加仓；比分倾向1-1/2-1；墨西哥平手盘约2.05可小注替代；英格兰-0.25不追</x:v>
      </x:c>
      <x:c r="I857" s="66" t="n">
        <x:v>46209.294907407406</x:v>
      </x:c>
      <x:c r="J857" s="65" t="str">
        <x:v>已结算</x:v>
      </x:c>
      <x:c r="K857" s="65" t="str">
        <x:v>2-3</x:v>
      </x:c>
      <x:c r="L857" s="65" t="str">
        <x:v>输</x:v>
      </x:c>
      <x:c r="M857" s="65" t="str">
        <x:v>赢</x:v>
      </x:c>
      <x:c r="N857" s="67" t="n">
        <x:v>-1</x:v>
      </x:c>
      <x:c r="O857" s="67" t="n">
        <x:v>1</x:v>
      </x:c>
      <x:c r="P857" s="67" t="n">
        <x:f>IF(COUNT(N857:O857)=0,"",SUM(N857:O857))</x:f>
        <x:v>0</x:v>
      </x:c>
      <x:c r="Q857" s="65"/>
      <x:c r="R857" s="65" t="str">
        <x:v>赛果2-3；墨西哥 +0.25 输；双方进球：是 赢。</x:v>
      </x:c>
    </x:row>
    <x:row r="858" ht="38" customHeight="1">
      <x:c r="A858" s="65" t="str">
        <x:f>IF(B858="","",TEXT(B858,"yyyy-mm-dd")&amp;"|"&amp;D858&amp;"|"&amp;E858)</x:f>
        <x:v>2026-07-05|埃尔夫斯堡（IF Elfsborg）|哈马比（Hammarby IF）</x:v>
      </x:c>
      <x:c r="B858" s="66" t="n">
        <x:v>46208.9375</x:v>
      </x:c>
      <x:c r="C858" s="65" t="str">
        <x:v>瑞典超级联赛</x:v>
      </x:c>
      <x:c r="D858" s="65" t="str">
        <x:v>埃尔夫斯堡（IF Elfsborg）</x:v>
      </x:c>
      <x:c r="E858" s="65" t="str">
        <x:v>哈马比（Hammarby IF）</x:v>
      </x:c>
      <x:c r="F858" s="65" t="str">
        <x:v>埃尔夫斯堡 +0.5（亚洲让球，约1.89-1.95；低于0.80不进单）</x:v>
      </x:c>
      <x:c r="G858" s="65" t="str">
        <x:v>小于2.75球（亚洲大小球，约1.83；低于0.80不进单；小2.5高水只小注）</x:v>
      </x:c>
      <x:c r="H858" s="65" t="str">
        <x:v>不加仓；比分倾向1-1/1-0；哈马比-0.5低水不追，埃尔夫斯堡+0.25高水可小注替代</x:v>
      </x:c>
      <x:c r="I858" s="66" t="n">
        <x:v>46208.92047453704</x:v>
      </x:c>
      <x:c r="J858" s="65" t="str">
        <x:v>已结算</x:v>
      </x:c>
      <x:c r="K858" s="65" t="str">
        <x:v>1-2</x:v>
      </x:c>
      <x:c r="L858" s="65" t="str">
        <x:v>输</x:v>
      </x:c>
      <x:c r="M858" s="65" t="str">
        <x:v>输半</x:v>
      </x:c>
      <x:c r="N858" s="67" t="n">
        <x:v>-1</x:v>
      </x:c>
      <x:c r="O858" s="67" t="n">
        <x:v>-0.5</x:v>
      </x:c>
      <x:c r="P858" s="67" t="n">
        <x:f>IF(COUNT(N858:O858)=0,"",SUM(N858:O858))</x:f>
        <x:v>-1.5</x:v>
      </x:c>
      <x:c r="Q858" s="65"/>
      <x:c r="R858" s="65" t="str">
        <x:v>赛果1-2；埃尔夫斯堡 +0.5 输；小于2.75球 输半。</x:v>
      </x:c>
    </x:row>
    <x:row r="859" ht="38" customHeight="1">
      <x:c r="A859" s="65" t="str">
        <x:f>IF(B859="","",TEXT(B859,"yyyy-mm-dd")&amp;"|"&amp;D859&amp;"|"&amp;E859)</x:f>
        <x:v>2026-07-05|洛克达尔伊林登（Rockdale Ilinden）|北西悉尼精神（NWS Spirit FC）</x:v>
      </x:c>
      <x:c r="B859" s="66" t="n">
        <x:v>46208.541666666664</x:v>
      </x:c>
      <x:c r="C859" s="65" t="str">
        <x:v>澳大利亚新南威尔士州超级联赛（NPL NSW）</x:v>
      </x:c>
      <x:c r="D859" s="65" t="str">
        <x:v>洛克达尔伊林登（Rockdale Ilinden）</x:v>
      </x:c>
      <x:c r="E859" s="65" t="str">
        <x:v>北西悉尼精神（NWS Spirit FC）</x:v>
      </x:c>
      <x:c r="F859" s="65" t="str">
        <x:v>洛克达尔伊林登 -0.5（亚洲让球，约1.90-2.08；低于0.80不进单）</x:v>
      </x:c>
      <x:c r="G859" s="65" t="str">
        <x:v>小于2.75球（亚洲大小球，约1.80-1.95；低于0.80不进单）</x:v>
      </x:c>
      <x:c r="H859" s="65" t="str">
        <x:v>不加仓；比分倾向1-0/2-0/2-1；洛克达尔-0.25低水不进单，NWS Spirit +0.25高水只作反向风险观察</x:v>
      </x:c>
      <x:c r="I859" s="66" t="n">
        <x:v>46208.471817129626</x:v>
      </x:c>
      <x:c r="J859" s="65" t="str">
        <x:v>已结算</x:v>
      </x:c>
      <x:c r="K859" s="65" t="str">
        <x:v>1-1</x:v>
      </x:c>
      <x:c r="L859" s="65" t="str">
        <x:v>输</x:v>
      </x:c>
      <x:c r="M859" s="65" t="str">
        <x:v>赢</x:v>
      </x:c>
      <x:c r="N859" s="67" t="n">
        <x:v>-1</x:v>
      </x:c>
      <x:c r="O859" s="67" t="n">
        <x:v>1</x:v>
      </x:c>
      <x:c r="P859" s="67" t="n">
        <x:f>IF(COUNT(N859:O859)=0,"",SUM(N859:O859))</x:f>
        <x:v>0</x:v>
      </x:c>
      <x:c r="Q859" s="65"/>
      <x:c r="R859" s="65" t="str">
        <x:v>赛果1-1；洛克达尔伊林登 -0.5 输；小于2.75球 赢。</x:v>
      </x:c>
    </x:row>
    <x:row r="860" ht="38" customHeight="1">
      <x:c r="A860" s="65" t="str">
        <x:f>IF(B860="","",TEXT(B860,"yyyy-mm-dd")&amp;"|"&amp;D860&amp;"|"&amp;E860)</x:f>
        <x:v>2026-07-05|黑镇市（Blacktown City FC）|悉尼联58（Sydney United 58 FC）</x:v>
      </x:c>
      <x:c r="B860" s="66" t="n">
        <x:v>46208.541666666664</x:v>
      </x:c>
      <x:c r="C860" s="65" t="str">
        <x:v>澳大利亚新南威尔士州超级联赛（NPL NSW）</x:v>
      </x:c>
      <x:c r="D860" s="65" t="str">
        <x:v>黑镇市（Blacktown City FC）</x:v>
      </x:c>
      <x:c r="E860" s="65" t="str">
        <x:v>悉尼联58（Sydney United 58 FC）</x:v>
      </x:c>
      <x:c r="F860" s="65" t="str">
        <x:v>悉尼联58 -0.5（亚洲让球，约1.85-2.00；低于0.80不进单）</x:v>
      </x:c>
      <x:c r="G860" s="65" t="str">
        <x:v>小于2.75球（亚洲大小球，约1.80-1.81；若小2.5约1.93-2.00可小注，低于0.80不进单）</x:v>
      </x:c>
      <x:c r="H860" s="65" t="str">
        <x:v>不加仓；比分倾向0-1/0-2/1-2；悉尼联-0.25低水不做主推，客队若临场轮换过大则降级小注</x:v>
      </x:c>
      <x:c r="I860" s="66" t="n">
        <x:v>46208.39230324074</x:v>
      </x:c>
      <x:c r="J860" s="65" t="str">
        <x:v>已结算</x:v>
      </x:c>
      <x:c r="K860" s="65" t="str">
        <x:v>0-0</x:v>
      </x:c>
      <x:c r="L860" s="65" t="str">
        <x:v>输</x:v>
      </x:c>
      <x:c r="M860" s="65" t="str">
        <x:v>赢</x:v>
      </x:c>
      <x:c r="N860" s="67" t="n">
        <x:v>-1</x:v>
      </x:c>
      <x:c r="O860" s="67" t="n">
        <x:v>1</x:v>
      </x:c>
      <x:c r="P860" s="67" t="n">
        <x:f>IF(COUNT(N860:O860)=0,"",SUM(N860:O860))</x:f>
        <x:v>0</x:v>
      </x:c>
      <x:c r="Q860" s="65"/>
      <x:c r="R860" s="65" t="str">
        <x:v>赛果0-0；悉尼联58 -0.5 输；小于2.75球 赢。</x:v>
      </x:c>
    </x:row>
    <x:row r="861" ht="38" customHeight="1">
      <x:c r="A861" s="65" t="str">
        <x:f>IF(B861="","",TEXT(B861,"yyyy-mm-dd")&amp;"|"&amp;D861&amp;"|"&amp;E861)</x:f>
        <x:v>2026-07-05|马可尼（Marconi Stallions）|FC圣乔治（St George Saints）</x:v>
      </x:c>
      <x:c r="B861" s="66" t="n">
        <x:v>46208.541666666664</x:v>
      </x:c>
      <x:c r="C861" s="65" t="str">
        <x:v>澳大利亚新南威尔士州超级联赛（NPL NSW）</x:v>
      </x:c>
      <x:c r="D861" s="65" t="str">
        <x:v>马可尼（Marconi Stallions）</x:v>
      </x:c>
      <x:c r="E861" s="65" t="str">
        <x:v>FC圣乔治（St George Saints）</x:v>
      </x:c>
      <x:c r="F861" s="65" t="str">
        <x:v>马可尼 -1.25（亚洲让球，约1.90；低于0.80不进单）</x:v>
      </x:c>
      <x:c r="G861" s="65" t="str">
        <x:v>小于3球（亚洲大小球，约1.80-1.83；低于0.80不进单）</x:v>
      </x:c>
      <x:c r="H861" s="65" t="str">
        <x:v>不加仓；比分倾向2-0/2-1；马可尼-1低水不进单，-1.5高水只小注；小2.75高水可替代</x:v>
      </x:c>
      <x:c r="I861" s="66" t="n">
        <x:v>46208.37548611111</x:v>
      </x:c>
      <x:c r="J861" s="65" t="str">
        <x:v>已结算</x:v>
      </x:c>
      <x:c r="K861" s="65" t="str">
        <x:v>2-0</x:v>
      </x:c>
      <x:c r="L861" s="65" t="str">
        <x:v>赢</x:v>
      </x:c>
      <x:c r="M861" s="65" t="str">
        <x:v>赢</x:v>
      </x:c>
      <x:c r="N861" s="67" t="n">
        <x:v>1</x:v>
      </x:c>
      <x:c r="O861" s="67" t="n">
        <x:v>1</x:v>
      </x:c>
      <x:c r="P861" s="67" t="n">
        <x:f>IF(COUNT(N861:O861)=0,"",SUM(N861:O861))</x:f>
        <x:v>2</x:v>
      </x:c>
      <x:c r="Q861" s="65"/>
      <x:c r="R861" s="65" t="str">
        <x:v>赛果2-0；马可尼 -1.25 赢；小于3球 赢。</x:v>
      </x:c>
    </x:row>
    <x:row r="862" ht="38" customHeight="1">
      <x:c r="A862" s="65" t="str">
        <x:f>IF(B862="","",TEXT(B862,"yyyy-mm-dd")&amp;"|"&amp;D862&amp;"|"&amp;E862)</x:f>
        <x:v>2026-07-05|拉斯维加斯光（Las Vegas Lights FC）|埃尔帕索机车（El Paso Locomotive FC）</x:v>
      </x:c>
      <x:c r="B862" s="66" t="n">
        <x:v>46208.4375</x:v>
      </x:c>
      <x:c r="C862" s="65" t="str">
        <x:v>美国足球冠军联赛（USL Championship）</x:v>
      </x:c>
      <x:c r="D862" s="65" t="str">
        <x:v>拉斯维加斯光（Las Vegas Lights FC）</x:v>
      </x:c>
      <x:c r="E862" s="65" t="str">
        <x:v>埃尔帕索机车（El Paso Locomotive FC）</x:v>
      </x:c>
      <x:c r="F862" s="65" t="str">
        <x:v>埃尔帕索机车 0（亚洲平手盘，约1.95；低于0.80不进单）</x:v>
      </x:c>
      <x:c r="G862" s="65" t="str">
        <x:v>小于2.75球（亚洲大小球，约1.97；大2.75低水不追）</x:v>
      </x:c>
      <x:c r="H862" s="65" t="str">
        <x:v>不加仓；比分倾向0-1/1-1/1-2；埃尔帕索-0.25若低于0.80不进单，拉斯维加斯+0.25低水只观察</x:v>
      </x:c>
      <x:c r="I862" s="66" t="n">
        <x:v>46208.91758101852</x:v>
      </x:c>
      <x:c r="J862" s="65" t="str">
        <x:v>已结算</x:v>
      </x:c>
      <x:c r="K862" s="65" t="str">
        <x:v>1-2</x:v>
      </x:c>
      <x:c r="L862" s="65" t="str">
        <x:v>赢</x:v>
      </x:c>
      <x:c r="M862" s="65" t="str">
        <x:v>输半</x:v>
      </x:c>
      <x:c r="N862" s="67" t="n">
        <x:v>1</x:v>
      </x:c>
      <x:c r="O862" s="67" t="n">
        <x:v>-0.5</x:v>
      </x:c>
      <x:c r="P862" s="67" t="n">
        <x:f>IF(COUNT(N862:O862)=0,"",SUM(N862:O862))</x:f>
        <x:v>0.5</x:v>
      </x:c>
      <x:c r="Q862" s="65"/>
      <x:c r="R862" s="65" t="str">
        <x:v>赛果1-2；埃尔帕索机车 0（平手/DNB）赢；小于2.75球 输半。</x:v>
      </x:c>
    </x:row>
    <x:row r="863" ht="38" customHeight="1">
      <x:c r="A863" s="65" t="str">
        <x:f>IF(B863="","",TEXT(B863,"yyyy-mm-dd")&amp;"|"&amp;D863&amp;"|"&amp;E863)</x:f>
        <x:v>2026-07-05|科罗拉多跃泉（Colorado Springs Switchbacks FC）|凤凰重生（Phoenix Rising FC）</x:v>
      </x:c>
      <x:c r="B863" s="66" t="n">
        <x:v>46208.375</x:v>
      </x:c>
      <x:c r="C863" s="65" t="str">
        <x:v>美国足球冠军联赛（USL Championship）</x:v>
      </x:c>
      <x:c r="D863" s="65" t="str">
        <x:v>科罗拉多跃泉（Colorado Springs Switchbacks FC）</x:v>
      </x:c>
      <x:c r="E863" s="65" t="str">
        <x:v>凤凰重生（Phoenix Rising FC）</x:v>
      </x:c>
      <x:c r="F863" s="65" t="str">
        <x:v>凤凰重生 +0.5（亚洲让球，约2.08-2.10；低于0.80不进单）</x:v>
      </x:c>
      <x:c r="G863" s="65" t="str">
        <x:v>小于2.75球（亚洲大小球，约1.98；常规大2.5低水不进单）</x:v>
      </x:c>
      <x:c r="H863" s="65" t="str">
        <x:v>不加仓；比分倾向1-1/1-2；凤凰+0.25高水可小注替代，科罗拉多-0.5低水不进单</x:v>
      </x:c>
      <x:c r="I863" s="66" t="n">
        <x:v>46208.33850694444</x:v>
      </x:c>
      <x:c r="J863" s="65" t="str">
        <x:v>已结算</x:v>
      </x:c>
      <x:c r="K863" s="65" t="str">
        <x:v>3-1</x:v>
      </x:c>
      <x:c r="L863" s="65" t="str">
        <x:v>输</x:v>
      </x:c>
      <x:c r="M863" s="65" t="str">
        <x:v>输</x:v>
      </x:c>
      <x:c r="N863" s="67" t="n">
        <x:v>-1</x:v>
      </x:c>
      <x:c r="O863" s="67" t="n">
        <x:v>-1</x:v>
      </x:c>
      <x:c r="P863" s="67" t="n">
        <x:f>IF(COUNT(N863:O863)=0,"",SUM(N863:O863))</x:f>
        <x:v>-2</x:v>
      </x:c>
      <x:c r="Q863" s="65"/>
      <x:c r="R863" s="65" t="str">
        <x:v>赛果3-1；凤凰重生 +0.5 输；小于2.75球 输。</x:v>
      </x:c>
    </x:row>
    <x:row r="864" ht="38" customHeight="1">
      <x:c r="A864" s="65" t="str">
        <x:f>IF(B864="","",TEXT(B864,"yyyy-mm-dd")&amp;"|"&amp;D864&amp;"|"&amp;E864)</x:f>
        <x:v>2026-07-05|巴拉圭|法国</x:v>
      </x:c>
      <x:c r="B864" s="66" t="n">
        <x:v>46208.208333333336</x:v>
      </x:c>
      <x:c r="C864" s="65" t="str">
        <x:v>国际足联世界杯</x:v>
      </x:c>
      <x:c r="D864" s="65" t="str">
        <x:v>巴拉圭</x:v>
      </x:c>
      <x:c r="E864" s="65" t="str">
        <x:v>法国</x:v>
      </x:c>
      <x:c r="F864" s="65" t="str">
        <x:v>法国 -2（亚洲让球，约1.97，2球走水；低于0.80不进单）</x:v>
      </x:c>
      <x:c r="G864" s="65" t="str">
        <x:v>法国队进球数大于2.5（球队进球数，约2.02；常规大2.5低水不进单）</x:v>
      </x:c>
      <x:c r="H864" s="65" t="str">
        <x:v>不加仓；比分倾向0-2/0-3；法国-1.5低水不进单，-1.75若约1.85可替代；高温风险降仓</x:v>
      </x:c>
      <x:c r="I864" s="66" t="n">
        <x:v>46207.90908564815</x:v>
      </x:c>
      <x:c r="J864" s="65" t="str">
        <x:v>已结算</x:v>
      </x:c>
      <x:c r="K864" s="65" t="str">
        <x:v>0-1</x:v>
      </x:c>
      <x:c r="L864" s="65" t="str">
        <x:v>输</x:v>
      </x:c>
      <x:c r="M864" s="65" t="str">
        <x:v>输</x:v>
      </x:c>
      <x:c r="N864" s="67" t="n">
        <x:v>-1</x:v>
      </x:c>
      <x:c r="O864" s="67" t="n">
        <x:v>-1</x:v>
      </x:c>
      <x:c r="P864" s="67" t="n">
        <x:f>IF(COUNT(N864:O864)=0,"",SUM(N864:O864))</x:f>
        <x:v>-2</x:v>
      </x:c>
      <x:c r="Q864" s="65"/>
      <x:c r="R864" s="65" t="str">
        <x:v>赛果0-1；法国 -2 输；法国队进球数大于2.5 输。</x:v>
      </x:c>
    </x:row>
    <x:row r="865" ht="38" customHeight="1">
      <x:c r="A865" s="65" t="str">
        <x:f>IF(B865="","",TEXT(B865,"yyyy-mm-dd")&amp;"|"&amp;D865&amp;"|"&amp;E865)</x:f>
        <x:v>2026-07-05|加拿大|摩洛哥</x:v>
      </x:c>
      <x:c r="B865" s="66" t="n">
        <x:v>46208.041666666664</x:v>
      </x:c>
      <x:c r="C865" s="65" t="str">
        <x:v>国际足联世界杯</x:v>
      </x:c>
      <x:c r="D865" s="65" t="str">
        <x:v>加拿大</x:v>
      </x:c>
      <x:c r="E865" s="65" t="str">
        <x:v>摩洛哥</x:v>
      </x:c>
      <x:c r="F865" s="65" t="str">
        <x:v>摩洛哥 -0.75（亚洲让球，约1.96-1.98；低于0.80不进单）</x:v>
      </x:c>
      <x:c r="G865" s="65" t="str">
        <x:v>小于2.25球（亚洲大小球，约1.94；若只能拿到小2.5低水则放弃）</x:v>
      </x:c>
      <x:c r="H865" s="65" t="str">
        <x:v>不加仓；比分倾向0-1/0-2；摩洛哥-1若水位合格只小注，-1.25不做主推</x:v>
      </x:c>
      <x:c r="I865" s="66" t="n">
        <x:v>46207.904016203705</x:v>
      </x:c>
      <x:c r="J865" s="65" t="str">
        <x:v>已结算</x:v>
      </x:c>
      <x:c r="K865" s="65" t="str">
        <x:v>0-3</x:v>
      </x:c>
      <x:c r="L865" s="65" t="str">
        <x:v>赢</x:v>
      </x:c>
      <x:c r="M865" s="65" t="str">
        <x:v>输</x:v>
      </x:c>
      <x:c r="N865" s="67" t="n">
        <x:v>1</x:v>
      </x:c>
      <x:c r="O865" s="67" t="n">
        <x:v>-1</x:v>
      </x:c>
      <x:c r="P865" s="67" t="n">
        <x:f>IF(COUNT(N865:O865)=0,"",SUM(N865:O865))</x:f>
        <x:v>0</x:v>
      </x:c>
      <x:c r="Q865" s="65"/>
      <x:c r="R865" s="65" t="str">
        <x:v>赛果0-3；摩洛哥 -0.75 赢；小于2.25球 输。</x:v>
      </x:c>
    </x:row>
    <x:row r="866" ht="38" customHeight="1">
      <x:c r="A866" s="65" t="str">
        <x:f>IF(B866="","",TEXT(B866,"yyyy-mm-dd")&amp;"|"&amp;D866&amp;"|"&amp;E866)</x:f>
        <x:v>2026-07-04|赛那乔其（SJK）|TPS图尔库（Turun Palloseura）</x:v>
      </x:c>
      <x:c r="B866" s="66" t="n">
        <x:v>46207.916666666664</x:v>
      </x:c>
      <x:c r="C866" s="65" t="str">
        <x:v>芬兰超级联赛（Veikkausliiga）</x:v>
      </x:c>
      <x:c r="D866" s="65" t="str">
        <x:v>赛那乔其（SJK）</x:v>
      </x:c>
      <x:c r="E866" s="65" t="str">
        <x:v>TPS图尔库（Turun Palloseura）</x:v>
      </x:c>
      <x:c r="F866" s="65" t="str">
        <x:v>TPS图尔库 +0.75（亚洲让球，约1.98；低于0.80不进单）</x:v>
      </x:c>
      <x:c r="G866" s="65" t="str">
        <x:v>小于3球（亚洲大小球，约1.80；若小2.75约1.96只小注；低于0.80不进单）</x:v>
      </x:c>
      <x:c r="H866" s="65" t="str">
        <x:v>不加仓；比分倾向1-1/2-1；SJK-0.75不追，TPS+1若低于0.80不进单</x:v>
      </x:c>
      <x:c r="I866" s="66" t="n">
        <x:v>46207.8884375</x:v>
      </x:c>
      <x:c r="J866" s="65" t="str">
        <x:v>已结算</x:v>
      </x:c>
      <x:c r="K866" s="65" t="str">
        <x:v>3-1</x:v>
      </x:c>
      <x:c r="L866" s="65" t="str">
        <x:v>输</x:v>
      </x:c>
      <x:c r="M866" s="65" t="str">
        <x:v>输</x:v>
      </x:c>
      <x:c r="N866" s="67" t="n">
        <x:v>-1</x:v>
      </x:c>
      <x:c r="O866" s="67" t="n">
        <x:v>-1</x:v>
      </x:c>
      <x:c r="P866" s="67" t="n">
        <x:f>IF(COUNT(N866:O866)=0,"",SUM(N866:O866))</x:f>
        <x:v>-2</x:v>
      </x:c>
      <x:c r="Q866" s="65"/>
      <x:c r="R866" s="65" t="str">
        <x:v>赛果3-1；TPS图尔库 +0.75 输；小于3球 输。</x:v>
      </x:c>
    </x:row>
    <x:row r="867" ht="38" customHeight="1">
      <x:c r="A867" s="65" t="str">
        <x:f>IF(B867="","",TEXT(B867,"yyyy-mm-dd")&amp;"|"&amp;D867&amp;"|"&amp;E867)</x:f>
        <x:v>2026-07-04|查路（FF Jaro）|埃尔维斯（Ilves）</x:v>
      </x:c>
      <x:c r="B867" s="66" t="n">
        <x:v>46207.916666666664</x:v>
      </x:c>
      <x:c r="C867" s="65" t="str">
        <x:v>芬兰超级联赛（Veikkausliiga）</x:v>
      </x:c>
      <x:c r="D867" s="65" t="str">
        <x:v>查路（FF Jaro）</x:v>
      </x:c>
      <x:c r="E867" s="65" t="str">
        <x:v>埃尔维斯（Ilves）</x:v>
      </x:c>
      <x:c r="F867" s="65" t="str">
        <x:v>埃尔维斯 -0.5（亚洲让球，约1.88-1.92；低于0.80不进单）</x:v>
      </x:c>
      <x:c r="G867" s="65" t="str">
        <x:v>大于3球（亚洲大小球，约1.92-2.00，3球走水；低于0.80不进单）</x:v>
      </x:c>
      <x:c r="H867" s="65" t="str">
        <x:v>不加仓；比分倾向1-2/1-3/2-3；若只能拿到大2.5低水不进单，埃尔维斯-0.25低水只观察</x:v>
      </x:c>
      <x:c r="I867" s="66" t="n">
        <x:v>46207.884039351855</x:v>
      </x:c>
      <x:c r="J867" s="65" t="str">
        <x:v>已结算</x:v>
      </x:c>
      <x:c r="K867" s="65" t="str">
        <x:v>2-1</x:v>
      </x:c>
      <x:c r="L867" s="65" t="str">
        <x:v>输</x:v>
      </x:c>
      <x:c r="M867" s="65" t="str">
        <x:v>走水</x:v>
      </x:c>
      <x:c r="N867" s="67" t="n">
        <x:v>-1</x:v>
      </x:c>
      <x:c r="O867" s="67" t="n">
        <x:v>0</x:v>
      </x:c>
      <x:c r="P867" s="67" t="n">
        <x:f>IF(COUNT(N867:O867)=0,"",SUM(N867:O867))</x:f>
        <x:v>-1</x:v>
      </x:c>
      <x:c r="Q867" s="65"/>
      <x:c r="R867" s="65" t="str">
        <x:v>赛果2-1；埃尔维斯 -0.5 输；大于3球 走水。</x:v>
      </x:c>
    </x:row>
    <x:row r="868" ht="38" customHeight="1">
      <x:c r="A868" s="65" t="str">
        <x:f>IF(B868="","",TEXT(B868,"yyyy-mm-dd")&amp;"|"&amp;D868&amp;"|"&amp;E868)</x:f>
        <x:v>2026-07-04|代格福什（Degerfors IF）|马尔默（Malmö FF）</x:v>
      </x:c>
      <x:c r="B868" s="66" t="n">
        <x:v>46207.875</x:v>
      </x:c>
      <x:c r="C868" s="65" t="str">
        <x:v>瑞典超级联赛（Allsvenskan）</x:v>
      </x:c>
      <x:c r="D868" s="65" t="str">
        <x:v>代格福什（Degerfors IF）</x:v>
      </x:c>
      <x:c r="E868" s="65" t="str">
        <x:v>马尔默（Malmö FF）</x:v>
      </x:c>
      <x:c r="F868" s="65" t="str">
        <x:v>代格福什 +0.25（亚洲让球，约1.96，港水约0.96；低于0.80不进单）</x:v>
      </x:c>
      <x:c r="G868" s="65" t="str">
        <x:v>小于2.5球（约1.93-2.00，港水约0.93-1.00；低于0.80不进单）</x:v>
      </x:c>
      <x:c r="H868" s="65" t="str">
        <x:v>不加仓；比分倾向1-1/1-0；马尔默-0.25约1.73低水不进单，大2.5约1.76低水不追</x:v>
      </x:c>
      <x:c r="I868" s="66" t="n">
        <x:v>46207.889444444445</x:v>
      </x:c>
      <x:c r="J868" s="65" t="str">
        <x:v>已结算</x:v>
      </x:c>
      <x:c r="K868" s="65" t="str">
        <x:v>0-1</x:v>
      </x:c>
      <x:c r="L868" s="65" t="str">
        <x:v>输</x:v>
      </x:c>
      <x:c r="M868" s="65" t="str">
        <x:v>赢</x:v>
      </x:c>
      <x:c r="N868" s="67" t="n">
        <x:v>-1</x:v>
      </x:c>
      <x:c r="O868" s="67" t="n">
        <x:v>1</x:v>
      </x:c>
      <x:c r="P868" s="67" t="n">
        <x:f>IF(COUNT(N868:O868)=0,"",SUM(N868:O868))</x:f>
        <x:v>0</x:v>
      </x:c>
      <x:c r="Q868" s="65"/>
      <x:c r="R868" s="65" t="str">
        <x:v>赛果0-1；代格福什 +0.25 输；小于2.5球 赢。</x:v>
      </x:c>
    </x:row>
    <x:row r="869" ht="38" customHeight="1">
      <x:c r="A869" s="65" t="str">
        <x:f>IF(B869="","",TEXT(B869,"yyyy-mm-dd")&amp;"|"&amp;D869&amp;"|"&amp;E869)</x:f>
        <x:v>2026-07-04|拉赫迪（FC Lahti）|格尼斯坦（IF Gnistan）</x:v>
      </x:c>
      <x:c r="B869" s="66" t="n">
        <x:v>46207.833333333336</x:v>
      </x:c>
      <x:c r="C869" s="65" t="str">
        <x:v>芬兰超级联赛（Veikkausliiga）</x:v>
      </x:c>
      <x:c r="D869" s="65" t="str">
        <x:v>拉赫迪（FC Lahti）</x:v>
      </x:c>
      <x:c r="E869" s="65" t="str">
        <x:v>格尼斯坦（IF Gnistan）</x:v>
      </x:c>
      <x:c r="F869" s="65" t="str">
        <x:v>拉赫迪 -0.25（亚洲让球，约1.96，港水约0.96；低于0.80不进单）</x:v>
      </x:c>
      <x:c r="G869" s="65" t="str">
        <x:v>小于2.5球（约1.95-2.05，港水约0.95-1.05；低于0.80不进单）</x:v>
      </x:c>
      <x:c r="H869" s="65" t="str">
        <x:v>不加仓；比分倾向1-0/1-1；拉赫迪平手盘若低于0.80不进单，格尼斯坦+0.25当前低水不进单</x:v>
      </x:c>
      <x:c r="I869" s="66" t="n">
        <x:v>46207.827581018515</x:v>
      </x:c>
      <x:c r="J869" s="65" t="str">
        <x:v>已结算</x:v>
      </x:c>
      <x:c r="K869" s="65" t="str">
        <x:v>1-0</x:v>
      </x:c>
      <x:c r="L869" s="65" t="str">
        <x:v>赢</x:v>
      </x:c>
      <x:c r="M869" s="65" t="str">
        <x:v>赢</x:v>
      </x:c>
      <x:c r="N869" s="67" t="n">
        <x:v>1</x:v>
      </x:c>
      <x:c r="O869" s="67" t="n">
        <x:v>1</x:v>
      </x:c>
      <x:c r="P869" s="67" t="n">
        <x:f>IF(COUNT(N869:O869)=0,"",SUM(N869:O869))</x:f>
        <x:v>2</x:v>
      </x:c>
      <x:c r="Q869" s="65"/>
      <x:c r="R869" s="65" t="str">
        <x:v>赛果1-0；拉赫迪 -0.25 赢；小于2.5球 赢。</x:v>
      </x:c>
    </x:row>
    <x:row r="870" ht="38" customHeight="1">
      <x:c r="A870" s="65" t="str">
        <x:f>IF(B870="","",TEXT(B870,"yyyy-mm-dd")&amp;"|"&amp;D870&amp;"|"&amp;E870)</x:f>
        <x:v>2026-07-04|全北现代（Jeonbuk Hyundai Motors）|江原FC（Gangwon FC）</x:v>
      </x:c>
      <x:c r="B870" s="66" t="n">
        <x:v>46207.770833333336</x:v>
      </x:c>
      <x:c r="C870" s="65" t="str">
        <x:v>韩国K联赛1（K League 1）</x:v>
      </x:c>
      <x:c r="D870" s="65" t="str">
        <x:v>全北现代（Jeonbuk Hyundai Motors）</x:v>
      </x:c>
      <x:c r="E870" s="65" t="str">
        <x:v>江原FC（Gangwon FC）</x:v>
      </x:c>
      <x:c r="F870" s="65" t="str">
        <x:v>江原FC +0.25（亚洲让球，约1.82；低于0.80不进单）</x:v>
      </x:c>
      <x:c r="G870" s="65" t="str">
        <x:v>小于2.25球（亚洲大小球，约1.87-1.90；低于0.80不进单；若只能拿到小2.5低水则放弃）</x:v>
      </x:c>
      <x:c r="H870" s="65" t="str">
        <x:v>不加仓；比分倾向0-0/1-1；全北-0.25只观察，不反手追主队</x:v>
      </x:c>
      <x:c r="I870" s="66" t="n">
        <x:v>46207.765185185184</x:v>
      </x:c>
      <x:c r="J870" s="65" t="str">
        <x:v>已结算</x:v>
      </x:c>
      <x:c r="K870" s="65" t="str">
        <x:v>1-2</x:v>
      </x:c>
      <x:c r="L870" s="65" t="str">
        <x:v>赢</x:v>
      </x:c>
      <x:c r="M870" s="65" t="str">
        <x:v>输</x:v>
      </x:c>
      <x:c r="N870" s="67" t="n">
        <x:v>1</x:v>
      </x:c>
      <x:c r="O870" s="67" t="n">
        <x:v>-1</x:v>
      </x:c>
      <x:c r="P870" s="67" t="n">
        <x:f>IF(COUNT(N870:O870)=0,"",SUM(N870:O870))</x:f>
        <x:v>0</x:v>
      </x:c>
      <x:c r="Q870" s="65"/>
      <x:c r="R870" s="65" t="str">
        <x:v>赛果1-2；江原FC +0.25 赢；小于2.25球 输。</x:v>
      </x:c>
    </x:row>
    <x:row r="871" ht="38" customHeight="1">
      <x:c r="A871" s="65" t="str">
        <x:f>IF(B871="","",TEXT(B871,"yyyy-mm-dd")&amp;"|"&amp;D871&amp;"|"&amp;E871)</x:f>
        <x:v>2026-07-04|艾云达尔（Avondale FC）|普雷斯顿狮子（Preston Lions）</x:v>
      </x:c>
      <x:c r="B871" s="66" t="n">
        <x:v>46207.541666666664</x:v>
      </x:c>
      <x:c r="C871" s="65" t="str">
        <x:v>澳大利亚维多利亚州超级联赛1（VPL1）</x:v>
      </x:c>
      <x:c r="D871" s="65" t="str">
        <x:v>艾云达尔（Avondale FC）</x:v>
      </x:c>
      <x:c r="E871" s="65" t="str">
        <x:v>普雷斯顿狮子（Preston Lions）</x:v>
      </x:c>
      <x:c r="F871" s="65" t="str">
        <x:v>普雷斯顿狮子 +0.25（亚洲让球，约1.86，港水约0.86；低于0.80不进单）</x:v>
      </x:c>
      <x:c r="G871" s="65" t="str">
        <x:v>小于3球（亚洲大小球，约1.91，港水约0.91；低于0.80不进单）</x:v>
      </x:c>
      <x:c r="H871" s="65" t="str">
        <x:v>不加仓；比分倾向1-1/1-2；普雷斯顿+0.5若低于0.80不进单，小2.5只作高水小注观察</x:v>
      </x:c>
      <x:c r="I871" s="66" t="n">
        <x:v>46207.7625</x:v>
      </x:c>
      <x:c r="J871" s="65" t="str">
        <x:v>已结算</x:v>
      </x:c>
      <x:c r="K871" s="65" t="str">
        <x:v>2-3</x:v>
      </x:c>
      <x:c r="L871" s="65" t="str">
        <x:v>赢</x:v>
      </x:c>
      <x:c r="M871" s="65" t="str">
        <x:v>输</x:v>
      </x:c>
      <x:c r="N871" s="67" t="n">
        <x:v>1</x:v>
      </x:c>
      <x:c r="O871" s="67" t="n">
        <x:v>-1</x:v>
      </x:c>
      <x:c r="P871" s="67" t="n">
        <x:f>IF(COUNT(N871:O871)=0,"",SUM(N871:O871))</x:f>
        <x:v>0</x:v>
      </x:c>
      <x:c r="Q871" s="65"/>
      <x:c r="R871" s="65" t="str">
        <x:v>赛果2-3；普雷斯顿狮子 +0.25 赢；小于3球 输。</x:v>
      </x:c>
    </x:row>
    <x:row r="872" ht="38" customHeight="1">
      <x:c r="A872" s="65" t="str">
        <x:f>IF(B872="","",TEXT(B872,"yyyy-mm-dd")&amp;"|"&amp;D872&amp;"|"&amp;E872)</x:f>
        <x:v>2026-07-04|哥伦比亚|加纳</x:v>
      </x:c>
      <x:c r="B872" s="66" t="n">
        <x:v>46207.395833333336</x:v>
      </x:c>
      <x:c r="C872" s="65" t="str">
        <x:v>国际足联世界杯</x:v>
      </x:c>
      <x:c r="D872" s="65" t="str">
        <x:v>哥伦比亚</x:v>
      </x:c>
      <x:c r="E872" s="65" t="str">
        <x:v>加纳</x:v>
      </x:c>
      <x:c r="F872" s="65" t="str">
        <x:v>哥伦比亚 -1（亚洲让球，约0.91水；低于0.80不进单）</x:v>
      </x:c>
      <x:c r="G872" s="65" t="str">
        <x:v>小于2.5球（约0.83水；若选择小2.25约0.90则小注）</x:v>
      </x:c>
      <x:c r="H872" s="65" t="str">
        <x:v>不加仓；可选比分1-0/2-0；哥伦比亚-1.25只小注，-1.5不做主推</x:v>
      </x:c>
      <x:c r="I872" s="66" t="n">
        <x:v>46207.36817129629</x:v>
      </x:c>
      <x:c r="J872" s="65" t="str">
        <x:v>已结算</x:v>
      </x:c>
      <x:c r="K872" s="65" t="str">
        <x:v>1-0</x:v>
      </x:c>
      <x:c r="L872" s="65" t="str">
        <x:v>走水</x:v>
      </x:c>
      <x:c r="M872" s="65" t="str">
        <x:v>赢</x:v>
      </x:c>
      <x:c r="N872" s="67" t="n">
        <x:v>0</x:v>
      </x:c>
      <x:c r="O872" s="67" t="n">
        <x:v>1</x:v>
      </x:c>
      <x:c r="P872" s="67" t="n">
        <x:f>IF(COUNT(N872:O872)=0,"",SUM(N872:O872))</x:f>
        <x:v>1</x:v>
      </x:c>
      <x:c r="Q872" s="65"/>
      <x:c r="R872" s="65" t="str">
        <x:v>赛果1-0；哥伦比亚 -1 走水；小于2.5球 赢。</x:v>
      </x:c>
    </x:row>
    <x:row r="873" ht="38" customHeight="1">
      <x:c r="A873" s="65" t="str">
        <x:f>IF(B873="","",TEXT(B873,"yyyy-mm-dd")&amp;"|"&amp;D873&amp;"|"&amp;E873)</x:f>
        <x:v>2026-07-04|阿根廷|佛得角</x:v>
      </x:c>
      <x:c r="B873" s="66" t="n">
        <x:v>46207.25</x:v>
      </x:c>
      <x:c r="C873" s="65" t="str">
        <x:v>国际足联世界杯</x:v>
      </x:c>
      <x:c r="D873" s="65" t="str">
        <x:v>阿根廷</x:v>
      </x:c>
      <x:c r="E873" s="65" t="str">
        <x:v>佛得角</x:v>
      </x:c>
      <x:c r="F873" s="65" t="str">
        <x:v>佛得角 +2.25（约0.81，低于0.80不进单；不追阿根廷-1.5低水）</x:v>
      </x:c>
      <x:c r="G873" s="65" t="str">
        <x:v>小 2.5（约1.25-1.38，小注；低于0.80不进单）</x:v>
      </x:c>
      <x:c r="H873" s="65" t="str">
        <x:v>阿根廷-2高水可观察但2球只走水；阿根廷零封方向低水不进；不加仓</x:v>
      </x:c>
      <x:c r="I873" s="66" t="n">
        <x:v>46206.975381944445</x:v>
      </x:c>
      <x:c r="J873" s="65" t="str">
        <x:v>已结算</x:v>
      </x:c>
      <x:c r="K873" s="65" t="str">
        <x:v>1-1</x:v>
      </x:c>
      <x:c r="L873" s="65" t="str">
        <x:v>赢</x:v>
      </x:c>
      <x:c r="M873" s="65" t="str">
        <x:v>赢</x:v>
      </x:c>
      <x:c r="N873" s="67" t="n">
        <x:v>1</x:v>
      </x:c>
      <x:c r="O873" s="67" t="n">
        <x:v>1</x:v>
      </x:c>
      <x:c r="P873" s="67" t="n">
        <x:f>IF(COUNT(N873:O873)=0,"",SUM(N873:O873))</x:f>
        <x:v>2</x:v>
      </x:c>
      <x:c r="Q873" s="65"/>
      <x:c r="R873" s="65" t="str">
        <x:v>90分钟赛果1-1（加时后阿根廷3-2，亚洲盘不计加时）；佛得角 +2.25 赢；小2.5 赢。</x:v>
      </x:c>
    </x:row>
    <x:row r="874" ht="38" customHeight="1">
      <x:c r="A874" s="65" t="str">
        <x:f>IF(B874="","",TEXT(B874,"yyyy-mm-dd")&amp;"|"&amp;D874&amp;"|"&amp;E874)</x:f>
        <x:v>2026-07-04|澳大利亚|埃及</x:v>
      </x:c>
      <x:c r="B874" s="66" t="n">
        <x:v>46207.083333333336</x:v>
      </x:c>
      <x:c r="C874" s="65" t="str">
        <x:v>国际足联世界杯</x:v>
      </x:c>
      <x:c r="D874" s="65" t="str">
        <x:v>澳大利亚</x:v>
      </x:c>
      <x:c r="E874" s="65" t="str">
        <x:v>埃及</x:v>
      </x:c>
      <x:c r="F874" s="65" t="str">
        <x:v>埃及 -0.25（约0.94-1.04，低于0.80不进单）</x:v>
      </x:c>
      <x:c r="G874" s="65" t="str">
        <x:v>小 2.0（约0.85-0.95，小注；小2.5低水不进，低于0.80不进单）</x:v>
      </x:c>
      <x:c r="H874" s="65" t="str">
        <x:v>埃及 0（平手/DNB）更稳但若水位低于0.80不进；萨拉赫首发后BTTS No可观察；不加仓</x:v>
      </x:c>
      <x:c r="I874" s="66" t="n">
        <x:v>46207.04268518519</x:v>
      </x:c>
      <x:c r="J874" s="65" t="str">
        <x:v>已结算</x:v>
      </x:c>
      <x:c r="K874" s="65" t="str">
        <x:v>1-1</x:v>
      </x:c>
      <x:c r="L874" s="65" t="str">
        <x:v>输半</x:v>
      </x:c>
      <x:c r="M874" s="65" t="str">
        <x:v>走水</x:v>
      </x:c>
      <x:c r="N874" s="67" t="n">
        <x:v>-0.5</x:v>
      </x:c>
      <x:c r="O874" s="67" t="n">
        <x:v>0</x:v>
      </x:c>
      <x:c r="P874" s="67" t="n">
        <x:f>IF(COUNT(N874:O874)=0,"",SUM(N874:O874))</x:f>
        <x:v>-0.5</x:v>
      </x:c>
      <x:c r="Q874" s="65"/>
      <x:c r="R874" s="65" t="str">
        <x:v>90分钟赛果1-1（点球埃及4-2晋级，点球不计入盘口）；埃及 -0.25 输半；小2.0 走水。此前误写为让球赢，已更正。</x:v>
      </x:c>
    </x:row>
    <x:row r="875" ht="38" customHeight="1">
      <x:c r="A875" s="65" t="str">
        <x:f>IF(B875="","",TEXT(B875,"yyyy-mm-dd")&amp;"|"&amp;D875&amp;"|"&amp;E875)</x:f>
        <x:v>2026-07-04|天狼星（IK Sirius）|米亚尔比（Mjällby AIF）</x:v>
      </x:c>
      <x:c r="B875" s="66" t="n">
        <x:v>46207.041666666664</x:v>
      </x:c>
      <x:c r="C875" s="65" t="str">
        <x:v>瑞典超级联赛</x:v>
      </x:c>
      <x:c r="D875" s="65" t="str">
        <x:v>天狼星（IK Sirius）</x:v>
      </x:c>
      <x:c r="E875" s="65" t="str">
        <x:v>米亚尔比（Mjällby AIF）</x:v>
      </x:c>
      <x:c r="F875" s="65" t="str">
        <x:v>天狼星 -1（约0.87，低于0.80不进单，不追-1.25/-1.5）</x:v>
      </x:c>
      <x:c r="G875" s="65" t="str">
        <x:v>大 3.0（约0.88-0.95，小注；低于0.80不进单）</x:v>
      </x:c>
      <x:c r="H875" s="65" t="str">
        <x:v>BTTS Yes方向成立但约0.65低水不进；米亚尔比 +1仅压线可观察；不加仓</x:v>
      </x:c>
      <x:c r="I875" s="66" t="n">
        <x:v>46207.358668981484</x:v>
      </x:c>
      <x:c r="J875" s="65" t="str">
        <x:v>已结算</x:v>
      </x:c>
      <x:c r="K875" s="65" t="str">
        <x:v>4-4</x:v>
      </x:c>
      <x:c r="L875" s="65" t="str">
        <x:v>输</x:v>
      </x:c>
      <x:c r="M875" s="65" t="str">
        <x:v>赢</x:v>
      </x:c>
      <x:c r="N875" s="67" t="n">
        <x:v>-1</x:v>
      </x:c>
      <x:c r="O875" s="67" t="n">
        <x:v>1</x:v>
      </x:c>
      <x:c r="P875" s="67" t="n">
        <x:f>IF(COUNT(N875:O875)=0,"",SUM(N875:O875))</x:f>
        <x:v>0</x:v>
      </x:c>
      <x:c r="Q875" s="65"/>
      <x:c r="R875" s="65" t="str">
        <x:v>赛果4-4；天狼星 -1 输；大3.0 赢。</x:v>
      </x:c>
    </x:row>
    <x:row r="876" ht="38" customHeight="1">
      <x:c r="A876" s="65" t="str">
        <x:f>IF(B876="","",TEXT(B876,"yyyy-mm-dd")&amp;"|"&amp;D876&amp;"|"&amp;E876)</x:f>
        <x:v>2026-07-03|科特卡（FC KTP）|基柏（JIPPO Joensuu）</x:v>
      </x:c>
      <x:c r="B876" s="66" t="n">
        <x:v>46206.979166666664</x:v>
      </x:c>
      <x:c r="C876" s="65" t="str">
        <x:v>芬兰甲级联赛（Ykkösliiga）</x:v>
      </x:c>
      <x:c r="D876" s="65" t="str">
        <x:v>科特卡（FC KTP）</x:v>
      </x:c>
      <x:c r="E876" s="65" t="str">
        <x:v>基柏（JIPPO Joensuu）</x:v>
      </x:c>
      <x:c r="F876" s="65" t="str">
        <x:v>基柏 +0.5（约0.90，低于0.80不进单）</x:v>
      </x:c>
      <x:c r="G876" s="65" t="str">
        <x:v>小 2.5（约0.82，小注；低于0.80不进单）</x:v>
      </x:c>
      <x:c r="H876" s="65" t="str">
        <x:v>基柏 +0.25高水可替代；BTTS Yes约0.83可小注；不加仓</x:v>
      </x:c>
      <x:c r="I876" s="66" t="n">
        <x:v>46207.025729166664</x:v>
      </x:c>
      <x:c r="J876" s="65" t="str">
        <x:v>已结算</x:v>
      </x:c>
      <x:c r="K876" s="65" t="str">
        <x:v>3-3</x:v>
      </x:c>
      <x:c r="L876" s="65" t="str">
        <x:v>赢</x:v>
      </x:c>
      <x:c r="M876" s="65" t="str">
        <x:v>输</x:v>
      </x:c>
      <x:c r="N876" s="67" t="n">
        <x:v>1</x:v>
      </x:c>
      <x:c r="O876" s="67" t="n">
        <x:v>-1</x:v>
      </x:c>
      <x:c r="P876" s="67" t="n">
        <x:f>IF(COUNT(N876:O876)=0,"",SUM(N876:O876))</x:f>
        <x:v>0</x:v>
      </x:c>
      <x:c r="Q876" s="65"/>
      <x:c r="R876" s="65" t="str">
        <x:v>赛果3-3；基柏 +0.5 赢；小2.5 输。</x:v>
      </x:c>
    </x:row>
    <x:row r="877" ht="38" customHeight="1">
      <x:c r="A877" s="65" t="str">
        <x:f>IF(B877="","",TEXT(B877,"yyyy-mm-dd")&amp;"|"&amp;D877&amp;"|"&amp;E877)</x:f>
        <x:v>2026-07-03|云南玉昆|河南队</x:v>
      </x:c>
      <x:c r="B877" s="66" t="n">
        <x:v>46206.833333333336</x:v>
      </x:c>
      <x:c r="C877" s="65" t="str">
        <x:v>中国足球超级联赛</x:v>
      </x:c>
      <x:c r="D877" s="65" t="str">
        <x:v>云南玉昆</x:v>
      </x:c>
      <x:c r="E877" s="65" t="str">
        <x:v>河南队</x:v>
      </x:c>
      <x:c r="F877" s="65" t="str">
        <x:v>河南队 0（平手/DNB，约0.88-1.00，低于0.80不进单）</x:v>
      </x:c>
      <x:c r="G877" s="65" t="str">
        <x:v>大 3.0（约0.85-0.95，小注；低于0.80不进单）</x:v>
      </x:c>
      <x:c r="H877" s="65" t="str">
        <x:v>河南 +0.25若≥0.80可作保守替代；BTTS Yes若低水不进；不加仓</x:v>
      </x:c>
      <x:c r="I877" s="66" t="n">
        <x:v>46206.83940972222</x:v>
      </x:c>
      <x:c r="J877" s="65" t="str">
        <x:v>已结算</x:v>
      </x:c>
      <x:c r="K877" s="65" t="str">
        <x:v>2-1</x:v>
      </x:c>
      <x:c r="L877" s="65" t="str">
        <x:v>输</x:v>
      </x:c>
      <x:c r="M877" s="65" t="str">
        <x:v>走水</x:v>
      </x:c>
      <x:c r="N877" s="67" t="n">
        <x:v>-1</x:v>
      </x:c>
      <x:c r="O877" s="67" t="n">
        <x:v>0</x:v>
      </x:c>
      <x:c r="P877" s="67" t="n">
        <x:f>IF(COUNT(N877:O877)=0,"",SUM(N877:O877))</x:f>
        <x:v>-1</x:v>
      </x:c>
      <x:c r="Q877" s="65"/>
      <x:c r="R877" s="65" t="str">
        <x:v>赛果2-1；河南队 0（平手/DNB）输；大3.0 走水。</x:v>
      </x:c>
    </x:row>
    <x:row r="878" ht="38" customHeight="1">
      <x:c r="A878" s="65" t="str">
        <x:f>IF(B878="","",TEXT(B878,"yyyy-mm-dd")&amp;"|"&amp;D878&amp;"|"&amp;E878)</x:f>
        <x:v>2026-07-03|布伦瑞克尤文图斯（Brunswick Juventus）|布伦瑞克城（Brunswick City）</x:v>
      </x:c>
      <x:c r="B878" s="66" t="n">
        <x:v>46206.770833333336</x:v>
      </x:c>
      <x:c r="C878" s="65" t="str">
        <x:v>澳大利亚维多利亚州超级联赛1（VPL1）</x:v>
      </x:c>
      <x:c r="D878" s="65" t="str">
        <x:v>布伦瑞克尤文图斯（Brunswick Juventus）</x:v>
      </x:c>
      <x:c r="E878" s="65" t="str">
        <x:v>布伦瑞克城（Brunswick City）</x:v>
      </x:c>
      <x:c r="F878" s="65" t="str">
        <x:v>布伦瑞克城 +0.75（约0.98，低于0.80不进单）</x:v>
      </x:c>
      <x:c r="G878" s="65" t="str">
        <x:v>大 3.5（约1.10，高风险小注；低于0.80不进单）</x:v>
      </x:c>
      <x:c r="H878" s="65" t="str">
        <x:v>布伦瑞克城 +1若≥0.80可作保守替代；布伦瑞克尤文图斯-1.5高水只观察，不作主推；不加仓</x:v>
      </x:c>
      <x:c r="I878" s="66" t="n">
        <x:v>46206.74003472222</x:v>
      </x:c>
      <x:c r="J878" s="65" t="str">
        <x:v>已结算</x:v>
      </x:c>
      <x:c r="K878" s="65" t="str">
        <x:v>7-2</x:v>
      </x:c>
      <x:c r="L878" s="65" t="str">
        <x:v>输</x:v>
      </x:c>
      <x:c r="M878" s="65" t="str">
        <x:v>赢</x:v>
      </x:c>
      <x:c r="N878" s="67" t="n">
        <x:v>-1</x:v>
      </x:c>
      <x:c r="O878" s="67" t="n">
        <x:v>1</x:v>
      </x:c>
      <x:c r="P878" s="67" t="n">
        <x:f>IF(COUNT(N878:O878)=0,"",SUM(N878:O878))</x:f>
        <x:v>0</x:v>
      </x:c>
      <x:c r="Q878" s="65"/>
      <x:c r="R878" s="65" t="str">
        <x:v>赛果7-2；布伦瑞克城 +0.75 输；大3.5 赢。</x:v>
      </x:c>
    </x:row>
    <x:row r="879" ht="38" customHeight="1">
      <x:c r="A879" s="65" t="str">
        <x:f>IF(B879="","",TEXT(B879,"yyyy-mm-dd")&amp;"|"&amp;D879&amp;"|"&amp;E879)</x:f>
        <x:v>2026-07-03|墨尔本骑士（Melbourne Knights）|布林狮子（Bulleen Lions）</x:v>
      </x:c>
      <x:c r="B879" s="66" t="n">
        <x:v>46206.770833333336</x:v>
      </x:c>
      <x:c r="C879" s="65" t="str">
        <x:v>澳大利亚维多利亚州超级联赛1（VPL1）</x:v>
      </x:c>
      <x:c r="D879" s="65" t="str">
        <x:v>墨尔本骑士（Melbourne Knights）</x:v>
      </x:c>
      <x:c r="E879" s="65" t="str">
        <x:v>布林狮子（Bulleen Lions）</x:v>
      </x:c>
      <x:c r="F879" s="65" t="str">
        <x:v>布林狮子 +0.75（约0.85-0.95，低于0.80不进单）</x:v>
      </x:c>
      <x:c r="G879" s="65" t="str">
        <x:v>大 3.0（约0.88-1.00，小注；低于0.80不进单）</x:v>
      </x:c>
      <x:c r="H879" s="65" t="str">
        <x:v>大3.5高水小注可选；布林狮子0（平手/DNB）高水可替代；不加仓</x:v>
      </x:c>
      <x:c r="I879" s="66" t="n">
        <x:v>46206.70552083333</x:v>
      </x:c>
      <x:c r="J879" s="65" t="str">
        <x:v>已结算</x:v>
      </x:c>
      <x:c r="K879" s="65" t="str">
        <x:v>3-1</x:v>
      </x:c>
      <x:c r="L879" s="65" t="str">
        <x:v>输</x:v>
      </x:c>
      <x:c r="M879" s="65" t="str">
        <x:v>赢</x:v>
      </x:c>
      <x:c r="N879" s="67" t="n">
        <x:v>-1</x:v>
      </x:c>
      <x:c r="O879" s="67" t="n">
        <x:v>1</x:v>
      </x:c>
      <x:c r="P879" s="67" t="n">
        <x:f>IF(COUNT(N879:O879)=0,"",SUM(N879:O879))</x:f>
        <x:v>0</x:v>
      </x:c>
      <x:c r="Q879" s="65"/>
      <x:c r="R879" s="65" t="str">
        <x:v>赛果3-1；布林狮子 +0.75 输；大3.0 赢。</x:v>
      </x:c>
    </x:row>
    <x:row r="880" ht="38" customHeight="1">
      <x:c r="A880" s="65" t="str">
        <x:f>IF(B880="","",TEXT(B880,"yyyy-mm-dd")&amp;"|"&amp;D880&amp;"|"&amp;E880)</x:f>
        <x:v>2026-07-03|格林古利（Green Gully）|本特利绿茵（Bentleigh Greens）</x:v>
      </x:c>
      <x:c r="B880" s="66" t="n">
        <x:v>46206.729166666664</x:v>
      </x:c>
      <x:c r="C880" s="65" t="str">
        <x:v>澳大利亚维多利亚州超级联赛1（VPL1）</x:v>
      </x:c>
      <x:c r="D880" s="65" t="str">
        <x:v>格林古利（Green Gully）</x:v>
      </x:c>
      <x:c r="E880" s="65" t="str">
        <x:v>本特利绿茵（Bentleigh Greens）</x:v>
      </x:c>
      <x:c r="F880" s="65" t="str">
        <x:v>本特利绿茵 +0.25（约0.85-0.95，低于0.80不进单）</x:v>
      </x:c>
      <x:c r="G880" s="65" t="str">
        <x:v>小 3.0（约0.85-0.95，小注；低于0.80不进单）</x:v>
      </x:c>
      <x:c r="H880" s="65" t="str">
        <x:v>本特利绿茵 0（平手/DNB）高水可替代；大2.5若低水不进；不加仓</x:v>
      </x:c>
      <x:c r="I880" s="66" t="n">
        <x:v>46206.42974537037</x:v>
      </x:c>
      <x:c r="J880" s="65" t="str">
        <x:v>已结算</x:v>
      </x:c>
      <x:c r="K880" s="65" t="str">
        <x:v>3-0</x:v>
      </x:c>
      <x:c r="L880" s="65" t="str">
        <x:v>输</x:v>
      </x:c>
      <x:c r="M880" s="65" t="str">
        <x:v>走水</x:v>
      </x:c>
      <x:c r="N880" s="67" t="n">
        <x:v>-1</x:v>
      </x:c>
      <x:c r="O880" s="67" t="n">
        <x:v>0</x:v>
      </x:c>
      <x:c r="P880" s="67" t="n">
        <x:f>IF(COUNT(N880:O880)=0,"",SUM(N880:O880))</x:f>
        <x:v>-1</x:v>
      </x:c>
      <x:c r="Q880" s="65"/>
      <x:c r="R880" s="65" t="str">
        <x:v>赛果3-0；本特利绿茵 +0.25 输；小3.0 走水。</x:v>
      </x:c>
    </x:row>
    <x:row r="881" ht="38" customHeight="1">
      <x:c r="A881" s="65" t="str">
        <x:f>IF(B881="","",TEXT(B881,"yyyy-mm-dd")&amp;"|"&amp;D881&amp;"|"&amp;E881)</x:f>
        <x:v>2026-07-03|黑德堡联（Heidelberg United）|圣奥尔本斯圣徒（St Albans Saints）</x:v>
      </x:c>
      <x:c r="B881" s="66" t="n">
        <x:v>46206.729166666664</x:v>
      </x:c>
      <x:c r="C881" s="65" t="str">
        <x:v>澳大利亚维多利亚州超级联赛1（VPL1）</x:v>
      </x:c>
      <x:c r="D881" s="65" t="str">
        <x:v>黑德堡联（Heidelberg United）</x:v>
      </x:c>
      <x:c r="E881" s="65" t="str">
        <x:v>圣奥尔本斯圣徒（St Albans Saints）</x:v>
      </x:c>
      <x:c r="F881" s="65" t="str">
        <x:v>圣奥尔本斯圣徒 +1（约0.85-0.95，低于0.80不进单）</x:v>
      </x:c>
      <x:c r="G881" s="65" t="str">
        <x:v>大 3.0（约0.85，小注；低于0.80不进单）</x:v>
      </x:c>
      <x:c r="H881" s="65" t="str">
        <x:v>大3.5高水小注可选；不加仓</x:v>
      </x:c>
      <x:c r="I881" s="66" t="n">
        <x:v>46206.42951388889</x:v>
      </x:c>
      <x:c r="J881" s="65" t="str">
        <x:v>已结算</x:v>
      </x:c>
      <x:c r="K881" s="65" t="str">
        <x:v>1-1</x:v>
      </x:c>
      <x:c r="L881" s="65" t="str">
        <x:v>赢</x:v>
      </x:c>
      <x:c r="M881" s="65" t="str">
        <x:v>输</x:v>
      </x:c>
      <x:c r="N881" s="67" t="n">
        <x:v>1</x:v>
      </x:c>
      <x:c r="O881" s="67" t="n">
        <x:v>-1</x:v>
      </x:c>
      <x:c r="P881" s="67" t="n">
        <x:f>IF(COUNT(N881:O881)=0,"",SUM(N881:O881))</x:f>
        <x:v>0</x:v>
      </x:c>
      <x:c r="Q881" s="65"/>
      <x:c r="R881" s="65" t="str">
        <x:v>赛果1-1；圣奥尔本斯圣徒 +1 赢；大3.0 输。</x:v>
      </x:c>
    </x:row>
    <x:row r="882" ht="38" customHeight="1">
      <x:c r="A882" s="65" t="str">
        <x:f>IF(B882="","",TEXT(B882,"yyyy-mm-dd")&amp;"|"&amp;D882&amp;"|"&amp;E882)</x:f>
        <x:v>2026-07-03|瑞士|阿尔及利亚</x:v>
      </x:c>
      <x:c r="B882" s="66" t="n">
        <x:v>46206.458333333336</x:v>
      </x:c>
      <x:c r="C882" s="65" t="str">
        <x:v>国际足联世界杯</x:v>
      </x:c>
      <x:c r="D882" s="65" t="str">
        <x:v>瑞士</x:v>
      </x:c>
      <x:c r="E882" s="65" t="str">
        <x:v>阿尔及利亚</x:v>
      </x:c>
      <x:c r="F882" s="65" t="str">
        <x:v>瑞士 -0.5（约1.05，低于0.80不进单，不追-0.75/-1）</x:v>
      </x:c>
      <x:c r="G882" s="65" t="str">
        <x:v>大 2.5（约1.16-1.23，小注；低于0.80不进单）</x:v>
      </x:c>
      <x:c r="H882" s="65" t="str">
        <x:v>BTTS Yes若≥0.85可小注；瑞士晋级方向成立但水位偏低，不进主单；不加仓</x:v>
      </x:c>
      <x:c r="I882" s="66" t="n">
        <x:v>46206.38940972222</x:v>
      </x:c>
      <x:c r="J882" s="65" t="str">
        <x:v>已结算</x:v>
      </x:c>
      <x:c r="K882" s="65" t="str">
        <x:v>2-0</x:v>
      </x:c>
      <x:c r="L882" s="65" t="str">
        <x:v>赢</x:v>
      </x:c>
      <x:c r="M882" s="65" t="str">
        <x:v>输</x:v>
      </x:c>
      <x:c r="N882" s="67" t="n">
        <x:v>1</x:v>
      </x:c>
      <x:c r="O882" s="67" t="n">
        <x:v>-1</x:v>
      </x:c>
      <x:c r="P882" s="67" t="n">
        <x:f>IF(COUNT(N882:O882)=0,"",SUM(N882:O882))</x:f>
        <x:v>0</x:v>
      </x:c>
      <x:c r="Q882" s="65"/>
      <x:c r="R882" s="65" t="str">
        <x:v>赛果2-0；瑞士 -0.5 赢；大2.5 输。</x:v>
      </x:c>
    </x:row>
    <x:row r="883" ht="38" customHeight="1">
      <x:c r="A883" s="65" t="str">
        <x:f>IF(B883="","",TEXT(B883,"yyyy-mm-dd")&amp;"|"&amp;D883&amp;"|"&amp;E883)</x:f>
        <x:v>2026-07-03|伯明翰军团（Birmingham Legion FC）|底特律城（Detroit City FC）</x:v>
      </x:c>
      <x:c r="B883" s="66" t="n">
        <x:v>46206.333333333336</x:v>
      </x:c>
      <x:c r="C883" s="65" t="str">
        <x:v>美国USL冠军联赛（USL Championship）</x:v>
      </x:c>
      <x:c r="D883" s="65" t="str">
        <x:v>伯明翰军团（Birmingham Legion FC）</x:v>
      </x:c>
      <x:c r="E883" s="65" t="str">
        <x:v>底特律城（Detroit City FC）</x:v>
      </x:c>
      <x:c r="F883" s="65" t="str">
        <x:v>底特律城 0（平手/DNB，赛中1-1快照，约0.85-0.95，低于0.80不进单）</x:v>
      </x:c>
      <x:c r="G883" s="65" t="str">
        <x:v>大 3.0（赛中1-1快照，约0.85-0.95，小注；低于0.80不进单）</x:v>
      </x:c>
      <x:c r="H883" s="65" t="str">
        <x:v>平局方向成立但不加仓；若只能拿到底特律-0.25低水或大2.5低水，不进单</x:v>
      </x:c>
      <x:c r="I883" s="66" t="n">
        <x:v>46206.41342592592</x:v>
      </x:c>
      <x:c r="J883" s="65" t="str">
        <x:v>已结算</x:v>
      </x:c>
      <x:c r="K883" s="65" t="str">
        <x:v>1-2</x:v>
      </x:c>
      <x:c r="L883" s="65" t="str">
        <x:v>赢</x:v>
      </x:c>
      <x:c r="M883" s="65" t="str">
        <x:v>走水</x:v>
      </x:c>
      <x:c r="N883" s="67" t="n">
        <x:v>1</x:v>
      </x:c>
      <x:c r="O883" s="67" t="n">
        <x:v>0</x:v>
      </x:c>
      <x:c r="P883" s="67" t="n">
        <x:f>IF(COUNT(N883:O883)=0,"",SUM(N883:O883))</x:f>
        <x:v>1</x:v>
      </x:c>
      <x:c r="Q883" s="65"/>
      <x:c r="R883" s="65" t="str">
        <x:v>赛果1-2；底特律城 0（平手/DNB）赢；大3.0 走水。</x:v>
      </x:c>
    </x:row>
    <x:row r="884" ht="38" customHeight="1">
      <x:c r="A884" s="65" t="str">
        <x:f>IF(B884="","",TEXT(B884,"yyyy-mm-dd")&amp;"|"&amp;D884&amp;"|"&amp;E884)</x:f>
        <x:v>2026-07-03|葡萄牙|克罗地亚</x:v>
      </x:c>
      <x:c r="B884" s="66" t="n">
        <x:v>46206.291666666664</x:v>
      </x:c>
      <x:c r="C884" s="65" t="str">
        <x:v>国际足联世界杯</x:v>
      </x:c>
      <x:c r="D884" s="65" t="str">
        <x:v>葡萄牙</x:v>
      </x:c>
      <x:c r="E884" s="65" t="str">
        <x:v>克罗地亚</x:v>
      </x:c>
      <x:c r="F884" s="65" t="str">
        <x:v>克罗地亚 +0.75（约0.98，低于0.80不进单）</x:v>
      </x:c>
      <x:c r="G884" s="65" t="str">
        <x:v>小 2.5（约1.06，小注；低于0.80不进单）</x:v>
      </x:c>
      <x:c r="H884" s="65" t="str">
        <x:v>葡萄牙胜/晋级方向成立但水位偏低不进主单；BTTS Yes约0.68低水不进；不加仓</x:v>
      </x:c>
      <x:c r="I884" s="66" t="n">
        <x:v>46206.19253472222</x:v>
      </x:c>
      <x:c r="J884" s="65" t="str">
        <x:v>已结算</x:v>
      </x:c>
      <x:c r="K884" s="65" t="str">
        <x:v>2-1</x:v>
      </x:c>
      <x:c r="L884" s="65" t="str">
        <x:v>输半</x:v>
      </x:c>
      <x:c r="M884" s="65" t="str">
        <x:v>输</x:v>
      </x:c>
      <x:c r="N884" s="67" t="n">
        <x:v>-0.5</x:v>
      </x:c>
      <x:c r="O884" s="67" t="n">
        <x:v>-1</x:v>
      </x:c>
      <x:c r="P884" s="67" t="n">
        <x:f>IF(COUNT(N884:O884)=0,"",SUM(N884:O884))</x:f>
        <x:v>-1.5</x:v>
      </x:c>
      <x:c r="Q884" s="65"/>
      <x:c r="R884" s="65" t="str">
        <x:v>赛果2-1；克罗地亚 +0.75 输半；小2.5 输。</x:v>
      </x:c>
    </x:row>
    <x:row r="885" ht="38" customHeight="1">
      <x:c r="A885" s="65" t="str">
        <x:f>IF(B885="","",TEXT(B885,"yyyy-mm-dd")&amp;"|"&amp;D885&amp;"|"&amp;E885)</x:f>
        <x:v>2026-07-03|西班牙|奥地利</x:v>
      </x:c>
      <x:c r="B885" s="66" t="n">
        <x:v>46206.125</x:v>
      </x:c>
      <x:c r="C885" s="65" t="str">
        <x:v>国际足联世界杯</x:v>
      </x:c>
      <x:c r="D885" s="65" t="str">
        <x:v>西班牙</x:v>
      </x:c>
      <x:c r="E885" s="65" t="str">
        <x:v>奥地利</x:v>
      </x:c>
      <x:c r="F885" s="65" t="str">
        <x:v>奥地利 +1.5（约0.88-0.89，低于0.80不进单）</x:v>
      </x:c>
      <x:c r="G885" s="65" t="str">
        <x:v>小 2.5（约1.01-1.08，小注；低于0.80不进单）</x:v>
      </x:c>
      <x:c r="H885" s="65" t="str">
        <x:v>西班牙胜且小3.5可作保守替代；BTTS Yes高水可小注；不加仓</x:v>
      </x:c>
      <x:c r="I885" s="66" t="n">
        <x:v>46205.918217592596</x:v>
      </x:c>
      <x:c r="J885" s="65" t="str">
        <x:v>已结算</x:v>
      </x:c>
      <x:c r="K885" s="65" t="str">
        <x:v>3-0</x:v>
      </x:c>
      <x:c r="L885" s="65" t="str">
        <x:v>输</x:v>
      </x:c>
      <x:c r="M885" s="65" t="str">
        <x:v>输</x:v>
      </x:c>
      <x:c r="N885" s="67" t="n">
        <x:v>-1</x:v>
      </x:c>
      <x:c r="O885" s="67" t="n">
        <x:v>-1</x:v>
      </x:c>
      <x:c r="P885" s="67" t="n">
        <x:f>IF(COUNT(N885:O885)=0,"",SUM(N885:O885))</x:f>
        <x:v>-2</x:v>
      </x:c>
      <x:c r="Q885" s="65"/>
      <x:c r="R885" s="65" t="str">
        <x:v>赛果3-0；奥地利 +1.5 输；小2.5 输。</x:v>
      </x:c>
    </x:row>
    <x:row r="886" ht="38" customHeight="1">
      <x:c r="A886" s="65" t="str">
        <x:f>IF(B886="","",TEXT(B886,"yyyy-mm-dd")&amp;"|"&amp;D886&amp;"|"&amp;E886)</x:f>
        <x:v>2026-07-02|美国|波黑（波斯尼亚和黑塞哥维那）</x:v>
      </x:c>
      <x:c r="B886" s="66" t="n">
        <x:v>46205.333333333336</x:v>
      </x:c>
      <x:c r="C886" s="65" t="str">
        <x:v>国际足联世界杯</x:v>
      </x:c>
      <x:c r="D886" s="65" t="str">
        <x:v>美国</x:v>
      </x:c>
      <x:c r="E886" s="65" t="str">
        <x:v>波黑（波斯尼亚和黑塞哥维那）</x:v>
      </x:c>
      <x:c r="F886" s="65" t="str">
        <x:v>美国 -1.25（约0.82-0.92，低于0.80不进单，不追-1.5低水）</x:v>
      </x:c>
      <x:c r="G886" s="65" t="str">
        <x:v>大 3.0（约0.88-1.00，小注；低于0.80不进单）</x:v>
      </x:c>
      <x:c r="H886" s="65" t="str">
        <x:v>BTTS Yes若≥0.80可小注；美国-1.5高水可选但不作主推；不加仓</x:v>
      </x:c>
      <x:c r="I886" s="66" t="n">
        <x:v>46205.3578125</x:v>
      </x:c>
      <x:c r="J886" s="65" t="str">
        <x:v>已结算</x:v>
      </x:c>
      <x:c r="K886" s="65" t="str">
        <x:v>2-0</x:v>
      </x:c>
      <x:c r="L886" s="65" t="str">
        <x:v>赢</x:v>
      </x:c>
      <x:c r="M886" s="65" t="str">
        <x:v>输</x:v>
      </x:c>
      <x:c r="N886" s="67" t="n">
        <x:v>1</x:v>
      </x:c>
      <x:c r="O886" s="67" t="n">
        <x:v>-1</x:v>
      </x:c>
      <x:c r="P886" s="67" t="n">
        <x:f>IF(COUNT(N886:O886)=0,"",SUM(N886:O886))</x:f>
        <x:v>0</x:v>
      </x:c>
      <x:c r="Q886" s="65"/>
      <x:c r="R886" s="65" t="str">
        <x:v>赛果2-0；美国 -1.25 赢；大3.0 输。</x:v>
      </x:c>
    </x:row>
    <x:row r="887" ht="38" customHeight="1">
      <x:c r="A887" s="65" t="str">
        <x:f>IF(B887="","",TEXT(B887,"yyyy-mm-dd")&amp;"|"&amp;D887&amp;"|"&amp;E887)</x:f>
        <x:v>2026-07-02|比利时|塞内加尔</x:v>
      </x:c>
      <x:c r="B887" s="66" t="n">
        <x:v>46205.166666666664</x:v>
      </x:c>
      <x:c r="C887" s="65" t="str">
        <x:v>国际足联世界杯</x:v>
      </x:c>
      <x:c r="D887" s="65" t="str">
        <x:v>比利时</x:v>
      </x:c>
      <x:c r="E887" s="65" t="str">
        <x:v>塞内加尔</x:v>
      </x:c>
      <x:c r="F887" s="65" t="str">
        <x:v>塞内加尔 +0.25（约0.88-0.98，低于0.80不进单）</x:v>
      </x:c>
      <x:c r="G887" s="65" t="str">
        <x:v>大 2.5（约0.90-1.15，小注；低于0.80不进单）</x:v>
      </x:c>
      <x:c r="H887" s="65" t="str">
        <x:v>塞内加尔 0（平手/DNB）高水可替代；BTTS Yes若≥0.80可小注；不加仓</x:v>
      </x:c>
      <x:c r="I887" s="66" t="n">
        <x:v>46204.89420138889</x:v>
      </x:c>
      <x:c r="J887" s="65" t="str">
        <x:v>已结算</x:v>
      </x:c>
      <x:c r="K887" s="65" t="str">
        <x:v>2-2</x:v>
      </x:c>
      <x:c r="L887" s="65" t="str">
        <x:v>赢半</x:v>
      </x:c>
      <x:c r="M887" s="65" t="str">
        <x:v>赢</x:v>
      </x:c>
      <x:c r="N887" s="67" t="n">
        <x:v>0.5</x:v>
      </x:c>
      <x:c r="O887" s="67" t="n">
        <x:v>1</x:v>
      </x:c>
      <x:c r="P887" s="67" t="n">
        <x:f>IF(COUNT(N887:O887)=0,"",SUM(N887:O887))</x:f>
        <x:v>1.5</x:v>
      </x:c>
      <x:c r="Q887" s="65"/>
      <x:c r="R887" s="65" t="str">
        <x:v>90分钟赛果2-2（加时后比利时3-2，亚洲盘不计加时）；塞内加尔 +0.25 赢半；大2.5 赢。</x:v>
      </x:c>
    </x:row>
    <x:row r="888" ht="38" customHeight="1">
      <x:c r="A888" s="65" t="str">
        <x:f>IF(B888="","",TEXT(B888,"yyyy-mm-dd")&amp;"|"&amp;D888&amp;"|"&amp;E888)</x:f>
        <x:v>2026-07-02|英格兰|刚果民主共和国（刚果金）</x:v>
      </x:c>
      <x:c r="B888" s="66" t="n">
        <x:v>46205</x:v>
      </x:c>
      <x:c r="C888" s="65" t="str">
        <x:v>国际足联世界杯</x:v>
      </x:c>
      <x:c r="D888" s="65" t="str">
        <x:v>英格兰</x:v>
      </x:c>
      <x:c r="E888" s="65" t="str">
        <x:v>刚果民主共和国（刚果金）</x:v>
      </x:c>
      <x:c r="F888" s="65" t="str">
        <x:v>刚果民主共和国（刚果金） +1.5（约1.00，低于0.80不进单）</x:v>
      </x:c>
      <x:c r="G888" s="65" t="str">
        <x:v>小 2.5（约0.83-0.87，小注；低于0.80不进单）</x:v>
      </x:c>
      <x:c r="H888" s="65" t="str">
        <x:v>英格兰胜且小3.5可作保守替代，但组合水位若低于0.80不进；不加仓</x:v>
      </x:c>
      <x:c r="I888" s="66" t="n">
        <x:v>46204.89329861111</x:v>
      </x:c>
      <x:c r="J888" s="65" t="str">
        <x:v>已结算</x:v>
      </x:c>
      <x:c r="K888" s="65" t="str">
        <x:v>2-1</x:v>
      </x:c>
      <x:c r="L888" s="65" t="str">
        <x:v>赢</x:v>
      </x:c>
      <x:c r="M888" s="65" t="str">
        <x:v>输</x:v>
      </x:c>
      <x:c r="N888" s="67" t="n">
        <x:v>1</x:v>
      </x:c>
      <x:c r="O888" s="67" t="n">
        <x:v>-1</x:v>
      </x:c>
      <x:c r="P888" s="67" t="n">
        <x:f>IF(COUNT(N888:O888)=0,"",SUM(N888:O888))</x:f>
        <x:v>0</x:v>
      </x:c>
      <x:c r="Q888" s="65"/>
      <x:c r="R888" s="65" t="str">
        <x:v>赛果2-1；刚果民主共和国（刚果金） +1.5 赢；小2.5 输。</x:v>
      </x:c>
    </x:row>
    <x:row r="889" ht="38" customHeight="1">
      <x:c r="A889" s="65" t="str">
        <x:f>IF(B889="","",TEXT(B889,"yyyy-mm-dd")&amp;"|"&amp;D889&amp;"|"&amp;E889)</x:f>
        <x:v>2026-07-01|墨西哥|厄瓜多尔</x:v>
      </x:c>
      <x:c r="B889" s="66" t="n">
        <x:v>46204.375</x:v>
      </x:c>
      <x:c r="C889" s="65" t="str">
        <x:v>国际足联世界杯</x:v>
      </x:c>
      <x:c r="D889" s="65" t="str">
        <x:v>墨西哥</x:v>
      </x:c>
      <x:c r="E889" s="65" t="str">
        <x:v>厄瓜多尔</x:v>
      </x:c>
      <x:c r="F889" s="65" t="str">
        <x:v>墨西哥 -0.5（约1.20；低于0.80不进单）</x:v>
      </x:c>
      <x:c r="G889" s="65" t="str">
        <x:v>小 1.5（约1.28，小注；若低于0.80不进单）</x:v>
      </x:c>
      <x:c r="H889" s="65" t="str">
        <x:v>墨西哥晋级方向成立但水位偏低不进主单；平局方向有保护价值但不加仓</x:v>
      </x:c>
      <x:c r="I889" s="66" t="n">
        <x:v>46204.30949074074</x:v>
      </x:c>
      <x:c r="J889" s="65" t="str">
        <x:v>已结算</x:v>
      </x:c>
      <x:c r="K889" s="65" t="str">
        <x:v>2-0</x:v>
      </x:c>
      <x:c r="L889" s="65" t="str">
        <x:v>赢</x:v>
      </x:c>
      <x:c r="M889" s="65" t="str">
        <x:v>输</x:v>
      </x:c>
      <x:c r="N889" s="67" t="n">
        <x:v>1</x:v>
      </x:c>
      <x:c r="O889" s="67" t="n">
        <x:v>-1</x:v>
      </x:c>
      <x:c r="P889" s="67" t="n">
        <x:f>IF(COUNT(N889:O889)=0,"",SUM(N889:O889))</x:f>
        <x:v>0</x:v>
      </x:c>
      <x:c r="Q889" s="65"/>
      <x:c r="R889" s="65" t="str">
        <x:v>赛果2-0；墨西哥 -0.5 赢；小1.5 输。</x:v>
      </x:c>
    </x:row>
    <x:row r="890" ht="38" customHeight="1">
      <x:c r="A890" s="65" t="str">
        <x:f>IF(B890="","",TEXT(B890,"yyyy-mm-dd")&amp;"|"&amp;D890&amp;"|"&amp;E890)</x:f>
        <x:v>2026-07-01|法国|瑞典</x:v>
      </x:c>
      <x:c r="B890" s="66" t="n">
        <x:v>46204.208333333336</x:v>
      </x:c>
      <x:c r="C890" s="65" t="str">
        <x:v>国际足联世界杯</x:v>
      </x:c>
      <x:c r="D890" s="65" t="str">
        <x:v>法国</x:v>
      </x:c>
      <x:c r="E890" s="65" t="str">
        <x:v>瑞典</x:v>
      </x:c>
      <x:c r="F890" s="65" t="str">
        <x:v>法国 -2（约0.95-1.05，赢2球走水，赢3球以上赢；低于0.80不进单）</x:v>
      </x:c>
      <x:c r="G890" s="65" t="str">
        <x:v>大 2.5（约1.00-1.04，小注；低于0.80不进单）</x:v>
      </x:c>
      <x:c r="H890" s="65" t="str">
        <x:v>法国 -1.5方向成立但约0.74低水不进；法国队进球大2.5高水可选；不加仓</x:v>
      </x:c>
      <x:c r="I890" s="66" t="n">
        <x:v>46203.725625</x:v>
      </x:c>
      <x:c r="J890" s="65" t="str">
        <x:v>已结算</x:v>
      </x:c>
      <x:c r="K890" s="65" t="str">
        <x:v>3-0</x:v>
      </x:c>
      <x:c r="L890" s="65" t="str">
        <x:v>赢</x:v>
      </x:c>
      <x:c r="M890" s="65" t="str">
        <x:v>赢</x:v>
      </x:c>
      <x:c r="N890" s="67" t="n">
        <x:v>1</x:v>
      </x:c>
      <x:c r="O890" s="67" t="n">
        <x:v>1</x:v>
      </x:c>
      <x:c r="P890" s="67" t="n">
        <x:f>IF(COUNT(N890:O890)=0,"",SUM(N890:O890))</x:f>
        <x:v>2</x:v>
      </x:c>
      <x:c r="Q890" s="65"/>
      <x:c r="R890" s="65" t="str">
        <x:v>赛果3-0；法国 -2 赢；大2.5 赢。</x:v>
      </x:c>
    </x:row>
    <x:row r="891" ht="38" customHeight="1">
      <x:c r="A891" s="65" t="str">
        <x:f>IF(B891="","",TEXT(B891,"yyyy-mm-dd")&amp;"|"&amp;D891&amp;"|"&amp;E891)</x:f>
        <x:v>2026-07-01|科特迪瓦|挪威</x:v>
      </x:c>
      <x:c r="B891" s="66" t="n">
        <x:v>46204.041666666664</x:v>
      </x:c>
      <x:c r="C891" s="65" t="str">
        <x:v>国际足联世界杯</x:v>
      </x:c>
      <x:c r="D891" s="65" t="str">
        <x:v>科特迪瓦</x:v>
      </x:c>
      <x:c r="E891" s="65" t="str">
        <x:v>挪威</x:v>
      </x:c>
      <x:c r="F891" s="65" t="str">
        <x:v>挪威 -0.5（约1.02-1.05，低于0.80不进单）</x:v>
      </x:c>
      <x:c r="G891" s="65" t="str">
        <x:v>大 2.5（约0.83-0.85，小注；低于0.80不进单）</x:v>
      </x:c>
      <x:c r="H891" s="65" t="str">
        <x:v>科特迪瓦 +0.5方向有防守价值但当前低水不进；BTTS Yes约0.67低水不进；不加仓</x:v>
      </x:c>
      <x:c r="I891" s="66" t="n">
        <x:v>46203.725011574075</x:v>
      </x:c>
      <x:c r="J891" s="65" t="str">
        <x:v>已结算</x:v>
      </x:c>
      <x:c r="K891" s="65" t="str">
        <x:v>1-2</x:v>
      </x:c>
      <x:c r="L891" s="65" t="str">
        <x:v>赢</x:v>
      </x:c>
      <x:c r="M891" s="65" t="str">
        <x:v>赢</x:v>
      </x:c>
      <x:c r="N891" s="67" t="n">
        <x:v>1</x:v>
      </x:c>
      <x:c r="O891" s="67" t="n">
        <x:v>1</x:v>
      </x:c>
      <x:c r="P891" s="67" t="n">
        <x:f>IF(COUNT(N891:O891)=0,"",SUM(N891:O891))</x:f>
        <x:v>2</x:v>
      </x:c>
      <x:c r="Q891" s="65"/>
      <x:c r="R891" s="65" t="str">
        <x:v>赛果1-2；挪威 -0.5 赢；大2.5 赢。</x:v>
      </x:c>
    </x:row>
    <x:row r="892" ht="38" customHeight="1">
      <x:c r="A892" s="65" t="str">
        <x:f>IF(B892="","",TEXT(B892,"yyyy-mm-dd")&amp;"|"&amp;D892&amp;"|"&amp;E892)</x:f>
        <x:v>2026-06-30|VPS瓦萨（VPS Vaasa）|图尔库国际（Inter Turku）</x:v>
      </x:c>
      <x:c r="B892" s="66" t="n">
        <x:v>46203.958333333336</x:v>
      </x:c>
      <x:c r="C892" s="65" t="str">
        <x:v>芬兰杯（Suomen Cup）</x:v>
      </x:c>
      <x:c r="D892" s="65" t="str">
        <x:v>VPS瓦萨（VPS Vaasa）</x:v>
      </x:c>
      <x:c r="E892" s="65" t="str">
        <x:v>图尔库国际（Inter Turku）</x:v>
      </x:c>
      <x:c r="F892" s="65" t="str">
        <x:v>图尔库国际 -0.25（约0.82-0.90，低于0.80不进单，不追-0.75）</x:v>
      </x:c>
      <x:c r="G892" s="65" t="str">
        <x:v>大 2.5（约0.90-1.05，小注；低于0.80不进单）</x:v>
      </x:c>
      <x:c r="H892" s="65" t="str">
        <x:v>图尔库国际 -0.5 若≥0.95可小注替代；BTTS Yes≥0.83可小注；不加仓</x:v>
      </x:c>
      <x:c r="I892" s="66" t="n">
        <x:v>46203.717094907406</x:v>
      </x:c>
      <x:c r="J892" s="65" t="str">
        <x:v>已结算</x:v>
      </x:c>
      <x:c r="K892" s="65" t="str">
        <x:v>2-3</x:v>
      </x:c>
      <x:c r="L892" s="65" t="str">
        <x:v>赢</x:v>
      </x:c>
      <x:c r="M892" s="65" t="str">
        <x:v>赢</x:v>
      </x:c>
      <x:c r="N892" s="67" t="n">
        <x:v>1</x:v>
      </x:c>
      <x:c r="O892" s="67" t="n">
        <x:v>1</x:v>
      </x:c>
      <x:c r="P892" s="67" t="n">
        <x:f>IF(COUNT(N892:O892)=0,"",SUM(N892:O892))</x:f>
        <x:v>2</x:v>
      </x:c>
      <x:c r="Q892" s="65"/>
      <x:c r="R892" s="65" t="str">
        <x:v>赛果2-3；图尔库国际 -0.25 赢；大2.5 赢。</x:v>
      </x:c>
    </x:row>
    <x:row r="893" ht="38" customHeight="1">
      <x:c r="A893" s="65" t="str">
        <x:f>IF(B893="","",TEXT(B893,"yyyy-mm-dd")&amp;"|"&amp;D893&amp;"|"&amp;E893)</x:f>
        <x:v>2026-06-30|德仁FC（Deren FC）|汗加里德（Khangarid）</x:v>
      </x:c>
      <x:c r="B893" s="66" t="n">
        <x:v>46203.791666666664</x:v>
      </x:c>
      <x:c r="C893" s="65" t="str">
        <x:v>蒙古超级联赛（争冠组）</x:v>
      </x:c>
      <x:c r="D893" s="65" t="str">
        <x:v>德仁FC（Deren FC）</x:v>
      </x:c>
      <x:c r="E893" s="65" t="str">
        <x:v>汗加里德（Khangarid）</x:v>
      </x:c>
      <x:c r="F893" s="65" t="str">
        <x:v>德仁FC -0.5（约0.88-1.00，低于0.80不进单，不追-0.75/-1）</x:v>
      </x:c>
      <x:c r="G893" s="65" t="str">
        <x:v>大 3.25（约0.86-0.95，小注；低于0.80不进单）</x:v>
      </x:c>
      <x:c r="H893" s="65" t="str">
        <x:v>大3.5高水可选但不作主推；不加仓</x:v>
      </x:c>
      <x:c r="I893" s="66" t="n">
        <x:v>46203.714733796296</x:v>
      </x:c>
      <x:c r="J893" s="65" t="str">
        <x:v>已结算</x:v>
      </x:c>
      <x:c r="K893" s="65" t="str">
        <x:v>2-1</x:v>
      </x:c>
      <x:c r="L893" s="65" t="str">
        <x:v>赢</x:v>
      </x:c>
      <x:c r="M893" s="65" t="str">
        <x:v>输半</x:v>
      </x:c>
      <x:c r="N893" s="67" t="n">
        <x:v>1</x:v>
      </x:c>
      <x:c r="O893" s="67" t="n">
        <x:v>-0.5</x:v>
      </x:c>
      <x:c r="P893" s="67" t="n">
        <x:f>IF(COUNT(N893:O893)=0,"",SUM(N893:O893))</x:f>
        <x:v>0.5</x:v>
      </x:c>
      <x:c r="Q893" s="65"/>
      <x:c r="R893" s="65" t="str">
        <x:v>赛果2-1；德仁FC -0.5 赢；大3.25 输半。</x:v>
      </x:c>
    </x:row>
    <x:row r="894" ht="38" customHeight="1">
      <x:c r="A894" s="65" t="str">
        <x:f>IF(B894="","",TEXT(B894,"yyyy-mm-dd")&amp;"|"&amp;D894&amp;"|"&amp;E894)</x:f>
        <x:v>2026-06-30|洛根闪电（Logan Lightning）|瑞德兰茨联（Redlands United）</x:v>
      </x:c>
      <x:c r="B894" s="66" t="n">
        <x:v>46203.770833333336</x:v>
      </x:c>
      <x:c r="C894" s="65" t="str">
        <x:v>澳大利亚昆士兰州超级联赛1（QPL1）</x:v>
      </x:c>
      <x:c r="D894" s="65" t="str">
        <x:v>洛根闪电（Logan Lightning）</x:v>
      </x:c>
      <x:c r="E894" s="65" t="str">
        <x:v>瑞德兰茨联（Redlands United）</x:v>
      </x:c>
      <x:c r="F894" s="65" t="str">
        <x:v>瑞德兰茨联 0（平手/DNB，约0.85-0.95，低于0.80不进单；若官方确认延期则作废）</x:v>
      </x:c>
      <x:c r="G894" s="65" t="str">
        <x:v>大 3.5（约0.90-1.05，小注；低于0.80不进单；若官方确认延期则作废）</x:v>
      </x:c>
      <x:c r="H894" s="65" t="str">
        <x:v>瑞德兰茨联 -0.25若≥0.90可小注替代；BTTS Yes方向成立但低水不进；不加仓</x:v>
      </x:c>
      <x:c r="I894" s="66" t="n">
        <x:v>46203.73116898148</x:v>
      </x:c>
      <x:c r="J894" s="65" t="str">
        <x:v>已结算</x:v>
      </x:c>
      <x:c r="K894" s="65" t="str">
        <x:v>5-1</x:v>
      </x:c>
      <x:c r="L894" s="65" t="str">
        <x:v>输</x:v>
      </x:c>
      <x:c r="M894" s="65" t="str">
        <x:v>赢</x:v>
      </x:c>
      <x:c r="N894" s="67" t="n">
        <x:v>-1</x:v>
      </x:c>
      <x:c r="O894" s="67" t="n">
        <x:v>1</x:v>
      </x:c>
      <x:c r="P894" s="67" t="n">
        <x:f>IF(COUNT(N894:O894)=0,"",SUM(N894:O894))</x:f>
        <x:v>0</x:v>
      </x:c>
      <x:c r="Q894" s="65"/>
      <x:c r="R894" s="65" t="str">
        <x:v>根据用户确认赛果5-1；瑞德兰茨联 0（平手/DNB）输；大3.5 赢。此前标记待赛果，现已更正结算。</x:v>
      </x:c>
    </x:row>
    <x:row r="895" ht="38" customHeight="1">
      <x:c r="A895" s="65" t="str">
        <x:f>IF(B895="","",TEXT(B895,"yyyy-mm-dd")&amp;"|"&amp;D895&amp;"|"&amp;E895)</x:f>
        <x:v>2026-06-30|SD公鹿（SD Raiders FC）|悉尼FC青年队（Sydney FC Academy Youth）</x:v>
      </x:c>
      <x:c r="B895" s="66" t="n">
        <x:v>46203.75</x:v>
      </x:c>
      <x:c r="C895" s="65" t="str">
        <x:v>澳大利亚维多利亚州超级联赛1（VPL1）</x:v>
      </x:c>
      <x:c r="D895" s="65" t="str">
        <x:v>SD公鹿（SD Raiders FC）</x:v>
      </x:c>
      <x:c r="E895" s="65" t="str">
        <x:v>悉尼FC青年队（Sydney FC Academy Youth）</x:v>
      </x:c>
      <x:c r="F895" s="65" t="str">
        <x:v>SD公鹿 -0.5（约1.20-1.22，低于0.80不进单）</x:v>
      </x:c>
      <x:c r="G895" s="65" t="str">
        <x:v>小 2.5（约1.00-1.01，小注；低于0.80不进单）</x:v>
      </x:c>
      <x:c r="H895" s="65" t="str">
        <x:v>SD公鹿 0（DNB）方向成立但水位约0.67太低，不进单；不加仓</x:v>
      </x:c>
      <x:c r="I895" s="66" t="n">
        <x:v>46203.71408564815</x:v>
      </x:c>
      <x:c r="J895" s="65" t="str">
        <x:v>已结算</x:v>
      </x:c>
      <x:c r="K895" s="65" t="str">
        <x:v>0-1</x:v>
      </x:c>
      <x:c r="L895" s="65" t="str">
        <x:v>输</x:v>
      </x:c>
      <x:c r="M895" s="65" t="str">
        <x:v>赢</x:v>
      </x:c>
      <x:c r="N895" s="67" t="n">
        <x:v>-1</x:v>
      </x:c>
      <x:c r="O895" s="67" t="n">
        <x:v>1</x:v>
      </x:c>
      <x:c r="P895" s="67" t="n">
        <x:f>IF(COUNT(N895:O895)=0,"",SUM(N895:O895))</x:f>
        <x:v>0</x:v>
      </x:c>
      <x:c r="Q895" s="65"/>
      <x:c r="R895" s="65" t="str">
        <x:v>赛果0-1；SD公鹿 -0.5 输；小2.5 赢。</x:v>
      </x:c>
    </x:row>
    <x:row r="896" ht="38" customHeight="1">
      <x:c r="A896" s="65" t="str">
        <x:f>IF(B896="","",TEXT(B896,"yyyy-mm-dd")&amp;"|"&amp;D896&amp;"|"&amp;E896)</x:f>
        <x:v>2026-06-30|布伦瑞克尤文图斯（萨巴拉斯/Brunswick Juventus）|黑德堡联（Heidelberg United）</x:v>
      </x:c>
      <x:c r="B896" s="66" t="n">
        <x:v>46203.729166666664</x:v>
      </x:c>
      <x:c r="C896" s="65" t="str">
        <x:v>澳大利亚维多利亚州超级联赛1（VPL1）</x:v>
      </x:c>
      <x:c r="D896" s="65" t="str">
        <x:v>布伦瑞克尤文图斯（萨巴拉斯/Brunswick Juventus）</x:v>
      </x:c>
      <x:c r="E896" s="65" t="str">
        <x:v>黑德堡联（Heidelberg United）</x:v>
      </x:c>
      <x:c r="F896" s="65" t="str">
        <x:v>黑德堡联 -0.5（约0.84-0.90，低于0.80不进单）</x:v>
      </x:c>
      <x:c r="G896" s="65" t="str">
        <x:v>大 2.75（约0.84-0.92，小注；低于0.80不进单）</x:v>
      </x:c>
      <x:c r="H896" s="65" t="str">
        <x:v>黑德堡 -0.25≥0.80可作保守替代；不追-0.75低水；不加仓</x:v>
      </x:c>
      <x:c r="I896" s="66" t="n">
        <x:v>46203.711018518516</x:v>
      </x:c>
      <x:c r="J896" s="65" t="str">
        <x:v>已结算</x:v>
      </x:c>
      <x:c r="K896" s="65" t="str">
        <x:v>0-2</x:v>
      </x:c>
      <x:c r="L896" s="65" t="str">
        <x:v>赢</x:v>
      </x:c>
      <x:c r="M896" s="65" t="str">
        <x:v>输</x:v>
      </x:c>
      <x:c r="N896" s="67" t="n">
        <x:v>1</x:v>
      </x:c>
      <x:c r="O896" s="67" t="n">
        <x:v>-1</x:v>
      </x:c>
      <x:c r="P896" s="67" t="n">
        <x:f>IF(COUNT(N896:O896)=0,"",SUM(N896:O896))</x:f>
        <x:v>0</x:v>
      </x:c>
      <x:c r="Q896" s="65"/>
      <x:c r="R896" s="65" t="str">
        <x:v>赛果0-2；黑德堡联 -0.5 赢；大2.75 输。</x:v>
      </x:c>
    </x:row>
    <x:row r="897" ht="38" customHeight="1">
      <x:c r="A897" s="65" t="str">
        <x:f>IF(B897="","",TEXT(B897,"yyyy-mm-dd")&amp;"|"&amp;D897&amp;"|"&amp;E897)</x:f>
        <x:v>2026-06-30|荷兰|摩洛哥</x:v>
      </x:c>
      <x:c r="B897" s="66" t="n">
        <x:v>46203.375</x:v>
      </x:c>
      <x:c r="C897" s="65" t="str">
        <x:v>国际足联世界杯</x:v>
      </x:c>
      <x:c r="D897" s="65" t="str">
        <x:v>荷兰</x:v>
      </x:c>
      <x:c r="E897" s="65" t="str">
        <x:v>摩洛哥</x:v>
      </x:c>
      <x:c r="F897" s="65" t="str">
        <x:v>摩洛哥 +0.25（约0.87-1.05，低于0.80不进单）</x:v>
      </x:c>
      <x:c r="G897" s="65" t="str">
        <x:v>大 2.5（约1.05-1.12，小注；低于0.80不进单）</x:v>
      </x:c>
      <x:c r="H897" s="65" t="str">
        <x:v>摩洛哥 0（平手/DNB）高水可替代；BTTS Yes若≥0.80可小注；不加仓</x:v>
      </x:c>
      <x:c r="I897" s="66" t="n">
        <x:v>46203.36456018518</x:v>
      </x:c>
      <x:c r="J897" s="65" t="str">
        <x:v>已结算</x:v>
      </x:c>
      <x:c r="K897" s="65" t="str">
        <x:v>1-1</x:v>
      </x:c>
      <x:c r="L897" s="65" t="str">
        <x:v>赢半</x:v>
      </x:c>
      <x:c r="M897" s="65" t="str">
        <x:v>输</x:v>
      </x:c>
      <x:c r="N897" s="67" t="n">
        <x:v>0.5</x:v>
      </x:c>
      <x:c r="O897" s="67" t="n">
        <x:v>-1</x:v>
      </x:c>
      <x:c r="P897" s="67" t="n">
        <x:f>IF(COUNT(N897:O897)=0,"",SUM(N897:O897))</x:f>
        <x:v>-0.5</x:v>
      </x:c>
      <x:c r="Q897" s="65"/>
      <x:c r="R897" s="65" t="str">
        <x:v>赛果1-1（摩洛哥点球3-2晋级，点球不计入盘口）；摩洛哥 +0.25 赢半；大2.5 输。</x:v>
      </x:c>
    </x:row>
    <x:row r="898" ht="38" customHeight="1">
      <x:c r="A898" s="65" t="str">
        <x:f>IF(B898="","",TEXT(B898,"yyyy-mm-dd")&amp;"|"&amp;D898&amp;"|"&amp;E898)</x:f>
        <x:v>2026-06-30|巴西|日本</x:v>
      </x:c>
      <x:c r="B898" s="66" t="n">
        <x:v>46203.041666666664</x:v>
      </x:c>
      <x:c r="C898" s="65" t="str">
        <x:v>国际足联世界杯</x:v>
      </x:c>
      <x:c r="D898" s="65" t="str">
        <x:v>巴西</x:v>
      </x:c>
      <x:c r="E898" s="65" t="str">
        <x:v>日本</x:v>
      </x:c>
      <x:c r="F898" s="65" t="str">
        <x:v>日本 +0.75（约0.85-0.86，低于0.80不进单）</x:v>
      </x:c>
      <x:c r="G898" s="65" t="str">
        <x:v>大 2.5（约0.93-1.15，小注；低于0.80不进单）</x:v>
      </x:c>
      <x:c r="H898" s="65" t="str">
        <x:v>日本 +0.5 高水可替代；BTTS Yes约0.88可小注；不加仓</x:v>
      </x:c>
      <x:c r="I898" s="66" t="n">
        <x:v>46203.36053240741</x:v>
      </x:c>
      <x:c r="J898" s="65" t="str">
        <x:v>已结算</x:v>
      </x:c>
      <x:c r="K898" s="65" t="str">
        <x:v>2-1</x:v>
      </x:c>
      <x:c r="L898" s="65" t="str">
        <x:v>输半</x:v>
      </x:c>
      <x:c r="M898" s="65" t="str">
        <x:v>赢</x:v>
      </x:c>
      <x:c r="N898" s="67" t="n">
        <x:v>-0.5</x:v>
      </x:c>
      <x:c r="O898" s="67" t="n">
        <x:v>1</x:v>
      </x:c>
      <x:c r="P898" s="67" t="n">
        <x:f>IF(COUNT(N898:O898)=0,"",SUM(N898:O898))</x:f>
        <x:v>0.5</x:v>
      </x:c>
      <x:c r="Q898" s="65"/>
      <x:c r="R898" s="65" t="str">
        <x:v>赛果2-1；日本 +0.75 输半；大2.5 赢。</x:v>
      </x:c>
    </x:row>
    <x:row r="899" ht="38" customHeight="1">
      <x:c r="A899" s="65" t="str">
        <x:f>IF(B899="","",TEXT(B899,"yyyy-mm-dd")&amp;"|"&amp;D899&amp;"|"&amp;E899)</x:f>
        <x:v>2026-06-28|阿尔及利亚|奥地利</x:v>
      </x:c>
      <x:c r="B899" s="66" t="n">
        <x:v>46201.416666666664</x:v>
      </x:c>
      <x:c r="C899" s="65" t="str">
        <x:v>国际足联世界杯</x:v>
      </x:c>
      <x:c r="D899" s="65" t="str">
        <x:v>阿尔及利亚</x:v>
      </x:c>
      <x:c r="E899" s="65" t="str">
        <x:v>奥地利</x:v>
      </x:c>
      <x:c r="F899" s="65" t="str">
        <x:v>阿尔及利亚 +0.25（约0.88-0.95，低于0.80不进单）</x:v>
      </x:c>
      <x:c r="G899" s="65" t="str">
        <x:v>大 1.75（约0.88-0.95，小注；低于0.80不进单）</x:v>
      </x:c>
      <x:c r="H899" s="65" t="str">
        <x:v>阿尔及利亚 0（平手/DNB）高水可替代；大2.5高水小注可选；不加仓</x:v>
      </x:c>
      <x:c r="I899" s="66" t="n">
        <x:v>46201.39196759259</x:v>
      </x:c>
      <x:c r="J899" s="65" t="str">
        <x:v>已结算</x:v>
      </x:c>
      <x:c r="K899" s="65" t="str">
        <x:v>3-3</x:v>
      </x:c>
      <x:c r="L899" s="65" t="str">
        <x:v>赢半</x:v>
      </x:c>
      <x:c r="M899" s="65" t="str">
        <x:v>赢</x:v>
      </x:c>
      <x:c r="N899" s="67" t="n">
        <x:v>0.5</x:v>
      </x:c>
      <x:c r="O899" s="67" t="n">
        <x:v>1</x:v>
      </x:c>
      <x:c r="P899" s="67" t="n">
        <x:f>IF(COUNT(N899:O899)=0,"",SUM(N899:O899))</x:f>
        <x:v>1.5</x:v>
      </x:c>
      <x:c r="Q899" s="65"/>
      <x:c r="R899" s="65" t="str">
        <x:v>赛果3-3；阿尔及利亚 +0.25 赢半；大1.75 赢。</x:v>
      </x:c>
    </x:row>
    <x:row r="900" ht="38" customHeight="1">
      <x:c r="A900" s="65" t="str">
        <x:f>IF(B900="","",TEXT(B900,"yyyy-mm-dd")&amp;"|"&amp;D900&amp;"|"&amp;E900)</x:f>
        <x:v>2026-06-26|黑德堡联（Heidelberg United）|欧克莱卡诺（Oakleigh Cannons）</x:v>
      </x:c>
      <x:c r="B900" s="66" t="n">
        <x:v>46199.729166666664</x:v>
      </x:c>
      <x:c r="C900" s="65" t="str">
        <x:v>澳大利亚维多利亚州超级联赛1（VPL1）</x:v>
      </x:c>
      <x:c r="D900" s="65" t="str">
        <x:v>黑德堡联（Heidelberg United）</x:v>
      </x:c>
      <x:c r="E900" s="65" t="str">
        <x:v>欧克莱卡诺（Oakleigh Cannons）</x:v>
      </x:c>
      <x:c r="F900" s="65" t="str">
        <x:v>欧克莱卡诺 -0.25（约0.88-1.01，低于0.80不进单，不追-0.5低水）</x:v>
      </x:c>
      <x:c r="G900" s="65" t="str">
        <x:v>大 3.0（约0.90-1.00，小注；低于0.80不进单）</x:v>
      </x:c>
      <x:c r="H900" s="65" t="str">
        <x:v>大3.5高水小注可选；BTTS Yes方向成立但低水不进；不加仓</x:v>
      </x:c>
      <x:c r="I900" s="66" t="n">
        <x:v>46201.39127314815</x:v>
      </x:c>
      <x:c r="J900" s="65" t="str">
        <x:v>已结算</x:v>
      </x:c>
      <x:c r="K900" s="65" t="str">
        <x:v>0-1</x:v>
      </x:c>
      <x:c r="L900" s="65" t="str">
        <x:v>赢</x:v>
      </x:c>
      <x:c r="M900" s="65" t="str">
        <x:v>输</x:v>
      </x:c>
      <x:c r="N900" s="67" t="n">
        <x:v>1</x:v>
      </x:c>
      <x:c r="O900" s="67" t="n">
        <x:v>-1</x:v>
      </x:c>
      <x:c r="P900" s="67" t="n">
        <x:f>IF(COUNT(N900:O900)=0,"",SUM(N900:O900))</x:f>
        <x:v>0</x:v>
      </x:c>
      <x:c r="Q900" s="65"/>
      <x:c r="R900" s="65" t="str">
        <x:v>赛果0-1；欧克莱卡诺 -0.25 赢；大3.0 输。</x:v>
      </x:c>
    </x:row>
    <x:row r="901" ht="38" customHeight="1">
      <x:c r="A901" s="65" t="str">
        <x:f>IF(B901="","",TEXT(B901,"yyyy-mm-dd")&amp;"|"&amp;D901&amp;"|"&amp;E901)</x:f>
        <x:v>2026-06-26|巴拉圭|澳大利亚</x:v>
      </x:c>
      <x:c r="B901" s="66" t="n">
        <x:v>46199.416666666664</x:v>
      </x:c>
      <x:c r="C901" s="65" t="str">
        <x:v>国际足联世界杯</x:v>
      </x:c>
      <x:c r="D901" s="65" t="str">
        <x:v>巴拉圭</x:v>
      </x:c>
      <x:c r="E901" s="65" t="str">
        <x:v>澳大利亚</x:v>
      </x:c>
      <x:c r="F901" s="65" t="str">
        <x:v>澳大利亚 0（平手/DNB，赛中0-0快照，约0.90-1.05，低于0.80不进单）</x:v>
      </x:c>
      <x:c r="G901" s="65" t="str">
        <x:v>大 1.0（赛中0-0快照，约0.85-0.95，小注，低于0.80不进单）</x:v>
      </x:c>
      <x:c r="H901" s="65" t="str">
        <x:v>平局方向成立，但若水位低于0.80不进；不加仓</x:v>
      </x:c>
      <x:c r="I901" s="66" t="n">
        <x:v>46201.39258101852</x:v>
      </x:c>
      <x:c r="J901" s="65" t="str">
        <x:v>已结算</x:v>
      </x:c>
      <x:c r="K901" s="65" t="str">
        <x:v>0-0</x:v>
      </x:c>
      <x:c r="L901" s="65" t="str">
        <x:v>走水</x:v>
      </x:c>
      <x:c r="M901" s="65" t="str">
        <x:v>输</x:v>
      </x:c>
      <x:c r="N901" s="67" t="n">
        <x:v>0</x:v>
      </x:c>
      <x:c r="O901" s="67" t="n">
        <x:v>-1</x:v>
      </x:c>
      <x:c r="P901" s="67" t="n">
        <x:f>IF(COUNT(N901:O901)=0,"",SUM(N901:O901))</x:f>
        <x:v>-1</x:v>
      </x:c>
      <x:c r="Q901" s="65"/>
      <x:c r="R901" s="65" t="str">
        <x:v>赛果0-0；澳大利亚 0（平手/DNB）走水；大1.0 输。</x:v>
      </x:c>
    </x:row>
    <x:row r="902" ht="38" customHeight="1">
      <x:c r="A902" s="65" t="str">
        <x:f>IF(B902="","",TEXT(B902,"yyyy-mm-dd")&amp;"|"&amp;D902&amp;"|"&amp;E902)</x:f>
        <x:v>2026-06-26|土耳其|美国</x:v>
      </x:c>
      <x:c r="B902" s="66" t="n">
        <x:v>46199.416666666664</x:v>
      </x:c>
      <x:c r="C902" s="65" t="str">
        <x:v>国际足联世界杯</x:v>
      </x:c>
      <x:c r="D902" s="65" t="str">
        <x:v>土耳其</x:v>
      </x:c>
      <x:c r="E902" s="65" t="str">
        <x:v>美国</x:v>
      </x:c>
      <x:c r="F902" s="65" t="str">
        <x:v>美国 -0.5（约0.95，低于0.80不进单，不追-1或-1.5）</x:v>
      </x:c>
      <x:c r="G902" s="65" t="str">
        <x:v>小 2.5（约1.25，小注，低于0.80不进单）</x:v>
      </x:c>
      <x:c r="H902" s="65" t="str">
        <x:v>美国胜且小3.5可作保守替代，但组合水位需≥0.80；不加仓</x:v>
      </x:c>
      <x:c r="I902" s="66" t="n">
        <x:v>46199.45548611111</x:v>
      </x:c>
      <x:c r="J902" s="65" t="str">
        <x:v>已结算</x:v>
      </x:c>
      <x:c r="K902" s="65" t="str">
        <x:v>3-2</x:v>
      </x:c>
      <x:c r="L902" s="65" t="str">
        <x:v>输</x:v>
      </x:c>
      <x:c r="M902" s="65" t="str">
        <x:v>输</x:v>
      </x:c>
      <x:c r="N902" s="67" t="n">
        <x:v>-1</x:v>
      </x:c>
      <x:c r="O902" s="67" t="n">
        <x:v>-1</x:v>
      </x:c>
      <x:c r="P902" s="67" t="n">
        <x:f>IF(COUNT(N902:O902)=0,"",SUM(N902:O902))</x:f>
        <x:v>-2</x:v>
      </x:c>
      <x:c r="Q902" s="65"/>
      <x:c r="R902" s="65" t="str">
        <x:v>赛果3-2；美国 -0.5 输；小2.5 输。</x:v>
      </x:c>
    </x:row>
    <x:row r="903" ht="38" customHeight="1">
      <x:c r="A903" s="65" t="str">
        <x:f>IF(B903="","",TEXT(B903,"yyyy-mm-dd")&amp;"|"&amp;D903&amp;"|"&amp;E903)</x:f>
        <x:v>2026-06-26|日本|瑞典</x:v>
      </x:c>
      <x:c r="B903" s="66" t="n">
        <x:v>46199.291666666664</x:v>
      </x:c>
      <x:c r="C903" s="65" t="str">
        <x:v>国际足联世界杯</x:v>
      </x:c>
      <x:c r="D903" s="65" t="str">
        <x:v>日本</x:v>
      </x:c>
      <x:c r="E903" s="65" t="str">
        <x:v>瑞典</x:v>
      </x:c>
      <x:c r="F903" s="65" t="str">
        <x:v>瑞典 +0.5（约0.88，低于0.80不进单）</x:v>
      </x:c>
      <x:c r="G903" s="65" t="str">
        <x:v>大 2.5（约0.90-0.91，低于0.80不进单）</x:v>
      </x:c>
      <x:c r="H903" s="65" t="str">
        <x:v>BTTS Yes方向成立但约0.71低水不进；不加仓</x:v>
      </x:c>
      <x:c r="I903" s="66" t="n">
        <x:v>46199.421423611115</x:v>
      </x:c>
      <x:c r="J903" s="65" t="str">
        <x:v>已结算</x:v>
      </x:c>
      <x:c r="K903" s="65" t="str">
        <x:v>1-1</x:v>
      </x:c>
      <x:c r="L903" s="65" t="str">
        <x:v>赢</x:v>
      </x:c>
      <x:c r="M903" s="65" t="str">
        <x:v>输</x:v>
      </x:c>
      <x:c r="N903" s="67" t="n">
        <x:v>1</x:v>
      </x:c>
      <x:c r="O903" s="67" t="n">
        <x:v>-1</x:v>
      </x:c>
      <x:c r="P903" s="67" t="n">
        <x:f>IF(COUNT(N903:O903)=0,"",SUM(N903:O903))</x:f>
        <x:v>0</x:v>
      </x:c>
      <x:c r="Q903" s="65"/>
      <x:c r="R903" s="65" t="str">
        <x:v>赛果1-1；瑞典 +0.5 赢；大2.5 输。</x:v>
      </x:c>
    </x:row>
    <x:row r="904" ht="38" customHeight="1">
      <x:c r="A904" s="65" t="str">
        <x:f>IF(B904="","",TEXT(B904,"yyyy-mm-dd")&amp;"|"&amp;D904&amp;"|"&amp;E904)</x:f>
        <x:v>2026-06-24|哥伦比亚|刚果民主共和国（刚果金）</x:v>
      </x:c>
      <x:c r="B904" s="66" t="n">
        <x:v>46197.416666666664</x:v>
      </x:c>
      <x:c r="C904" s="65" t="str">
        <x:v>国际足联世界杯</x:v>
      </x:c>
      <x:c r="D904" s="65" t="str">
        <x:v>哥伦比亚</x:v>
      </x:c>
      <x:c r="E904" s="65" t="str">
        <x:v>刚果民主共和国（刚果金）</x:v>
      </x:c>
      <x:c r="F904" s="65" t="str">
        <x:v>刚果民主共和国（刚果金） +1（约0.87-0.95，低于0.80不进单）</x:v>
      </x:c>
      <x:c r="G904" s="65" t="str">
        <x:v>大 2.5（约1.08，小注；低于0.80不进单）</x:v>
      </x:c>
      <x:c r="H904" s="65" t="str">
        <x:v>BTTS Yes 高水小注可选；不加仓</x:v>
      </x:c>
      <x:c r="I904" s="66" t="n">
        <x:v>46197.385671296295</x:v>
      </x:c>
      <x:c r="J904" s="65" t="str">
        <x:v>已结算</x:v>
      </x:c>
      <x:c r="K904" s="65" t="str">
        <x:v>1-0</x:v>
      </x:c>
      <x:c r="L904" s="65" t="str">
        <x:v>走水</x:v>
      </x:c>
      <x:c r="M904" s="65" t="str">
        <x:v>输</x:v>
      </x:c>
      <x:c r="N904" s="67" t="n">
        <x:v>0</x:v>
      </x:c>
      <x:c r="O904" s="67" t="n">
        <x:v>-1</x:v>
      </x:c>
      <x:c r="P904" s="67" t="n">
        <x:f>IF(COUNT(N904:O904)=0,"",SUM(N904:O904))</x:f>
        <x:v>-1</x:v>
      </x:c>
      <x:c r="Q904" s="65"/>
      <x:c r="R904" s="65" t="str">
        <x:v>赛果1-0；刚果民主共和国（刚果金） +1 走水；大2.5 输。</x:v>
      </x:c>
    </x:row>
    <x:row r="905" ht="38" customHeight="1">
      <x:c r="A905" s="65" t="str">
        <x:f>IF(B905="","",TEXT(B905,"yyyy-mm-dd")&amp;"|"&amp;D905&amp;"|"&amp;E905)</x:f>
        <x:v>2026-06-23|约旦|阿尔及利亚</x:v>
      </x:c>
      <x:c r="B905" s="66" t="n">
        <x:v>46196.458333333336</x:v>
      </x:c>
      <x:c r="C905" s="65" t="str">
        <x:v>国际足联世界杯</x:v>
      </x:c>
      <x:c r="D905" s="65" t="str">
        <x:v>约旦</x:v>
      </x:c>
      <x:c r="E905" s="65" t="str">
        <x:v>阿尔及利亚</x:v>
      </x:c>
      <x:c r="F905" s="65" t="str">
        <x:v>约旦 +1（约0.95-0.96，低于0.80不进单）</x:v>
      </x:c>
      <x:c r="G905" s="65" t="str">
        <x:v>小 2.5（约0.89-0.91，小注，低于0.80不进单）</x:v>
      </x:c>
      <x:c r="H905" s="65" t="str">
        <x:v>阿尔及利亚独赢方向成立但水位太低，不进单；不加仓</x:v>
      </x:c>
      <x:c r="I905" s="66" t="n">
        <x:v>46196.47861111111</x:v>
      </x:c>
      <x:c r="J905" s="65" t="str">
        <x:v>已结算</x:v>
      </x:c>
      <x:c r="K905" s="65" t="str">
        <x:v>1-2</x:v>
      </x:c>
      <x:c r="L905" s="65" t="str">
        <x:v>走水</x:v>
      </x:c>
      <x:c r="M905" s="65" t="str">
        <x:v>输</x:v>
      </x:c>
      <x:c r="N905" s="67" t="n">
        <x:v>0</x:v>
      </x:c>
      <x:c r="O905" s="67" t="n">
        <x:v>-1</x:v>
      </x:c>
      <x:c r="P905" s="67" t="n">
        <x:f>IF(COUNT(N905:O905)=0,"",SUM(N905:O905))</x:f>
        <x:v>-1</x:v>
      </x:c>
      <x:c r="Q905" s="65"/>
      <x:c r="R905" s="65" t="str">
        <x:v>赛果1-2；约旦 +1 走水；小2.5 输。</x:v>
      </x:c>
    </x:row>
    <x:row r="906" ht="38" customHeight="1">
      <x:c r="A906" s="65" t="str">
        <x:f>IF(B906="","",TEXT(B906,"yyyy-mm-dd")&amp;"|"&amp;D906&amp;"|"&amp;E906)</x:f>
        <x:v>2026-06-23|挪威|塞内加尔</x:v>
      </x:c>
      <x:c r="B906" s="66" t="n">
        <x:v>46196.333333333336</x:v>
      </x:c>
      <x:c r="C906" s="65" t="str">
        <x:v>国际足联世界杯</x:v>
      </x:c>
      <x:c r="D906" s="65" t="str">
        <x:v>挪威</x:v>
      </x:c>
      <x:c r="E906" s="65" t="str">
        <x:v>塞内加尔</x:v>
      </x:c>
      <x:c r="F906" s="65" t="str">
        <x:v>塞内加尔 +0.25（约0.90-0.92，低于0.80不进单）</x:v>
      </x:c>
      <x:c r="G906" s="65" t="str">
        <x:v>大 2.5（仅限约0.88-0.95水位，小注；低于0.80不进单）</x:v>
      </x:c>
      <x:c r="H906" s="65" t="str">
        <x:v>双方进球BTTS是方向但1.58左右水位太低，不进单；不加仓</x:v>
      </x:c>
      <x:c r="I906" s="66" t="n">
        <x:v>46196.34811342593</x:v>
      </x:c>
      <x:c r="J906" s="65" t="str">
        <x:v>已结算</x:v>
      </x:c>
      <x:c r="K906" s="65" t="str">
        <x:v>3-2</x:v>
      </x:c>
      <x:c r="L906" s="65" t="str">
        <x:v>输</x:v>
      </x:c>
      <x:c r="M906" s="65" t="str">
        <x:v>赢</x:v>
      </x:c>
      <x:c r="N906" s="67" t="n">
        <x:v>-1</x:v>
      </x:c>
      <x:c r="O906" s="67" t="n">
        <x:v>1</x:v>
      </x:c>
      <x:c r="P906" s="67" t="n">
        <x:f>IF(COUNT(N906:O906)=0,"",SUM(N906:O906))</x:f>
        <x:v>0</x:v>
      </x:c>
      <x:c r="Q906" s="65"/>
      <x:c r="R906" s="65" t="str">
        <x:v>赛果3-2；塞内加尔 +0.25 输；大2.5 赢。</x:v>
      </x:c>
    </x:row>
    <x:row r="907" ht="38" customHeight="1">
      <x:c r="A907" s="65" t="str">
        <x:f>IF(B907="","",TEXT(B907,"yyyy-mm-dd")&amp;"|"&amp;D907&amp;"|"&amp;E907)</x:f>
        <x:v>2026-06-23|法国|伊拉克</x:v>
      </x:c>
      <x:c r="B907" s="66" t="n">
        <x:v>46196.208333333336</x:v>
      </x:c>
      <x:c r="C907" s="65" t="str">
        <x:v>国际足联世界杯</x:v>
      </x:c>
      <x:c r="D907" s="65" t="str">
        <x:v>法国</x:v>
      </x:c>
      <x:c r="E907" s="65" t="str">
        <x:v>伊拉克</x:v>
      </x:c>
      <x:c r="F907" s="65" t="str">
        <x:v>伊拉克 +2.5（约0.83-1.03，低于0.80不进单）</x:v>
      </x:c>
      <x:c r="G907" s="65" t="str">
        <x:v>小 3.5（约0.87-0.91，低于0.80不进单）</x:v>
      </x:c>
      <x:c r="H907" s="65" t="str">
        <x:v>法国胜且小4.5可作保守替代，但组合水位若低于0.80不进单；不加仓</x:v>
      </x:c>
      <x:c r="I907" s="66" t="n">
        <x:v>46196.35403935185</x:v>
      </x:c>
      <x:c r="J907" s="65" t="str">
        <x:v>已结算</x:v>
      </x:c>
      <x:c r="K907" s="65" t="str">
        <x:v>3-0</x:v>
      </x:c>
      <x:c r="L907" s="65" t="str">
        <x:v>输</x:v>
      </x:c>
      <x:c r="M907" s="65" t="str">
        <x:v>赢</x:v>
      </x:c>
      <x:c r="N907" s="67" t="n">
        <x:v>-1</x:v>
      </x:c>
      <x:c r="O907" s="67" t="n">
        <x:v>1</x:v>
      </x:c>
      <x:c r="P907" s="67" t="n">
        <x:f>IF(COUNT(N907:O907)=0,"",SUM(N907:O907))</x:f>
        <x:v>0</x:v>
      </x:c>
      <x:c r="Q907" s="65"/>
      <x:c r="R907" s="65" t="str">
        <x:v>赛果3-0；伊拉克 +2.5 输；小3.5 赢。</x:v>
      </x:c>
    </x:row>
    <x:row r="908" ht="38" customHeight="1">
      <x:c r="A908" s="65" t="str">
        <x:f>IF(B908="","",TEXT(B908,"yyyy-mm-dd")&amp;"|"&amp;D908&amp;"|"&amp;E908)</x:f>
        <x:v>2026-06-23|阿根廷|奥地利</x:v>
      </x:c>
      <x:c r="B908" s="66" t="n">
        <x:v>46196.041666666664</x:v>
      </x:c>
      <x:c r="C908" s="65" t="str">
        <x:v>国际足联世界杯</x:v>
      </x:c>
      <x:c r="D908" s="65" t="str">
        <x:v>阿根廷</x:v>
      </x:c>
      <x:c r="E908" s="65" t="str">
        <x:v>奥地利</x:v>
      </x:c>
      <x:c r="F908" s="65" t="str">
        <x:v>阿根廷 -1（约0.82-0.84，低于0.80不进单）</x:v>
      </x:c>
      <x:c r="G908" s="65" t="str">
        <x:v>大 2.5（约0.90-0.93，小注，低于0.80不进单）</x:v>
      </x:c>
      <x:c r="H908" s="65" t="str">
        <x:v>阿根廷 -1.5 高水小注可选，不作为主推；不加仓</x:v>
      </x:c>
      <x:c r="I908" s="66" t="n">
        <x:v>46195.645844907405</x:v>
      </x:c>
      <x:c r="J908" s="65" t="str">
        <x:v>已结算</x:v>
      </x:c>
      <x:c r="K908" s="65" t="str">
        <x:v>2-0</x:v>
      </x:c>
      <x:c r="L908" s="65" t="str">
        <x:v>赢</x:v>
      </x:c>
      <x:c r="M908" s="65" t="str">
        <x:v>输</x:v>
      </x:c>
      <x:c r="N908" s="67" t="n">
        <x:v>1</x:v>
      </x:c>
      <x:c r="O908" s="67" t="n">
        <x:v>-1</x:v>
      </x:c>
      <x:c r="P908" s="67" t="n">
        <x:f>IF(COUNT(N908:O908)=0,"",SUM(N908:O908))</x:f>
        <x:v>0</x:v>
      </x:c>
      <x:c r="Q908" s="65"/>
      <x:c r="R908" s="65" t="str">
        <x:v>赛果2-0；阿根廷 -1 赢；大2.5 输。</x:v>
      </x:c>
    </x:row>
    <x:row r="909" ht="38" customHeight="1">
      <x:c r="A909" s="65" t="str">
        <x:f>IF(B909="","",TEXT(B909,"yyyy-mm-dd")&amp;"|"&amp;D909&amp;"|"&amp;E909)</x:f>
        <x:v>2026-06-22|墨尔本胜利青年队|布伦瑞克城</x:v>
      </x:c>
      <x:c r="B909" s="66" t="n">
        <x:v>46195.760416666664</x:v>
      </x:c>
      <x:c r="C909" s="65" t="str">
        <x:v>澳大利亚维多利亚州超级联赛1（VPL1）</x:v>
      </x:c>
      <x:c r="D909" s="65" t="str">
        <x:v>墨尔本胜利青年队</x:v>
      </x:c>
      <x:c r="E909" s="65" t="str">
        <x:v>布伦瑞克城</x:v>
      </x:c>
      <x:c r="F909" s="65" t="str">
        <x:v>墨尔本胜利青年队 -1（约0.84-0.91，低于0.80不进单，不追-1.25）</x:v>
      </x:c>
      <x:c r="G909" s="65" t="str">
        <x:v>大 3.5（约0.82-0.87，低于0.80不进单）</x:v>
      </x:c>
      <x:c r="H909" s="65" t="str">
        <x:v>大 3.75 高水小注可选；不加仓让球</x:v>
      </x:c>
      <x:c r="I909" s="66" t="n">
        <x:v>46195.789305555554</x:v>
      </x:c>
      <x:c r="J909" s="65" t="str">
        <x:v>已结算</x:v>
      </x:c>
      <x:c r="K909" s="65" t="str">
        <x:v>4-1</x:v>
      </x:c>
      <x:c r="L909" s="65" t="str">
        <x:v>赢</x:v>
      </x:c>
      <x:c r="M909" s="65" t="str">
        <x:v>赢</x:v>
      </x:c>
      <x:c r="N909" s="67" t="n">
        <x:v>1</x:v>
      </x:c>
      <x:c r="O909" s="67" t="n">
        <x:v>1</x:v>
      </x:c>
      <x:c r="P909" s="67" t="n">
        <x:f>IF(COUNT(N909:O909)=0,"",SUM(N909:O909))</x:f>
        <x:v>2</x:v>
      </x:c>
      <x:c r="Q909" s="65"/>
      <x:c r="R909" s="65" t="str">
        <x:v>赛果4-1；墨尔本胜利青年队 -1 赢；大3.5 赢。</x:v>
      </x:c>
    </x:row>
    <x:row r="910" ht="38" customHeight="1">
      <x:c r="A910" s="65" t="str">
        <x:f>IF(B910="","",TEXT(B910,"yyyy-mm-dd")&amp;"|"&amp;D910&amp;"|"&amp;E910)</x:f>
        <x:v>2026-06-21|突尼斯|日本</x:v>
      </x:c>
      <x:c r="B910" s="66" t="n">
        <x:v>46194.5</x:v>
      </x:c>
      <x:c r="C910" s="65" t="str">
        <x:v>国际足联世界杯</x:v>
      </x:c>
      <x:c r="D910" s="65" t="str">
        <x:v>突尼斯</x:v>
      </x:c>
      <x:c r="E910" s="65" t="str">
        <x:v>日本</x:v>
      </x:c>
      <x:c r="F910" s="65" t="str">
        <x:v>突尼斯 +1.0（受让一球），参考+107/十进制2.07/港水1.07；低于0.80不进单；若能拿+1.25且水位≥0.85更优</x:v>
      </x:c>
      <x:c r="G910" s="65" t="str">
        <x:v>大 2.5，参考-105~+117/十进制1.95~2.17/港水0.95~1.17；低于0.80不进单</x:v>
      </x:c>
      <x:c r="H910" s="65" t="str">
        <x:v>小注；比分参考1-2/2-2/2-1；日本-1低于0.80不进单，若已开赛或赛中不追旧盘</x:v>
      </x:c>
      <x:c r="I910" s="66" t="n">
        <x:v>46194.444756944446</x:v>
      </x:c>
      <x:c r="J910" s="65" t="str">
        <x:v>已结算</x:v>
      </x:c>
      <x:c r="K910" s="65" t="str">
        <x:v>0-4</x:v>
      </x:c>
      <x:c r="L910" s="65" t="str">
        <x:v>输</x:v>
      </x:c>
      <x:c r="M910" s="65" t="str">
        <x:v>赢</x:v>
      </x:c>
      <x:c r="N910" s="67" t="n">
        <x:v>-1</x:v>
      </x:c>
      <x:c r="O910" s="67" t="n">
        <x:v>1</x:v>
      </x:c>
      <x:c r="P910" s="67" t="n">
        <x:f>IF(COUNT(N910:O910)=0,"",SUM(N910:O910))</x:f>
        <x:v>0</x:v>
      </x:c>
      <x:c r="Q910" s="65"/>
      <x:c r="R910" s="65" t="str">
        <x:v>赛果0-4；突尼斯 +1.0 输；大2.5 赢。</x:v>
      </x:c>
    </x:row>
    <x:row r="911" ht="38" customHeight="1">
      <x:c r="A911" s="65" t="str">
        <x:f>IF(B911="","",TEXT(B911,"yyyy-mm-dd")&amp;"|"&amp;D911&amp;"|"&amp;E911)</x:f>
        <x:v>2026-06-21|厄瓜多尔|库拉索</x:v>
      </x:c>
      <x:c r="B911" s="66" t="n">
        <x:v>46194.333333333336</x:v>
      </x:c>
      <x:c r="C911" s="65" t="str">
        <x:v>国际足联世界杯</x:v>
      </x:c>
      <x:c r="D911" s="65" t="str">
        <x:v>厄瓜多尔</x:v>
      </x:c>
      <x:c r="E911" s="65" t="str">
        <x:v>库拉索</x:v>
      </x:c>
      <x:c r="F911" s="65" t="str">
        <x:v>库拉索 +2.5，参考-116/十进制1.86/港水0.86；低于0.80不进单；若已开赛不追旧盘</x:v>
      </x:c>
      <x:c r="G911" s="65" t="str">
        <x:v>小 2.5，参考+130~+137/十进制2.30~2.37/港水1.30~1.37；大2.5低水不进单</x:v>
      </x:c>
      <x:c r="H911" s="65" t="str">
        <x:v>小注；比分参考1-0/2-0/2-1；若库拉索+2.5跌破0.80或只能拿+3低水则放弃，若已开赛/赛中不追旧盘</x:v>
      </x:c>
      <x:c r="I911" s="66" t="n">
        <x:v>46194.309375</x:v>
      </x:c>
      <x:c r="J911" s="65" t="str">
        <x:v>已结算</x:v>
      </x:c>
      <x:c r="K911" s="65" t="str">
        <x:v>0-0</x:v>
      </x:c>
      <x:c r="L911" s="65" t="str">
        <x:v>赢</x:v>
      </x:c>
      <x:c r="M911" s="65" t="str">
        <x:v>赢</x:v>
      </x:c>
      <x:c r="N911" s="67" t="n">
        <x:v>1</x:v>
      </x:c>
      <x:c r="O911" s="67" t="n">
        <x:v>1</x:v>
      </x:c>
      <x:c r="P911" s="67" t="n">
        <x:f>IF(COUNT(N911:O911)=0,"",SUM(N911:O911))</x:f>
        <x:v>2</x:v>
      </x:c>
      <x:c r="Q911" s="65"/>
      <x:c r="R911" s="65" t="str">
        <x:v>赛果0-0；库拉索 +2.5 赢；小2.5 赢。</x:v>
      </x:c>
    </x:row>
    <x:row r="912" ht="38" customHeight="1">
      <x:c r="A912" s="65" t="str">
        <x:f>IF(B912="","",TEXT(B912,"yyyy-mm-dd")&amp;"|"&amp;D912&amp;"|"&amp;E912)</x:f>
        <x:v>2026-06-21|德国|科特迪瓦</x:v>
      </x:c>
      <x:c r="B912" s="66" t="n">
        <x:v>46194.166666666664</x:v>
      </x:c>
      <x:c r="C912" s="65" t="str">
        <x:v>国际足联世界杯</x:v>
      </x:c>
      <x:c r="D912" s="65" t="str">
        <x:v>德国</x:v>
      </x:c>
      <x:c r="E912" s="65" t="str">
        <x:v>科特迪瓦</x:v>
      </x:c>
      <x:c r="F912" s="65" t="str">
        <x:v>科特迪瓦 +1.25（受让一球/球半），参考1.93/港水0.93；低于0.80不进单；若已开赛不追旧盘</x:v>
      </x:c>
      <x:c r="G912" s="65" t="str">
        <x:v>小 2.5，参考2.38~2.50/港水1.38~1.50；大2.5低水不进单</x:v>
      </x:c>
      <x:c r="H912" s="65" t="str">
        <x:v>小注；比分参考1-0/2-0/1-1；若科特迪瓦+1.25降到&lt;0.80或只能拿+1.5低水则放弃，若已开赛或完赛不追旧盘</x:v>
      </x:c>
      <x:c r="I912" s="66" t="n">
        <x:v>46194.15021990741</x:v>
      </x:c>
      <x:c r="J912" s="65" t="str">
        <x:v>已结算</x:v>
      </x:c>
      <x:c r="K912" s="65" t="str">
        <x:v>2-1</x:v>
      </x:c>
      <x:c r="L912" s="65" t="str">
        <x:v>赢半</x:v>
      </x:c>
      <x:c r="M912" s="65" t="str">
        <x:v>输</x:v>
      </x:c>
      <x:c r="N912" s="67" t="n">
        <x:v>0.5</x:v>
      </x:c>
      <x:c r="O912" s="67" t="n">
        <x:v>-1</x:v>
      </x:c>
      <x:c r="P912" s="67" t="n">
        <x:f>IF(COUNT(N912:O912)=0,"",SUM(N912:O912))</x:f>
        <x:v>-0.5</x:v>
      </x:c>
      <x:c r="Q912" s="65"/>
      <x:c r="R912" s="65" t="str">
        <x:v>赛果2-1；科特迪瓦 +1.25 赢半；小2.5 输。</x:v>
      </x:c>
    </x:row>
    <x:row r="913" ht="38" customHeight="1">
      <x:c r="A913" s="65" t="str">
        <x:f>IF(B913="","",TEXT(B913,"yyyy-mm-dd")&amp;"|"&amp;D913&amp;"|"&amp;E913)</x:f>
        <x:v>2026-06-21|荷兰|瑞典</x:v>
      </x:c>
      <x:c r="B913" s="66" t="n">
        <x:v>46194.041666666664</x:v>
      </x:c>
      <x:c r="C913" s="65" t="str">
        <x:v>国际足联世界杯</x:v>
      </x:c>
      <x:c r="D913" s="65" t="str">
        <x:v>荷兰</x:v>
      </x:c>
      <x:c r="E913" s="65" t="str">
        <x:v>瑞典</x:v>
      </x:c>
      <x:c r="F913" s="65" t="str">
        <x:v>荷兰 -0.75，参考-114/十进制1.88/港水0.88；低于0.80不进单；若临场升到-1低水则放弃</x:v>
      </x:c>
      <x:c r="G913" s="65" t="str">
        <x:v>大 3.5，参考+220/十进制3.20/港水2.20，小小注；大2.5低水不进单</x:v>
      </x:c>
      <x:c r="H913" s="65" t="str">
        <x:v>小注；比分参考2-1/3-1/2-2；若已开赛或已完赛不追旧盘；大3.5只作高水价值单</x:v>
      </x:c>
      <x:c r="I913" s="66" t="n">
        <x:v>46194.064675925925</x:v>
      </x:c>
      <x:c r="J913" s="65" t="str">
        <x:v>已结算</x:v>
      </x:c>
      <x:c r="K913" s="65" t="str">
        <x:v>5-1</x:v>
      </x:c>
      <x:c r="L913" s="65" t="str">
        <x:v>赢</x:v>
      </x:c>
      <x:c r="M913" s="65" t="str">
        <x:v>赢</x:v>
      </x:c>
      <x:c r="N913" s="67" t="n">
        <x:v>1</x:v>
      </x:c>
      <x:c r="O913" s="67" t="n">
        <x:v>1</x:v>
      </x:c>
      <x:c r="P913" s="67" t="n">
        <x:f>IF(COUNT(N913:O913)=0,"",SUM(N913:O913))</x:f>
        <x:v>2</x:v>
      </x:c>
      <x:c r="Q913" s="65"/>
      <x:c r="R913" s="65" t="str">
        <x:v>赛果5-1；荷兰 -0.75 赢；大3.5 赢。</x:v>
      </x:c>
    </x:row>
    <x:row r="914" ht="38" customHeight="1">
      <x:c r="A914" s="65" t="str">
        <x:f>IF(B914="","",TEXT(B914,"yyyy-mm-dd")&amp;"|"&amp;D914&amp;"|"&amp;E914)</x:f>
        <x:v>2026-06-20|艾文代尔（Avondale FC）|丹德农迅雷（Dandenong Thunder）</x:v>
      </x:c>
      <x:c r="B914" s="66" t="n">
        <x:v>46193.541666666664</x:v>
      </x:c>
      <x:c r="C914" s="65" t="str">
        <x:v>澳大利亚维多利亚州超级联赛1（VPL1）</x:v>
      </x:c>
      <x:c r="D914" s="65" t="str">
        <x:v>艾文代尔（Avondale FC）</x:v>
      </x:c>
      <x:c r="E914" s="65" t="str">
        <x:v>丹德农迅雷（Dandenong Thunder）</x:v>
      </x:c>
      <x:c r="F914" s="65" t="str">
        <x:v>艾文代尔 -1.5，参考水位0.82~0.90；低于0.80不进单；若只能拿-2低水则放弃</x:v>
      </x:c>
      <x:c r="G914" s="65" t="str">
        <x:v>大 3.5，参考17/20或1.85左右/港水0.85；若大3.25低水或大3.5跌破0.80则不进单</x:v>
      </x:c>
      <x:c r="H914" s="65" t="str">
        <x:v>小注；比分参考3-1/4-1/4-0；若已开赛不追旧盘，丹德农+2.5低水不进单</x:v>
      </x:c>
      <x:c r="I914" s="66" t="n">
        <x:v>46193.5378587963</x:v>
      </x:c>
      <x:c r="J914" s="65" t="str">
        <x:v>已结算</x:v>
      </x:c>
      <x:c r="K914" s="65" t="str">
        <x:v>11-0</x:v>
      </x:c>
      <x:c r="L914" s="65" t="str">
        <x:v>赢</x:v>
      </x:c>
      <x:c r="M914" s="65" t="str">
        <x:v>赢</x:v>
      </x:c>
      <x:c r="N914" s="67" t="n">
        <x:v>1</x:v>
      </x:c>
      <x:c r="O914" s="67" t="n">
        <x:v>1</x:v>
      </x:c>
      <x:c r="P914" s="67" t="n">
        <x:f>IF(COUNT(N914:O914)=0,"",SUM(N914:O914))</x:f>
        <x:v>2</x:v>
      </x:c>
      <x:c r="Q914" s="65"/>
      <x:c r="R914" s="65" t="str">
        <x:v>赛果11-0；艾文代尔 -1.5 赢；大3.5 赢。</x:v>
      </x:c>
    </x:row>
    <x:row r="915" ht="38" customHeight="1">
      <x:c r="A915" s="65" t="str">
        <x:f>IF(B915="","",TEXT(B915,"yyyy-mm-dd")&amp;"|"&amp;D915&amp;"|"&amp;E915)</x:f>
        <x:v>2026-06-20|休城（Hume City FC）|格林古利（Green Gully）</x:v>
      </x:c>
      <x:c r="B915" s="66" t="n">
        <x:v>46193.5</x:v>
      </x:c>
      <x:c r="C915" s="65" t="str">
        <x:v>澳大利亚维多利亚州超级联赛1（VPL1）</x:v>
      </x:c>
      <x:c r="D915" s="65" t="str">
        <x:v>休城（Hume City FC）</x:v>
      </x:c>
      <x:c r="E915" s="65" t="str">
        <x:v>格林古利（Green Gully）</x:v>
      </x:c>
      <x:c r="F915" s="65" t="str">
        <x:v>休城 -1.0（亚洲一球盘），参考水位0.82~0.90；低于0.80不进单；若只能拿-1.25低水则放弃</x:v>
      </x:c>
      <x:c r="G915" s="65" t="str">
        <x:v>双方进球：否 / 格林古利进球小0.5，参考BTTS No约2.20/港水1.20；传统大2.5低水不进单</x:v>
      </x:c>
      <x:c r="H915" s="65" t="str">
        <x:v>小注；比分参考2-0/3-0/3-1；若已开赛不追旧盘，若休城-1跌破0.80或升到-1.25低水则放弃</x:v>
      </x:c>
      <x:c r="I915" s="66" t="n">
        <x:v>46193.51559027778</x:v>
      </x:c>
      <x:c r="J915" s="65" t="str">
        <x:v>已结算</x:v>
      </x:c>
      <x:c r="K915" s="65" t="str">
        <x:v>3-2</x:v>
      </x:c>
      <x:c r="L915" s="65" t="str">
        <x:v>走水</x:v>
      </x:c>
      <x:c r="M915" s="65" t="str">
        <x:v>输</x:v>
      </x:c>
      <x:c r="N915" s="67" t="n">
        <x:v>0</x:v>
      </x:c>
      <x:c r="O915" s="67" t="n">
        <x:v>-1</x:v>
      </x:c>
      <x:c r="P915" s="67" t="n">
        <x:f>IF(COUNT(N915:O915)=0,"",SUM(N915:O915))</x:f>
        <x:v>-1</x:v>
      </x:c>
      <x:c r="Q915" s="65"/>
      <x:c r="R915" s="65" t="str">
        <x:v>赛果3-2；休城 -1.0 走水；双方进球：否/格林古利进球小0.5 输。</x:v>
      </x:c>
    </x:row>
    <x:row r="916" ht="38" customHeight="1">
      <x:c r="A916" s="65" t="str">
        <x:f>IF(B916="","",TEXT(B916,"yyyy-mm-dd")&amp;"|"&amp;D916&amp;"|"&amp;E916)</x:f>
        <x:v>2026-06-20|土耳其|巴拉圭</x:v>
      </x:c>
      <x:c r="B916" s="66" t="n">
        <x:v>46193.458333333336</x:v>
      </x:c>
      <x:c r="C916" s="65" t="str">
        <x:v>国际足联世界杯</x:v>
      </x:c>
      <x:c r="D916" s="65" t="str">
        <x:v>土耳其</x:v>
      </x:c>
      <x:c r="E916" s="65" t="str">
        <x:v>巴拉圭</x:v>
      </x:c>
      <x:c r="F916" s="65" t="str">
        <x:v>土耳其 -0.5，参考1.98~2.04/港水0.98~1.04；低于0.80不进单</x:v>
      </x:c>
      <x:c r="G916" s="65" t="str">
        <x:v>大 2.5，参考2.02~2.17/港水1.02~1.17；若只能拿低水大2.25可观察但不主推</x:v>
      </x:c>
      <x:c r="H916" s="65" t="str">
        <x:v>小注；比分参考2-1/3-1；土耳其若临场降到-0.75且水位低于0.95则不追，若大2.5跌破0.80放弃</x:v>
      </x:c>
      <x:c r="I916" s="66" t="n">
        <x:v>46193.43188657407</x:v>
      </x:c>
      <x:c r="J916" s="65" t="str">
        <x:v>已结算</x:v>
      </x:c>
      <x:c r="K916" s="65" t="str">
        <x:v>0-1</x:v>
      </x:c>
      <x:c r="L916" s="65" t="str">
        <x:v>输</x:v>
      </x:c>
      <x:c r="M916" s="65" t="str">
        <x:v>输</x:v>
      </x:c>
      <x:c r="N916" s="67" t="n">
        <x:v>-1</x:v>
      </x:c>
      <x:c r="O916" s="67" t="n">
        <x:v>-1</x:v>
      </x:c>
      <x:c r="P916" s="67" t="n">
        <x:f>IF(COUNT(N916:O916)=0,"",SUM(N916:O916))</x:f>
        <x:v>-2</x:v>
      </x:c>
      <x:c r="Q916" s="65"/>
      <x:c r="R916" s="65" t="str">
        <x:v>赛果0-1；土耳其 -0.5 输；大2.5 输。</x:v>
      </x:c>
    </x:row>
    <x:row r="917" ht="38" customHeight="1">
      <x:c r="A917" s="65" t="str">
        <x:f>IF(B917="","",TEXT(B917,"yyyy-mm-dd")&amp;"|"&amp;D917&amp;"|"&amp;E917)</x:f>
        <x:v>2026-06-20|巴西|海地</x:v>
      </x:c>
      <x:c r="B917" s="66" t="n">
        <x:v>46193.354166666664</x:v>
      </x:c>
      <x:c r="C917" s="65" t="str">
        <x:v>国际足联世界杯</x:v>
      </x:c>
      <x:c r="D917" s="65" t="str">
        <x:v>巴西</x:v>
      </x:c>
      <x:c r="E917" s="65" t="str">
        <x:v>海地</x:v>
      </x:c>
      <x:c r="F917" s="65" t="str">
        <x:v>巴西 -2.5（参考水位0.83~0.93；低于0.80不进单；若已赛中/完场不追旧盘）</x:v>
      </x:c>
      <x:c r="G917" s="65" t="str">
        <x:v>大 3.5（参考水位0.88~0.95；若跌破0.80不进单；不建议与让球重仓同关）</x:v>
      </x:c>
      <x:c r="H917" s="65" t="str">
        <x:v>小注；巴西-2.5≥0.85可主推，若只能拿巴西胜赔/DNB低水放弃；比分参考3-0/4-0/4-1</x:v>
      </x:c>
      <x:c r="I917" s="66" t="n">
        <x:v>46193.35159722222</x:v>
      </x:c>
      <x:c r="J917" s="65" t="str">
        <x:v>已结算</x:v>
      </x:c>
      <x:c r="K917" s="65" t="str">
        <x:v>3-0</x:v>
      </x:c>
      <x:c r="L917" s="65" t="str">
        <x:v>赢</x:v>
      </x:c>
      <x:c r="M917" s="65" t="str">
        <x:v>输</x:v>
      </x:c>
      <x:c r="N917" s="67" t="n">
        <x:v>1</x:v>
      </x:c>
      <x:c r="O917" s="67" t="n">
        <x:v>-1</x:v>
      </x:c>
      <x:c r="P917" s="67" t="n">
        <x:f>IF(COUNT(N917:O917)=0,"",SUM(N917:O917))</x:f>
        <x:v>0</x:v>
      </x:c>
      <x:c r="Q917" s="65"/>
      <x:c r="R917" s="65" t="str">
        <x:v>赛果3-0；巴西 -2.5 赢；大3.5 输。</x:v>
      </x:c>
    </x:row>
    <x:row r="918" ht="38" customHeight="1">
      <x:c r="A918" s="65" t="str">
        <x:f>IF(B918="","",TEXT(B918,"yyyy-mm-dd")&amp;"|"&amp;D918&amp;"|"&amp;E918)</x:f>
        <x:v>2026-06-20|苏格兰|摩洛哥</x:v>
      </x:c>
      <x:c r="B918" s="66" t="n">
        <x:v>46193.25</x:v>
      </x:c>
      <x:c r="C918" s="65" t="str">
        <x:v>国际足联世界杯</x:v>
      </x:c>
      <x:c r="D918" s="65" t="str">
        <x:v>苏格兰</x:v>
      </x:c>
      <x:c r="E918" s="65" t="str">
        <x:v>摩洛哥</x:v>
      </x:c>
      <x:c r="F918" s="65" t="str">
        <x:v>摩洛哥 -0.75（参考水位0.83左右；低于0.80不进单；若已赛中/完场不追旧盘）</x:v>
      </x:c>
      <x:c r="G918" s="65" t="str">
        <x:v>双方进球：否（BTTS No，参考水位0.68低水不进单；替代为小2.5仅水位≥0.80；若小2.5低水则放弃）</x:v>
      </x:c>
      <x:c r="H918" s="65" t="str">
        <x:v>小注；摩洛哥-0.75若≥0.83可主推，若只能拿摩洛哥胜赔/DNB低水放弃；大小球严格等水位，比分参考0-1/0-2/1-2</x:v>
      </x:c>
      <x:c r="I918" s="66" t="n">
        <x:v>46193.23159722222</x:v>
      </x:c>
      <x:c r="J918" s="65" t="str">
        <x:v>已结算</x:v>
      </x:c>
      <x:c r="K918" s="65" t="str">
        <x:v>0-1</x:v>
      </x:c>
      <x:c r="L918" s="65" t="str">
        <x:v>赢半</x:v>
      </x:c>
      <x:c r="M918" s="65" t="str">
        <x:v>赢</x:v>
      </x:c>
      <x:c r="N918" s="67" t="n">
        <x:v>0.5</x:v>
      </x:c>
      <x:c r="O918" s="67" t="n">
        <x:v>1</x:v>
      </x:c>
      <x:c r="P918" s="67" t="n">
        <x:f>IF(COUNT(N918:O918)=0,"",SUM(N918:O918))</x:f>
        <x:v>1.5</x:v>
      </x:c>
      <x:c r="Q918" s="65"/>
      <x:c r="R918" s="65" t="str">
        <x:v>赛果0-1；摩洛哥 -0.75 赢半；双方进球：否/小2.5方向 赢。</x:v>
      </x:c>
    </x:row>
    <x:row r="919" ht="38" customHeight="1">
      <x:c r="A919" s="65" t="str">
        <x:f>IF(B919="","",TEXT(B919,"yyyy-mm-dd")&amp;"|"&amp;D919&amp;"|"&amp;E919)</x:f>
        <x:v>2026-06-19|不伦瑞克尤文图斯|布琳狮子</x:v>
      </x:c>
      <x:c r="B919" s="66" t="n">
        <x:v>46192.770833333336</x:v>
      </x:c>
      <x:c r="C919" s="65" t="str">
        <x:v>澳大利亚维多利亚州超级联赛1（VPL1）</x:v>
      </x:c>
      <x:c r="D919" s="65" t="str">
        <x:v>不伦瑞克尤文图斯</x:v>
      </x:c>
      <x:c r="E919" s="65" t="str">
        <x:v>布琳狮子</x:v>
      </x:c>
      <x:c r="F919" s="65" t="str">
        <x:v>不伦瑞克尤文图斯 -0.5（参考水位0.88~0.95；低于0.80不进单）</x:v>
      </x:c>
      <x:c r="G919" s="65" t="str">
        <x:v>小 2.5（参考水位1.20~1.30，高水小注；大2.5低水不进单）</x:v>
      </x:c>
      <x:c r="H919" s="65" t="str">
        <x:v>小注；若不伦瑞克-0.5跌破0.80放弃，若只能拿1X低水不追；比分参考1-0/2-0/2-1</x:v>
      </x:c>
      <x:c r="I919" s="66" t="n">
        <x:v>46192.74228009259</x:v>
      </x:c>
      <x:c r="J919" s="65" t="str">
        <x:v>已结算</x:v>
      </x:c>
      <x:c r="K919" s="65" t="str">
        <x:v>1-5</x:v>
      </x:c>
      <x:c r="L919" s="65" t="str">
        <x:v>输</x:v>
      </x:c>
      <x:c r="M919" s="65" t="str">
        <x:v>输</x:v>
      </x:c>
      <x:c r="N919" s="67" t="n">
        <x:v>-1</x:v>
      </x:c>
      <x:c r="O919" s="67" t="n">
        <x:v>-1</x:v>
      </x:c>
      <x:c r="P919" s="67" t="n">
        <x:f>IF(COUNT(N919:O919)=0,"",SUM(N919:O919))</x:f>
        <x:v>-2</x:v>
      </x:c>
      <x:c r="Q919" s="65"/>
      <x:c r="R919" s="65" t="str">
        <x:v>赛果1-5；不伦瑞克尤文图斯 -0.5 输；小2.5 输。</x:v>
      </x:c>
    </x:row>
    <x:row r="920" ht="38" customHeight="1">
      <x:c r="A920" s="65" t="str">
        <x:f>IF(B920="","",TEXT(B920,"yyyy-mm-dd")&amp;"|"&amp;D920&amp;"|"&amp;E920)</x:f>
        <x:v>2026-06-19|埃尔特姆红背蛛|西部联青年队</x:v>
      </x:c>
      <x:c r="B920" s="66" t="n">
        <x:v>46192.770833333336</x:v>
      </x:c>
      <x:c r="C920" s="65" t="str">
        <x:v>澳大利亚维多利亚州超级联赛1（VPL1）</x:v>
      </x:c>
      <x:c r="D920" s="65" t="str">
        <x:v>埃尔特姆红背蛛</x:v>
      </x:c>
      <x:c r="E920" s="65" t="str">
        <x:v>西部联青年队</x:v>
      </x:c>
      <x:c r="F920" s="65" t="str">
        <x:v>埃尔特姆红背蛛 -0.75（参考水位0.85~0.95；主胜低水不进单；若已赛中不追旧盘）</x:v>
      </x:c>
      <x:c r="G920" s="65" t="str">
        <x:v>大 3.5（参考水位0.85~0.95；大2.5/大3低水不进单）</x:v>
      </x:c>
      <x:c r="H920" s="65" t="str">
        <x:v>小注；若埃尔特姆-0.75跌破0.80放弃，若只能拿主胜1.60~1.67低水不追；比分参考3-1/2-2/3-2</x:v>
      </x:c>
      <x:c r="I920" s="66" t="n">
        <x:v>46192.739594907405</x:v>
      </x:c>
      <x:c r="J920" s="65" t="str">
        <x:v>已结算</x:v>
      </x:c>
      <x:c r="K920" s="65" t="str">
        <x:v>3-4</x:v>
      </x:c>
      <x:c r="L920" s="65" t="str">
        <x:v>输</x:v>
      </x:c>
      <x:c r="M920" s="65" t="str">
        <x:v>赢</x:v>
      </x:c>
      <x:c r="N920" s="67" t="n">
        <x:v>-1</x:v>
      </x:c>
      <x:c r="O920" s="67" t="n">
        <x:v>1</x:v>
      </x:c>
      <x:c r="P920" s="67" t="n">
        <x:f>IF(COUNT(N920:O920)=0,"",SUM(N920:O920))</x:f>
        <x:v>0</x:v>
      </x:c>
      <x:c r="Q920" s="65"/>
      <x:c r="R920" s="65" t="str">
        <x:v>赛果3-4；埃尔特姆红背蛛 -0.75 输；大3.5 赢。</x:v>
      </x:c>
    </x:row>
    <x:row r="921" ht="38" customHeight="1">
      <x:c r="A921" s="65" t="str">
        <x:f>IF(B921="","",TEXT(B921,"yyyy-mm-dd")&amp;"|"&amp;D921&amp;"|"&amp;E921)</x:f>
        <x:v>2026-06-19|本特利绿茵|南墨尔本</x:v>
      </x:c>
      <x:c r="B921" s="66" t="n">
        <x:v>46192.729166666664</x:v>
      </x:c>
      <x:c r="C921" s="65" t="str">
        <x:v>澳大利亚维多利亚州超级联赛1（VPL1）</x:v>
      </x:c>
      <x:c r="D921" s="65" t="str">
        <x:v>本特利绿茵</x:v>
      </x:c>
      <x:c r="E921" s="65" t="str">
        <x:v>南墨尔本</x:v>
      </x:c>
      <x:c r="F921" s="65" t="str">
        <x:v>南墨尔本 -0.75（参考水位0.85~0.95；若只能拿南墨尔本胜赔低于0.80或升到-1低水则放弃）</x:v>
      </x:c>
      <x:c r="G921" s="65" t="str">
        <x:v>大 3.0（参考水位0.90~1.00；大2.5低水不进单）</x:v>
      </x:c>
      <x:c r="H921" s="65" t="str">
        <x:v>小注；若南墨尔本-0.75≥0.85可主推，若临场升-1需≥0.90才观察；若已赛中不追旧盘。比分参考1-3/1-2/2-3</x:v>
      </x:c>
      <x:c r="I921" s="66" t="n">
        <x:v>46192.73221064815</x:v>
      </x:c>
      <x:c r="J921" s="65" t="str">
        <x:v>已结算</x:v>
      </x:c>
      <x:c r="K921" s="65" t="str">
        <x:v>1-5</x:v>
      </x:c>
      <x:c r="L921" s="65" t="str">
        <x:v>赢</x:v>
      </x:c>
      <x:c r="M921" s="65" t="str">
        <x:v>赢</x:v>
      </x:c>
      <x:c r="N921" s="67" t="n">
        <x:v>1</x:v>
      </x:c>
      <x:c r="O921" s="67" t="n">
        <x:v>1</x:v>
      </x:c>
      <x:c r="P921" s="67" t="n">
        <x:f>IF(COUNT(N921:O921)=0,"",SUM(N921:O921))</x:f>
        <x:v>2</x:v>
      </x:c>
      <x:c r="Q921" s="65"/>
      <x:c r="R921" s="65" t="str">
        <x:v>赛果1-5；南墨尔本 -0.75 赢；大3.0 赢。</x:v>
      </x:c>
    </x:row>
    <x:row r="922" ht="38" customHeight="1">
      <x:c r="A922" s="65" t="str">
        <x:f>IF(B922="","",TEXT(B922,"yyyy-mm-dd")&amp;"|"&amp;D922&amp;"|"&amp;E922)</x:f>
        <x:v>2026-06-19|墨西哥|韩国</x:v>
      </x:c>
      <x:c r="B922" s="66" t="n">
        <x:v>46192.375</x:v>
      </x:c>
      <x:c r="C922" s="65" t="str">
        <x:v>国际足联世界杯</x:v>
      </x:c>
      <x:c r="D922" s="65" t="str">
        <x:v>墨西哥</x:v>
      </x:c>
      <x:c r="E922" s="65" t="str">
        <x:v>韩国</x:v>
      </x:c>
      <x:c r="F922" s="65" t="str">
        <x:v>韩国 +0.5（参考水位0.85；低于0.80不进单；若已赛中/完场不追旧盘）</x:v>
      </x:c>
      <x:c r="G922" s="65" t="str">
        <x:v>双方进球：是（BTTS Yes，参考水位1.06左右；传统小2.5低水不进单）</x:v>
      </x:c>
      <x:c r="H922" s="65" t="str">
        <x:v>小注；若韩国+0.5跌破0.80放弃，若能拿韩国+0.25且≥0.85可观察；比分参考1-1/1-2/2-1，防1-0</x:v>
      </x:c>
      <x:c r="I922" s="66" t="n">
        <x:v>46192.35449074074</x:v>
      </x:c>
      <x:c r="J922" s="65" t="str">
        <x:v>已结算</x:v>
      </x:c>
      <x:c r="K922" s="65" t="str">
        <x:v>1-0</x:v>
      </x:c>
      <x:c r="L922" s="65" t="str">
        <x:v>输</x:v>
      </x:c>
      <x:c r="M922" s="65" t="str">
        <x:v>输</x:v>
      </x:c>
      <x:c r="N922" s="67" t="n">
        <x:v>-1</x:v>
      </x:c>
      <x:c r="O922" s="67" t="n">
        <x:v>-1</x:v>
      </x:c>
      <x:c r="P922" s="67" t="n">
        <x:f>IF(COUNT(N922:O922)=0,"",SUM(N922:O922))</x:f>
        <x:v>-2</x:v>
      </x:c>
      <x:c r="Q922" s="65"/>
      <x:c r="R922" s="65" t="str">
        <x:v>赛果1-0；韩国 +0.5 输；双方进球：是 输。</x:v>
      </x:c>
    </x:row>
    <x:row r="923" ht="38" customHeight="1">
      <x:c r="A923" s="65" t="str">
        <x:f>IF(B923="","",TEXT(B923,"yyyy-mm-dd")&amp;"|"&amp;D923&amp;"|"&amp;E923)</x:f>
        <x:v>2026-06-19|智利大学|奥伊金斯</x:v>
      </x:c>
      <x:c r="B923" s="66" t="n">
        <x:v>46192.333333333336</x:v>
      </x:c>
      <x:c r="C923" s="65" t="str">
        <x:v>国际足联世界杯</x:v>
      </x:c>
      <x:c r="D923" s="65" t="str">
        <x:v>智利大学</x:v>
      </x:c>
      <x:c r="E923" s="65" t="str">
        <x:v>奥伊金斯</x:v>
      </x:c>
      <x:c r="F923" s="65" t="str">
        <x:v>智利大学 -0.5（参考水位0.84~1.06；低于0.80不进单）</x:v>
      </x:c>
      <x:c r="G923" s="65" t="str">
        <x:v>双方进球：是（BTTS Yes，参考水位0.88~0.95；大2.5若≥0.85可替代）</x:v>
      </x:c>
      <x:c r="H923" s="65" t="str">
        <x:v>小注；若智利大学-0.5跌破0.80放弃，若能拿-0.25且≥0.85更优。比分参考2-1/1-1/2-0</x:v>
      </x:c>
      <x:c r="I923" s="66" t="n">
        <x:v>46192.344872685186</x:v>
      </x:c>
      <x:c r="J923" s="65" t="str">
        <x:v>已结算</x:v>
      </x:c>
      <x:c r="K923" s="65" t="str">
        <x:v>2-0</x:v>
      </x:c>
      <x:c r="L923" s="65" t="str">
        <x:v>赢</x:v>
      </x:c>
      <x:c r="M923" s="65" t="str">
        <x:v>输</x:v>
      </x:c>
      <x:c r="N923" s="67" t="n">
        <x:v>1</x:v>
      </x:c>
      <x:c r="O923" s="67" t="n">
        <x:v>-1</x:v>
      </x:c>
      <x:c r="P923" s="67" t="n">
        <x:f>IF(COUNT(N923:O923)=0,"",SUM(N923:O923))</x:f>
        <x:v>0</x:v>
      </x:c>
      <x:c r="Q923" s="65"/>
      <x:c r="R923" s="65" t="str">
        <x:v>赛果2-0；智利大学 -0.5 赢；双方进球：是 输。</x:v>
      </x:c>
    </x:row>
    <x:row r="924" ht="38" customHeight="1">
      <x:c r="A924" s="65" t="str">
        <x:f>IF(B924="","",TEXT(B924,"yyyy-mm-dd")&amp;"|"&amp;D924&amp;"|"&amp;E924)</x:f>
        <x:v>2026-06-19|加拿大|卡塔尔</x:v>
      </x:c>
      <x:c r="B924" s="66" t="n">
        <x:v>46192.25</x:v>
      </x:c>
      <x:c r="C924" s="65" t="str">
        <x:v>国际足联世界杯</x:v>
      </x:c>
      <x:c r="D924" s="65" t="str">
        <x:v>加拿大</x:v>
      </x:c>
      <x:c r="E924" s="65" t="str">
        <x:v>卡塔尔</x:v>
      </x:c>
      <x:c r="F924" s="65" t="str">
        <x:v>卡塔尔 +1.5（参考水位0.97~1.05；加拿大-1.5低水不进单；若已赛中/完场不追旧盘）</x:v>
      </x:c>
      <x:c r="G924" s="65" t="str">
        <x:v>小 2.5（参考水位1.05~1.16；低于0.80不进单；若已赛中/完场不追旧盘）</x:v>
      </x:c>
      <x:c r="H924" s="65" t="str">
        <x:v>小注；若卡塔尔+1.5跌破0.80放弃，若能拿卡塔尔+1.25且≥0.90也可观察；比分参考1-0/1-1/0-0，防2-0</x:v>
      </x:c>
      <x:c r="I924" s="66" t="n">
        <x:v>46192.23667824074</x:v>
      </x:c>
      <x:c r="J924" s="65" t="str">
        <x:v>已结算</x:v>
      </x:c>
      <x:c r="K924" s="65" t="str">
        <x:v>6-0</x:v>
      </x:c>
      <x:c r="L924" s="65" t="str">
        <x:v>输</x:v>
      </x:c>
      <x:c r="M924" s="65" t="str">
        <x:v>输</x:v>
      </x:c>
      <x:c r="N924" s="67" t="n">
        <x:v>-1</x:v>
      </x:c>
      <x:c r="O924" s="67" t="n">
        <x:v>-1</x:v>
      </x:c>
      <x:c r="P924" s="67" t="n">
        <x:f>IF(COUNT(N924:O924)=0,"",SUM(N924:O924))</x:f>
        <x:v>-2</x:v>
      </x:c>
      <x:c r="Q924" s="65"/>
      <x:c r="R924" s="65" t="str">
        <x:v>赛果6-0；卡塔尔 +1.5 输；小2.5 输。</x:v>
      </x:c>
    </x:row>
    <x:row r="925" ht="38" customHeight="1">
      <x:c r="A925" s="65" t="str">
        <x:f>IF(B925="","",TEXT(B925,"yyyy-mm-dd")&amp;"|"&amp;D925&amp;"|"&amp;E925)</x:f>
        <x:v>2026-06-19|瑞士|波黑（波斯尼亚和黑塞哥维那）</x:v>
      </x:c>
      <x:c r="B925" s="66" t="n">
        <x:v>46192.125</x:v>
      </x:c>
      <x:c r="C925" s="65" t="str">
        <x:v>国际足联世界杯</x:v>
      </x:c>
      <x:c r="D925" s="65" t="str">
        <x:v>瑞士</x:v>
      </x:c>
      <x:c r="E925" s="65" t="str">
        <x:v>波黑（波斯尼亚和黑塞哥维那）</x:v>
      </x:c>
      <x:c r="F925" s="65" t="str">
        <x:v>瑞士 -1.0（参考水位0.90~1.00；瑞士-0.5低水不进单；若已赛中/完场不追旧盘）</x:v>
      </x:c>
      <x:c r="G925" s="65" t="str">
        <x:v>小 2.5（参考水位0.82~0.88；若跌破0.80不进单；若已赛中/完场不追旧盘）</x:v>
      </x:c>
      <x:c r="H925" s="65" t="str">
        <x:v>小注；若瑞士-1.0≥0.90可主推，若只能拿瑞士-0.5低水放弃。比分参考1-0/2-0/2-1</x:v>
      </x:c>
      <x:c r="I925" s="66" t="n">
        <x:v>46192.099074074074</x:v>
      </x:c>
      <x:c r="J925" s="65" t="str">
        <x:v>已结算</x:v>
      </x:c>
      <x:c r="K925" s="65" t="str">
        <x:v>4-1</x:v>
      </x:c>
      <x:c r="L925" s="65" t="str">
        <x:v>赢</x:v>
      </x:c>
      <x:c r="M925" s="65" t="str">
        <x:v>输</x:v>
      </x:c>
      <x:c r="N925" s="67" t="n">
        <x:v>1</x:v>
      </x:c>
      <x:c r="O925" s="67" t="n">
        <x:v>-1</x:v>
      </x:c>
      <x:c r="P925" s="67" t="n">
        <x:f>IF(COUNT(N925:O925)=0,"",SUM(N925:O925))</x:f>
        <x:v>0</x:v>
      </x:c>
      <x:c r="Q925" s="65"/>
      <x:c r="R925" s="65" t="str">
        <x:v>赛果4-1；瑞士 -1.0 赢；小2.5 输。</x:v>
      </x:c>
    </x:row>
    <x:row r="926" ht="38" customHeight="1">
      <x:c r="A926" s="65" t="str">
        <x:f>IF(B926="","",TEXT(B926,"yyyy-mm-dd")&amp;"|"&amp;D926&amp;"|"&amp;E926)</x:f>
        <x:v>2026-06-19|捷克|南非</x:v>
      </x:c>
      <x:c r="B926" s="66" t="n">
        <x:v>46192</x:v>
      </x:c>
      <x:c r="C926" s="65" t="str">
        <x:v>国际足联世界杯</x:v>
      </x:c>
      <x:c r="D926" s="65" t="str">
        <x:v>捷克</x:v>
      </x:c>
      <x:c r="E926" s="65" t="str">
        <x:v>南非</x:v>
      </x:c>
      <x:c r="F926" s="65" t="str">
        <x:v>捷克 -0.5（参考水位0.80左右；若低于0.80不进单；若已赛中不追旧盘）</x:v>
      </x:c>
      <x:c r="G926" s="65" t="str">
        <x:v>南非球队进球 小0.5（参考水位1.26~1.34；传统小2.5低水不进单）</x:v>
      </x:c>
      <x:c r="H926" s="65" t="str">
        <x:v>小注；若捷克-0.5从-125跌到-135以下低水则放弃，若能拿捷克-0.25且≥0.85更优；比分参考1-0/2-0</x:v>
      </x:c>
      <x:c r="I926" s="66" t="n">
        <x:v>46192.08571759259</x:v>
      </x:c>
      <x:c r="J926" s="65" t="str">
        <x:v>已结算</x:v>
      </x:c>
      <x:c r="K926" s="65" t="str">
        <x:v>1-1</x:v>
      </x:c>
      <x:c r="L926" s="65" t="str">
        <x:v>输</x:v>
      </x:c>
      <x:c r="M926" s="65" t="str">
        <x:v>输</x:v>
      </x:c>
      <x:c r="N926" s="67" t="n">
        <x:v>-1</x:v>
      </x:c>
      <x:c r="O926" s="67" t="n">
        <x:v>-1</x:v>
      </x:c>
      <x:c r="P926" s="67" t="n">
        <x:f>IF(COUNT(N926:O926)=0,"",SUM(N926:O926))</x:f>
        <x:v>-2</x:v>
      </x:c>
      <x:c r="Q926" s="65"/>
      <x:c r="R926" s="65" t="str">
        <x:v>赛果1-1；捷克 -0.5 输；南非球队进球小0.5 输。</x:v>
      </x:c>
    </x:row>
    <x:row r="927" ht="38" customHeight="1">
      <x:c r="A927" s="65" t="str">
        <x:f>IF(B927="","",TEXT(B927,"yyyy-mm-dd")&amp;"|"&amp;D927&amp;"|"&amp;E927)</x:f>
        <x:v>2026-06-18|勒内森斯贝尔卡内（RS Berkane）|奥林匹克萨菲</x:v>
      </x:c>
      <x:c r="B927" s="66" t="n">
        <x:v>46191.916666666664</x:v>
      </x:c>
      <x:c r="C927" s="65" t="str">
        <x:v>摩洛哥甲级联赛（Botola Pro）</x:v>
      </x:c>
      <x:c r="D927" s="65" t="str">
        <x:v>勒内森斯贝尔卡内（RS Berkane）</x:v>
      </x:c>
      <x:c r="E927" s="65" t="str">
        <x:v>奥林匹克萨菲</x:v>
      </x:c>
      <x:c r="F927" s="65" t="str">
        <x:v>勒内森斯贝尔卡内 -0.75（参考水位0.80~0.86；低于0.80不进单；若已赛中不追旧盘）</x:v>
      </x:c>
      <x:c r="G927" s="65" t="str">
        <x:v>小 2.25（参考水位0.90~1.00；小2.5低水不进单；若已赛中不追旧盘）</x:v>
      </x:c>
      <x:c r="H927" s="65" t="str">
        <x:v>小注；若只能拿勒内森斯主胜1.60~1.72低水放弃，若-0.75跌破0.80放弃。比分参考1-0/2-0/1-1</x:v>
      </x:c>
      <x:c r="I927" s="66" t="n">
        <x:v>46191.93231481482</x:v>
      </x:c>
      <x:c r="J927" s="65" t="str">
        <x:v>已结算</x:v>
      </x:c>
      <x:c r="K927" s="65" t="str">
        <x:v>0-0</x:v>
      </x:c>
      <x:c r="L927" s="65" t="str">
        <x:v>输半</x:v>
      </x:c>
      <x:c r="M927" s="65" t="str">
        <x:v>赢</x:v>
      </x:c>
      <x:c r="N927" s="67" t="n">
        <x:v>-0.5</x:v>
      </x:c>
      <x:c r="O927" s="67" t="n">
        <x:v>1</x:v>
      </x:c>
      <x:c r="P927" s="67" t="n">
        <x:f>IF(COUNT(N927:O927)=0,"",SUM(N927:O927))</x:f>
        <x:v>0.5</x:v>
      </x:c>
      <x:c r="Q927" s="65"/>
      <x:c r="R927" s="65" t="str">
        <x:v>赛果0-0；勒内森斯贝尔卡内 -0.75 输半；小2.25 赢。</x:v>
      </x:c>
    </x:row>
    <x:row r="928" ht="38" customHeight="1">
      <x:c r="A928" s="65" t="str">
        <x:f>IF(B928="","",TEXT(B928,"yyyy-mm-dd")&amp;"|"&amp;D928&amp;"|"&amp;E928)</x:f>
        <x:v>2026-06-18|奥卢|玛丽港</x:v>
      </x:c>
      <x:c r="B928" s="66" t="n">
        <x:v>46191.74930555555</x:v>
      </x:c>
      <x:c r="C928" s="65" t="str">
        <x:v>芬兰超级联赛（Veikkausliiga）</x:v>
      </x:c>
      <x:c r="D928" s="65" t="str">
        <x:v>奥卢</x:v>
      </x:c>
      <x:c r="E928" s="65" t="str">
        <x:v>玛丽港</x:v>
      </x:c>
      <x:c r="F928" s="65" t="str">
        <x:v>奥卢 -1.0（参考水位0.85~0.95；主胜低水不进单；若已赛中不追旧盘）</x:v>
      </x:c>
      <x:c r="G928" s="65" t="str">
        <x:v>小 2.5（参考水位1.08~1.30；低于0.80不进单；若已赛中不追旧盘）</x:v>
      </x:c>
      <x:c r="H928" s="65" t="str">
        <x:v>小注；若只能拿奥卢胜赔1.36~1.40低水放弃，若奥卢-1.0≥0.85可主推；比分参考1-0/2-0/2-1</x:v>
      </x:c>
      <x:c r="I928" s="66" t="n">
        <x:v>46191.786099537036</x:v>
      </x:c>
      <x:c r="J928" s="65" t="str">
        <x:v>已结算</x:v>
      </x:c>
      <x:c r="K928" s="65" t="str">
        <x:v>2-1</x:v>
      </x:c>
      <x:c r="L928" s="65" t="str">
        <x:v>走水</x:v>
      </x:c>
      <x:c r="M928" s="65" t="str">
        <x:v>输</x:v>
      </x:c>
      <x:c r="N928" s="67" t="n">
        <x:v>0</x:v>
      </x:c>
      <x:c r="O928" s="67" t="n">
        <x:v>-1</x:v>
      </x:c>
      <x:c r="P928" s="67" t="n">
        <x:f>IF(COUNT(N928:O928)=0,"",SUM(N928:O928))</x:f>
        <x:v>-1</x:v>
      </x:c>
      <x:c r="Q928" s="65"/>
      <x:c r="R928" s="65" t="str">
        <x:v>赛果2-1；奥卢 -1.0 走水；小2.5 输。</x:v>
      </x:c>
    </x:row>
    <x:row r="929" ht="38" customHeight="1">
      <x:c r="A929" s="65" t="str">
        <x:f>IF(B929="","",TEXT(B929,"yyyy-mm-dd")&amp;"|"&amp;D929&amp;"|"&amp;E929)</x:f>
        <x:v>2026-06-18|乌兹别克斯坦|哥伦比亚</x:v>
      </x:c>
      <x:c r="B929" s="66" t="n">
        <x:v>46191.416666666664</x:v>
      </x:c>
      <x:c r="C929" s="65" t="str">
        <x:v>国际足联世界杯</x:v>
      </x:c>
      <x:c r="D929" s="65" t="str">
        <x:v>乌兹别克斯坦</x:v>
      </x:c>
      <x:c r="E929" s="65" t="str">
        <x:v>哥伦比亚</x:v>
      </x:c>
      <x:c r="F929" s="65" t="str">
        <x:v>乌兹别克斯坦 +1.25（受让一球/球半），参考1.98~2.04/港水0.98~1.04，小注</x:v>
      </x:c>
      <x:c r="G929" s="65" t="str">
        <x:v>小 2.5，参考1.92~1.93/港水0.92~0.93；低于0.80不进单</x:v>
      </x:c>
      <x:c r="H929" s="65" t="str">
        <x:v>可选：比分0-1/0-2/1-1；若临场乌兹别克斯坦+1.25跌破0.80则放弃，若只能拿+1低水也不追</x:v>
      </x:c>
      <x:c r="I929" s="66" t="n">
        <x:v>46191.382002314815</x:v>
      </x:c>
      <x:c r="J929" s="65" t="str">
        <x:v>已结算</x:v>
      </x:c>
      <x:c r="K929" s="65" t="str">
        <x:v>1-3</x:v>
      </x:c>
      <x:c r="L929" s="65" t="str">
        <x:v>输</x:v>
      </x:c>
      <x:c r="M929" s="65" t="str">
        <x:v>输</x:v>
      </x:c>
      <x:c r="N929" s="67" t="n">
        <x:v>-1</x:v>
      </x:c>
      <x:c r="O929" s="67" t="n">
        <x:v>-1</x:v>
      </x:c>
      <x:c r="P929" s="67" t="n">
        <x:f>IF(COUNT(N929:O929)=0,"",SUM(N929:O929))</x:f>
        <x:v>-2</x:v>
      </x:c>
      <x:c r="Q929" s="65"/>
      <x:c r="R929" s="65" t="str">
        <x:v>赛果1-3；乌兹别克斯坦 +1.25 输；小2.5 输。</x:v>
      </x:c>
    </x:row>
    <x:row r="930" ht="38" customHeight="1">
      <x:c r="A930" s="65" t="str">
        <x:f>IF(B930="","",TEXT(B930,"yyyy-mm-dd")&amp;"|"&amp;D930&amp;"|"&amp;E930)</x:f>
        <x:v>2026-06-18|塔尔萨钻机工（FC Tulsa）|蒙特雷湾</x:v>
      </x:c>
      <x:c r="B930" s="66" t="n">
        <x:v>46191.354166666664</x:v>
      </x:c>
      <x:c r="C930" s="65" t="str">
        <x:v>美国足球冠军联赛（USL Championship）</x:v>
      </x:c>
      <x:c r="D930" s="65" t="str">
        <x:v>塔尔萨钻机工（FC Tulsa）</x:v>
      </x:c>
      <x:c r="E930" s="65" t="str">
        <x:v>蒙特雷湾</x:v>
      </x:c>
      <x:c r="F930" s="65" t="str">
        <x:v>蒙特雷湾 +0.25（受让平半），参考+110/港水1.10；塔尔萨-0.25低水不进单；若已开赛不追旧盘</x:v>
      </x:c>
      <x:c r="G930" s="65" t="str">
        <x:v>大 2.75（2.5/3），参考+105/港水1.05；若只有大2.5低于0.80不进单；若已开赛不追旧盘</x:v>
      </x:c>
      <x:c r="H930" s="65" t="str">
        <x:v>小注；比分参考1-1/1-2/2-2；蒙特雷湾+0.25低于0.80放弃，已开赛不追旧盘</x:v>
      </x:c>
      <x:c r="I930" s="66" t="n">
        <x:v>46191.402719907404</x:v>
      </x:c>
      <x:c r="J930" s="65" t="str">
        <x:v>已结算</x:v>
      </x:c>
      <x:c r="K930" s="65" t="str">
        <x:v>2-0</x:v>
      </x:c>
      <x:c r="L930" s="65" t="str">
        <x:v>输</x:v>
      </x:c>
      <x:c r="M930" s="65" t="str">
        <x:v>输</x:v>
      </x:c>
      <x:c r="N930" s="67" t="n">
        <x:v>-1</x:v>
      </x:c>
      <x:c r="O930" s="67" t="n">
        <x:v>-1</x:v>
      </x:c>
      <x:c r="P930" s="67" t="n">
        <x:f>IF(COUNT(N930:O930)=0,"",SUM(N930:O930))</x:f>
        <x:v>-2</x:v>
      </x:c>
      <x:c r="Q930" s="65"/>
      <x:c r="R930" s="65" t="str">
        <x:v>赛果2-0；蒙特雷湾 +0.25 输；大2.75 输。</x:v>
      </x:c>
    </x:row>
    <x:row r="931" ht="38" customHeight="1">
      <x:c r="A931" s="65" t="str">
        <x:f>IF(B931="","",TEXT(B931,"yyyy-mm-dd")&amp;"|"&amp;D931&amp;"|"&amp;E931)</x:f>
        <x:v>2026-06-18|加纳|巴拿马</x:v>
      </x:c>
      <x:c r="B931" s="66" t="n">
        <x:v>46191.291666666664</x:v>
      </x:c>
      <x:c r="C931" s="65" t="str">
        <x:v>国际足联世界杯</x:v>
      </x:c>
      <x:c r="D931" s="65" t="str">
        <x:v>加纳</x:v>
      </x:c>
      <x:c r="E931" s="65" t="str">
        <x:v>巴拿马</x:v>
      </x:c>
      <x:c r="F931" s="65" t="str">
        <x:v>巴拿马 +0.25（受让平半），参考1.84/港水0.84，小注</x:v>
      </x:c>
      <x:c r="G931" s="65" t="str">
        <x:v>小于2.25球，参考1.847/港水0.847</x:v>
      </x:c>
      <x:c r="H931" s="65" t="str">
        <x:v>可选：比分1-1/0-0；低于0.80不进单，若临场巴拿马+0.25降至&lt;0.80则放弃/改观望</x:v>
      </x:c>
      <x:c r="I931" s="66" t="n">
        <x:v>46191.27290509259</x:v>
      </x:c>
      <x:c r="J931" s="65" t="str">
        <x:v>已结算</x:v>
      </x:c>
      <x:c r="K931" s="65" t="str">
        <x:v>1-0</x:v>
      </x:c>
      <x:c r="L931" s="65" t="str">
        <x:v>输</x:v>
      </x:c>
      <x:c r="M931" s="65" t="str">
        <x:v>赢</x:v>
      </x:c>
      <x:c r="N931" s="67" t="n">
        <x:v>-1</x:v>
      </x:c>
      <x:c r="O931" s="67" t="n">
        <x:v>1</x:v>
      </x:c>
      <x:c r="P931" s="67" t="n">
        <x:f>IF(COUNT(N931:O931)=0,"",SUM(N931:O931))</x:f>
        <x:v>0</x:v>
      </x:c>
      <x:c r="Q931" s="65"/>
      <x:c r="R931" s="65" t="str">
        <x:v>更正赛果：加纳1-0巴拿马。巴拿马+0.25输；总进球1，小2.25赢。</x:v>
      </x:c>
    </x:row>
    <x:row r="932" ht="38" customHeight="1">
      <x:c r="A932" s="65" t="str">
        <x:f>IF(B932="","",TEXT(B932,"yyyy-mm-dd")&amp;"|"&amp;D932&amp;"|"&amp;E932)</x:f>
        <x:v>2026-06-18|英格兰|克罗地亚</x:v>
      </x:c>
      <x:c r="B932" s="66" t="n">
        <x:v>46191.166666666664</x:v>
      </x:c>
      <x:c r="C932" s="65" t="str">
        <x:v>国际足联世界杯</x:v>
      </x:c>
      <x:c r="D932" s="65" t="str">
        <x:v>英格兰</x:v>
      </x:c>
      <x:c r="E932" s="65" t="str">
        <x:v>克罗地亚</x:v>
      </x:c>
      <x:c r="F932" s="65" t="str">
        <x:v>英格兰 -0.75（参考水位0.86左右，低于0.80不进单；若已赛中不追旧盘）</x:v>
      </x:c>
      <x:c r="G932" s="65" t="str">
        <x:v>克罗地亚球队进球 小0.5（参考水位1.10；传统小2.5低于0.80不进单）</x:v>
      </x:c>
      <x:c r="H932" s="65" t="str">
        <x:v>小注；英格兰-0.75≥0.85可主推，若只能拿英格兰-0.5低水放弃；比分参考1-0/2-0/2-1</x:v>
      </x:c>
      <x:c r="I932" s="66" t="n">
        <x:v>46191.12541666667</x:v>
      </x:c>
      <x:c r="J932" s="65" t="str">
        <x:v>已结算</x:v>
      </x:c>
      <x:c r="K932" s="65" t="str">
        <x:v>4-2</x:v>
      </x:c>
      <x:c r="L932" s="65" t="str">
        <x:v>赢</x:v>
      </x:c>
      <x:c r="M932" s="65" t="str">
        <x:v>输</x:v>
      </x:c>
      <x:c r="N932" s="67" t="n">
        <x:v>1</x:v>
      </x:c>
      <x:c r="O932" s="67" t="n">
        <x:v>-1</x:v>
      </x:c>
      <x:c r="P932" s="67" t="n">
        <x:f>IF(COUNT(N932:O932)=0,"",SUM(N932:O932))</x:f>
        <x:v>0</x:v>
      </x:c>
      <x:c r="Q932" s="65"/>
      <x:c r="R932" s="65" t="str">
        <x:v>赛果：英格兰4-2克罗地亚。英格兰-0.75赢；克罗地亚进2球，球队进球小0.5输。</x:v>
      </x:c>
    </x:row>
    <x:row r="933" ht="38" customHeight="1">
      <x:c r="A933" s="65" t="str">
        <x:f>IF(B933="","",TEXT(B933,"yyyy-mm-dd")&amp;"|"&amp;D933&amp;"|"&amp;E933)</x:f>
        <x:v>2026-06-18|奥克兰根|伯明翰军团</x:v>
      </x:c>
      <x:c r="B933" s="66" t="n">
        <x:v>46191.125</x:v>
      </x:c>
      <x:c r="C933" s="65" t="str">
        <x:v>美国足球冠军联赛（USL Championship）</x:v>
      </x:c>
      <x:c r="D933" s="65" t="str">
        <x:v>奥克兰根</x:v>
      </x:c>
      <x:c r="E933" s="65" t="str">
        <x:v>伯明翰军团</x:v>
      </x:c>
      <x:c r="F933" s="65" t="str">
        <x:v>奥克兰根 -0.5（参考水位0.83~0.88；低于0.80不进单；若已赛中不追旧盘）</x:v>
      </x:c>
      <x:c r="G933" s="65" t="str">
        <x:v>小 2.5（参考水位0.90~0.97；大2.5低水不进单；若已赛中不追旧盘）</x:v>
      </x:c>
      <x:c r="H933" s="65" t="str">
        <x:v>小注；若能拿奥克兰根-0.25且水位≥0.85更优；若奥克兰-0.5跌破0.80或已赛中盘口变动则放弃。比分参考1-0/2-0/2-1</x:v>
      </x:c>
      <x:c r="I933" s="66" t="n">
        <x:v>46191.13861111111</x:v>
      </x:c>
      <x:c r="J933" s="65" t="str">
        <x:v>已结算</x:v>
      </x:c>
      <x:c r="K933" s="65" t="str">
        <x:v>0-1</x:v>
      </x:c>
      <x:c r="L933" s="65" t="str">
        <x:v>输</x:v>
      </x:c>
      <x:c r="M933" s="65" t="str">
        <x:v>赢</x:v>
      </x:c>
      <x:c r="N933" s="67" t="n">
        <x:v>-1</x:v>
      </x:c>
      <x:c r="O933" s="67" t="n">
        <x:v>1</x:v>
      </x:c>
      <x:c r="P933" s="67" t="n">
        <x:f>IF(COUNT(N933:O933)=0,"",SUM(N933:O933))</x:f>
        <x:v>0</x:v>
      </x:c>
      <x:c r="Q933" s="65"/>
      <x:c r="R933" s="65" t="str">
        <x:v>赛果源存在分歧：部分来源为奥克兰根0-1伯明翰军团，部分来源为1-1；两种比分均不影响结算：奥克兰根-0.5输，小2.5赢。</x:v>
      </x:c>
    </x:row>
    <x:row r="934" ht="38" customHeight="1">
      <x:c r="A934" s="65" t="str">
        <x:f>IF(B934="","",TEXT(B934,"yyyy-mm-dd")&amp;"|"&amp;D934&amp;"|"&amp;E934)</x:f>
        <x:v>2026-06-18|塞伊奈约基（SJK）|VPS瓦萨</x:v>
      </x:c>
      <x:c r="B934" s="66" t="n">
        <x:v>46191.083333333336</x:v>
      </x:c>
      <x:c r="C934" s="65" t="str">
        <x:v>芬兰超级联赛（Veikkausliiga）</x:v>
      </x:c>
      <x:c r="D934" s="65" t="str">
        <x:v>塞伊奈约基（SJK）</x:v>
      </x:c>
      <x:c r="E934" s="65" t="str">
        <x:v>VPS瓦萨</x:v>
      </x:c>
      <x:c r="F934" s="65" t="str">
        <x:v>VPS瓦萨 0（平手盘/DNB，参考水位1.05~1.10；低于0.80不进单；若已赛中不追旧盘）</x:v>
      </x:c>
      <x:c r="G934" s="65" t="str">
        <x:v>小 2.5（参考水位1.00；低于0.80不进单；若已赛中不追旧盘）</x:v>
      </x:c>
      <x:c r="H934" s="65" t="str">
        <x:v>小注；若能拿VPS瓦萨+0.25且水位≥0.85更优；若已赛中或盘口因进球大幅变动则不追。比分参考0-1/1-1/1-2</x:v>
      </x:c>
      <x:c r="I934" s="66" t="n">
        <x:v>46191.135983796295</x:v>
      </x:c>
      <x:c r="J934" s="65" t="str">
        <x:v>已结算</x:v>
      </x:c>
      <x:c r="K934" s="65" t="str">
        <x:v>1-1</x:v>
      </x:c>
      <x:c r="L934" s="65" t="str">
        <x:v>走水</x:v>
      </x:c>
      <x:c r="M934" s="65" t="str">
        <x:v>赢</x:v>
      </x:c>
      <x:c r="N934" s="67" t="n">
        <x:v>0</x:v>
      </x:c>
      <x:c r="O934" s="67" t="n">
        <x:v>1</x:v>
      </x:c>
      <x:c r="P934" s="67" t="n">
        <x:f>IF(COUNT(N934:O934)=0,"",SUM(N934:O934))</x:f>
        <x:v>1</x:v>
      </x:c>
      <x:c r="Q934" s="65"/>
      <x:c r="R934" s="65" t="str">
        <x:v>检索赛果为平局，主要页面显示1-1/部分实时页延迟；结算不受影响：VPS瓦萨0盘走水，小2.5赢。</x:v>
      </x:c>
    </x:row>
    <x:row r="935" ht="38" customHeight="1">
      <x:c r="A935" s="65" t="str">
        <x:f>IF(B935="","",TEXT(B935,"yyyy-mm-dd")&amp;"|"&amp;D935&amp;"|"&amp;E935)</x:f>
        <x:v>2026-06-17|赫尔辛基|图尔库国际</x:v>
      </x:c>
      <x:c r="B935" s="66" t="n">
        <x:v>46190.958333333336</x:v>
      </x:c>
      <x:c r="C935" s="65" t="str">
        <x:v>芬兰超级联赛（Veikkausliiga）</x:v>
      </x:c>
      <x:c r="D935" s="65" t="str">
        <x:v>赫尔辛基</x:v>
      </x:c>
      <x:c r="E935" s="65" t="str">
        <x:v>图尔库国际</x:v>
      </x:c>
      <x:c r="F935" s="65" t="str">
        <x:v>图尔库国际 0（平手盘/DNB，参考水位0.85~0.95；低于0.80不进单）</x:v>
      </x:c>
      <x:c r="G935" s="65" t="str">
        <x:v>大 2.75（2.5/3，参考水位1.00~1.05；BTTS Yes低水不进单）</x:v>
      </x:c>
      <x:c r="H935" s="65" t="str">
        <x:v>小注；若能拿图尔库国际+0.25且水位≥0.85更优；若只剩图尔库国际不败低水放弃。比分参考1-1/1-2/2-2</x:v>
      </x:c>
      <x:c r="I935" s="66" t="n">
        <x:v>46190.901412037034</x:v>
      </x:c>
      <x:c r="J935" s="65" t="str">
        <x:v>已结算</x:v>
      </x:c>
      <x:c r="K935" s="65" t="str">
        <x:v>3-3</x:v>
      </x:c>
      <x:c r="L935" s="65" t="str">
        <x:v>走水</x:v>
      </x:c>
      <x:c r="M935" s="65" t="str">
        <x:v>赢</x:v>
      </x:c>
      <x:c r="N935" s="67" t="n">
        <x:v>0</x:v>
      </x:c>
      <x:c r="O935" s="67" t="n">
        <x:v>1</x:v>
      </x:c>
      <x:c r="P935" s="67" t="n">
        <x:f>IF(COUNT(N935:O935)=0,"",SUM(N935:O935))</x:f>
        <x:v>1</x:v>
      </x:c>
      <x:c r="Q935" s="65"/>
      <x:c r="R935" s="65" t="str">
        <x:v>赛果：赫尔辛基3-3图尔库国际。图尔库国际0盘走水；总进球6，大2.75赢。</x:v>
      </x:c>
    </x:row>
    <x:row r="936" ht="38" customHeight="1">
      <x:c r="A936" s="65" t="str">
        <x:f>IF(B936="","",TEXT(B936,"yyyy-mm-dd")&amp;"|"&amp;D936&amp;"|"&amp;E936)</x:f>
        <x:v>2026-06-17|奥地利|约旦</x:v>
      </x:c>
      <x:c r="B936" s="66" t="n">
        <x:v>46190.5</x:v>
      </x:c>
      <x:c r="C936" s="65" t="str">
        <x:v>国际足联世界杯</x:v>
      </x:c>
      <x:c r="D936" s="65" t="str">
        <x:v>奥地利</x:v>
      </x:c>
      <x:c r="E936" s="65" t="str">
        <x:v>约旦</x:v>
      </x:c>
      <x:c r="F936" s="65" t="str">
        <x:v>奥地利 -1.25（参考水位0.84~0.90，低于0.80不进单；若只能拿奥地利胜赔或DNB低水则放弃）</x:v>
      </x:c>
      <x:c r="G936" s="65" t="str">
        <x:v>大 2.75（参考水位1.05左右；大2.5低水不进单）</x:v>
      </x:c>
      <x:c r="H936" s="65" t="str">
        <x:v>小注；奥地利-1.25≥0.84可主推，若升到-1.5需≥1.00才观察；比分参考2-0/3-0/3-1</x:v>
      </x:c>
      <x:c r="I936" s="66" t="n">
        <x:v>46190.466157407405</x:v>
      </x:c>
      <x:c r="J936" s="65" t="str">
        <x:v>已结算</x:v>
      </x:c>
      <x:c r="K936" s="65" t="str">
        <x:v>3-1</x:v>
      </x:c>
      <x:c r="L936" s="65" t="str">
        <x:v>赢</x:v>
      </x:c>
      <x:c r="M936" s="65" t="str">
        <x:v>赢</x:v>
      </x:c>
      <x:c r="N936" s="67" t="n">
        <x:v>1</x:v>
      </x:c>
      <x:c r="O936" s="67" t="n">
        <x:v>1</x:v>
      </x:c>
      <x:c r="P936" s="67" t="n">
        <x:f>IF(COUNT(N936:O936)=0,"",SUM(N936:O936))</x:f>
        <x:v>2</x:v>
      </x:c>
      <x:c r="Q936" s="65"/>
      <x:c r="R936" s="65" t="str">
        <x:v>赛果：奥地利3-1约旦。奥地利-1.25全赢；总进球4，大2.75赢。</x:v>
      </x:c>
    </x:row>
    <x:row r="937" ht="38" customHeight="1">
      <x:c r="A937" s="65" t="str">
        <x:f>IF(B937="","",TEXT(B937,"yyyy-mm-dd")&amp;"|"&amp;D937&amp;"|"&amp;E937)</x:f>
        <x:v>2026-06-17|阿根廷|阿尔及利亚</x:v>
      </x:c>
      <x:c r="B937" s="66" t="n">
        <x:v>46190.375</x:v>
      </x:c>
      <x:c r="C937" s="65" t="str">
        <x:v>国际足联世界杯</x:v>
      </x:c>
      <x:c r="D937" s="65" t="str">
        <x:v>阿根廷</x:v>
      </x:c>
      <x:c r="E937" s="65" t="str">
        <x:v>阿尔及利亚</x:v>
      </x:c>
      <x:c r="F937" s="65" t="str">
        <x:v>阿根廷 -1.25（参考水位0.98~1.05，低于0.80不进单；若只能拿-1.5低水则放弃）</x:v>
      </x:c>
      <x:c r="G937" s="65" t="str">
        <x:v>小 2.5（参考水位0.85~0.94；若临场跌破0.80不进单）</x:v>
      </x:c>
      <x:c r="H937" s="65" t="str">
        <x:v>小注；阿根廷-1.25≥0.95可主推，保守可降到阿根廷-1.0且水位≥0.85；比分参考2-0/1-0/2-1</x:v>
      </x:c>
      <x:c r="I937" s="66" t="n">
        <x:v>46190.351331018515</x:v>
      </x:c>
      <x:c r="J937" s="65" t="str">
        <x:v>已结算</x:v>
      </x:c>
      <x:c r="K937" s="65" t="str">
        <x:v>3-0</x:v>
      </x:c>
      <x:c r="L937" s="65" t="str">
        <x:v>赢</x:v>
      </x:c>
      <x:c r="M937" s="65" t="str">
        <x:v>输</x:v>
      </x:c>
      <x:c r="N937" s="67" t="n">
        <x:v>1</x:v>
      </x:c>
      <x:c r="O937" s="67" t="n">
        <x:v>-1</x:v>
      </x:c>
      <x:c r="P937" s="67" t="n">
        <x:f>IF(COUNT(N937:O937)=0,"",SUM(N937:O937))</x:f>
        <x:v>0</x:v>
      </x:c>
      <x:c r="Q937" s="65"/>
      <x:c r="R937" s="65" t="str">
        <x:v>赛果：阿根廷3-0阿尔及利亚。阿根廷-1.25全赢；总进球3，小2.5输。</x:v>
      </x:c>
    </x:row>
    <x:row r="938" ht="38" customHeight="1">
      <x:c r="A938" s="65" t="str">
        <x:f>IF(B938="","",TEXT(B938,"yyyy-mm-dd")&amp;"|"&amp;D938&amp;"|"&amp;E938)</x:f>
        <x:v>2026-06-17|伊拉克|挪威</x:v>
      </x:c>
      <x:c r="B938" s="66" t="n">
        <x:v>46190.25</x:v>
      </x:c>
      <x:c r="C938" s="65" t="str">
        <x:v>国际足联世界杯</x:v>
      </x:c>
      <x:c r="D938" s="65" t="str">
        <x:v>伊拉克</x:v>
      </x:c>
      <x:c r="E938" s="65" t="str">
        <x:v>挪威</x:v>
      </x:c>
      <x:c r="F938" s="65" t="str">
        <x:v>挪威 -2.0（参考水位0.91~1.00，低于0.80不进单；若已赛中不追旧盘）</x:v>
      </x:c>
      <x:c r="G938" s="65" t="str">
        <x:v>挪威球队进球 大2.5（参考水位0.90~0.95；传统大2.5低水不进单）</x:v>
      </x:c>
      <x:c r="H938" s="65" t="str">
        <x:v>小注；挪威-1.5低水不追，-2.0≥0.90可主推；若只能拿-1.75且低于0.80放弃。比分参考0-3/1-3/0-4</x:v>
      </x:c>
      <x:c r="I938" s="66" t="n">
        <x:v>46190.23401620371</x:v>
      </x:c>
      <x:c r="J938" s="65" t="str">
        <x:v>已结算</x:v>
      </x:c>
      <x:c r="K938" s="65" t="str">
        <x:v>1-4</x:v>
      </x:c>
      <x:c r="L938" s="65" t="str">
        <x:v>赢</x:v>
      </x:c>
      <x:c r="M938" s="65" t="str">
        <x:v>赢</x:v>
      </x:c>
      <x:c r="N938" s="67" t="n">
        <x:v>1</x:v>
      </x:c>
      <x:c r="O938" s="67" t="n">
        <x:v>1</x:v>
      </x:c>
      <x:c r="P938" s="67" t="n">
        <x:f>IF(COUNT(N938:O938)=0,"",SUM(N938:O938))</x:f>
        <x:v>2</x:v>
      </x:c>
      <x:c r="Q938" s="65"/>
      <x:c r="R938" s="65" t="str">
        <x:v>赛果1-4；挪威 -2.0 赢；挪威球队进球大2.5 赢。</x:v>
      </x:c>
    </x:row>
    <x:row r="939" ht="38" customHeight="1">
      <x:c r="A939" s="65" t="str">
        <x:f>IF(B939="","",TEXT(B939,"yyyy-mm-dd")&amp;"|"&amp;D939&amp;"|"&amp;E939)</x:f>
        <x:v>2026-06-17|法国|塞内加尔</x:v>
      </x:c>
      <x:c r="B939" s="66" t="n">
        <x:v>46190.125</x:v>
      </x:c>
      <x:c r="C939" s="65" t="str">
        <x:v>国际足联世界杯</x:v>
      </x:c>
      <x:c r="D939" s="65" t="str">
        <x:v>法国</x:v>
      </x:c>
      <x:c r="E939" s="65" t="str">
        <x:v>塞内加尔</x:v>
      </x:c>
      <x:c r="F939" s="65" t="str">
        <x:v>塞内加尔 +1（参考水位1.00~1.03，低于0.80不进单）</x:v>
      </x:c>
      <x:c r="G939" s="65" t="str">
        <x:v>双方进球：是（BTTS Yes，参考水位0.98~1.10；大2.5若≥0.85可替代）</x:v>
      </x:c>
      <x:c r="H939" s="65" t="str">
        <x:v>小注；若只剩塞内加尔+1.5低水不追，若塞内加尔+1≥0.90可主推；比分参考1-1/2-1/2-2</x:v>
      </x:c>
      <x:c r="I939" s="66" t="n">
        <x:v>46190.1244212963</x:v>
      </x:c>
      <x:c r="J939" s="65" t="str">
        <x:v>已结算</x:v>
      </x:c>
      <x:c r="K939" s="65" t="str">
        <x:v>3-1</x:v>
      </x:c>
      <x:c r="L939" s="65" t="str">
        <x:v>输</x:v>
      </x:c>
      <x:c r="M939" s="65" t="str">
        <x:v>赢</x:v>
      </x:c>
      <x:c r="N939" s="67" t="n">
        <x:v>-1</x:v>
      </x:c>
      <x:c r="O939" s="67" t="n">
        <x:v>1</x:v>
      </x:c>
      <x:c r="P939" s="67" t="n">
        <x:f>IF(COUNT(N939:O939)=0,"",SUM(N939:O939))</x:f>
        <x:v>0</x:v>
      </x:c>
      <x:c r="Q939" s="65"/>
      <x:c r="R939" s="65" t="str">
        <x:v>赛果3-1；塞内加尔 +1 输；双方进球：是 赢。</x:v>
      </x:c>
    </x:row>
    <x:row r="940" ht="38" customHeight="1">
      <x:c r="A940" s="65" t="str">
        <x:f>IF(B940="","",TEXT(B940,"yyyy-mm-dd")&amp;"|"&amp;D940&amp;"|"&amp;E940)</x:f>
        <x:v>2026-06-16|布里斯班狼队|布里斯班东郊</x:v>
      </x:c>
      <x:c r="B940" s="66" t="n">
        <x:v>46189.729166666664</x:v>
      </x:c>
      <x:c r="C940" s="65" t="str">
        <x:v>澳大利亚昆士兰州国家超级联赛（NPL Queensland）</x:v>
      </x:c>
      <x:c r="D940" s="65" t="str">
        <x:v>布里斯班狼队</x:v>
      </x:c>
      <x:c r="E940" s="65" t="str">
        <x:v>布里斯班东郊</x:v>
      </x:c>
      <x:c r="F940" s="65" t="str">
        <x:v>布里斯班东郊 -0.25（参考水位0.88~0.95，低于0.80不进单；若已赛中不追旧盘）</x:v>
      </x:c>
      <x:c r="G940" s="65" t="str">
        <x:v>大 3.25（参考水位0.90~0.95；大2.5低水不进单）</x:v>
      </x:c>
      <x:c r="H940" s="65" t="str">
        <x:v>小注；若只能拿东郊-0.5且水位≥0.95才观察，若临场退到平手低水放弃；比分参考1-3/2-2/2-3</x:v>
      </x:c>
      <x:c r="I940" s="66" t="n">
        <x:v>46189.74681712963</x:v>
      </x:c>
      <x:c r="J940" s="65" t="str">
        <x:v>已结算</x:v>
      </x:c>
      <x:c r="K940" s="65" t="str">
        <x:v>1-2</x:v>
      </x:c>
      <x:c r="L940" s="65" t="str">
        <x:v>赢</x:v>
      </x:c>
      <x:c r="M940" s="65" t="str">
        <x:v>输半</x:v>
      </x:c>
      <x:c r="N940" s="67" t="n">
        <x:v>1</x:v>
      </x:c>
      <x:c r="O940" s="67" t="n">
        <x:v>-0.5</x:v>
      </x:c>
      <x:c r="P940" s="67" t="n">
        <x:f>IF(COUNT(N940:O940)=0,"",SUM(N940:O940))</x:f>
        <x:v>0.5</x:v>
      </x:c>
      <x:c r="Q940" s="65"/>
      <x:c r="R940" s="65" t="str">
        <x:v>赛果1-2；布里斯班东郊 -0.25 赢；大3.25 输半。</x:v>
      </x:c>
    </x:row>
    <x:row r="941" ht="38" customHeight="1">
      <x:c r="A941" s="65" t="str">
        <x:f>IF(B941="","",TEXT(B941,"yyyy-mm-dd")&amp;"|"&amp;D941&amp;"|"&amp;E941)</x:f>
        <x:v>2026-06-16|不伦瑞克尤文图斯|布琳狮子</x:v>
      </x:c>
      <x:c r="B941" s="66" t="n">
        <x:v>46189.729166666664</x:v>
      </x:c>
      <x:c r="C941" s="65" t="str">
        <x:v>澳大利亚多克蒂杯（Dockerty Cup）</x:v>
      </x:c>
      <x:c r="D941" s="65" t="str">
        <x:v>不伦瑞克尤文图斯</x:v>
      </x:c>
      <x:c r="E941" s="65" t="str">
        <x:v>布琳狮子</x:v>
      </x:c>
      <x:c r="F941" s="65" t="str">
        <x:v>布琳狮子 +0.25（参考水位0.85~0.92，低于0.80不进单）</x:v>
      </x:c>
      <x:c r="G941" s="65" t="str">
        <x:v>大 3.0（参考水位0.85~0.95；大2.5低水不进单）</x:v>
      </x:c>
      <x:c r="H941" s="65" t="str">
        <x:v>小注；若只剩布琳狮子不败1.59~1.67低水不追；若布琳狮子+0.25≥0.85可主推。比分参考1-2/2-2/2-1</x:v>
      </x:c>
      <x:c r="I941" s="66" t="n">
        <x:v>46189.46319444444</x:v>
      </x:c>
      <x:c r="J941" s="65" t="str">
        <x:v>已结算</x:v>
      </x:c>
      <x:c r="K941" s="65" t="str">
        <x:v>1-0</x:v>
      </x:c>
      <x:c r="L941" s="65" t="str">
        <x:v>输</x:v>
      </x:c>
      <x:c r="M941" s="65" t="str">
        <x:v>输</x:v>
      </x:c>
      <x:c r="N941" s="67" t="n">
        <x:v>-1</x:v>
      </x:c>
      <x:c r="O941" s="67" t="n">
        <x:v>-1</x:v>
      </x:c>
      <x:c r="P941" s="67" t="n">
        <x:f>IF(COUNT(N941:O941)=0,"",SUM(N941:O941))</x:f>
        <x:v>-2</x:v>
      </x:c>
      <x:c r="Q941" s="65"/>
      <x:c r="R941" s="65" t="str">
        <x:v>赛果1-0；布琳狮子 +0.25 输；大3.0 输。</x:v>
      </x:c>
    </x:row>
    <x:row r="942" ht="38" customHeight="1">
      <x:c r="A942" s="65" t="str">
        <x:f>IF(B942="","",TEXT(B942,"yyyy-mm-dd")&amp;"|"&amp;D942&amp;"|"&amp;E942)</x:f>
        <x:v>2026-06-16|伊朗|新西兰</x:v>
      </x:c>
      <x:c r="B942" s="66" t="n">
        <x:v>46189.375</x:v>
      </x:c>
      <x:c r="C942" s="65" t="str">
        <x:v>国际足联世界杯</x:v>
      </x:c>
      <x:c r="D942" s="65" t="str">
        <x:v>伊朗</x:v>
      </x:c>
      <x:c r="E942" s="65" t="str">
        <x:v>新西兰</x:v>
      </x:c>
      <x:c r="F942" s="65" t="str">
        <x:v>伊朗 -0.75（参考水位0.98左右，低于0.80不进单）</x:v>
      </x:c>
      <x:c r="G942" s="65" t="str">
        <x:v>大 2.5（参考水位1.32~1.40，高水小注；小2.5低水不进单）</x:v>
      </x:c>
      <x:c r="H942" s="65" t="str">
        <x:v>小注；若只能拿伊朗-0.5且水位低于0.80则放弃，若伊朗-0.75≥0.85可主推；比分参考2-1/3-0/2-0</x:v>
      </x:c>
      <x:c r="I942" s="66" t="n">
        <x:v>46189.352997685186</x:v>
      </x:c>
      <x:c r="J942" s="65" t="str">
        <x:v>已结算</x:v>
      </x:c>
      <x:c r="K942" s="65" t="str">
        <x:v>2-2</x:v>
      </x:c>
      <x:c r="L942" s="65" t="str">
        <x:v>输</x:v>
      </x:c>
      <x:c r="M942" s="65" t="str">
        <x:v>赢</x:v>
      </x:c>
      <x:c r="N942" s="67" t="n">
        <x:v>-1</x:v>
      </x:c>
      <x:c r="O942" s="67" t="n">
        <x:v>1</x:v>
      </x:c>
      <x:c r="P942" s="67" t="n">
        <x:f>IF(COUNT(N942:O942)=0,"",SUM(N942:O942))</x:f>
        <x:v>0</x:v>
      </x:c>
      <x:c r="Q942" s="65"/>
      <x:c r="R942" s="65" t="str">
        <x:v>赛果2-2；伊朗 -0.75 输；大2.5 赢。</x:v>
      </x:c>
    </x:row>
    <x:row r="943" ht="38" customHeight="1">
      <x:c r="A943" s="65" t="str">
        <x:f>IF(B943="","",TEXT(B943,"yyyy-mm-dd")&amp;"|"&amp;D943&amp;"|"&amp;E943)</x:f>
        <x:v>2026-06-16|沙特阿拉伯|乌拉圭</x:v>
      </x:c>
      <x:c r="B943" s="66" t="n">
        <x:v>46189.25</x:v>
      </x:c>
      <x:c r="C943" s="65" t="str">
        <x:v>国际足联世界杯</x:v>
      </x:c>
      <x:c r="D943" s="65" t="str">
        <x:v>沙特阿拉伯</x:v>
      </x:c>
      <x:c r="E943" s="65" t="str">
        <x:v>乌拉圭</x:v>
      </x:c>
      <x:c r="F943" s="65" t="str">
        <x:v>乌拉圭 -1.25（参考水位0.89~1.30，低于0.80不进单）</x:v>
      </x:c>
      <x:c r="G943" s="65" t="str">
        <x:v>大 2.5（参考水位1.05~1.15；小2.5低水不进单）</x:v>
      </x:c>
      <x:c r="H943" s="65" t="str">
        <x:v>小注；若只能拿乌拉圭-1且水位低于0.80则放弃，若-1.25≥0.85可主推；比分参考0-2/1-2/0-3</x:v>
      </x:c>
      <x:c r="I943" s="66" t="n">
        <x:v>46189.24260416667</x:v>
      </x:c>
      <x:c r="J943" s="65" t="str">
        <x:v>已结算</x:v>
      </x:c>
      <x:c r="K943" s="65" t="str">
        <x:v>1-1</x:v>
      </x:c>
      <x:c r="L943" s="65" t="str">
        <x:v>输</x:v>
      </x:c>
      <x:c r="M943" s="65" t="str">
        <x:v>输</x:v>
      </x:c>
      <x:c r="N943" s="67" t="n">
        <x:v>-1</x:v>
      </x:c>
      <x:c r="O943" s="67" t="n">
        <x:v>-1</x:v>
      </x:c>
      <x:c r="P943" s="67" t="n">
        <x:f>IF(COUNT(N943:O943)=0,"",SUM(N943:O943))</x:f>
        <x:v>-2</x:v>
      </x:c>
      <x:c r="Q943" s="65"/>
      <x:c r="R943" s="65" t="str">
        <x:v>赛果1-1；乌拉圭 -1.25 输；大2.5 输。</x:v>
      </x:c>
    </x:row>
    <x:row r="944" ht="38" customHeight="1">
      <x:c r="A944" s="65" t="str">
        <x:f>IF(B944="","",TEXT(B944,"yyyy-mm-dd")&amp;"|"&amp;D944&amp;"|"&amp;E944)</x:f>
        <x:v>2026-06-16|比利时|埃及</x:v>
      </x:c>
      <x:c r="B944" s="66" t="n">
        <x:v>46189.125</x:v>
      </x:c>
      <x:c r="C944" s="65" t="str">
        <x:v>国际足联世界杯</x:v>
      </x:c>
      <x:c r="D944" s="65" t="str">
        <x:v>比利时</x:v>
      </x:c>
      <x:c r="E944" s="65" t="str">
        <x:v>埃及</x:v>
      </x:c>
      <x:c r="F944" s="65" t="str">
        <x:v>埃及 +0.5（参考水位1.30~1.35，低于0.80不进单）</x:v>
      </x:c>
      <x:c r="G944" s="65" t="str">
        <x:v>大 2.5（参考水位0.95~1.00，低于0.80不进单）</x:v>
      </x:c>
      <x:c r="H944" s="65" t="str">
        <x:v>小注；若埃及+0.5低于0.80放弃，若能拿到埃及+0.75且≥0.85更优；比分参考1-1/1-2/2-2</x:v>
      </x:c>
      <x:c r="I944" s="66" t="n">
        <x:v>46189.09340277778</x:v>
      </x:c>
      <x:c r="J944" s="65" t="str">
        <x:v>已结算</x:v>
      </x:c>
      <x:c r="K944" s="65" t="str">
        <x:v>1-1</x:v>
      </x:c>
      <x:c r="L944" s="65" t="str">
        <x:v>赢</x:v>
      </x:c>
      <x:c r="M944" s="65" t="str">
        <x:v>输</x:v>
      </x:c>
      <x:c r="N944" s="67" t="n">
        <x:v>1</x:v>
      </x:c>
      <x:c r="O944" s="67" t="n">
        <x:v>-1</x:v>
      </x:c>
      <x:c r="P944" s="67" t="n">
        <x:f>IF(COUNT(N944:O944)=0,"",SUM(N944:O944))</x:f>
        <x:v>0</x:v>
      </x:c>
      <x:c r="Q944" s="65"/>
      <x:c r="R944" s="65" t="str">
        <x:v>赛果1-1；埃及 +0.5 赢；大2.5 输。</x:v>
      </x:c>
    </x:row>
    <x:row r="945" ht="38" customHeight="1">
      <x:c r="A945" s="65" t="str">
        <x:f>IF(B945="","",TEXT(B945,"yyyy-mm-dd")&amp;"|"&amp;D945&amp;"|"&amp;E945)</x:f>
        <x:v>2026-06-16|北雪平|瓦尔贝里</x:v>
      </x:c>
      <x:c r="B945" s="66" t="n">
        <x:v>46189.04513888889</x:v>
      </x:c>
      <x:c r="C945" s="65" t="str">
        <x:v>瑞典超级甲级联赛（Superettan）</x:v>
      </x:c>
      <x:c r="D945" s="65" t="str">
        <x:v>北雪平</x:v>
      </x:c>
      <x:c r="E945" s="65" t="str">
        <x:v>瓦尔贝里</x:v>
      </x:c>
      <x:c r="F945" s="65" t="str">
        <x:v>瓦尔贝里 +0.25（参考水位0.96~1.02，低于0.80不进单）</x:v>
      </x:c>
      <x:c r="G945" s="65" t="str">
        <x:v>大 2.75（参考水位0.85左右；大2.5低水不进单）</x:v>
      </x:c>
      <x:c r="H945" s="65" t="str">
        <x:v>小注；瓦尔贝里+0.25若≥0.90可做主推，若临场退到0或水位低于0.80放弃；比分参考1-1/1-2/2-2</x:v>
      </x:c>
      <x:c r="I945" s="66" t="n">
        <x:v>46188.89790509259</x:v>
      </x:c>
      <x:c r="J945" s="65" t="str">
        <x:v>已结算</x:v>
      </x:c>
      <x:c r="K945" s="65" t="str">
        <x:v>2-0</x:v>
      </x:c>
      <x:c r="L945" s="65" t="str">
        <x:v>输</x:v>
      </x:c>
      <x:c r="M945" s="65" t="str">
        <x:v>输</x:v>
      </x:c>
      <x:c r="N945" s="67" t="n">
        <x:v>-1</x:v>
      </x:c>
      <x:c r="O945" s="67" t="n">
        <x:v>-1</x:v>
      </x:c>
      <x:c r="P945" s="67" t="n">
        <x:f>IF(COUNT(N945:O945)=0,"",SUM(N945:O945))</x:f>
        <x:v>-2</x:v>
      </x:c>
      <x:c r="Q945" s="65"/>
      <x:c r="R945" s="65" t="str">
        <x:v>赛果2-0；瓦尔贝里 +0.25 输；大2.75 输。</x:v>
      </x:c>
    </x:row>
    <x:row r="946" ht="38" customHeight="1">
      <x:c r="A946" s="65" t="str">
        <x:f>IF(B946="","",TEXT(B946,"yyyy-mm-dd")&amp;"|"&amp;D946&amp;"|"&amp;E946)</x:f>
        <x:v>2026-06-16|西班牙|佛得角</x:v>
      </x:c>
      <x:c r="B946" s="66" t="n">
        <x:v>46189</x:v>
      </x:c>
      <x:c r="C946" s="65" t="str">
        <x:v>国际足联世界杯</x:v>
      </x:c>
      <x:c r="D946" s="65" t="str">
        <x:v>西班牙</x:v>
      </x:c>
      <x:c r="E946" s="65" t="str">
        <x:v>佛得角</x:v>
      </x:c>
      <x:c r="F946" s="65" t="str">
        <x:v>佛得角 +2.5（参考水位0.90~1.15，低于0.80不进单）</x:v>
      </x:c>
      <x:c r="G946" s="65" t="str">
        <x:v>小 3.5（参考水位0.83~0.95，低于0.80不进单）</x:v>
      </x:c>
      <x:c r="H946" s="65" t="str">
        <x:v>小注；若佛得角+2.5低于0.80放弃，若能拿到+2.75且≥0.85更优；比分参考2-0/3-0</x:v>
      </x:c>
      <x:c r="I946" s="66" t="n">
        <x:v>46189.04982638889</x:v>
      </x:c>
      <x:c r="J946" s="65" t="str">
        <x:v>已结算</x:v>
      </x:c>
      <x:c r="K946" s="65" t="str">
        <x:v>0-0</x:v>
      </x:c>
      <x:c r="L946" s="65" t="str">
        <x:v>赢</x:v>
      </x:c>
      <x:c r="M946" s="65" t="str">
        <x:v>赢</x:v>
      </x:c>
      <x:c r="N946" s="67" t="n">
        <x:v>1</x:v>
      </x:c>
      <x:c r="O946" s="67" t="n">
        <x:v>1</x:v>
      </x:c>
      <x:c r="P946" s="67" t="n">
        <x:f>IF(COUNT(N946:O946)=0,"",SUM(N946:O946))</x:f>
        <x:v>2</x:v>
      </x:c>
      <x:c r="Q946" s="65"/>
      <x:c r="R946" s="65" t="str">
        <x:v>赛果0-0；佛得角 +2.5 赢；小3.5 赢。</x:v>
      </x:c>
    </x:row>
    <x:row r="947" ht="38" customHeight="1">
      <x:c r="A947" s="65" t="str">
        <x:f>IF(B947="","",TEXT(B947,"yyyy-mm-dd")&amp;"|"&amp;D947&amp;"|"&amp;E947)</x:f>
        <x:v>2026-06-15|瑞典|突尼斯</x:v>
      </x:c>
      <x:c r="B947" s="66" t="n">
        <x:v>46188.416666666664</x:v>
      </x:c>
      <x:c r="C947" s="65" t="str">
        <x:v>国际足联世界杯</x:v>
      </x:c>
      <x:c r="D947" s="65" t="str">
        <x:v>瑞典</x:v>
      </x:c>
      <x:c r="E947" s="65" t="str">
        <x:v>突尼斯</x:v>
      </x:c>
      <x:c r="F947" s="65" t="str">
        <x:v>瑞典 -0.5（参考水位0.83~0.91，低于0.80不进单）</x:v>
      </x:c>
      <x:c r="G947" s="65" t="str">
        <x:v>双方进球：否（BTTS No，参考水位0.85；传统小2.5低水仅观察）</x:v>
      </x:c>
      <x:c r="H947" s="65" t="str">
        <x:v>小注；瑞典-0.5若低于0.80放弃，若≥0.85可轻微加仓；比分参考1-0/2-0</x:v>
      </x:c>
      <x:c r="I947" s="66" t="n">
        <x:v>46188.412673611114</x:v>
      </x:c>
      <x:c r="J947" s="65" t="str">
        <x:v>已结算</x:v>
      </x:c>
      <x:c r="K947" s="65" t="str">
        <x:v>5-1</x:v>
      </x:c>
      <x:c r="L947" s="65" t="str">
        <x:v>赢</x:v>
      </x:c>
      <x:c r="M947" s="65" t="str">
        <x:v>输</x:v>
      </x:c>
      <x:c r="N947" s="67" t="n">
        <x:v>1</x:v>
      </x:c>
      <x:c r="O947" s="67" t="n">
        <x:v>-1</x:v>
      </x:c>
      <x:c r="P947" s="67" t="n">
        <x:f>IF(COUNT(N947:O947)=0,"",SUM(N947:O947))</x:f>
        <x:v>0</x:v>
      </x:c>
      <x:c r="Q947" s="65"/>
      <x:c r="R947" s="65" t="str">
        <x:v>赛果5-1；瑞典 -0.5 赢；双方进球：否 输。</x:v>
      </x:c>
    </x:row>
    <x:row r="948" ht="38" customHeight="1">
      <x:c r="A948" s="65" t="str">
        <x:f>IF(B948="","",TEXT(B948,"yyyy-mm-dd")&amp;"|"&amp;D948&amp;"|"&amp;E948)</x:f>
        <x:v>2026-06-15|科特迪瓦|厄瓜多尔</x:v>
      </x:c>
      <x:c r="B948" s="66" t="n">
        <x:v>46188.291666666664</x:v>
      </x:c>
      <x:c r="C948" s="65" t="str">
        <x:v>国际足联世界杯</x:v>
      </x:c>
      <x:c r="D948" s="65" t="str">
        <x:v>科特迪瓦</x:v>
      </x:c>
      <x:c r="E948" s="65" t="str">
        <x:v>厄瓜多尔</x:v>
      </x:c>
      <x:c r="F948" s="65" t="str">
        <x:v>科特迪瓦 +0.25（受让平/半，入场≥0.85；低于0.80不进单）</x:v>
      </x:c>
      <x:c r="G948" s="65" t="str">
        <x:v>小2.25（约1.85-1.95/港水0.85-0.95；低于0.80不进单）</x:v>
      </x:c>
      <x:c r="H948" s="65" t="str">
        <x:v>让球主推科特迪瓦受让；小2.25小注，若只能买厄瓜多尔低水或小球低于0.80则放弃</x:v>
      </x:c>
      <x:c r="I948" s="66" t="n">
        <x:v>46188.166655092595</x:v>
      </x:c>
      <x:c r="J948" s="65" t="str">
        <x:v>已结算</x:v>
      </x:c>
      <x:c r="K948" s="65" t="str">
        <x:v>1-0</x:v>
      </x:c>
      <x:c r="L948" s="65" t="str">
        <x:v>赢</x:v>
      </x:c>
      <x:c r="M948" s="65" t="str">
        <x:v>赢</x:v>
      </x:c>
      <x:c r="N948" s="67" t="n">
        <x:v>1</x:v>
      </x:c>
      <x:c r="O948" s="67" t="n">
        <x:v>1</x:v>
      </x:c>
      <x:c r="P948" s="67" t="n">
        <x:f>IF(COUNT(N948:O948)=0,"",SUM(N948:O948))</x:f>
        <x:v>2</x:v>
      </x:c>
      <x:c r="Q948" s="65"/>
      <x:c r="R948" s="65" t="str">
        <x:v>赛果1-0；科特迪瓦 +0.25 赢；小2.25 赢。</x:v>
      </x:c>
    </x:row>
    <x:row r="949" ht="38" customHeight="1">
      <x:c r="A949" s="65" t="str">
        <x:f>IF(B949="","",TEXT(B949,"yyyy-mm-dd")&amp;"|"&amp;D949&amp;"|"&amp;E949)</x:f>
        <x:v>2026-06-15|荷兰|日本</x:v>
      </x:c>
      <x:c r="B949" s="66" t="n">
        <x:v>46188.166666666664</x:v>
      </x:c>
      <x:c r="C949" s="65" t="str">
        <x:v>国际足联世界杯</x:v>
      </x:c>
      <x:c r="D949" s="65" t="str">
        <x:v>荷兰</x:v>
      </x:c>
      <x:c r="E949" s="65" t="str">
        <x:v>日本</x:v>
      </x:c>
      <x:c r="F949" s="65" t="str">
        <x:v>日本 +0.25（受让平/半，约2.04/港水1.04；低于0.80不进单）</x:v>
      </x:c>
      <x:c r="G949" s="65" t="str">
        <x:v>小2.5（约1.73-1.80/港水0.73-0.80；只在≥0.80入场，低于0.80不进单）</x:v>
      </x:c>
      <x:c r="H949" s="65" t="str">
        <x:v>让球主推日本受让；大小球只在小2.5≥0.80时小注，若只能买小球低水则放弃</x:v>
      </x:c>
      <x:c r="I949" s="66" t="n">
        <x:v>46188.16101851852</x:v>
      </x:c>
      <x:c r="J949" s="65" t="str">
        <x:v>已结算</x:v>
      </x:c>
      <x:c r="K949" s="65" t="str">
        <x:v>2-2</x:v>
      </x:c>
      <x:c r="L949" s="65" t="str">
        <x:v>赢半</x:v>
      </x:c>
      <x:c r="M949" s="65" t="str">
        <x:v>输</x:v>
      </x:c>
      <x:c r="N949" s="67" t="n">
        <x:v>0.5</x:v>
      </x:c>
      <x:c r="O949" s="67" t="n">
        <x:v>-1</x:v>
      </x:c>
      <x:c r="P949" s="67" t="n">
        <x:f>IF(COUNT(N949:O949)=0,"",SUM(N949:O949))</x:f>
        <x:v>-0.5</x:v>
      </x:c>
      <x:c r="Q949" s="65"/>
      <x:c r="R949" s="65" t="str">
        <x:v>赛果2-2；日本 +0.25 赢半；小2.5 输。</x:v>
      </x:c>
    </x:row>
    <x:row r="950" ht="38" customHeight="1">
      <x:c r="A950" s="65" t="str">
        <x:f>IF(B950="","",TEXT(B950,"yyyy-mm-dd")&amp;"|"&amp;D950&amp;"|"&amp;E950)</x:f>
        <x:v>2026-06-14|海格于松（FK Haugesund）|兰黑姆（Ranheim IL）</x:v>
      </x:c>
      <x:c r="B950" s="66" t="n">
        <x:v>46187.916666666664</x:v>
      </x:c>
      <x:c r="C950" s="65" t="str">
        <x:v>挪威甲级联赛（OBOS-ligaen）</x:v>
      </x:c>
      <x:c r="D950" s="65" t="str">
        <x:v>海格于松（FK Haugesund）</x:v>
      </x:c>
      <x:c r="E950" s="65" t="str">
        <x:v>兰黑姆（Ranheim IL）</x:v>
      </x:c>
      <x:c r="F950" s="65" t="str">
        <x:v>海格于松 -1（一球，入场≥0.85；主胜低水不进单）</x:v>
      </x:c>
      <x:c r="G950" s="65" t="str">
        <x:v>大3.75（亚洲大小3.75球，预估约1.90-2.00/港水0.90-1.00；大2.5低水不进单）</x:v>
      </x:c>
      <x:c r="H950" s="65" t="str">
        <x:v>大小球主推大3.75；让球小注，若海格于松-1低于0.80或只能追大2.5低水则放弃</x:v>
      </x:c>
      <x:c r="I950" s="66" t="n">
        <x:v>46187.93068287037</x:v>
      </x:c>
      <x:c r="J950" s="65" t="str">
        <x:v>已结算</x:v>
      </x:c>
      <x:c r="K950" s="65" t="str">
        <x:v>4-1</x:v>
      </x:c>
      <x:c r="L950" s="65" t="str">
        <x:v>赢</x:v>
      </x:c>
      <x:c r="M950" s="65" t="str">
        <x:v>赢</x:v>
      </x:c>
      <x:c r="N950" s="67" t="n">
        <x:v>1</x:v>
      </x:c>
      <x:c r="O950" s="67" t="n">
        <x:v>1</x:v>
      </x:c>
      <x:c r="P950" s="67" t="n">
        <x:f>IF(COUNT(N950:O950)=0,"",SUM(N950:O950))</x:f>
        <x:v>2</x:v>
      </x:c>
      <x:c r="Q950" s="65"/>
      <x:c r="R950" s="65" t="str">
        <x:v>赛果4-1；海格于松 -1 赢；大3.75 赢。</x:v>
      </x:c>
    </x:row>
    <x:row r="951" ht="38" customHeight="1">
      <x:c r="A951" s="65" t="str">
        <x:f>IF(B951="","",TEXT(B951,"yyyy-mm-dd")&amp;"|"&amp;D951&amp;"|"&amp;E951)</x:f>
        <x:v>2026-06-14|卢恩斯基尔（Ljungskile SK）|厄斯特松德（Östersunds FK）</x:v>
      </x:c>
      <x:c r="B951" s="66" t="n">
        <x:v>46187.875</x:v>
      </x:c>
      <x:c r="C951" s="65" t="str">
        <x:v>瑞典超级甲级联赛（Superettan）</x:v>
      </x:c>
      <x:c r="D951" s="65" t="str">
        <x:v>卢恩斯基尔（Ljungskile SK）</x:v>
      </x:c>
      <x:c r="E951" s="65" t="str">
        <x:v>厄斯特松德（Östersunds FK）</x:v>
      </x:c>
      <x:c r="F951" s="65" t="str">
        <x:v>厄斯特松德 +0.25（受让平/半，入场≥0.85；若只能买+0.5低水则不进单）</x:v>
      </x:c>
      <x:c r="G951" s="65" t="str">
        <x:v>小2.5（约1.90-2.15/港水0.90-1.15；低于0.80不进单）</x:v>
      </x:c>
      <x:c r="H951" s="65" t="str">
        <x:v>让球主推厄斯特松德受让；小2.5小注，若滚球小球低于0.80或出现早球则放弃</x:v>
      </x:c>
      <x:c r="I951" s="66" t="n">
        <x:v>46187.896631944444</x:v>
      </x:c>
      <x:c r="J951" s="65" t="str">
        <x:v>已结算</x:v>
      </x:c>
      <x:c r="K951" s="65" t="str">
        <x:v>1-1</x:v>
      </x:c>
      <x:c r="L951" s="65" t="str">
        <x:v>赢半</x:v>
      </x:c>
      <x:c r="M951" s="65" t="str">
        <x:v>赢</x:v>
      </x:c>
      <x:c r="N951" s="67" t="n">
        <x:v>0.5</x:v>
      </x:c>
      <x:c r="O951" s="67" t="n">
        <x:v>1</x:v>
      </x:c>
      <x:c r="P951" s="67" t="n">
        <x:f>IF(COUNT(N951:O951)=0,"",SUM(N951:O951))</x:f>
        <x:v>1.5</x:v>
      </x:c>
      <x:c r="Q951" s="65"/>
      <x:c r="R951" s="65" t="str">
        <x:v>赛果1-1；厄斯特松德 +0.25 赢半；小2.5 赢。</x:v>
      </x:c>
    </x:row>
    <x:row r="952" ht="38" customHeight="1">
      <x:c r="A952" s="65" t="str">
        <x:f>IF(B952="","",TEXT(B952,"yyyy-mm-dd")&amp;"|"&amp;D952&amp;"|"&amp;E952)</x:f>
        <x:v>2026-06-14|深圳青年人|广西恒宸</x:v>
      </x:c>
      <x:c r="B952" s="66" t="n">
        <x:v>46187.791666666664</x:v>
      </x:c>
      <x:c r="C952" s="65" t="str">
        <x:v>中国足球甲级联赛</x:v>
      </x:c>
      <x:c r="D952" s="65" t="str">
        <x:v>深圳青年人</x:v>
      </x:c>
      <x:c r="E952" s="65" t="str">
        <x:v>广西恒宸</x:v>
      </x:c>
      <x:c r="F952" s="65" t="str">
        <x:v>广西恒宸 +0.25（受让平/半，约0.83港水；低于0.80不进单）</x:v>
      </x:c>
      <x:c r="G952" s="65" t="str">
        <x:v>大2.5（约1.03港水；大2/2.5若只有0.78低水不进单）</x:v>
      </x:c>
      <x:c r="H952" s="65" t="str">
        <x:v>让球主推广西受让；大小球只走大2.5高水小注，若临场大2.5低于0.85则放弃</x:v>
      </x:c>
      <x:c r="I952" s="66" t="n">
        <x:v>46187.704097222224</x:v>
      </x:c>
      <x:c r="J952" s="65" t="str">
        <x:v>已结算</x:v>
      </x:c>
      <x:c r="K952" s="65" t="str">
        <x:v>1-1</x:v>
      </x:c>
      <x:c r="L952" s="65" t="str">
        <x:v>赢半</x:v>
      </x:c>
      <x:c r="M952" s="65" t="str">
        <x:v>输</x:v>
      </x:c>
      <x:c r="N952" s="67" t="n">
        <x:v>0.5</x:v>
      </x:c>
      <x:c r="O952" s="67" t="n">
        <x:v>-1</x:v>
      </x:c>
      <x:c r="P952" s="67" t="n">
        <x:f>IF(COUNT(N952:O952)=0,"",SUM(N952:O952))</x:f>
        <x:v>-0.5</x:v>
      </x:c>
      <x:c r="Q952" s="65"/>
      <x:c r="R952" s="65" t="str">
        <x:v>赛果1-1；广西恒宸 +0.25 赢半；大2.5 输。</x:v>
      </x:c>
    </x:row>
    <x:row r="953" ht="38" customHeight="1">
      <x:c r="A953" s="65" t="str">
        <x:f>IF(B953="","",TEXT(B953,"yyyy-mm-dd")&amp;"|"&amp;D953&amp;"|"&amp;E953)</x:f>
        <x:v>2026-06-14|普罗斯佩联（Prospect United）|达尔维奇希尔（Dulwich Hill）</x:v>
      </x:c>
      <x:c r="B953" s="66" t="n">
        <x:v>46187.75</x:v>
      </x:c>
      <x:c r="C953" s="65" t="str">
        <x:v>澳大利亚新南威尔士州甲级联赛（NSW League One）</x:v>
      </x:c>
      <x:c r="D953" s="65" t="str">
        <x:v>普罗斯佩联（Prospect United）</x:v>
      </x:c>
      <x:c r="E953" s="65" t="str">
        <x:v>达尔维奇希尔（Dulwich Hill）</x:v>
      </x:c>
      <x:c r="F953" s="65" t="str">
        <x:v>达尔维奇希尔 -0.25（客让平/半，入场≥0.85；低于0.80不进单）</x:v>
      </x:c>
      <x:c r="G953" s="65" t="str">
        <x:v>小2.5（约2.25-2.35/港水1.25-1.35，高水小注；低于0.80不进单）</x:v>
      </x:c>
      <x:c r="H953" s="65" t="str">
        <x:v>让球小注，小2.5反热门高水小注；若达尔维奇-0.25低于0.80或比赛早球后小球降值则放弃</x:v>
      </x:c>
      <x:c r="I953" s="66" t="n">
        <x:v>46187.702060185184</x:v>
      </x:c>
      <x:c r="J953" s="65" t="str">
        <x:v>已结算</x:v>
      </x:c>
      <x:c r="K953" s="65" t="str">
        <x:v>0-0</x:v>
      </x:c>
      <x:c r="L953" s="65" t="str">
        <x:v>输半</x:v>
      </x:c>
      <x:c r="M953" s="65" t="str">
        <x:v>赢</x:v>
      </x:c>
      <x:c r="N953" s="67" t="n">
        <x:v>-0.5</x:v>
      </x:c>
      <x:c r="O953" s="67" t="n">
        <x:v>1</x:v>
      </x:c>
      <x:c r="P953" s="67" t="n">
        <x:f>IF(COUNT(N953:O953)=0,"",SUM(N953:O953))</x:f>
        <x:v>0.5</x:v>
      </x:c>
      <x:c r="Q953" s="65"/>
      <x:c r="R953" s="65" t="str">
        <x:v>赛果0-0；达尔维奇希尔 -0.25 输半；小2.5 赢。</x:v>
      </x:c>
    </x:row>
    <x:row r="954" ht="38" customHeight="1">
      <x:c r="A954" s="65" t="str">
        <x:f>IF(B954="","",TEXT(B954,"yyyy-mm-dd")&amp;"|"&amp;D954&amp;"|"&amp;E954)</x:f>
        <x:v>2026-06-14|洛克达尔伊林登（Rockdale Ilinden）|SD公鹿（SD Raiders）</x:v>
      </x:c>
      <x:c r="B954" s="66" t="n">
        <x:v>46187.604166666664</x:v>
      </x:c>
      <x:c r="C954" s="65" t="str">
        <x:v>澳大利亚新南威尔士州国家超级联赛（NPL NSW）</x:v>
      </x:c>
      <x:c r="D954" s="65" t="str">
        <x:v>洛克达尔伊林登（Rockdale Ilinden）</x:v>
      </x:c>
      <x:c r="E954" s="65" t="str">
        <x:v>SD公鹿（SD Raiders）</x:v>
      </x:c>
      <x:c r="F954" s="65" t="str">
        <x:v>洛克达尔伊林登 -1（一球，约1.85-1.95/港水0.85-0.95；低于0.80不进单）</x:v>
      </x:c>
      <x:c r="G954" s="65" t="str">
        <x:v>大3（亚洲大小3球，约1.85-1.90/港水0.85-0.90；大2.5低水不进单）</x:v>
      </x:c>
      <x:c r="H954" s="65" t="str">
        <x:v>让球小注，大3主推；若只能买主胜/大2.5低水则放弃</x:v>
      </x:c>
      <x:c r="I954" s="66" t="n">
        <x:v>46187.55979166667</x:v>
      </x:c>
      <x:c r="J954" s="65" t="str">
        <x:v>已结算</x:v>
      </x:c>
      <x:c r="K954" s="65" t="str">
        <x:v>0-1</x:v>
      </x:c>
      <x:c r="L954" s="65" t="str">
        <x:v>输</x:v>
      </x:c>
      <x:c r="M954" s="65" t="str">
        <x:v>输</x:v>
      </x:c>
      <x:c r="N954" s="67" t="n">
        <x:v>-1</x:v>
      </x:c>
      <x:c r="O954" s="67" t="n">
        <x:v>-1</x:v>
      </x:c>
      <x:c r="P954" s="67" t="n">
        <x:f>IF(COUNT(N954:O954)=0,"",SUM(N954:O954))</x:f>
        <x:v>-2</x:v>
      </x:c>
      <x:c r="Q954" s="65"/>
      <x:c r="R954" s="65" t="str">
        <x:v>赛果0-1；洛克达尔伊林登 -1 输；大3 输。</x:v>
      </x:c>
    </x:row>
    <x:row r="955" ht="38" customHeight="1">
      <x:c r="A955" s="65" t="str">
        <x:f>IF(B955="","",TEXT(B955,"yyyy-mm-dd")&amp;"|"&amp;D955&amp;"|"&amp;E955)</x:f>
        <x:v>2026-06-14|澳大利亚|土耳其</x:v>
      </x:c>
      <x:c r="B955" s="66" t="n">
        <x:v>46187.5</x:v>
      </x:c>
      <x:c r="C955" s="65" t="str">
        <x:v>国际足联世界杯</x:v>
      </x:c>
      <x:c r="D955" s="65" t="str">
        <x:v>澳大利亚</x:v>
      </x:c>
      <x:c r="E955" s="65" t="str">
        <x:v>土耳其</x:v>
      </x:c>
      <x:c r="F955" s="65" t="str">
        <x:v>澳大利亚 +0.5（受让半球，约2.20/港水1.20；低于0.80不进单）</x:v>
      </x:c>
      <x:c r="G955" s="65" t="str">
        <x:v>小2.5（约1.80-1.89/港水0.80-0.89；低于0.80不进单）</x:v>
      </x:c>
      <x:c r="H955" s="65" t="str">
        <x:v>让球主推澳大利亚受让；小2.5小注，若土耳其-0.5低水或小球低于0.80则放弃</x:v>
      </x:c>
      <x:c r="I955" s="66" t="n">
        <x:v>46187.46543981481</x:v>
      </x:c>
      <x:c r="J955" s="65" t="str">
        <x:v>已结算</x:v>
      </x:c>
      <x:c r="K955" s="65" t="str">
        <x:v>2-0</x:v>
      </x:c>
      <x:c r="L955" s="65" t="str">
        <x:v>赢</x:v>
      </x:c>
      <x:c r="M955" s="65" t="str">
        <x:v>赢</x:v>
      </x:c>
      <x:c r="N955" s="67" t="n">
        <x:v>1</x:v>
      </x:c>
      <x:c r="O955" s="67" t="n">
        <x:v>1</x:v>
      </x:c>
      <x:c r="P955" s="67" t="n">
        <x:f>IF(COUNT(N955:O955)=0,"",SUM(N955:O955))</x:f>
        <x:v>2</x:v>
      </x:c>
      <x:c r="Q955" s="65"/>
      <x:c r="R955" s="65" t="str">
        <x:v>赛果2-0；澳大利亚 +0.5 赢；小2.5 赢。</x:v>
      </x:c>
    </x:row>
    <x:row r="956" ht="38" customHeight="1">
      <x:c r="A956" s="65" t="str">
        <x:f>IF(B956="","",TEXT(B956,"yyyy-mm-dd")&amp;"|"&amp;D956&amp;"|"&amp;E956)</x:f>
        <x:v>2026-06-14|奥克兰根（Oakland Roots SC）|迈阿密FC（Miami FC）</x:v>
      </x:c>
      <x:c r="B956" s="66" t="n">
        <x:v>46187.416666666664</x:v>
      </x:c>
      <x:c r="C956" s="65" t="str">
        <x:v>美国足球冠军联赛（USL Championship）</x:v>
      </x:c>
      <x:c r="D956" s="65" t="str">
        <x:v>奥克兰根（Oakland Roots SC）</x:v>
      </x:c>
      <x:c r="E956" s="65" t="str">
        <x:v>迈阿密FC（Miami FC）</x:v>
      </x:c>
      <x:c r="F956" s="65" t="str">
        <x:v>奥克兰根 -1（一球，约1.95/港水0.95；低于0.80不进单）</x:v>
      </x:c>
      <x:c r="G956" s="65" t="str">
        <x:v>大3（亚洲大小3球，约2.00/港水1.00；大2.5低水不进单）</x:v>
      </x:c>
      <x:c r="H956" s="65" t="str">
        <x:v>让球小注，大3主推；若奥克兰-1降到低于0.80或大3低于0.85则放弃</x:v>
      </x:c>
      <x:c r="I956" s="66" t="n">
        <x:v>46187.39346064815</x:v>
      </x:c>
      <x:c r="J956" s="65" t="str">
        <x:v>已结算</x:v>
      </x:c>
      <x:c r="K956" s="65" t="str">
        <x:v>0-0</x:v>
      </x:c>
      <x:c r="L956" s="65" t="str">
        <x:v>输</x:v>
      </x:c>
      <x:c r="M956" s="65" t="str">
        <x:v>输</x:v>
      </x:c>
      <x:c r="N956" s="67" t="n">
        <x:v>-1</x:v>
      </x:c>
      <x:c r="O956" s="67" t="n">
        <x:v>-1</x:v>
      </x:c>
      <x:c r="P956" s="67" t="n">
        <x:f>IF(COUNT(N956:O956)=0,"",SUM(N956:O956))</x:f>
        <x:v>-2</x:v>
      </x:c>
      <x:c r="Q956" s="65"/>
      <x:c r="R956" s="65" t="str">
        <x:v>赛果0-0；奥克兰根 -1 输；大3 输。</x:v>
      </x:c>
    </x:row>
    <x:row r="957" ht="38" customHeight="1">
      <x:c r="A957" s="65" t="str">
        <x:f>IF(B957="","",TEXT(B957,"yyyy-mm-dd")&amp;"|"&amp;D957&amp;"|"&amp;E957)</x:f>
        <x:v>2026-06-14|科罗拉多跃泉（Colorado Springs Switchbacks FC）|萨克拉门托共和（Sacramento Republic FC）</x:v>
      </x:c>
      <x:c r="B957" s="66" t="n">
        <x:v>46187.375</x:v>
      </x:c>
      <x:c r="C957" s="65" t="str">
        <x:v>美国足球冠军联赛（USL Championship）</x:v>
      </x:c>
      <x:c r="D957" s="65" t="str">
        <x:v>科罗拉多跃泉（Colorado Springs Switchbacks FC）</x:v>
      </x:c>
      <x:c r="E957" s="65" t="str">
        <x:v>萨克拉门托共和（Sacramento Republic FC）</x:v>
      </x:c>
      <x:c r="F957" s="65" t="str">
        <x:v>科罗拉多跃泉 -0.5（半球，约1.83-1.91/港水0.83-0.91；低于0.80不进单）</x:v>
      </x:c>
      <x:c r="G957" s="65" t="str">
        <x:v>大2.5（约2.07/港水1.07；若临场只能买到大2.5低于0.80则放弃）</x:v>
      </x:c>
      <x:c r="H957" s="65" t="str">
        <x:v>让球主推，大小球高水小注；若科罗拉多半球降到低于0.80则改-0.25且≥0.85，否则放弃</x:v>
      </x:c>
      <x:c r="I957" s="66" t="n">
        <x:v>46187.4249537037</x:v>
      </x:c>
      <x:c r="J957" s="65" t="str">
        <x:v>已结算</x:v>
      </x:c>
      <x:c r="K957" s="65" t="str">
        <x:v>0-1</x:v>
      </x:c>
      <x:c r="L957" s="65" t="str">
        <x:v>输</x:v>
      </x:c>
      <x:c r="M957" s="65" t="str">
        <x:v>输</x:v>
      </x:c>
      <x:c r="N957" s="67" t="n">
        <x:v>-1</x:v>
      </x:c>
      <x:c r="O957" s="67" t="n">
        <x:v>-1</x:v>
      </x:c>
      <x:c r="P957" s="67" t="n">
        <x:f>IF(COUNT(N957:O957)=0,"",SUM(N957:O957))</x:f>
        <x:v>-2</x:v>
      </x:c>
      <x:c r="Q957" s="65"/>
      <x:c r="R957" s="65" t="str">
        <x:v>赛果0-1；科罗拉多跃泉 -0.5 输；大2.5 输。</x:v>
      </x:c>
    </x:row>
    <x:row r="958" ht="38" customHeight="1">
      <x:c r="A958" s="65" t="str">
        <x:f>IF(B958="","",TEXT(B958,"yyyy-mm-dd")&amp;"|"&amp;D958&amp;"|"&amp;E958)</x:f>
        <x:v>2026-06-14|埃尔帕索机车（El Paso Locomotive FC）|凤凰重生（Phoenix Rising FC）</x:v>
      </x:c>
      <x:c r="B958" s="66" t="n">
        <x:v>46187.375</x:v>
      </x:c>
      <x:c r="C958" s="65" t="str">
        <x:v>美国足球冠军联赛（USL Championship）</x:v>
      </x:c>
      <x:c r="D958" s="65" t="str">
        <x:v>埃尔帕索机车（El Paso Locomotive FC）</x:v>
      </x:c>
      <x:c r="E958" s="65" t="str">
        <x:v>凤凰重生（Phoenix Rising FC）</x:v>
      </x:c>
      <x:c r="F958" s="65" t="str">
        <x:v>凤凰重生 +0.5（受让半球，约1.83/港水0.83；低于0.80不进单）</x:v>
      </x:c>
      <x:c r="G958" s="65" t="str">
        <x:v>大3（亚洲大小3球，约1.83-2.00/港水0.83-1.00；大2.5低水不进单）</x:v>
      </x:c>
      <x:c r="H958" s="65" t="str">
        <x:v>让球主推凤凰受让，大3小注；若凤凰+0.5低于0.80或只能追大2.5低水则放弃</x:v>
      </x:c>
      <x:c r="I958" s="66" t="n">
        <x:v>46187.413564814815</x:v>
      </x:c>
      <x:c r="J958" s="65" t="str">
        <x:v>已结算</x:v>
      </x:c>
      <x:c r="K958" s="65" t="str">
        <x:v>1-1</x:v>
      </x:c>
      <x:c r="L958" s="65" t="str">
        <x:v>赢</x:v>
      </x:c>
      <x:c r="M958" s="65" t="str">
        <x:v>输</x:v>
      </x:c>
      <x:c r="N958" s="67" t="n">
        <x:v>1</x:v>
      </x:c>
      <x:c r="O958" s="67" t="n">
        <x:v>-1</x:v>
      </x:c>
      <x:c r="P958" s="67" t="n">
        <x:f>IF(COUNT(N958:O958)=0,"",SUM(N958:O958))</x:f>
        <x:v>0</x:v>
      </x:c>
      <x:c r="Q958" s="65"/>
      <x:c r="R958" s="65" t="str">
        <x:v>赛果1-1；凤凰重生 +0.5 赢；大3 输。</x:v>
      </x:c>
    </x:row>
    <x:row r="959" ht="38" customHeight="1">
      <x:c r="A959" s="65" t="str">
        <x:f>IF(B959="","",TEXT(B959,"yyyy-mm-dd")&amp;"|"&amp;D959&amp;"|"&amp;E959)</x:f>
        <x:v>2026-06-14|海地|苏格兰</x:v>
      </x:c>
      <x:c r="B959" s="66" t="n">
        <x:v>46187.375</x:v>
      </x:c>
      <x:c r="C959" s="65" t="str">
        <x:v>国际足联世界杯</x:v>
      </x:c>
      <x:c r="D959" s="65" t="str">
        <x:v>海地</x:v>
      </x:c>
      <x:c r="E959" s="65" t="str">
        <x:v>苏格兰</x:v>
      </x:c>
      <x:c r="F959" s="65" t="str">
        <x:v>苏格兰 -1（一球，约1.95/港水0.95；低于0.80不进单）</x:v>
      </x:c>
      <x:c r="G959" s="65" t="str">
        <x:v>小3（亚洲大小3球，约1.85/港水0.85；大2.5低水不进单）</x:v>
      </x:c>
      <x:c r="H959" s="65" t="str">
        <x:v>让球主推，大小球小注；若苏格兰-1降到低于0.80则改-0.75且≥0.85，否则放弃</x:v>
      </x:c>
      <x:c r="I959" s="66" t="n">
        <x:v>46187.339212962965</x:v>
      </x:c>
      <x:c r="J959" s="65" t="str">
        <x:v>已结算</x:v>
      </x:c>
      <x:c r="K959" s="65" t="str">
        <x:v>0-1</x:v>
      </x:c>
      <x:c r="L959" s="65" t="str">
        <x:v>走水</x:v>
      </x:c>
      <x:c r="M959" s="65" t="str">
        <x:v>赢</x:v>
      </x:c>
      <x:c r="N959" s="67" t="n">
        <x:v>0</x:v>
      </x:c>
      <x:c r="O959" s="67" t="n">
        <x:v>1</x:v>
      </x:c>
      <x:c r="P959" s="67" t="n">
        <x:f>IF(COUNT(N959:O959)=0,"",SUM(N959:O959))</x:f>
        <x:v>1</x:v>
      </x:c>
      <x:c r="Q959" s="65"/>
      <x:c r="R959" s="65" t="str">
        <x:v>赛果0-1；苏格兰 -1 走水；小3 赢。</x:v>
      </x:c>
    </x:row>
    <x:row r="960" ht="38" customHeight="1">
      <x:c r="A960" s="65" t="str">
        <x:f>IF(B960="","",TEXT(B960,"yyyy-mm-dd")&amp;"|"&amp;D960&amp;"|"&amp;E960)</x:f>
        <x:v>2026-06-14|巴西|摩洛哥</x:v>
      </x:c>
      <x:c r="B960" s="66" t="n">
        <x:v>46187.25</x:v>
      </x:c>
      <x:c r="C960" s="65" t="str">
        <x:v>国际足联世界杯</x:v>
      </x:c>
      <x:c r="D960" s="65" t="str">
        <x:v>巴西</x:v>
      </x:c>
      <x:c r="E960" s="65" t="str">
        <x:v>摩洛哥</x:v>
      </x:c>
      <x:c r="F960" s="65" t="str">
        <x:v>摩洛哥 +0.5（受让半球，赛前可见+120/港水1.20；滚球低于0.80不进单）</x:v>
      </x:c>
      <x:c r="G960" s="65" t="str">
        <x:v>大3.5（滚球高水小注，入场水位≥0.85；大2.5若低水则不进单）</x:v>
      </x:c>
      <x:c r="H960" s="65" t="str">
        <x:v>让球主推摩洛哥受让；大小球只走大3.5高水小注，低于0.80全部放弃</x:v>
      </x:c>
      <x:c r="I960" s="66" t="n">
        <x:v>46187.29023148148</x:v>
      </x:c>
      <x:c r="J960" s="65" t="str">
        <x:v>已结算</x:v>
      </x:c>
      <x:c r="K960" s="65" t="str">
        <x:v>1-1</x:v>
      </x:c>
      <x:c r="L960" s="65" t="str">
        <x:v>赢</x:v>
      </x:c>
      <x:c r="M960" s="65" t="str">
        <x:v>输</x:v>
      </x:c>
      <x:c r="N960" s="67" t="n">
        <x:v>1</x:v>
      </x:c>
      <x:c r="O960" s="67" t="n">
        <x:v>-1</x:v>
      </x:c>
      <x:c r="P960" s="67" t="n">
        <x:f>IF(COUNT(N960:O960)=0,"",SUM(N960:O960))</x:f>
        <x:v>0</x:v>
      </x:c>
      <x:c r="Q960" s="65"/>
      <x:c r="R960" s="65" t="str">
        <x:v>赛果1-1；摩洛哥 +0.5 赢；大3.5 输。</x:v>
      </x:c>
    </x:row>
    <x:row r="961" ht="38" customHeight="1">
      <x:c r="A961" s="65" t="str">
        <x:f>IF(B961="","",TEXT(B961,"yyyy-mm-dd")&amp;"|"&amp;D961&amp;"|"&amp;E961)</x:f>
        <x:v>2026-06-13|瓦萨VPS（Vaasan Palloseura）|古比斯（KuPS）</x:v>
      </x:c>
      <x:c r="B961" s="66" t="n">
        <x:v>46186.916666666664</x:v>
      </x:c>
      <x:c r="C961" s="65" t="str">
        <x:v>芬兰超级联赛（Veikkausliiga）</x:v>
      </x:c>
      <x:c r="D961" s="65" t="str">
        <x:v>瓦萨VPS（Vaasan Palloseura）</x:v>
      </x:c>
      <x:c r="E961" s="65" t="str">
        <x:v>古比斯（KuPS）</x:v>
      </x:c>
      <x:c r="F961" s="65" t="str">
        <x:v>古比斯 -0.25（客让平/半，约1.90/港水0.90；低于0.80不进单）</x:v>
      </x:c>
      <x:c r="G961" s="65" t="str">
        <x:v>小2.5（约1.80/港水0.80；低于0.80不进单）</x:v>
      </x:c>
      <x:c r="H961" s="65" t="str">
        <x:v>小2.5主推，古比斯-0.25小注；若古比斯退到平手低水或小球低于0.80则放弃</x:v>
      </x:c>
      <x:c r="I961" s="66" t="n">
        <x:v>46186.877800925926</x:v>
      </x:c>
      <x:c r="J961" s="65" t="str">
        <x:v>已结算</x:v>
      </x:c>
      <x:c r="K961" s="65" t="str">
        <x:v>1-1</x:v>
      </x:c>
      <x:c r="L961" s="65" t="str">
        <x:v>输半</x:v>
      </x:c>
      <x:c r="M961" s="65" t="str">
        <x:v>赢</x:v>
      </x:c>
      <x:c r="N961" s="67" t="n">
        <x:v>-0.5</x:v>
      </x:c>
      <x:c r="O961" s="67" t="n">
        <x:v>1</x:v>
      </x:c>
      <x:c r="P961" s="67" t="n">
        <x:f>IF(COUNT(N961:O961)=0,"",SUM(N961:O961))</x:f>
        <x:v>0.5</x:v>
      </x:c>
      <x:c r="Q961" s="65"/>
      <x:c r="R961" s="65" t="str">
        <x:v>赛果1-1；古比斯 -0.25 输半；小2.5 赢。</x:v>
      </x:c>
    </x:row>
    <x:row r="962" ht="38" customHeight="1">
      <x:c r="A962" s="65" t="str">
        <x:f>IF(B962="","",TEXT(B962,"yyyy-mm-dd")&amp;"|"&amp;D962&amp;"|"&amp;E962)</x:f>
        <x:v>2026-06-13|埃尔维斯（Ilves）|TPS图尔库（TPS）</x:v>
      </x:c>
      <x:c r="B962" s="66" t="n">
        <x:v>46186.833333333336</x:v>
      </x:c>
      <x:c r="C962" s="65" t="str">
        <x:v>芬兰超级联赛（Veikkausliiga）</x:v>
      </x:c>
      <x:c r="D962" s="65" t="str">
        <x:v>埃尔维斯（Ilves）</x:v>
      </x:c>
      <x:c r="E962" s="65" t="str">
        <x:v>TPS图尔库（TPS）</x:v>
      </x:c>
      <x:c r="F962" s="65" t="str">
        <x:v>TPS图尔库 +0.5（受让半球/X2，约1.83/港水0.83；低于0.80不进单）</x:v>
      </x:c>
      <x:c r="G962" s="65" t="str">
        <x:v>小1.5（滚球高水小注，约2.88/港水1.88；若只能买小2.5低水则不进单）</x:v>
      </x:c>
      <x:c r="H962" s="65" t="str">
        <x:v>滚球盘小注；让球主推TPS受让，大小球只走小1.5高水，不追小2.5低水</x:v>
      </x:c>
      <x:c r="I962" s="66" t="n">
        <x:v>46186.8830787037</x:v>
      </x:c>
      <x:c r="J962" s="65" t="str">
        <x:v>已结算</x:v>
      </x:c>
      <x:c r="K962" s="65" t="str">
        <x:v>1-0</x:v>
      </x:c>
      <x:c r="L962" s="65" t="str">
        <x:v>输</x:v>
      </x:c>
      <x:c r="M962" s="65" t="str">
        <x:v>赢</x:v>
      </x:c>
      <x:c r="N962" s="67" t="n">
        <x:v>-1</x:v>
      </x:c>
      <x:c r="O962" s="67" t="n">
        <x:v>1</x:v>
      </x:c>
      <x:c r="P962" s="67" t="n">
        <x:f>IF(COUNT(N962:O962)=0,"",SUM(N962:O962))</x:f>
        <x:v>0</x:v>
      </x:c>
      <x:c r="Q962" s="65"/>
      <x:c r="R962" s="65" t="str">
        <x:v>赛果1-0；TPS图尔库 +0.5 输；小1.5 赢。</x:v>
      </x:c>
    </x:row>
    <x:row r="963" ht="38" customHeight="1">
      <x:c r="A963" s="65" t="str">
        <x:f>IF(B963="","",TEXT(B963,"yyyy-mm-dd")&amp;"|"&amp;D963&amp;"|"&amp;E963)</x:f>
        <x:v>2026-06-13|美国|巴拉圭</x:v>
      </x:c>
      <x:c r="B963" s="66" t="n">
        <x:v>46186.375</x:v>
      </x:c>
      <x:c r="C963" s="65" t="str">
        <x:v>国际足联世界杯</x:v>
      </x:c>
      <x:c r="D963" s="65" t="str">
        <x:v>美国</x:v>
      </x:c>
      <x:c r="E963" s="65" t="str">
        <x:v>巴拉圭</x:v>
      </x:c>
      <x:c r="F963" s="65" t="str">
        <x:v>美国 -0.5（半球，约1.87/港水0.87；低于0.80不进单）</x:v>
      </x:c>
      <x:c r="G963" s="65" t="str">
        <x:v>大小球替代：双方进球 否（BTTS No，约1.81/港水0.81）；传统小2.5低水不进单</x:v>
      </x:c>
      <x:c r="H963" s="65" t="str">
        <x:v>让球主推小注；传统小球水位不够，改用BTTS No小注；若美国-0.5被压低于0.80则放弃</x:v>
      </x:c>
      <x:c r="I963" s="66" t="n">
        <x:v>46186.34989583334</x:v>
      </x:c>
      <x:c r="J963" s="65" t="str">
        <x:v>已结算</x:v>
      </x:c>
      <x:c r="K963" s="65" t="str">
        <x:v>4-1</x:v>
      </x:c>
      <x:c r="L963" s="65" t="str">
        <x:v>赢</x:v>
      </x:c>
      <x:c r="M963" s="65" t="str">
        <x:v>输</x:v>
      </x:c>
      <x:c r="N963" s="67" t="n">
        <x:v>1</x:v>
      </x:c>
      <x:c r="O963" s="67" t="n">
        <x:v>-1</x:v>
      </x:c>
      <x:c r="P963" s="67" t="n">
        <x:f>IF(COUNT(N963:O963)=0,"",SUM(N963:O963))</x:f>
        <x:v>0</x:v>
      </x:c>
      <x:c r="Q963" s="65"/>
      <x:c r="R963" s="65" t="str">
        <x:v>赛果4-1；美国 -0.5 赢；双方进球 否 输。</x:v>
      </x:c>
    </x:row>
    <x:row r="964" ht="38" customHeight="1">
      <x:c r="A964" s="65" t="str">
        <x:f>IF(B964="","",TEXT(B964,"yyyy-mm-dd")&amp;"|"&amp;D964&amp;"|"&amp;E964)</x:f>
        <x:v>2026-06-13|加拿大|波黑（波斯尼亚和黑塞哥维那）</x:v>
      </x:c>
      <x:c r="B964" s="66" t="n">
        <x:v>46186.125</x:v>
      </x:c>
      <x:c r="C964" s="65" t="str">
        <x:v>国际足联世界杯</x:v>
      </x:c>
      <x:c r="D964" s="65" t="str">
        <x:v>加拿大</x:v>
      </x:c>
      <x:c r="E964" s="65" t="str">
        <x:v>波黑（波斯尼亚和黑塞哥维那）</x:v>
      </x:c>
      <x:c r="F964" s="65" t="str">
        <x:v>加拿大 -0.5（半球，约1.84-1.85/港水0.84-0.85；低于0.80不进单）</x:v>
      </x:c>
      <x:c r="G964" s="65" t="str">
        <x:v>小2.25（约1.87/港水0.87；小2.5低水不进单）</x:v>
      </x:c>
      <x:c r="H964" s="65" t="str">
        <x:v>让球小注，小2.25主推；若加拿大-0.5被压到低于0.80则放弃，比分倾向1-0/1-1</x:v>
      </x:c>
      <x:c r="I964" s="66" t="n">
        <x:v>46186.10328703704</x:v>
      </x:c>
      <x:c r="J964" s="65" t="str">
        <x:v>已结算</x:v>
      </x:c>
      <x:c r="K964" s="65" t="str">
        <x:v>1-1</x:v>
      </x:c>
      <x:c r="L964" s="65" t="str">
        <x:v>输</x:v>
      </x:c>
      <x:c r="M964" s="65" t="str">
        <x:v>赢半</x:v>
      </x:c>
      <x:c r="N964" s="67" t="n">
        <x:v>-1</x:v>
      </x:c>
      <x:c r="O964" s="67" t="n">
        <x:v>0.5</x:v>
      </x:c>
      <x:c r="P964" s="67" t="n">
        <x:f>IF(COUNT(N964:O964)=0,"",SUM(N964:O964))</x:f>
        <x:v>-0.5</x:v>
      </x:c>
      <x:c r="Q964" s="65"/>
      <x:c r="R964" s="65" t="str">
        <x:v>赛果1-1；加拿大 -0.5 输；小2.25 赢半。</x:v>
      </x:c>
    </x:row>
    <x:row r="965" ht="38" customHeight="1">
      <x:c r="A965" s="65" t="str">
        <x:f>IF(B965="","",TEXT(B965,"yyyy-mm-dd")&amp;"|"&amp;D965&amp;"|"&amp;E965)</x:f>
        <x:v>2026-06-12|查普斯（JäPS）|PK-35万塔（PK-35 Vantaa）</x:v>
      </x:c>
      <x:c r="B965" s="66" t="n">
        <x:v>46185.979166666664</x:v>
      </x:c>
      <x:c r="C965" s="65" t="str">
        <x:v>芬兰甲组联赛（Ykkösliiga）</x:v>
      </x:c>
      <x:c r="D965" s="65" t="str">
        <x:v>查普斯（JäPS）</x:v>
      </x:c>
      <x:c r="E965" s="65" t="str">
        <x:v>PK-35万塔（PK-35 Vantaa）</x:v>
      </x:c>
      <x:c r="F965" s="65" t="str">
        <x:v>PK-35万塔 -0.25（客让平/半，约1.95-2.00/港水0.95-1.00；低于0.80不进单）</x:v>
      </x:c>
      <x:c r="G965" s="65" t="str">
        <x:v>小2.25（约1.90-2.00/港水0.90-1.00；小2.5低水不进单）</x:v>
      </x:c>
      <x:c r="H965" s="65" t="str">
        <x:v>让球小注，大小球主推小2.25；若只能买到PK-35平手低水或小2.5低水则放弃</x:v>
      </x:c>
      <x:c r="I965" s="66" t="n">
        <x:v>46185.98158564815</x:v>
      </x:c>
      <x:c r="J965" s="65" t="str">
        <x:v>已结算</x:v>
      </x:c>
      <x:c r="K965" s="65" t="str">
        <x:v>0-5</x:v>
      </x:c>
      <x:c r="L965" s="65" t="str">
        <x:v>赢</x:v>
      </x:c>
      <x:c r="M965" s="65" t="str">
        <x:v>输</x:v>
      </x:c>
      <x:c r="N965" s="67" t="n">
        <x:v>1</x:v>
      </x:c>
      <x:c r="O965" s="67" t="n">
        <x:v>-1</x:v>
      </x:c>
      <x:c r="P965" s="67" t="n">
        <x:f>IF(COUNT(N965:O965)=0,"",SUM(N965:O965))</x:f>
        <x:v>0</x:v>
      </x:c>
      <x:c r="Q965" s="65"/>
      <x:c r="R965" s="65" t="str">
        <x:v>赛果0-5；PK-35万塔 -0.25 赢；小2.25 输。</x:v>
      </x:c>
    </x:row>
    <x:row r="966" ht="38" customHeight="1">
      <x:c r="A966" s="65" t="str">
        <x:f>IF(B966="","",TEXT(B966,"yyyy-mm-dd")&amp;"|"&amp;D966&amp;"|"&amp;E966)</x:f>
        <x:v>2026-06-12|科特卡（FC KTP）|艾克纳斯IF（EIF）</x:v>
      </x:c>
      <x:c r="B966" s="66" t="n">
        <x:v>46185.979166666664</x:v>
      </x:c>
      <x:c r="C966" s="65" t="str">
        <x:v>芬兰甲组联赛（Ykkösliiga）</x:v>
      </x:c>
      <x:c r="D966" s="65" t="str">
        <x:v>科特卡（FC KTP）</x:v>
      </x:c>
      <x:c r="E966" s="65" t="str">
        <x:v>艾克纳斯IF（EIF）</x:v>
      </x:c>
      <x:c r="F966" s="65" t="str">
        <x:v>科特卡 -1（一球，入场水位≥0.84；低于0.80不进单）</x:v>
      </x:c>
      <x:c r="G966" s="65" t="str">
        <x:v>小2.5（约2.25/港水1.25，低于0.80不进单）</x:v>
      </x:c>
      <x:c r="H966" s="65" t="str">
        <x:v>让球主推但不追低水；小2.5价值小注，若临场升到小2.75且≥0.85可优先替代</x:v>
      </x:c>
      <x:c r="I966" s="66" t="n">
        <x:v>46185.97886574074</x:v>
      </x:c>
      <x:c r="J966" s="65" t="str">
        <x:v>已结算</x:v>
      </x:c>
      <x:c r="K966" s="65" t="str">
        <x:v>5-1</x:v>
      </x:c>
      <x:c r="L966" s="65" t="str">
        <x:v>赢</x:v>
      </x:c>
      <x:c r="M966" s="65" t="str">
        <x:v>输</x:v>
      </x:c>
      <x:c r="N966" s="67" t="n">
        <x:v>1</x:v>
      </x:c>
      <x:c r="O966" s="67" t="n">
        <x:v>-1</x:v>
      </x:c>
      <x:c r="P966" s="67" t="n">
        <x:f>IF(COUNT(N966:O966)=0,"",SUM(N966:O966))</x:f>
        <x:v>0</x:v>
      </x:c>
      <x:c r="Q966" s="65"/>
      <x:c r="R966" s="65" t="str">
        <x:v>赛果5-1；科特卡 -1 赢；小2.5 输。</x:v>
      </x:c>
    </x:row>
    <x:row r="967" ht="38" customHeight="1">
      <x:c r="A967" s="65" t="str">
        <x:f>IF(B967="","",TEXT(B967,"yyyy-mm-dd")&amp;"|"&amp;D967&amp;"|"&amp;E967)</x:f>
        <x:v>2026-06-12|马可尼种马（Marconi Stallions）|悉尼FC青年队（Sydney FC Youth）</x:v>
      </x:c>
      <x:c r="B967" s="66" t="n">
        <x:v>46185.75</x:v>
      </x:c>
      <x:c r="C967" s="65" t="str">
        <x:v>澳大利亚新南威尔士州国家超级联赛（NPL NSW）</x:v>
      </x:c>
      <x:c r="D967" s="65" t="str">
        <x:v>马可尼种马（Marconi Stallions）</x:v>
      </x:c>
      <x:c r="E967" s="65" t="str">
        <x:v>悉尼FC青年队（Sydney FC Youth）</x:v>
      </x:c>
      <x:c r="F967" s="65" t="str">
        <x:v>马可尼 -1.25（约1.81/港水0.81）</x:v>
      </x:c>
      <x:c r="G967" s="65" t="str">
        <x:v>小2.5（约2.25/港水1.25）</x:v>
      </x:c>
      <x:c r="H967" s="65" t="str">
        <x:v>让球中小注，小2.5小注博高赔；小3.5低水不进单，低于0.80不进单</x:v>
      </x:c>
      <x:c r="I967" s="66" t="n">
        <x:v>46185.69934027778</x:v>
      </x:c>
      <x:c r="J967" s="65" t="str">
        <x:v>已结算</x:v>
      </x:c>
      <x:c r="K967" s="65" t="str">
        <x:v>0-0</x:v>
      </x:c>
      <x:c r="L967" s="65" t="str">
        <x:v>输</x:v>
      </x:c>
      <x:c r="M967" s="65" t="str">
        <x:v>赢</x:v>
      </x:c>
      <x:c r="N967" s="67" t="n">
        <x:v>-1</x:v>
      </x:c>
      <x:c r="O967" s="67" t="n">
        <x:v>1</x:v>
      </x:c>
      <x:c r="P967" s="67" t="n">
        <x:f>IF(COUNT(N967:O967)=0,"",SUM(N967:O967))</x:f>
        <x:v>0</x:v>
      </x:c>
      <x:c r="Q967" s="65"/>
      <x:c r="R967" s="65" t="str">
        <x:v>赛果0-0；马可尼 -1.25 输；小2.5 赢。</x:v>
      </x:c>
    </x:row>
    <x:row r="968" ht="38" customHeight="1">
      <x:c r="A968" s="65" t="str">
        <x:f>IF(B968="","",TEXT(B968,"yyyy-mm-dd")&amp;"|"&amp;D968&amp;"|"&amp;E968)</x:f>
        <x:v>2026-06-12|曼立联（Manly United）|悉尼联58（Sydney United 58）</x:v>
      </x:c>
      <x:c r="B968" s="66" t="n">
        <x:v>46185.729166666664</x:v>
      </x:c>
      <x:c r="C968" s="65" t="str">
        <x:v>澳大利亚新南威尔士州国家超级联赛（NPL NSW）</x:v>
      </x:c>
      <x:c r="D968" s="65" t="str">
        <x:v>曼立联（Manly United）</x:v>
      </x:c>
      <x:c r="E968" s="65" t="str">
        <x:v>悉尼联58（Sydney United 58）</x:v>
      </x:c>
      <x:c r="F968" s="65" t="str">
        <x:v>曼立联 +1（受让一球，约1.83/港水0.83）</x:v>
      </x:c>
      <x:c r="G968" s="65" t="str">
        <x:v>小2.5（约1.83/港水0.83）</x:v>
      </x:c>
      <x:c r="H968" s="65" t="str">
        <x:v>让球小注，小2.5主推；悉尼联客胜/低于0.80方向不进单</x:v>
      </x:c>
      <x:c r="I968" s="66" t="n">
        <x:v>46185.68096064815</x:v>
      </x:c>
      <x:c r="J968" s="65" t="str">
        <x:v>已结算</x:v>
      </x:c>
      <x:c r="K968" s="65" t="str">
        <x:v>1-1</x:v>
      </x:c>
      <x:c r="L968" s="65" t="str">
        <x:v>赢</x:v>
      </x:c>
      <x:c r="M968" s="65" t="str">
        <x:v>赢</x:v>
      </x:c>
      <x:c r="N968" s="67" t="n">
        <x:v>1</x:v>
      </x:c>
      <x:c r="O968" s="67" t="n">
        <x:v>1</x:v>
      </x:c>
      <x:c r="P968" s="67" t="n">
        <x:f>IF(COUNT(N968:O968)=0,"",SUM(N968:O968))</x:f>
        <x:v>2</x:v>
      </x:c>
      <x:c r="Q968" s="65"/>
      <x:c r="R968" s="65" t="str">
        <x:v>赛果1-1；曼立联 +1 赢；小2.5 赢。</x:v>
      </x:c>
    </x:row>
    <x:row r="969" ht="38" customHeight="1">
      <x:c r="A969" s="65" t="str">
        <x:f>IF(B969="","",TEXT(B969,"yyyy-mm-dd")&amp;"|"&amp;D969&amp;"|"&amp;E969)</x:f>
        <x:v>2026-06-12|韩国|捷克</x:v>
      </x:c>
      <x:c r="B969" s="66" t="n">
        <x:v>46185.416666666664</x:v>
      </x:c>
      <x:c r="C969" s="65" t="str">
        <x:v>国际足联世界杯</x:v>
      </x:c>
      <x:c r="D969" s="65" t="str">
        <x:v>韩国</x:v>
      </x:c>
      <x:c r="E969" s="65" t="str">
        <x:v>捷克</x:v>
      </x:c>
      <x:c r="F969" s="65" t="str">
        <x:v>捷克 0（平手，约2.05/港水1.05）</x:v>
      </x:c>
      <x:c r="G969" s="65" t="str">
        <x:v>小2.25（约1.88/港水0.88）</x:v>
      </x:c>
      <x:c r="H969" s="65" t="str">
        <x:v>小球主推，捷克平手小注；低于0.80不进单</x:v>
      </x:c>
      <x:c r="I969" s="66" t="n">
        <x:v>46185.36131944445</x:v>
      </x:c>
      <x:c r="J969" s="65" t="str">
        <x:v>已结算</x:v>
      </x:c>
      <x:c r="K969" s="65" t="str">
        <x:v>2-1</x:v>
      </x:c>
      <x:c r="L969" s="65" t="str">
        <x:v>输</x:v>
      </x:c>
      <x:c r="M969" s="65" t="str">
        <x:v>输</x:v>
      </x:c>
      <x:c r="N969" s="67" t="n">
        <x:v>-1</x:v>
      </x:c>
      <x:c r="O969" s="67" t="n">
        <x:v>-1</x:v>
      </x:c>
      <x:c r="P969" s="67" t="n">
        <x:f>IF(COUNT(N969:O969)=0,"",SUM(N969:O969))</x:f>
        <x:v>-2</x:v>
      </x:c>
      <x:c r="Q969" s="65"/>
      <x:c r="R969" s="65" t="str">
        <x:v>赛果2-1；捷克 0（平手/DNB）输；小2.25 输。</x:v>
      </x:c>
    </x:row>
    <x:row r="970" ht="38" customHeight="1">
      <x:c r="A970" s="65" t="str">
        <x:f>IF(B970="","",TEXT(B970,"yyyy-mm-dd")&amp;"|"&amp;D970&amp;"|"&amp;E970)</x:f>
        <x:v>2026-06-12|墨西哥|南非</x:v>
      </x:c>
      <x:c r="B970" s="66" t="n">
        <x:v>46185.125</x:v>
      </x:c>
      <x:c r="C970" s="65" t="str">
        <x:v>国际足联世界杯</x:v>
      </x:c>
      <x:c r="D970" s="65" t="str">
        <x:v>墨西哥</x:v>
      </x:c>
      <x:c r="E970" s="65" t="str">
        <x:v>南非</x:v>
      </x:c>
      <x:c r="F970" s="65" t="str">
        <x:v>墨西哥 -1.25（参考1.975-2.11，约0.975-1.11水；若只剩-1.5需≥2.15小注，低于0.80不进单）</x:v>
      </x:c>
      <x:c r="G970" s="65" t="str">
        <x:v>小 2.25（参考2.01，约1.01水；小2.5低水不进主单）</x:v>
      </x:c>
      <x:c r="H970" s="65" t="str">
        <x:v>小注；比分倾向2-0/2-1/1-0。若墨西哥-1.25跌破1.80或首发中锋/边路攻击手轮换，放弃追让深盘。</x:v>
      </x:c>
      <x:c r="I970" s="66" t="n">
        <x:v>46184.99017361111</x:v>
      </x:c>
      <x:c r="J970" s="65" t="str">
        <x:v>已结算</x:v>
      </x:c>
      <x:c r="K970" s="65" t="str">
        <x:v>2-0</x:v>
      </x:c>
      <x:c r="L970" s="65" t="str">
        <x:v>赢</x:v>
      </x:c>
      <x:c r="M970" s="65" t="str">
        <x:v>赢半</x:v>
      </x:c>
      <x:c r="N970" s="67" t="n">
        <x:v>1</x:v>
      </x:c>
      <x:c r="O970" s="67" t="n">
        <x:v>0.5</x:v>
      </x:c>
      <x:c r="P970" s="67" t="n">
        <x:f>IF(COUNT(N970:O970)=0,"",SUM(N970:O970))</x:f>
        <x:v>1.5</x:v>
      </x:c>
      <x:c r="Q970" s="65"/>
      <x:c r="R970" s="65" t="str">
        <x:v>赛果2-0；墨西哥 -1.25 赢；小2.25 赢半。</x:v>
      </x:c>
    </x:row>
    <x:row r="971" ht="38" customHeight="1">
      <x:c r="A971" s="65" t="str">
        <x:f>IF(B971="","",TEXT(B971,"yyyy-mm-dd")&amp;"|"&amp;D971&amp;"|"&amp;E971)</x:f>
        <x:v>2026-06-11|委内瑞拉U20|日本U20（日本青年队）</x:v>
      </x:c>
      <x:c r="B971" s="66" t="n">
        <x:v>46184.8125</x:v>
      </x:c>
      <x:c r="C971" s="65" t="str">
        <x:v>莫里斯·雷维洛锦标赛（土伦杯）</x:v>
      </x:c>
      <x:c r="D971" s="65" t="str">
        <x:v>委内瑞拉U20</x:v>
      </x:c>
      <x:c r="E971" s="65" t="str">
        <x:v>日本U20（日本青年队）</x:v>
      </x:c>
      <x:c r="F971" s="65" t="str">
        <x:v>日本U20 -0.5（只取1.80左右/约0.80水；若只剩1.63-1.67低水不进单）</x:v>
      </x:c>
      <x:c r="G971" s="65" t="str">
        <x:v>大 3.0（需≥1.85；大2.5约1.60低水不进主单，若无合适大3.0则放弃大小球）</x:v>
      </x:c>
      <x:c r="H971" s="65" t="str">
        <x:v>小注；比分倾向1-2/1-3/0-2。若日本U20轮换过深或-0.5跌破1.80，放弃追客胜方向。</x:v>
      </x:c>
      <x:c r="I971" s="66" t="n">
        <x:v>46184.78296296296</x:v>
      </x:c>
      <x:c r="J971" s="65" t="str">
        <x:v>已结算</x:v>
      </x:c>
      <x:c r="K971" s="65" t="str">
        <x:v>0-1</x:v>
      </x:c>
      <x:c r="L971" s="65" t="str">
        <x:v>赢</x:v>
      </x:c>
      <x:c r="M971" s="65" t="str">
        <x:v>输</x:v>
      </x:c>
      <x:c r="N971" s="67" t="n">
        <x:v>1</x:v>
      </x:c>
      <x:c r="O971" s="67" t="n">
        <x:v>-1</x:v>
      </x:c>
      <x:c r="P971" s="67" t="n">
        <x:f>IF(COUNT(N971:O971)=0,"",SUM(N971:O971))</x:f>
        <x:v>0</x:v>
      </x:c>
      <x:c r="Q971" s="65"/>
      <x:c r="R971" s="65" t="str">
        <x:v>赛果0-1；日本U20 -0.5 赢；大3.0 输。</x:v>
      </x:c>
    </x:row>
    <x:row r="972" ht="38" customHeight="1">
      <x:c r="A972" s="65" t="str">
        <x:f>IF(B972="","",TEXT(B972,"yyyy-mm-dd")&amp;"|"&amp;D972&amp;"|"&amp;E972)</x:f>
        <x:v>2026-06-11|南定FC（Thép Xanh Nam Định）|胡志明市公安（Công An TP.HCM）</x:v>
      </x:c>
      <x:c r="B972" s="66" t="n">
        <x:v>46184.791666666664</x:v>
      </x:c>
      <x:c r="C972" s="65" t="str">
        <x:v>越南国家杯（Cúp Quốc gia）</x:v>
      </x:c>
      <x:c r="D972" s="65" t="str">
        <x:v>南定FC（Thép Xanh Nam Định）</x:v>
      </x:c>
      <x:c r="E972" s="65" t="str">
        <x:v>胡志明市公安（Công An TP.HCM）</x:v>
      </x:c>
      <x:c r="F972" s="65" t="str">
        <x:v>南定FC -0.5（参考1.83-1.85，约0.83-0.85水；低于0.80不进单）</x:v>
      </x:c>
      <x:c r="G972" s="65" t="str">
        <x:v>大 2.5（参考2.14-2.20，约1.14-1.20水；小2.5低水不进主单）</x:v>
      </x:c>
      <x:c r="H972" s="65" t="str">
        <x:v>小注；比分倾向2-1/2-0/1-1。若南定-0.5跌破1.80或临场杯赛轮换，放弃追主胜方向。</x:v>
      </x:c>
      <x:c r="I972" s="66" t="n">
        <x:v>46184.71832175926</x:v>
      </x:c>
      <x:c r="J972" s="65" t="str">
        <x:v>已结算</x:v>
      </x:c>
      <x:c r="K972" s="65" t="str">
        <x:v>2-4</x:v>
      </x:c>
      <x:c r="L972" s="65" t="str">
        <x:v>输</x:v>
      </x:c>
      <x:c r="M972" s="65" t="str">
        <x:v>赢</x:v>
      </x:c>
      <x:c r="N972" s="67" t="n">
        <x:v>-1</x:v>
      </x:c>
      <x:c r="O972" s="67" t="n">
        <x:v>1</x:v>
      </x:c>
      <x:c r="P972" s="67" t="n">
        <x:f>IF(COUNT(N972:O972)=0,"",SUM(N972:O972))</x:f>
        <x:v>0</x:v>
      </x:c>
      <x:c r="Q972" s="65"/>
      <x:c r="R972" s="65" t="str">
        <x:v>赛果2-4；南定FC -0.5 输；大2.5 赢。</x:v>
      </x:c>
    </x:row>
    <x:row r="973" ht="38" customHeight="1">
      <x:c r="A973" s="65" t="str">
        <x:f>IF(B973="","",TEXT(B973,"yyyy-mm-dd")&amp;"|"&amp;D973&amp;"|"&amp;E973)</x:f>
        <x:v>2026-06-11|宁平FC（Ninh Bình FC）|越电信体工（Thể Công - Viettel）</x:v>
      </x:c>
      <x:c r="B973" s="66" t="n">
        <x:v>46184.791666666664</x:v>
      </x:c>
      <x:c r="C973" s="65" t="str">
        <x:v>越南国家杯（Cúp Quốc gia）</x:v>
      </x:c>
      <x:c r="D973" s="65" t="str">
        <x:v>宁平FC（Ninh Bình FC）</x:v>
      </x:c>
      <x:c r="E973" s="65" t="str">
        <x:v>越电信体工（Thể Công - Viettel）</x:v>
      </x:c>
      <x:c r="F973" s="65" t="str">
        <x:v>宁平FC -0.5（参考2.31-2.45，约1.31-1.45水；宁平平手低水不进单）</x:v>
      </x:c>
      <x:c r="G973" s="65" t="str">
        <x:v>小 2.0（参考2.06，约1.06水；小2.5低水不进主单）</x:v>
      </x:c>
      <x:c r="H973" s="65" t="str">
        <x:v>小注；比分倾向1-0/2-0/1-1。若临场宁平-0.5跌破1.80或首发攻击线大轮换，放弃追主胜方向。</x:v>
      </x:c>
      <x:c r="I973" s="66" t="n">
        <x:v>46184.65826388889</x:v>
      </x:c>
      <x:c r="J973" s="65" t="str">
        <x:v>已结算</x:v>
      </x:c>
      <x:c r="K973" s="65" t="str">
        <x:v>4-1</x:v>
      </x:c>
      <x:c r="L973" s="65" t="str">
        <x:v>赢</x:v>
      </x:c>
      <x:c r="M973" s="65" t="str">
        <x:v>输</x:v>
      </x:c>
      <x:c r="N973" s="67" t="n">
        <x:v>1</x:v>
      </x:c>
      <x:c r="O973" s="67" t="n">
        <x:v>-1</x:v>
      </x:c>
      <x:c r="P973" s="67" t="n">
        <x:f>IF(COUNT(N973:O973)=0,"",SUM(N973:O973))</x:f>
        <x:v>0</x:v>
      </x:c>
      <x:c r="Q973" s="65"/>
      <x:c r="R973" s="65" t="str">
        <x:v>赛果4-1；宁平FC -0.5 赢；小2.0 输。</x:v>
      </x:c>
    </x:row>
    <x:row r="974" ht="38" customHeight="1">
      <x:c r="A974" s="65" t="str">
        <x:f>IF(B974="","",TEXT(B974,"yyyy-mm-dd")&amp;"|"&amp;D974&amp;"|"&amp;E974)</x:f>
        <x:v>2026-06-11|凤凰重生（Phoenix Rising FC）|路易斯维尔城（Louisville City FC）</x:v>
      </x:c>
      <x:c r="B974" s="66" t="n">
        <x:v>46184.4375</x:v>
      </x:c>
      <x:c r="C974" s="65" t="str">
        <x:v>美国USL冠军联赛（USL Championship）</x:v>
      </x:c>
      <x:c r="D974" s="65" t="str">
        <x:v>凤凰重生（Phoenix Rising FC）</x:v>
      </x:c>
      <x:c r="E974" s="65" t="str">
        <x:v>路易斯维尔城（Louisville City FC）</x:v>
      </x:c>
      <x:c r="F974" s="65" t="str">
        <x:v>凤凰重生 +0（平手/DNB，参考2.10-2.29，约1.10-1.29水；低于0.80不进单）</x:v>
      </x:c>
      <x:c r="G974" s="65" t="str">
        <x:v>小 2.5（参考1.95-2.00，约0.95-1.00水；若改小3.0且低于1.80则不进主单）</x:v>
      </x:c>
      <x:c r="H974" s="65" t="str">
        <x:v>小注；比分倾向1-1/1-0/2-0。若凤凰DNB跌破1.80或确认主力前锋Sacko缺席，放弃追主队方向。</x:v>
      </x:c>
      <x:c r="I974" s="66" t="n">
        <x:v>46184.40751157407</x:v>
      </x:c>
      <x:c r="J974" s="65" t="str">
        <x:v>已结算</x:v>
      </x:c>
      <x:c r="K974" s="65" t="str">
        <x:v>0-2</x:v>
      </x:c>
      <x:c r="L974" s="65" t="str">
        <x:v>输</x:v>
      </x:c>
      <x:c r="M974" s="65" t="str">
        <x:v>赢</x:v>
      </x:c>
      <x:c r="N974" s="67" t="n">
        <x:v>-1</x:v>
      </x:c>
      <x:c r="O974" s="67" t="n">
        <x:v>1</x:v>
      </x:c>
      <x:c r="P974" s="67" t="n">
        <x:f>IF(COUNT(N974:O974)=0,"",SUM(N974:O974))</x:f>
        <x:v>0</x:v>
      </x:c>
      <x:c r="Q974" s="65"/>
      <x:c r="R974" s="65" t="str">
        <x:v>赛果0-2；凤凰重生 +0（平手/DNB）输；小2.5 赢。</x:v>
      </x:c>
    </x:row>
    <x:row r="975" ht="38" customHeight="1">
      <x:c r="A975" s="65" t="str">
        <x:f>IF(B975="","",TEXT(B975,"yyyy-mm-dd")&amp;"|"&amp;D975&amp;"|"&amp;E975)</x:f>
        <x:v>2026-06-11|夏洛特独立（Charlotte Independence）|奥马哈联盟（Union Omaha SC）</x:v>
      </x:c>
      <x:c r="B975" s="66" t="n">
        <x:v>46184.3125</x:v>
      </x:c>
      <x:c r="C975" s="65" t="str">
        <x:v>美国USL甲级联赛（USL League One）</x:v>
      </x:c>
      <x:c r="D975" s="65" t="str">
        <x:v>夏洛特独立（Charlotte Independence）</x:v>
      </x:c>
      <x:c r="E975" s="65" t="str">
        <x:v>奥马哈联盟（Union Omaha SC）</x:v>
      </x:c>
      <x:c r="F975" s="65" t="str">
        <x:v>夏洛特独立 -0.5（参考主胜+105/约2.05，约1.05水；低水DNB不进单）</x:v>
      </x:c>
      <x:c r="G975" s="65" t="str">
        <x:v>大 3.0（参考需≥1.85；若只有大2.5低水约1.56，则不进主单）</x:v>
      </x:c>
      <x:c r="H975" s="65" t="str">
        <x:v>小注；比分倾向2-1/3-1/2-2。若夏洛特主胜跌破1.80或赛中已进球，不追赛前盘。</x:v>
      </x:c>
      <x:c r="I975" s="66" t="n">
        <x:v>46184.34013888889</x:v>
      </x:c>
      <x:c r="J975" s="65" t="str">
        <x:v>已结算</x:v>
      </x:c>
      <x:c r="K975" s="65" t="str">
        <x:v>1-1</x:v>
      </x:c>
      <x:c r="L975" s="65" t="str">
        <x:v>输</x:v>
      </x:c>
      <x:c r="M975" s="65" t="str">
        <x:v>输</x:v>
      </x:c>
      <x:c r="N975" s="67" t="n">
        <x:v>-1</x:v>
      </x:c>
      <x:c r="O975" s="67" t="n">
        <x:v>-1</x:v>
      </x:c>
      <x:c r="P975" s="67" t="n">
        <x:f>IF(COUNT(N975:O975)=0,"",SUM(N975:O975))</x:f>
        <x:v>-2</x:v>
      </x:c>
      <x:c r="Q975" s="65"/>
      <x:c r="R975" s="65" t="str">
        <x:v>赛果1-1；夏洛特独立 -0.5 输；大3.0 输。</x:v>
      </x:c>
    </x:row>
    <x:row r="976" ht="38" customHeight="1">
      <x:c r="A976" s="65" t="str">
        <x:f>IF(B976="","",TEXT(B976,"yyyy-mm-dd")&amp;"|"&amp;D976&amp;"|"&amp;E976)</x:f>
        <x:v>2026-06-11|英格兰|哥斯达黎加</x:v>
      </x:c>
      <x:c r="B976" s="66" t="n">
        <x:v>46184.208333333336</x:v>
      </x:c>
      <x:c r="C976" s="65" t="str">
        <x:v>国际友谊赛</x:v>
      </x:c>
      <x:c r="D976" s="65" t="str">
        <x:v>英格兰</x:v>
      </x:c>
      <x:c r="E976" s="65" t="str">
        <x:v>哥斯达黎加</x:v>
      </x:c>
      <x:c r="F976" s="65" t="str">
        <x:v>英格兰 -2.0（参考2.00，约1.00水；英格兰-1.5低水不进单）</x:v>
      </x:c>
      <x:c r="G976" s="65" t="str">
        <x:v>小 3.0（参考1.80，约0.80水；低于0.80不进单）</x:v>
      </x:c>
      <x:c r="H976" s="65" t="str">
        <x:v>小注；比分倾向2-0/3-0。若已进入赛中或已有进球，只按赛中盘重新判断，不追赛前盘口。</x:v>
      </x:c>
      <x:c r="I976" s="66" t="n">
        <x:v>46184.22688657408</x:v>
      </x:c>
      <x:c r="J976" s="65" t="str">
        <x:v>已结算</x:v>
      </x:c>
      <x:c r="K976" s="65" t="str">
        <x:v>2-0</x:v>
      </x:c>
      <x:c r="L976" s="65" t="str">
        <x:v>走水</x:v>
      </x:c>
      <x:c r="M976" s="65" t="str">
        <x:v>走水</x:v>
      </x:c>
      <x:c r="N976" s="67" t="n">
        <x:v>0</x:v>
      </x:c>
      <x:c r="O976" s="67" t="n">
        <x:v>0</x:v>
      </x:c>
      <x:c r="P976" s="67" t="n">
        <x:f>IF(COUNT(N976:O976)=0,"",SUM(N976:O976))</x:f>
        <x:v>0</x:v>
      </x:c>
      <x:c r="Q976" s="65"/>
      <x:c r="R976" s="65" t="str">
        <x:v>赛果2-0；英格兰 -2.0 走水；小3.0 走水。</x:v>
      </x:c>
    </x:row>
    <x:row r="977" ht="38" customHeight="1">
      <x:c r="A977" s="65" t="str">
        <x:f>IF(B977="","",TEXT(B977,"yyyy-mm-dd")&amp;"|"&amp;D977&amp;"|"&amp;E977)</x:f>
        <x:v>2026-06-10|古比斯（KuPS）|VPS瓦萨（Vaasan Palloseura）</x:v>
      </x:c>
      <x:c r="B977" s="66" t="n">
        <x:v>46183.916666666664</x:v>
      </x:c>
      <x:c r="C977" s="65" t="str">
        <x:v>芬兰杯（Suomen Cup）</x:v>
      </x:c>
      <x:c r="D977" s="65" t="str">
        <x:v>古比斯（KuPS）</x:v>
      </x:c>
      <x:c r="E977" s="65" t="str">
        <x:v>VPS瓦萨（Vaasan Palloseura）</x:v>
      </x:c>
      <x:c r="F977" s="65" t="str">
        <x:v>古比斯 -0.5（参考1.85-1.88，约0.85-0.88水；低于0.80不进单）</x:v>
      </x:c>
      <x:c r="G977" s="65" t="str">
        <x:v>小 2.5（参考1.88，约0.88水；若跌破1.80则放弃大小球主单）</x:v>
      </x:c>
      <x:c r="H977" s="65" t="str">
        <x:v>小注；比分倾向1-0/2-0/2-1。若古比斯-0.5跌破1.80或杯赛大轮换，改古比斯-0.25但低于0.80不进单。</x:v>
      </x:c>
      <x:c r="I977" s="66" t="n">
        <x:v>46183.85417824074</x:v>
      </x:c>
      <x:c r="J977" s="65" t="str">
        <x:v>已结算</x:v>
      </x:c>
      <x:c r="K977" s="65" t="str">
        <x:v>2-0</x:v>
      </x:c>
      <x:c r="L977" s="65" t="str">
        <x:v>赢</x:v>
      </x:c>
      <x:c r="M977" s="65" t="str">
        <x:v>赢</x:v>
      </x:c>
      <x:c r="N977" s="67" t="n">
        <x:v>1</x:v>
      </x:c>
      <x:c r="O977" s="67" t="n">
        <x:v>1</x:v>
      </x:c>
      <x:c r="P977" s="67" t="n">
        <x:f>IF(COUNT(N977:O977)=0,"",SUM(N977:O977))</x:f>
        <x:v>2</x:v>
      </x:c>
      <x:c r="Q977" s="65"/>
      <x:c r="R977" s="65" t="str">
        <x:v>赛果2-0；古比斯 -0.5 赢；小2.5 赢。</x:v>
      </x:c>
    </x:row>
    <x:row r="978" ht="38" customHeight="1">
      <x:c r="A978" s="65" t="str">
        <x:f>IF(B978="","",TEXT(B978,"yyyy-mm-dd")&amp;"|"&amp;D978&amp;"|"&amp;E978)</x:f>
        <x:v>2026-06-10|奥康诺骑士|古玛老虎</x:v>
      </x:c>
      <x:c r="B978" s="66" t="n">
        <x:v>46183.729166666664</x:v>
      </x:c>
      <x:c r="C978" s="65" t="str">
        <x:v>澳大利亚 维多利亚州超级联赛1（VPL1）</x:v>
      </x:c>
      <x:c r="D978" s="65" t="str">
        <x:v>奥康诺骑士</x:v>
      </x:c>
      <x:c r="E978" s="65" t="str">
        <x:v>古玛老虎</x:v>
      </x:c>
      <x:c r="F978" s="65" t="str">
        <x:v>古玛老虎 -1.5（≥0.80水）</x:v>
      </x:c>
      <x:c r="G978" s="65" t="str">
        <x:v>大4.5（≥0.90水，小注）</x:v>
      </x:c>
      <x:c r="H978" s="65" t="str">
        <x:v>可选：古玛老虎 -1.5；大小球小注大4.5；低于0.80不进单；不追滚球</x:v>
      </x:c>
      <x:c r="I978" s="66" t="n">
        <x:v>46183.60039351852</x:v>
      </x:c>
      <x:c r="J978" s="65" t="str">
        <x:v>已结算</x:v>
      </x:c>
      <x:c r="K978" s="65" t="str">
        <x:v>1-2</x:v>
      </x:c>
      <x:c r="L978" s="65" t="str">
        <x:v>输</x:v>
      </x:c>
      <x:c r="M978" s="65" t="str">
        <x:v>输</x:v>
      </x:c>
      <x:c r="N978" s="67" t="n">
        <x:v>-1</x:v>
      </x:c>
      <x:c r="O978" s="67" t="n">
        <x:v>-1</x:v>
      </x:c>
      <x:c r="P978" s="67" t="n">
        <x:f>IF(COUNT(N978:O978)=0,"",SUM(N978:O978))</x:f>
        <x:v>-2</x:v>
      </x:c>
      <x:c r="Q978" s="65"/>
      <x:c r="R978" s="65" t="str">
        <x:v>赛果1-2；古玛老虎 -1.5 输；大4.5 输。</x:v>
      </x:c>
    </x:row>
    <x:row r="979" ht="38" customHeight="1">
      <x:c r="A979" s="65" t="str">
        <x:f>IF(B979="","",TEXT(B979,"yyyy-mm-dd")&amp;"|"&amp;D979&amp;"|"&amp;E979)</x:f>
        <x:v>2026-06-10|温纳姆狼队（WDSC Wolves FC）|伊斯特恩莎沙伯（Eastern Suburbs FC）</x:v>
      </x:c>
      <x:c r="B979" s="66" t="n">
        <x:v>46183.729166666664</x:v>
      </x:c>
      <x:c r="C979" s="65" t="str">
        <x:v>澳大利亚 维多利亚州超级联赛1（VPL1）</x:v>
      </x:c>
      <x:c r="D979" s="65" t="str">
        <x:v>温纳姆狼队（WDSC Wolves FC）</x:v>
      </x:c>
      <x:c r="E979" s="65" t="str">
        <x:v>伊斯特恩莎沙伯（Eastern Suburbs FC）</x:v>
      </x:c>
      <x:c r="F979" s="65" t="str">
        <x:v>伊斯特恩莎沙伯 -0.5（参考2.08，约1.08水；低于0.80不进单）</x:v>
      </x:c>
      <x:c r="G979" s="65" t="str">
        <x:v>大 3.5（参考1.96，约0.96水；大2.5/大3.0低水不进主单）</x:v>
      </x:c>
      <x:c r="H979" s="65" t="str">
        <x:v>小注；比分倾向1-2/2-3/1-3。若客胜跌破1.80或客队前场主力缺席，放弃追客胜方向。</x:v>
      </x:c>
      <x:c r="I979" s="66" t="n">
        <x:v>46183.54011574074</x:v>
      </x:c>
      <x:c r="J979" s="65" t="str">
        <x:v>已结算</x:v>
      </x:c>
      <x:c r="K979" s="65" t="str">
        <x:v>1-2</x:v>
      </x:c>
      <x:c r="L979" s="65" t="str">
        <x:v>赢</x:v>
      </x:c>
      <x:c r="M979" s="65" t="str">
        <x:v>输</x:v>
      </x:c>
      <x:c r="N979" s="67" t="n">
        <x:v>1</x:v>
      </x:c>
      <x:c r="O979" s="67" t="n">
        <x:v>-1</x:v>
      </x:c>
      <x:c r="P979" s="67" t="n">
        <x:f>IF(COUNT(N979:O979)=0,"",SUM(N979:O979))</x:f>
        <x:v>0</x:v>
      </x:c>
      <x:c r="Q979" s="65" t="str">
        <x:v>https://www.sportytrader.com/en/results-live/wolves-eastern-suburbs-brisbane-8533037/ | https://www.youtube.com/watch?v=UdfzTDYcZT4 | 查询时间：2026-07-15 23:40（北京时间）</x:v>
      </x:c>
      <x:c r="R979" s="65" t="str">
        <x:v>历史积压补结：原6月10日赛程延期至6月16日完成，90分钟1-2；客队-0.5打出，大3.5未打出。</x:v>
      </x:c>
    </x:row>
    <x:row r="980" ht="38" customHeight="1">
      <x:c r="A980" s="65" t="str">
        <x:f>IF(B980="","",TEXT(B980,"yyyy-mm-dd")&amp;"|"&amp;D980&amp;"|"&amp;E980)</x:f>
        <x:v>2026-06-10|悉尼奥林匹克|SD公鹿（SD Raiders FC）</x:v>
      </x:c>
      <x:c r="B980" s="66" t="n">
        <x:v>46183.729166666664</x:v>
      </x:c>
      <x:c r="C980" s="65" t="str">
        <x:v>澳大利亚 维多利亚州超级联赛1（VPL1）</x:v>
      </x:c>
      <x:c r="D980" s="65" t="str">
        <x:v>悉尼奥林匹克</x:v>
      </x:c>
      <x:c r="E980" s="65" t="str">
        <x:v>SD公鹿（SD Raiders FC）</x:v>
      </x:c>
      <x:c r="F980" s="65" t="str">
        <x:v>SD公鹿 -0.5（参考2.03-2.22，约1.03-1.22水；低于0.80不进单）</x:v>
      </x:c>
      <x:c r="G980" s="65" t="str">
        <x:v>SD公鹿队进球数大1.5（参考1.83，约0.83水；传统大2.5低水不进主单）</x:v>
      </x:c>
      <x:c r="H980" s="65" t="str">
        <x:v>小注；比分倾向1-2/1-3/2-2。若SD公鹿-0.5跌破1.80或赛前前场主力缺席，放弃追客胜方向。</x:v>
      </x:c>
      <x:c r="I980" s="66" t="n">
        <x:v>46183.53399305556</x:v>
      </x:c>
      <x:c r="J980" s="65" t="str">
        <x:v>已结算</x:v>
      </x:c>
      <x:c r="K980" s="65" t="str">
        <x:v>1-1</x:v>
      </x:c>
      <x:c r="L980" s="65" t="str">
        <x:v>输</x:v>
      </x:c>
      <x:c r="M980" s="65" t="str">
        <x:v>输</x:v>
      </x:c>
      <x:c r="N980" s="67" t="n">
        <x:v>-1</x:v>
      </x:c>
      <x:c r="O980" s="67" t="n">
        <x:v>-1</x:v>
      </x:c>
      <x:c r="P980" s="67" t="n">
        <x:f>IF(COUNT(N980:O980)=0,"",SUM(N980:O980))</x:f>
        <x:v>-2</x:v>
      </x:c>
      <x:c r="Q980" s="65"/>
      <x:c r="R980" s="65" t="str">
        <x:v>赛果1-1；SD公鹿 -0.5 输；SD公鹿队进球数大1.5 输。</x:v>
      </x:c>
    </x:row>
    <x:row r="981" ht="38" customHeight="1">
      <x:c r="A981" s="65" t="str">
        <x:f>IF(B981="","",TEXT(B981,"yyyy-mm-dd")&amp;"|"&amp;D981&amp;"|"&amp;E981)</x:f>
        <x:v>2026-06-10|阿根廷|冰岛</x:v>
      </x:c>
      <x:c r="B981" s="66" t="n">
        <x:v>46183.375</x:v>
      </x:c>
      <x:c r="C981" s="65" t="str">
        <x:v>国际友谊赛</x:v>
      </x:c>
      <x:c r="D981" s="65" t="str">
        <x:v>阿根廷</x:v>
      </x:c>
      <x:c r="E981" s="65" t="str">
        <x:v>冰岛</x:v>
      </x:c>
      <x:c r="F981" s="65" t="str">
        <x:v>冰岛 +1.5（参考+125，约1.25水；阿根廷-1.5低于0.80不进单）</x:v>
      </x:c>
      <x:c r="G981" s="65" t="str">
        <x:v>小 3.5（参考-185，约0.54水，低于0.80不进主单；主推改为小 3.25/3.0需≥0.80，若无盘则放弃大小球主单）</x:v>
      </x:c>
      <x:c r="H981" s="65" t="str">
        <x:v>让球小注；比分倾向2-0/2-1/1-0。大小球只观察，不加仓。</x:v>
      </x:c>
      <x:c r="I981" s="66" t="n">
        <x:v>46183.32255787037</x:v>
      </x:c>
      <x:c r="J981" s="65" t="str">
        <x:v>已结算</x:v>
      </x:c>
      <x:c r="K981" s="65" t="str">
        <x:v>3-0</x:v>
      </x:c>
      <x:c r="L981" s="65" t="str">
        <x:v>输</x:v>
      </x:c>
      <x:c r="M981" s="65" t="str">
        <x:v>赢</x:v>
      </x:c>
      <x:c r="N981" s="67" t="n">
        <x:v>-1</x:v>
      </x:c>
      <x:c r="O981" s="67" t="n">
        <x:v>1</x:v>
      </x:c>
      <x:c r="P981" s="67" t="n">
        <x:f>IF(COUNT(N981:O981)=0,"",SUM(N981:O981))</x:f>
        <x:v>0</x:v>
      </x:c>
      <x:c r="Q981" s="65"/>
      <x:c r="R981" s="65" t="str">
        <x:v>赛果3-0；冰岛 +1.5 输；小3.5 赢。</x:v>
      </x:c>
    </x:row>
    <x:row r="982" ht="38" customHeight="1">
      <x:c r="A982" s="65" t="str">
        <x:f>IF(B982="","",TEXT(B982,"yyyy-mm-dd")&amp;"|"&amp;D982&amp;"|"&amp;E982)</x:f>
        <x:v>2026-06-10|伯明翰军团（Birmingham Legion FC）|科珀斯克里斯蒂FC（Corpus Christi FC）</x:v>
      </x:c>
      <x:c r="B982" s="66" t="n">
        <x:v>46183.333333333336</x:v>
      </x:c>
      <x:c r="C982" s="65" t="str">
        <x:v>美国USL杯（USL Cup）</x:v>
      </x:c>
      <x:c r="D982" s="65" t="str">
        <x:v>伯明翰军团（Birmingham Legion FC）</x:v>
      </x:c>
      <x:c r="E982" s="65" t="str">
        <x:v>科珀斯克里斯蒂FC（Corpus Christi FC）</x:v>
      </x:c>
      <x:c r="F982" s="65" t="str">
        <x:v>伯明翰军团 -1.25（参考1.90；若只剩-1.5需≥1.90小注，低于0.80不进单）</x:v>
      </x:c>
      <x:c r="G982" s="65" t="str">
        <x:v>大 3.0（参考1.83，约0.83水；大2.5低水不进主单）</x:v>
      </x:c>
      <x:c r="H982" s="65" t="str">
        <x:v>小注；比分倾向3-1/3-0/2-1。若伯明翰-1.5跌到1.80以下或首发攻击手临场被撤，放弃追深盘。</x:v>
      </x:c>
      <x:c r="I982" s="66" t="n">
        <x:v>46183.37914351852</x:v>
      </x:c>
      <x:c r="J982" s="65" t="str">
        <x:v>已结算</x:v>
      </x:c>
      <x:c r="K982" s="65" t="str">
        <x:v>3-0</x:v>
      </x:c>
      <x:c r="L982" s="65" t="str">
        <x:v>赢</x:v>
      </x:c>
      <x:c r="M982" s="65" t="str">
        <x:v>走水</x:v>
      </x:c>
      <x:c r="N982" s="67" t="n">
        <x:v>1</x:v>
      </x:c>
      <x:c r="O982" s="67" t="n">
        <x:v>0</x:v>
      </x:c>
      <x:c r="P982" s="67" t="n">
        <x:f>IF(COUNT(N982:O982)=0,"",SUM(N982:O982))</x:f>
        <x:v>1</x:v>
      </x:c>
      <x:c r="Q982" s="65"/>
      <x:c r="R982" s="65" t="str">
        <x:v>赛果3-0；伯明翰军团 -1.25 赢；大3.0 走水。</x:v>
      </x:c>
    </x:row>
    <x:row r="983" ht="38" customHeight="1">
      <x:c r="A983" s="65" t="str">
        <x:f>IF(B983="","",TEXT(B983,"yyyy-mm-dd")&amp;"|"&amp;D983&amp;"|"&amp;E983)</x:f>
        <x:v>2026-06-10|沙特阿拉伯|塞内加尔</x:v>
      </x:c>
      <x:c r="B983" s="66" t="n">
        <x:v>46183.291666666664</x:v>
      </x:c>
      <x:c r="C983" s="65" t="str">
        <x:v>国际友谊赛</x:v>
      </x:c>
      <x:c r="D983" s="65" t="str">
        <x:v>沙特阿拉伯</x:v>
      </x:c>
      <x:c r="E983" s="65" t="str">
        <x:v>塞内加尔</x:v>
      </x:c>
      <x:c r="F983" s="65" t="str">
        <x:v>塞内加尔 -0.75（参考1.825，约0.825水；若降到1.75以下不进单，可等塞内加尔-1.0在2.00+）</x:v>
      </x:c>
      <x:c r="G983" s="65" t="str">
        <x:v>大 2.5（参考1.99-2.10，约0.99-1.10水；大2.25低于0.80不进单）</x:v>
      </x:c>
      <x:c r="H983" s="65" t="str">
        <x:v>小注；比分倾向0-2/1-2/1-3。若塞内加尔大幅轮换且前场主力缺席，大小球降级观察，不加仓。</x:v>
      </x:c>
      <x:c r="I983" s="66" t="n">
        <x:v>46183.28753472222</x:v>
      </x:c>
      <x:c r="J983" s="65" t="str">
        <x:v>已结算</x:v>
      </x:c>
      <x:c r="K983" s="65" t="str">
        <x:v>0-0</x:v>
      </x:c>
      <x:c r="L983" s="65" t="str">
        <x:v>输</x:v>
      </x:c>
      <x:c r="M983" s="65" t="str">
        <x:v>输</x:v>
      </x:c>
      <x:c r="N983" s="67" t="n">
        <x:v>-1</x:v>
      </x:c>
      <x:c r="O983" s="67" t="n">
        <x:v>-1</x:v>
      </x:c>
      <x:c r="P983" s="67" t="n">
        <x:f>IF(COUNT(N983:O983)=0,"",SUM(N983:O983))</x:f>
        <x:v>-2</x:v>
      </x:c>
      <x:c r="Q983" s="65"/>
      <x:c r="R983" s="65" t="str">
        <x:v>赛果0-0；塞内加尔 -0.75 输；大2.5 输。</x:v>
      </x:c>
    </x:row>
    <x:row r="984" ht="38" customHeight="1">
      <x:c r="A984" s="65" t="str">
        <x:f>IF(B984="","",TEXT(B984,"yyyy-mm-dd")&amp;"|"&amp;D984&amp;"|"&amp;E984)</x:f>
        <x:v>2026-06-09|吉尔吉斯斯坦|巴勒斯坦</x:v>
      </x:c>
      <x:c r="B984" s="66" t="n">
        <x:v>46182.9375</x:v>
      </x:c>
      <x:c r="C984" s="65" t="str">
        <x:v>国际友谊赛</x:v>
      </x:c>
      <x:c r="D984" s="65" t="str">
        <x:v>吉尔吉斯斯坦</x:v>
      </x:c>
      <x:c r="E984" s="65" t="str">
        <x:v>巴勒斯坦</x:v>
      </x:c>
      <x:c r="F984" s="65" t="str">
        <x:v>巴勒斯坦 -0.25（参考2.09，约1.09水；低于0.80不进单）</x:v>
      </x:c>
      <x:c r="G984" s="65" t="str">
        <x:v>小 2.0（参考1.94，约0.94水；低于0.80不进单）</x:v>
      </x:c>
      <x:c r="H984" s="65" t="str">
        <x:v>小注；可选比分0-0/0-1/1-1，巴勒斯坦平手低水不进主单</x:v>
      </x:c>
      <x:c r="I984" s="66" t="n">
        <x:v>46182.913136574076</x:v>
      </x:c>
      <x:c r="J984" s="65" t="str">
        <x:v>已结算</x:v>
      </x:c>
      <x:c r="K984" s="65" t="str">
        <x:v>0-0</x:v>
      </x:c>
      <x:c r="L984" s="65" t="str">
        <x:v>输半</x:v>
      </x:c>
      <x:c r="M984" s="65" t="str">
        <x:v>赢</x:v>
      </x:c>
      <x:c r="N984" s="67" t="n">
        <x:v>-0.5</x:v>
      </x:c>
      <x:c r="O984" s="67" t="n">
        <x:v>1</x:v>
      </x:c>
      <x:c r="P984" s="67" t="n">
        <x:f>IF(COUNT(N984:O984)=0,"",SUM(N984:O984))</x:f>
        <x:v>0.5</x:v>
      </x:c>
      <x:c r="Q984" s="65"/>
      <x:c r="R984" s="65" t="str">
        <x:v>赛果0-0；巴勒斯坦 -0.25 输半；小2.0 赢。</x:v>
      </x:c>
    </x:row>
    <x:row r="985" ht="38" customHeight="1">
      <x:c r="A985" s="65" t="str">
        <x:f>IF(B985="","",TEXT(B985,"yyyy-mm-dd")&amp;"|"&amp;D985&amp;"|"&amp;E985)</x:f>
        <x:v>2026-06-09|塞帕|哈瓦达尔</x:v>
      </x:c>
      <x:c r="B985" s="66" t="n">
        <x:v>46182.895833333336</x:v>
      </x:c>
      <x:c r="C985" s="65" t="str">
        <x:v>伊朗甲级联赛（Azadegan League）</x:v>
      </x:c>
      <x:c r="D985" s="65" t="str">
        <x:v>塞帕</x:v>
      </x:c>
      <x:c r="E985" s="65" t="str">
        <x:v>哈瓦达尔</x:v>
      </x:c>
      <x:c r="F985" s="65" t="str">
        <x:v>塞帕 -0.25（参考1.96，约0.96水；低于0.80不进单）</x:v>
      </x:c>
      <x:c r="G985" s="65" t="str">
        <x:v>小 1.5（参考1.95-2.00，约0.95-1.00水；小2.5低水不进主单）</x:v>
      </x:c>
      <x:c r="H985" s="65" t="str">
        <x:v>小注；比分倾向1-0/0-0。若临场只剩小2.5低水或塞帕-0.5低水，放弃追单。</x:v>
      </x:c>
      <x:c r="I985" s="66" t="n">
        <x:v>46182.919340277775</x:v>
      </x:c>
      <x:c r="J985" s="65" t="str">
        <x:v>已结算</x:v>
      </x:c>
      <x:c r="K985" s="65" t="str">
        <x:v>0-0</x:v>
      </x:c>
      <x:c r="L985" s="65" t="str">
        <x:v>输半</x:v>
      </x:c>
      <x:c r="M985" s="65" t="str">
        <x:v>赢</x:v>
      </x:c>
      <x:c r="N985" s="67" t="n">
        <x:v>-0.5</x:v>
      </x:c>
      <x:c r="O985" s="67" t="n">
        <x:v>1</x:v>
      </x:c>
      <x:c r="P985" s="67" t="n">
        <x:f>IF(COUNT(N985:O985)=0,"",SUM(N985:O985))</x:f>
        <x:v>0.5</x:v>
      </x:c>
      <x:c r="Q985" s="65"/>
      <x:c r="R985" s="65" t="str">
        <x:v>赛果0-0；塞帕 -0.25 输半；小1.5 赢。</x:v>
      </x:c>
    </x:row>
    <x:row r="986" ht="38" customHeight="1">
      <x:c r="A986" s="65" t="str">
        <x:f>IF(B986="","",TEXT(B986,"yyyy-mm-dd")&amp;"|"&amp;D986&amp;"|"&amp;E986)</x:f>
        <x:v>2026-06-09|印度尼西亚|莫桑比克</x:v>
      </x:c>
      <x:c r="B986" s="66" t="n">
        <x:v>46182.875</x:v>
      </x:c>
      <x:c r="C986" s="65" t="str">
        <x:v>国际友谊赛</x:v>
      </x:c>
      <x:c r="D986" s="65" t="str">
        <x:v>印度尼西亚</x:v>
      </x:c>
      <x:c r="E986" s="65" t="str">
        <x:v>莫桑比克</x:v>
      </x:c>
      <x:c r="F986" s="65" t="str">
        <x:v>印度尼西亚 -1.75（亚洲让球，即时主线参考赔率1.95，水位约0.95；低于0.80不进单）</x:v>
      </x:c>
      <x:c r="G986" s="65" t="str">
        <x:v>大3.0球（亚洲大小球，即时主线参考赔率1.89，水位约0.89；低于0.80不进单）</x:v>
      </x:c>
      <x:c r="H986" s="65" t="str">
        <x:v>小注；印尼-1.75为主，赢2球赢半、赢3球全赢；大3.0同级小注，卡3球走水；若让球或大球跌破0.80放弃，不追低水-1.5。</x:v>
      </x:c>
      <x:c r="I986" s="66" t="n">
        <x:v>46182.86802083333</x:v>
      </x:c>
      <x:c r="J986" s="65" t="str">
        <x:v>已结算</x:v>
      </x:c>
      <x:c r="K986" s="65" t="str">
        <x:v>1-0</x:v>
      </x:c>
      <x:c r="L986" s="65" t="str">
        <x:v>输</x:v>
      </x:c>
      <x:c r="M986" s="65" t="str">
        <x:v>输</x:v>
      </x:c>
      <x:c r="N986" s="67" t="n">
        <x:v>-1</x:v>
      </x:c>
      <x:c r="O986" s="67" t="n">
        <x:v>-1</x:v>
      </x:c>
      <x:c r="P986" s="67" t="n">
        <x:f>IF(COUNT(N986:O986)=0,"",SUM(N986:O986))</x:f>
        <x:v>-2</x:v>
      </x:c>
      <x:c r="Q986" s="65"/>
      <x:c r="R986" s="65" t="str">
        <x:v>赛果1-0；印度尼西亚 -1.75 输；大3.0 输。</x:v>
      </x:c>
    </x:row>
    <x:row r="987" ht="38" customHeight="1">
      <x:c r="A987" s="65" t="str">
        <x:f>IF(B987="","",TEXT(B987,"yyyy-mm-dd")&amp;"|"&amp;D987&amp;"|"&amp;E987)</x:f>
        <x:v>2026-06-09|中国|泰国</x:v>
      </x:c>
      <x:c r="B987" s="66" t="n">
        <x:v>46182.81597222222</x:v>
      </x:c>
      <x:c r="C987" s="65" t="str">
        <x:v>国际友谊赛</x:v>
      </x:c>
      <x:c r="D987" s="65" t="str">
        <x:v>中国</x:v>
      </x:c>
      <x:c r="E987" s="65" t="str">
        <x:v>泰国</x:v>
      </x:c>
      <x:c r="F987" s="65" t="str">
        <x:v>中国 -0.5（亚洲让球，参考水位约0.83-0.93；低于0.80不进单）</x:v>
      </x:c>
      <x:c r="G987" s="65" t="str">
        <x:v>大2.5球（参考水位约0.93-1.05；低于0.80不进单；小2.5低水不进单）</x:v>
      </x:c>
      <x:c r="H987" s="65" t="str">
        <x:v>小注；中国-0.5为主，大2.5小注跟进；不买小2.5低水；若中国-0.5跌破0.80放弃。</x:v>
      </x:c>
      <x:c r="I987" s="66" t="n">
        <x:v>46182.63417824074</x:v>
      </x:c>
      <x:c r="J987" s="65" t="str">
        <x:v>已结算</x:v>
      </x:c>
      <x:c r="K987" s="65" t="str">
        <x:v>0-0</x:v>
      </x:c>
      <x:c r="L987" s="65" t="str">
        <x:v>输</x:v>
      </x:c>
      <x:c r="M987" s="65" t="str">
        <x:v>输</x:v>
      </x:c>
      <x:c r="N987" s="67" t="n">
        <x:v>-1</x:v>
      </x:c>
      <x:c r="O987" s="67" t="n">
        <x:v>-1</x:v>
      </x:c>
      <x:c r="P987" s="67" t="n">
        <x:f>IF(COUNT(N987:O987)=0,"",SUM(N987:O987))</x:f>
        <x:v>-2</x:v>
      </x:c>
      <x:c r="Q987" s="65"/>
      <x:c r="R987" s="65" t="str">
        <x:v>赛果0-0；中国 -0.5 输；大2.5 输。</x:v>
      </x:c>
    </x:row>
    <x:row r="988" ht="38" customHeight="1">
      <x:c r="A988" s="65" t="str">
        <x:f>IF(B988="","",TEXT(B988,"yyyy-mm-dd")&amp;"|"&amp;D988&amp;"|"&amp;E988)</x:f>
        <x:v>2026-06-09|伊普斯维奇城（Ipswich FC）|罗宾市（Robina City）</x:v>
      </x:c>
      <x:c r="B988" s="66" t="n">
        <x:v>46182.729166666664</x:v>
      </x:c>
      <x:c r="C988" s="65" t="str">
        <x:v>澳大利亚 维多利亚州超级联赛1（VPL1）</x:v>
      </x:c>
      <x:c r="D988" s="65" t="str">
        <x:v>伊普斯维奇城（Ipswich FC）</x:v>
      </x:c>
      <x:c r="E988" s="65" t="str">
        <x:v>罗宾市（Robina City）</x:v>
      </x:c>
      <x:c r="F988" s="65" t="str">
        <x:v>伊普斯维奇城 -0.5（等同主胜，参考赔率1.95-2.08，水位约0.95-1.08；低于0.80不进单）</x:v>
      </x:c>
      <x:c r="G988" s="65" t="str">
        <x:v>大3.5球（参考赔率7/5=2.40，水位约1.40；大2.5低水约0.50不进单）</x:v>
      </x:c>
      <x:c r="H988" s="65" t="str">
        <x:v>小注；主队-0.5为主，大3.5仅小注博高比分；不追伊普斯维奇-1；若-0.5跌破0.80放弃。</x:v>
      </x:c>
      <x:c r="I988" s="66" t="n">
        <x:v>46182.6062962963</x:v>
      </x:c>
      <x:c r="J988" s="65" t="str">
        <x:v>已结算</x:v>
      </x:c>
      <x:c r="K988" s="65" t="str">
        <x:v>0-1</x:v>
      </x:c>
      <x:c r="L988" s="65" t="str">
        <x:v>输</x:v>
      </x:c>
      <x:c r="M988" s="65" t="str">
        <x:v>输</x:v>
      </x:c>
      <x:c r="N988" s="67" t="n">
        <x:v>-1</x:v>
      </x:c>
      <x:c r="O988" s="67" t="n">
        <x:v>-1</x:v>
      </x:c>
      <x:c r="P988" s="67" t="n">
        <x:f>IF(COUNT(N988:O988)=0,"",SUM(N988:O988))</x:f>
        <x:v>-2</x:v>
      </x:c>
      <x:c r="Q988" s="65"/>
      <x:c r="R988" s="65" t="str">
        <x:v>赛果0-1；伊普斯维奇城 -0.5 输；大3.5 输。</x:v>
      </x:c>
    </x:row>
    <x:row r="989" ht="38" customHeight="1">
      <x:c r="A989" s="65" t="str">
        <x:f>IF(B989="","",TEXT(B989,"yyyy-mm-dd")&amp;"|"&amp;D989&amp;"|"&amp;E989)</x:f>
        <x:v>2026-06-09|东帝汶|文莱</x:v>
      </x:c>
      <x:c r="B989" s="66" t="n">
        <x:v>46182.708333333336</x:v>
      </x:c>
      <x:c r="C989" s="65" t="str">
        <x:v>东盟锦标</x:v>
      </x:c>
      <x:c r="D989" s="65" t="str">
        <x:v>东帝汶</x:v>
      </x:c>
      <x:c r="E989" s="65" t="str">
        <x:v>文莱</x:v>
      </x:c>
      <x:c r="F989" s="65" t="str">
        <x:v>东帝汶 -0.75（亚洲让球，参考水位约0.86-0.96；低于0.80不进单）</x:v>
      </x:c>
      <x:c r="G989" s="65" t="str">
        <x:v>东帝汶 队大1.75球（球队进球数替代大小球，参考水位约0.85-0.95；低于0.80不进单）</x:v>
      </x:c>
      <x:c r="H989" s="65" t="str">
        <x:v>小注；不追东帝汶-1.25及以上深盘；全场大2.5若低于0.80不进单；东帝汶-0.75跌破0.80放弃。</x:v>
      </x:c>
      <x:c r="I989" s="66" t="n">
        <x:v>46182.699583333335</x:v>
      </x:c>
      <x:c r="J989" s="65" t="str">
        <x:v>已结算</x:v>
      </x:c>
      <x:c r="K989" s="65" t="str">
        <x:v>3-1</x:v>
      </x:c>
      <x:c r="L989" s="65" t="str">
        <x:v>赢</x:v>
      </x:c>
      <x:c r="M989" s="65" t="str">
        <x:v>赢</x:v>
      </x:c>
      <x:c r="N989" s="67" t="n">
        <x:v>1</x:v>
      </x:c>
      <x:c r="O989" s="67" t="n">
        <x:v>1</x:v>
      </x:c>
      <x:c r="P989" s="67" t="n">
        <x:f>IF(COUNT(N989:O989)=0,"",SUM(N989:O989))</x:f>
        <x:v>2</x:v>
      </x:c>
      <x:c r="Q989" s="65"/>
      <x:c r="R989" s="65" t="str">
        <x:v>赛果3-1；东帝汶 -0.75 赢；东帝汶队大1.75球 赢。</x:v>
      </x:c>
    </x:row>
    <x:row r="990" ht="38" customHeight="1">
      <x:c r="A990" s="65" t="str">
        <x:f>IF(B990="","",TEXT(B990,"yyyy-mm-dd")&amp;"|"&amp;D990&amp;"|"&amp;E990)</x:f>
        <x:v>2026-06-09|秘鲁|西班牙</x:v>
      </x:c>
      <x:c r="B990" s="66" t="n">
        <x:v>46182.416666666664</x:v>
      </x:c>
      <x:c r="C990" s="65" t="str">
        <x:v>国际友谊赛</x:v>
      </x:c>
      <x:c r="D990" s="65" t="str">
        <x:v>秘鲁</x:v>
      </x:c>
      <x:c r="E990" s="65" t="str">
        <x:v>西班牙</x:v>
      </x:c>
      <x:c r="F990" s="65" t="str">
        <x:v>秘鲁 +2（亚洲让球，参考赔率1.862-1.90，水位约0.86-0.90；低于0.80不进单）</x:v>
      </x:c>
      <x:c r="G990" s="65" t="str">
        <x:v>西班牙队小2.5球（球队进球数，参考赔率1.86，水位约0.86；低于0.80不进单）</x:v>
      </x:c>
      <x:c r="H990" s="65" t="str">
        <x:v>秘鲁+2小注主打；西班牙队小2.5球同向小注；全场小2.5只作为高赔小博，不加仓；秘鲁+2跌破0.80放弃。</x:v>
      </x:c>
      <x:c r="I990" s="66" t="n">
        <x:v>46182.33607638889</x:v>
      </x:c>
      <x:c r="J990" s="65" t="str">
        <x:v>已结算</x:v>
      </x:c>
      <x:c r="K990" s="65" t="str">
        <x:v>1-3</x:v>
      </x:c>
      <x:c r="L990" s="65" t="str">
        <x:v>走水</x:v>
      </x:c>
      <x:c r="M990" s="65" t="str">
        <x:v>输</x:v>
      </x:c>
      <x:c r="N990" s="67" t="n">
        <x:v>0</x:v>
      </x:c>
      <x:c r="O990" s="67" t="n">
        <x:v>-1</x:v>
      </x:c>
      <x:c r="P990" s="67" t="n">
        <x:f>IF(COUNT(N990:O990)=0,"",SUM(N990:O990))</x:f>
        <x:v>-1</x:v>
      </x:c>
      <x:c r="Q990" s="65"/>
      <x:c r="R990" s="65" t="str">
        <x:v>赛果秘鲁1-3西班牙；秘鲁 +2 走水；西班牙队小2.5球输（西班牙进3球）。</x:v>
      </x:c>
    </x:row>
    <x:row r="991" ht="38" customHeight="1">
      <x:c r="A991" s="65" t="str">
        <x:f>IF(B991="","",TEXT(B991,"yyyy-mm-dd")&amp;"|"&amp;D991&amp;"|"&amp;E991)</x:f>
        <x:v>2026-06-09|蒙得维的亚利物浦（Liverpool Montevideo）|塞罗拉尔戈（Cerro Largo）</x:v>
      </x:c>
      <x:c r="B991" s="66" t="n">
        <x:v>46182.25</x:v>
      </x:c>
      <x:c r="C991" s="65" t="str">
        <x:v>乌拉圭甲级联赛（Campeonato Uruguayo·Primera División）</x:v>
      </x:c>
      <x:c r="D991" s="65" t="str">
        <x:v>蒙得维的亚利物浦（Liverpool Montevideo）</x:v>
      </x:c>
      <x:c r="E991" s="65" t="str">
        <x:v>塞罗拉尔戈（Cerro Largo）</x:v>
      </x:c>
      <x:c r="F991" s="65" t="str">
        <x:v>蒙得维的亚利物浦 -0.5（等同主胜，水位约0.85-0.94；低于0.80不进单）</x:v>
      </x:c>
      <x:c r="G991" s="65" t="str">
        <x:v>蒙得维的亚利物浦 队大1.5球（球队进球数替代大小球，参考水位约1.20；低于0.80不进单）</x:v>
      </x:c>
      <x:c r="H991" s="65" t="str">
        <x:v>小注；全场小2.5只作观察，若只有0.60左右低水不进单；利物浦-0.5跌破0.80放弃。</x:v>
      </x:c>
      <x:c r="I991" s="66" t="n">
        <x:v>46182.26142361111</x:v>
      </x:c>
      <x:c r="J991" s="65" t="str">
        <x:v>已结算</x:v>
      </x:c>
      <x:c r="K991" s="65" t="str">
        <x:v>0-1</x:v>
      </x:c>
      <x:c r="L991" s="65" t="str">
        <x:v>输</x:v>
      </x:c>
      <x:c r="M991" s="65" t="str">
        <x:v>输</x:v>
      </x:c>
      <x:c r="N991" s="67" t="n">
        <x:v>-1</x:v>
      </x:c>
      <x:c r="O991" s="67" t="n">
        <x:v>-1</x:v>
      </x:c>
      <x:c r="P991" s="67" t="n">
        <x:f>IF(COUNT(N991:O991)=0,"",SUM(N991:O991))</x:f>
        <x:v>-2</x:v>
      </x:c>
      <x:c r="Q991" s="65"/>
      <x:c r="R991" s="65" t="str">
        <x:v>赛果0-1；蒙得维的亚利物浦 -0.5 输；蒙得维的亚利物浦 队大1.5球 输。</x:v>
      </x:c>
    </x:row>
    <x:row r="992" ht="38" customHeight="1">
      <x:c r="A992" s="65" t="str">
        <x:f>IF(B992="","",TEXT(B992,"yyyy-mm-dd")&amp;"|"&amp;D992&amp;"|"&amp;E992)</x:f>
        <x:v>2026-06-09|国民竞技（Atlético Nacional）|巴兰基亚青年（Junior FC）</x:v>
      </x:c>
      <x:c r="B992" s="66" t="n">
        <x:v>46182.25</x:v>
      </x:c>
      <x:c r="C992" s="65" t="str">
        <x:v>哥伦比亚甲级联赛（Liga BetPlay DIMAYOR）</x:v>
      </x:c>
      <x:c r="D992" s="65" t="str">
        <x:v>国民竞技（Atlético Nacional）</x:v>
      </x:c>
      <x:c r="E992" s="65" t="str">
        <x:v>巴兰基亚青年（Junior FC）</x:v>
      </x:c>
      <x:c r="F992" s="65" t="str">
        <x:v>巴兰基亚青年 +1（亚洲让球，水位约0.93/十进制1.93；低于0.80不进单）</x:v>
      </x:c>
      <x:c r="G992" s="65" t="str">
        <x:v>小2.5球（水位约1.10/十进制2.10；低于0.80不进单）</x:v>
      </x:c>
      <x:c r="H992" s="65" t="str">
        <x:v>小注主打青年+1；小2.5可同级或小注跟进；青年+1跌破0.80放弃，不追+1.25低水。</x:v>
      </x:c>
      <x:c r="I992" s="66" t="n">
        <x:v>46182.25335648148</x:v>
      </x:c>
      <x:c r="J992" s="65" t="str">
        <x:v>已结算</x:v>
      </x:c>
      <x:c r="K992" s="65" t="str">
        <x:v>1-0</x:v>
      </x:c>
      <x:c r="L992" s="65" t="str">
        <x:v>走水</x:v>
      </x:c>
      <x:c r="M992" s="65" t="str">
        <x:v>赢</x:v>
      </x:c>
      <x:c r="N992" s="67" t="n">
        <x:v>0</x:v>
      </x:c>
      <x:c r="O992" s="67" t="n">
        <x:v>1</x:v>
      </x:c>
      <x:c r="P992" s="67" t="n">
        <x:f>IF(COUNT(N992:O992)=0,"",SUM(N992:O992))</x:f>
        <x:v>1</x:v>
      </x:c>
      <x:c r="Q992" s="65"/>
      <x:c r="R992" s="65" t="str">
        <x:v>赛果1-0；巴兰基亚青年 +1 走水；小2.5 赢。</x:v>
      </x:c>
    </x:row>
    <x:row r="993" ht="38" customHeight="1">
      <x:c r="A993" s="65" t="str">
        <x:f>IF(B993="","",TEXT(B993,"yyyy-mm-dd")&amp;"|"&amp;D993&amp;"|"&amp;E993)</x:f>
        <x:v>2026-06-09|荷兰|乌兹别克斯坦</x:v>
      </x:c>
      <x:c r="B993" s="66" t="n">
        <x:v>46182.114583333336</x:v>
      </x:c>
      <x:c r="C993" s="65" t="str">
        <x:v>国际友谊赛</x:v>
      </x:c>
      <x:c r="D993" s="65" t="str">
        <x:v>荷兰</x:v>
      </x:c>
      <x:c r="E993" s="65" t="str">
        <x:v>乌兹别克斯坦</x:v>
      </x:c>
      <x:c r="F993" s="65" t="str">
        <x:v>荷兰 -1.75（水位≥0.82才进；若只有-1.5但水位低于0.80不进单；-2需水位≥1.00才小注）</x:v>
      </x:c>
      <x:c r="G993" s="65" t="str">
        <x:v>小 4.0（水位≥0.80才进；若只有小3.5低水不进单；低于0.80不进单）</x:v>
      </x:c>
      <x:c r="H993" s="65" t="str">
        <x:v>小注；比分倾向2-0/3-0/3-1。荷兰主力彩排战意较足，但友谊赛末段轮换仍大；不追荷兰-2.25或-2低水，若早盘小4.0跌破0.80则放弃大小球。</x:v>
      </x:c>
      <x:c r="I993" s="66" t="n">
        <x:v>46182.110659722224</x:v>
      </x:c>
      <x:c r="J993" s="65" t="str">
        <x:v>已结算</x:v>
      </x:c>
      <x:c r="K993" s="65" t="str">
        <x:v>2-1</x:v>
      </x:c>
      <x:c r="L993" s="65" t="str">
        <x:v>输</x:v>
      </x:c>
      <x:c r="M993" s="65" t="str">
        <x:v>赢</x:v>
      </x:c>
      <x:c r="N993" s="67" t="n">
        <x:v>-1</x:v>
      </x:c>
      <x:c r="O993" s="67" t="n">
        <x:v>1</x:v>
      </x:c>
      <x:c r="P993" s="67" t="n">
        <x:f>IF(COUNT(N993:O993)=0,"",SUM(N993:O993))</x:f>
        <x:v>0</x:v>
      </x:c>
      <x:c r="Q993" s="65"/>
      <x:c r="R993" s="65" t="str">
        <x:v>更正赛果2-1；荷兰 -1.75 输；小4.0 赢。此前误写为6-1，已更正。</x:v>
      </x:c>
    </x:row>
    <x:row r="994" ht="38" customHeight="1">
      <x:c r="A994" s="65" t="str">
        <x:f>IF(B994="","",TEXT(B994,"yyyy-mm-dd")&amp;"|"&amp;D994&amp;"|"&amp;E994)</x:f>
        <x:v>2026-06-09|恩比（ENPPI）|马斯里（Al Masry）</x:v>
      </x:c>
      <x:c r="B994" s="66" t="n">
        <x:v>46182.0625</x:v>
      </x:c>
      <x:c r="C994" s="65" t="str">
        <x:v>埃及联赛杯（Egyptian League Cup）</x:v>
      </x:c>
      <x:c r="D994" s="65" t="str">
        <x:v>恩比（ENPPI）</x:v>
      </x:c>
      <x:c r="E994" s="65" t="str">
        <x:v>马斯里（Al Masry）</x:v>
      </x:c>
      <x:c r="F994" s="65" t="str">
        <x:v>马斯里 0（平手/DNB，水位≥0.80才进；若只有马斯里-0.25需≥0.90小注；低于0.80不进单）</x:v>
      </x:c>
      <x:c r="G994" s="65" t="str">
        <x:v>小 2.25（水位≥0.82才进；若只有小2.5且低于0.80不进单）</x:v>
      </x:c>
      <x:c r="H994" s="65" t="str">
        <x:v>小注；比分倾向0-1/1-1。不追马斯里-0.5；若马斯里DNB低于0.80则放弃让球；若小2.25低于0.82且小2.5低于0.80则放弃大小球。</x:v>
      </x:c>
      <x:c r="I994" s="66" t="n">
        <x:v>46182.061944444446</x:v>
      </x:c>
      <x:c r="J994" s="65" t="str">
        <x:v>已结算</x:v>
      </x:c>
      <x:c r="K994" s="65" t="str">
        <x:v>0-3</x:v>
      </x:c>
      <x:c r="L994" s="65" t="str">
        <x:v>赢</x:v>
      </x:c>
      <x:c r="M994" s="65" t="str">
        <x:v>输</x:v>
      </x:c>
      <x:c r="N994" s="67" t="n">
        <x:v>1</x:v>
      </x:c>
      <x:c r="O994" s="67" t="n">
        <x:v>-1</x:v>
      </x:c>
      <x:c r="P994" s="67" t="n">
        <x:f>IF(COUNT(N994:O994)=0,"",SUM(N994:O994))</x:f>
        <x:v>0</x:v>
      </x:c>
      <x:c r="Q994" s="65"/>
      <x:c r="R994" s="65" t="str">
        <x:v>赛果0-3；马斯里 0（平手/DNB）赢；小2.25 输。</x:v>
      </x:c>
    </x:row>
    <x:row r="995" ht="38" customHeight="1">
      <x:c r="A995" s="65" t="str">
        <x:f>IF(B995="","",TEXT(B995,"yyyy-mm-dd")&amp;"|"&amp;D995&amp;"|"&amp;E995)</x:f>
        <x:v>2026-06-08|科特卡（KTP Kotka）|哈卡（FC Haka）</x:v>
      </x:c>
      <x:c r="B995" s="66" t="n">
        <x:v>46181.979166666664</x:v>
      </x:c>
      <x:c r="C995" s="65" t="str">
        <x:v>芬兰甲级联赛（Ykkösliiga）</x:v>
      </x:c>
      <x:c r="D995" s="65" t="str">
        <x:v>科特卡（KTP Kotka）</x:v>
      </x:c>
      <x:c r="E995" s="65" t="str">
        <x:v>哈卡（FC Haka）</x:v>
      </x:c>
      <x:c r="F995" s="65" t="str">
        <x:v>科特卡 -0.5（水位≥0.85才进；低于0.80不进单）</x:v>
      </x:c>
      <x:c r="G995" s="65" t="str">
        <x:v>小 2.75（水位≥0.80优先；若只有小2.5且水位≥0.90可小注；低于0.80不进单）</x:v>
      </x:c>
      <x:c r="H995" s="65" t="str">
        <x:v>小注；比分倾向1-0/2-0/2-1。不追科特卡-0.75低水；若科特卡-0.5低于0.80则放弃让球；若小2.75低于0.80且小2.5低于0.90则放弃大小球。</x:v>
      </x:c>
      <x:c r="I995" s="66" t="n">
        <x:v>46181.99009259259</x:v>
      </x:c>
      <x:c r="J995" s="65" t="str">
        <x:v>已结算</x:v>
      </x:c>
      <x:c r="K995" s="65" t="str">
        <x:v>1-2</x:v>
      </x:c>
      <x:c r="L995" s="65" t="str">
        <x:v>输</x:v>
      </x:c>
      <x:c r="M995" s="65" t="str">
        <x:v>输半</x:v>
      </x:c>
      <x:c r="N995" s="67" t="n">
        <x:v>-1</x:v>
      </x:c>
      <x:c r="O995" s="67" t="n">
        <x:v>-0.5</x:v>
      </x:c>
      <x:c r="P995" s="67" t="n">
        <x:f>IF(COUNT(N995:O995)=0,"",SUM(N995:O995))</x:f>
        <x:v>-1.5</x:v>
      </x:c>
      <x:c r="Q995" s="65"/>
      <x:c r="R995" s="65" t="str">
        <x:v>赛果1-2；科特卡 -0.5 输；小2.75 输半。</x:v>
      </x:c>
    </x:row>
    <x:row r="996" ht="38" customHeight="1">
      <x:c r="A996" s="65" t="str">
        <x:f>IF(B996="","",TEXT(B996,"yyyy-mm-dd")&amp;"|"&amp;D996&amp;"|"&amp;E996)</x:f>
        <x:v>2026-06-08|科特迪瓦U23（青年队）|加拿大U20</x:v>
      </x:c>
      <x:c r="B996" s="66" t="n">
        <x:v>46181.875</x:v>
      </x:c>
      <x:c r="C996" s="65" t="str">
        <x:v>莫里斯·雷维洛锦标赛（土伦杯）</x:v>
      </x:c>
      <x:c r="D996" s="65" t="str">
        <x:v>科特迪瓦U23（青年队）</x:v>
      </x:c>
      <x:c r="E996" s="65" t="str">
        <x:v>加拿大U20</x:v>
      </x:c>
      <x:c r="F996" s="65" t="str">
        <x:v>科特迪瓦 -0.5（0.82+，低于0.80不进）</x:v>
      </x:c>
      <x:c r="G996" s="65" t="str">
        <x:v>大 2.75（0.80+，低于0.80不进）</x:v>
      </x:c>
      <x:c r="H996" s="65" t="str">
        <x:v>小注；不加仓；若让球退至低水不进</x:v>
      </x:c>
      <x:c r="I996" s="66" t="n">
        <x:v>46181.85599537037</x:v>
      </x:c>
      <x:c r="J996" s="65" t="str">
        <x:v>已结算</x:v>
      </x:c>
      <x:c r="K996" s="65" t="str">
        <x:v>3-0</x:v>
      </x:c>
      <x:c r="L996" s="65" t="str">
        <x:v>赢</x:v>
      </x:c>
      <x:c r="M996" s="65" t="str">
        <x:v>赢半</x:v>
      </x:c>
      <x:c r="N996" s="67" t="n">
        <x:v>1</x:v>
      </x:c>
      <x:c r="O996" s="67" t="n">
        <x:v>0.5</x:v>
      </x:c>
      <x:c r="P996" s="67" t="n">
        <x:f>IF(COUNT(N996:O996)=0,"",SUM(N996:O996))</x:f>
        <x:v>1.5</x:v>
      </x:c>
      <x:c r="Q996" s="65"/>
      <x:c r="R996" s="65" t="str">
        <x:v>赛果3-0；科特迪瓦 -0.5 赢；大2.75 赢半。</x:v>
      </x:c>
    </x:row>
    <x:row r="997" ht="38" customHeight="1">
      <x:c r="A997" s="65" t="str">
        <x:f>IF(B997="","",TEXT(B997,"yyyy-mm-dd")&amp;"|"&amp;D997&amp;"|"&amp;E997)</x:f>
        <x:v>2026-06-08|斯里兰卡|不丹</x:v>
      </x:c>
      <x:c r="B997" s="66" t="n">
        <x:v>46181.8125</x:v>
      </x:c>
      <x:c r="C997" s="65" t="str">
        <x:v>国际友谊赛</x:v>
      </x:c>
      <x:c r="D997" s="65" t="str">
        <x:v>斯里兰卡</x:v>
      </x:c>
      <x:c r="E997" s="65" t="str">
        <x:v>不丹</x:v>
      </x:c>
      <x:c r="F997" s="65" t="str">
        <x:v>斯里兰卡 -1.25（水位≥0.80；若升到-1.5或低于0.80不追）</x:v>
      </x:c>
      <x:c r="G997" s="65" t="str">
        <x:v>大 2.75（水位≥0.80；若临场升到大3.0仅小注，低于0.80不进单）</x:v>
      </x:c>
      <x:c r="H997" s="65" t="str">
        <x:v>小注；让球优先；比分倾向2-0/3-0/3-1</x:v>
      </x:c>
      <x:c r="I997" s="66" t="n">
        <x:v>46181.80587962963</x:v>
      </x:c>
      <x:c r="J997" s="65" t="str">
        <x:v>已结算</x:v>
      </x:c>
      <x:c r="K997" s="65" t="str">
        <x:v>4-1</x:v>
      </x:c>
      <x:c r="L997" s="65" t="str">
        <x:v>赢</x:v>
      </x:c>
      <x:c r="M997" s="65" t="str">
        <x:v>赢</x:v>
      </x:c>
      <x:c r="N997" s="67" t="n">
        <x:v>1</x:v>
      </x:c>
      <x:c r="O997" s="67" t="n">
        <x:v>1</x:v>
      </x:c>
      <x:c r="P997" s="67" t="n">
        <x:f>IF(COUNT(N997:O997)=0,"",SUM(N997:O997))</x:f>
        <x:v>2</x:v>
      </x:c>
      <x:c r="Q997" s="65"/>
      <x:c r="R997" s="65" t="str">
        <x:v>赛果4-1；斯里兰卡 -1.25 赢；大2.75 赢。</x:v>
      </x:c>
    </x:row>
    <x:row r="998" ht="38" customHeight="1">
      <x:c r="A998" s="65" t="str">
        <x:f>IF(B998="","",TEXT(B998,"yyyy-mm-dd")&amp;"|"&amp;D998&amp;"|"&amp;E998)</x:f>
        <x:v>2026-06-08|墨尔本胜利青年队|布伦瑞克尤文图斯</x:v>
      </x:c>
      <x:c r="B998" s="66" t="n">
        <x:v>46181.760416666664</x:v>
      </x:c>
      <x:c r="C998" s="65" t="str">
        <x:v>澳大利亚 维多利亚州超级联赛1（VPL1）</x:v>
      </x:c>
      <x:c r="D998" s="65" t="str">
        <x:v>墨尔本胜利青年队</x:v>
      </x:c>
      <x:c r="E998" s="65" t="str">
        <x:v>布伦瑞克尤文图斯</x:v>
      </x:c>
      <x:c r="F998" s="65" t="str">
        <x:v>布伦瑞克尤文图斯 +0.25（受让平半，水位≥0.80）</x:v>
      </x:c>
      <x:c r="G998" s="65" t="str">
        <x:v>小 3.5（水位≥0.80；若低于0.80不进单）</x:v>
      </x:c>
      <x:c r="H998" s="65" t="str">
        <x:v>小注；让球优先于大小球；比分倾向1-2/1-1/2-2</x:v>
      </x:c>
      <x:c r="I998" s="66" t="n">
        <x:v>46181.75037037037</x:v>
      </x:c>
      <x:c r="J998" s="65" t="str">
        <x:v>已结算</x:v>
      </x:c>
      <x:c r="K998" s="65" t="str">
        <x:v>4-0</x:v>
      </x:c>
      <x:c r="L998" s="65" t="str">
        <x:v>输</x:v>
      </x:c>
      <x:c r="M998" s="65" t="str">
        <x:v>输</x:v>
      </x:c>
      <x:c r="N998" s="67" t="n">
        <x:v>-1</x:v>
      </x:c>
      <x:c r="O998" s="67" t="n">
        <x:v>-1</x:v>
      </x:c>
      <x:c r="P998" s="67" t="n">
        <x:f>IF(COUNT(N998:O998)=0,"",SUM(N998:O998))</x:f>
        <x:v>-2</x:v>
      </x:c>
      <x:c r="Q998" s="65"/>
      <x:c r="R998" s="65" t="str">
        <x:v>赛果4-0；布伦瑞克尤文图斯 +0.25 输；小3.5 输。</x:v>
      </x:c>
    </x:row>
    <x:row r="999" ht="38" customHeight="1">
      <x:c r="A999" s="65" t="str">
        <x:f>IF(B999="","",TEXT(B999,"yyyy-mm-dd")&amp;"|"&amp;D999&amp;"|"&amp;E999)</x:f>
        <x:v>2026-06-08|金布洛治狮队|德文波特城</x:v>
      </x:c>
      <x:c r="B999" s="66" t="n">
        <x:v>46181.541666666664</x:v>
      </x:c>
      <x:c r="C999" s="65" t="str">
        <x:v>澳大利亚 维多利亚州超级联赛1（VPL1）</x:v>
      </x:c>
      <x:c r="D999" s="65" t="str">
        <x:v>金布洛治狮队</x:v>
      </x:c>
      <x:c r="E999" s="65" t="str">
        <x:v>德文波特城</x:v>
      </x:c>
      <x:c r="F999" s="65" t="str">
        <x:v>德文波特城 0（平手，水位≥0.80）</x:v>
      </x:c>
      <x:c r="G999" s="65" t="str">
        <x:v>小 3.25（水位≥0.80）</x:v>
      </x:c>
      <x:c r="H999" s="65" t="str">
        <x:v>小注；低于0.80不进单；比分倾向1-1/1-2</x:v>
      </x:c>
      <x:c r="I999" s="66" t="n">
        <x:v>46181.541597222225</x:v>
      </x:c>
      <x:c r="J999" s="65" t="str">
        <x:v>已结算</x:v>
      </x:c>
      <x:c r="K999" s="65" t="str">
        <x:v>1-1</x:v>
      </x:c>
      <x:c r="L999" s="65" t="str">
        <x:v>走水</x:v>
      </x:c>
      <x:c r="M999" s="65" t="str">
        <x:v>赢</x:v>
      </x:c>
      <x:c r="N999" s="67" t="n">
        <x:v>0</x:v>
      </x:c>
      <x:c r="O999" s="67" t="n">
        <x:v>1</x:v>
      </x:c>
      <x:c r="P999" s="67" t="n">
        <x:f>IF(COUNT(N999:O999)=0,"",SUM(N999:O999))</x:f>
        <x:v>1</x:v>
      </x:c>
      <x:c r="Q999" s="65"/>
      <x:c r="R999" s="65" t="str">
        <x:v>90分钟赛果1-1（点球5-3不计入盘口）；德文波特城 0（平手）走水；小3.25 赢。</x:v>
      </x:c>
    </x:row>
    <x:row r="1000" ht="38" customHeight="1">
      <x:c r="A1000" s="65" t="str">
        <x:f>IF(B1000="","",TEXT(B1000,"yyyy-mm-dd")&amp;"|"&amp;D1000&amp;"|"&amp;E1000)</x:f>
        <x:v>2026-06-08|哥伦比亚|约旦</x:v>
      </x:c>
      <x:c r="B1000" s="66" t="n">
        <x:v>46181.291666666664</x:v>
      </x:c>
      <x:c r="C1000" s="65" t="str">
        <x:v>国际友谊赛</x:v>
      </x:c>
      <x:c r="D1000" s="65" t="str">
        <x:v>哥伦比亚</x:v>
      </x:c>
      <x:c r="E1000" s="65" t="str">
        <x:v>约旦</x:v>
      </x:c>
      <x:c r="F1000" s="65" t="str">
        <x:v>哥伦比亚 -2.5（水位约1.30-1.50；低于0.80不进单）</x:v>
      </x:c>
      <x:c r="G1000" s="65" t="str">
        <x:v>哥伦比亚球队进球 大2.5（水位约0.85；低于0.80不进单）</x:v>
      </x:c>
      <x:c r="H1000" s="65" t="str">
        <x:v>小注；倾向3-0/4-0。不追哥伦比亚-1.5低水，不追全场大2.5低水；若只能拿到-2.5低于1.00则降级观察。</x:v>
      </x:c>
      <x:c r="I1000" s="66" t="n">
        <x:v>46181.31165509259</x:v>
      </x:c>
      <x:c r="J1000" s="65" t="str">
        <x:v>已结算</x:v>
      </x:c>
      <x:c r="K1000" s="65" t="str">
        <x:v>3-0</x:v>
      </x:c>
      <x:c r="L1000" s="65" t="str">
        <x:v>赢</x:v>
      </x:c>
      <x:c r="M1000" s="65" t="str">
        <x:v>赢</x:v>
      </x:c>
      <x:c r="N1000" s="67" t="n">
        <x:v>1</x:v>
      </x:c>
      <x:c r="O1000" s="67" t="n">
        <x:v>1</x:v>
      </x:c>
      <x:c r="P1000" s="67" t="n">
        <x:f>IF(COUNT(N1000:O1000)=0,"",SUM(N1000:O1000))</x:f>
        <x:v>2</x:v>
      </x:c>
      <x:c r="Q1000" s="65"/>
      <x:c r="R1000" s="65" t="str">
        <x:v>赛果3-0；哥伦比亚 -2.5 赢；哥伦比亚球队进球大2.5 赢。</x:v>
      </x:c>
    </x:row>
    <x:row r="1001" ht="38" customHeight="1">
      <x:c r="A1001" s="65" t="str">
        <x:f>IF(B1001="","",TEXT(B1001,"yyyy-mm-dd")&amp;"|"&amp;D1001&amp;"|"&amp;E1001)</x:f>
        <x:v>2026-06-08|防卫者体育（Defensor Sporting）|波士顿河（Boston River）</x:v>
      </x:c>
      <x:c r="B1001" s="66" t="n">
        <x:v>46181.229166666664</x:v>
      </x:c>
      <x:c r="C1001" s="65" t="str">
        <x:v>乌拉圭甲级联赛（Campeonato Uruguayo·Primera División）</x:v>
      </x:c>
      <x:c r="D1001" s="65" t="str">
        <x:v>防卫者体育（Defensor Sporting）</x:v>
      </x:c>
      <x:c r="E1001" s="65" t="str">
        <x:v>波士顿河（Boston River）</x:v>
      </x:c>
      <x:c r="F1001" s="65" t="str">
        <x:v>防卫者体育 -0.25（水位约0.85-0.95；低于0.80不进单）</x:v>
      </x:c>
      <x:c r="G1001" s="65" t="str">
        <x:v>小 2.5（水位约0.85-1.00；低于0.80不进单）</x:v>
      </x:c>
      <x:c r="H1001" s="65" t="str">
        <x:v>小注；倾向1-0/1-1。不追防卫者体育-0.5低水；若小2.5低于0.80则改小2.25高水或放弃大小球。</x:v>
      </x:c>
      <x:c r="I1001" s="66" t="n">
        <x:v>46181.218877314815</x:v>
      </x:c>
      <x:c r="J1001" s="65" t="str">
        <x:v>已结算</x:v>
      </x:c>
      <x:c r="K1001" s="65" t="str">
        <x:v>0-0</x:v>
      </x:c>
      <x:c r="L1001" s="65" t="str">
        <x:v>输</x:v>
      </x:c>
      <x:c r="M1001" s="65" t="str">
        <x:v>赢</x:v>
      </x:c>
      <x:c r="N1001" s="67" t="n">
        <x:v>-1</x:v>
      </x:c>
      <x:c r="O1001" s="67" t="n">
        <x:v>1</x:v>
      </x:c>
      <x:c r="P1001" s="67" t="n">
        <x:f>IF(COUNT(N1001:O1001)=0,"",SUM(N1001:O1001))</x:f>
        <x:v>0</x:v>
      </x:c>
      <x:c r="Q1001" s="65"/>
      <x:c r="R1001" s="65" t="str">
        <x:v>赛果0-0；防卫者体育 -0.25 输；小2.5 赢。</x:v>
      </x:c>
    </x:row>
    <x:row r="1002" ht="38" customHeight="1">
      <x:c r="A1002" s="65" t="str">
        <x:f>IF(B1002="","",TEXT(B1002,"yyyy-mm-dd")&amp;"|"&amp;D1002&amp;"|"&amp;E1002)</x:f>
        <x:v>2026-06-08|希腊|意大利</x:v>
      </x:c>
      <x:c r="B1002" s="66" t="n">
        <x:v>46181.166666666664</x:v>
      </x:c>
      <x:c r="C1002" s="65" t="str">
        <x:v>国际友谊赛</x:v>
      </x:c>
      <x:c r="D1002" s="65" t="str">
        <x:v>希腊</x:v>
      </x:c>
      <x:c r="E1002" s="65" t="str">
        <x:v>意大利</x:v>
      </x:c>
      <x:c r="F1002" s="65" t="str">
        <x:v>希腊 -0.25（水位约0.88-0.98；低于0.80不进单）</x:v>
      </x:c>
      <x:c r="G1002" s="65" t="str">
        <x:v>大 2.5（水位约0.95-1.05；低于0.80不进单）</x:v>
      </x:c>
      <x:c r="H1002" s="65" t="str">
        <x:v>小注；倾向2-1/2-2。不追希腊DNB低水；若大2.5低于0.80则放弃大小球。</x:v>
      </x:c>
      <x:c r="I1002" s="66" t="n">
        <x:v>46181.075104166666</x:v>
      </x:c>
      <x:c r="J1002" s="65" t="str">
        <x:v>已结算</x:v>
      </x:c>
      <x:c r="K1002" s="65" t="str">
        <x:v>0-2</x:v>
      </x:c>
      <x:c r="L1002" s="65" t="str">
        <x:v>输</x:v>
      </x:c>
      <x:c r="M1002" s="65" t="str">
        <x:v>输</x:v>
      </x:c>
      <x:c r="N1002" s="67" t="n">
        <x:v>-1</x:v>
      </x:c>
      <x:c r="O1002" s="67" t="n">
        <x:v>-1</x:v>
      </x:c>
      <x:c r="P1002" s="67" t="n">
        <x:f>IF(COUNT(N1002:O1002)=0,"",SUM(N1002:O1002))</x:f>
        <x:v>-2</x:v>
      </x:c>
      <x:c r="Q1002" s="65"/>
      <x:c r="R1002" s="65" t="str">
        <x:v>赛果0-2；希腊 -0.25 输；大2.5 输。</x:v>
      </x:c>
    </x:row>
    <x:row r="1003" ht="38" customHeight="1">
      <x:c r="A1003" s="65" t="str">
        <x:f>IF(B1003="","",TEXT(B1003,"yyyy-mm-dd")&amp;"|"&amp;D1003&amp;"|"&amp;E1003)</x:f>
        <x:v>2026-06-08|中国U20|突尼斯U23（青年队）</x:v>
      </x:c>
      <x:c r="B1003" s="66" t="n">
        <x:v>46181.020833333336</x:v>
      </x:c>
      <x:c r="C1003" s="65" t="str">
        <x:v>土伦杯（莫里斯雷维洛锦标赛）</x:v>
      </x:c>
      <x:c r="D1003" s="65" t="str">
        <x:v>中国U20</x:v>
      </x:c>
      <x:c r="E1003" s="65" t="str">
        <x:v>突尼斯U23（青年队）</x:v>
      </x:c>
      <x:c r="F1003" s="65" t="str">
        <x:v>突尼斯U23 -0.75（水位约0.85-0.95；低于0.80不进单）</x:v>
      </x:c>
      <x:c r="G1003" s="65" t="str">
        <x:v>小 2.75（水位约0.83-0.93；低于0.80不进单）</x:v>
      </x:c>
      <x:c r="H1003" s="65" t="str">
        <x:v>小注；倾向0-1/0-2。不追突尼斯胜赔低赔；若突尼斯-0.75跌破0.80或升到-1.25低水则放弃让球。</x:v>
      </x:c>
      <x:c r="I1003" s="66" t="n">
        <x:v>46180.96711805555</x:v>
      </x:c>
      <x:c r="J1003" s="65" t="str">
        <x:v>已结算</x:v>
      </x:c>
      <x:c r="K1003" s="65" t="str">
        <x:v>0-2</x:v>
      </x:c>
      <x:c r="L1003" s="65" t="str">
        <x:v>赢</x:v>
      </x:c>
      <x:c r="M1003" s="65" t="str">
        <x:v>赢</x:v>
      </x:c>
      <x:c r="N1003" s="67" t="n">
        <x:v>1</x:v>
      </x:c>
      <x:c r="O1003" s="67" t="n">
        <x:v>1</x:v>
      </x:c>
      <x:c r="P1003" s="67" t="n">
        <x:f>IF(COUNT(N1003:O1003)=0,"",SUM(N1003:O1003))</x:f>
        <x:v>2</x:v>
      </x:c>
      <x:c r="Q1003" s="65"/>
      <x:c r="R1003" s="65" t="str">
        <x:v>赛果0-2；突尼斯U23 -0.75 赢；小2.75 赢。</x:v>
      </x:c>
    </x:row>
    <x:row r="1004" ht="38" customHeight="1">
      <x:c r="A1004" s="65" t="str">
        <x:f>IF(B1004="","",TEXT(B1004,"yyyy-mm-dd")&amp;"|"&amp;D1004&amp;"|"&amp;E1004)</x:f>
        <x:v>2026-06-07|兰黑姆（Ranheim IL）|斯托曼（Strømmen IF）</x:v>
      </x:c>
      <x:c r="B1004" s="66" t="n">
        <x:v>46180.958333333336</x:v>
      </x:c>
      <x:c r="C1004" s="65" t="str">
        <x:v>挪威甲级联赛（OBOS-ligaen）</x:v>
      </x:c>
      <x:c r="D1004" s="65" t="str">
        <x:v>兰黑姆（Ranheim IL）</x:v>
      </x:c>
      <x:c r="E1004" s="65" t="str">
        <x:v>斯托曼（Strømmen IF）</x:v>
      </x:c>
      <x:c r="F1004" s="65" t="str">
        <x:v>兰黑姆 -1.5（水位约0.88-0.95；低于0.80不进单）</x:v>
      </x:c>
      <x:c r="G1004" s="65" t="str">
        <x:v>大 3.25（水位约0.80-0.90；低于0.80不进单）</x:v>
      </x:c>
      <x:c r="H1004" s="65" t="str">
        <x:v>小注；倾向3-1/4-1。不追主胜低赔，不碰大2.5低水；若大3.25低于0.80则改大3.5高水≥1.00或放弃。</x:v>
      </x:c>
      <x:c r="I1004" s="66" t="n">
        <x:v>46180.962916666664</x:v>
      </x:c>
      <x:c r="J1004" s="65" t="str">
        <x:v>已结算</x:v>
      </x:c>
      <x:c r="K1004" s="65" t="str">
        <x:v>3-2</x:v>
      </x:c>
      <x:c r="L1004" s="65" t="str">
        <x:v>输</x:v>
      </x:c>
      <x:c r="M1004" s="65" t="str">
        <x:v>赢</x:v>
      </x:c>
      <x:c r="N1004" s="67" t="n">
        <x:v>-1</x:v>
      </x:c>
      <x:c r="O1004" s="67" t="n">
        <x:v>1</x:v>
      </x:c>
      <x:c r="P1004" s="67" t="n">
        <x:f>IF(COUNT(N1004:O1004)=0,"",SUM(N1004:O1004))</x:f>
        <x:v>0</x:v>
      </x:c>
      <x:c r="Q1004" s="65"/>
      <x:c r="R1004" s="65" t="str">
        <x:v>赛果3-2；兰黑姆 -1.5 输；大3.25 赢。</x:v>
      </x:c>
    </x:row>
    <x:row r="1005" ht="38" customHeight="1">
      <x:c r="A1005" s="65" t="str">
        <x:f>IF(B1005="","",TEXT(B1005,"yyyy-mm-dd")&amp;"|"&amp;D1005&amp;"|"&amp;E1005)</x:f>
        <x:v>2026-06-07|列支敦士登|塞浦路斯</x:v>
      </x:c>
      <x:c r="B1005" s="66" t="n">
        <x:v>46180.875</x:v>
      </x:c>
      <x:c r="C1005" s="65" t="str">
        <x:v>国际友谊赛</x:v>
      </x:c>
      <x:c r="D1005" s="65" t="str">
        <x:v>列支敦士登</x:v>
      </x:c>
      <x:c r="E1005" s="65" t="str">
        <x:v>塞浦路斯</x:v>
      </x:c>
      <x:c r="F1005" s="65" t="str">
        <x:v>塞浦路斯 -1.5（水位约0.85-0.95；低于0.80不进单）</x:v>
      </x:c>
      <x:c r="G1005" s="65" t="str">
        <x:v>小 2.5（水位约1.00左右；低于0.80不进单）</x:v>
      </x:c>
      <x:c r="H1005" s="65" t="str">
        <x:v>小注；倾向0-2。不追塞浦路斯主胜低赔或-1低水；若临场塞浦路斯-1.5低于0.80则放弃让球，大小球不追大2.5低水。</x:v>
      </x:c>
      <x:c r="I1005" s="66" t="n">
        <x:v>46180.87195601852</x:v>
      </x:c>
      <x:c r="J1005" s="65" t="str">
        <x:v>已结算</x:v>
      </x:c>
      <x:c r="K1005" s="65" t="str">
        <x:v>0-2</x:v>
      </x:c>
      <x:c r="L1005" s="65" t="str">
        <x:v>赢</x:v>
      </x:c>
      <x:c r="M1005" s="65" t="str">
        <x:v>赢</x:v>
      </x:c>
      <x:c r="N1005" s="67" t="n">
        <x:v>1</x:v>
      </x:c>
      <x:c r="O1005" s="67" t="n">
        <x:v>1</x:v>
      </x:c>
      <x:c r="P1005" s="67" t="n">
        <x:f>IF(COUNT(N1005:O1005)=0,"",SUM(N1005:O1005))</x:f>
        <x:v>2</x:v>
      </x:c>
      <x:c r="Q1005" s="65"/>
      <x:c r="R1005" s="65" t="str">
        <x:v>赛果0-2；塞浦路斯 -1.5 赢；小2.5 赢。</x:v>
      </x:c>
    </x:row>
    <x:row r="1006" ht="38" customHeight="1">
      <x:c r="A1006" s="65" t="str">
        <x:f>IF(B1006="","",TEXT(B1006,"yyyy-mm-dd")&amp;"|"&amp;D1006&amp;"|"&amp;E1006)</x:f>
        <x:v>2026-06-07|民主刚果U20|哥伦比亚U19</x:v>
      </x:c>
      <x:c r="B1006" s="66" t="n">
        <x:v>46180.875</x:v>
      </x:c>
      <x:c r="C1006" s="65" t="str">
        <x:v>土伦杯（莫里斯雷维洛锦标赛）</x:v>
      </x:c>
      <x:c r="D1006" s="65" t="str">
        <x:v>民主刚果U20</x:v>
      </x:c>
      <x:c r="E1006" s="65" t="str">
        <x:v>哥伦比亚U19</x:v>
      </x:c>
      <x:c r="F1006" s="65" t="str">
        <x:v>民主刚果U20 -0.5（水位约1.02；低于0.80不进单）</x:v>
      </x:c>
      <x:c r="G1006" s="65" t="str">
        <x:v>大 3.0（水位约0.85-1.00；低于0.80不进单）</x:v>
      </x:c>
      <x:c r="H1006" s="65" t="str">
        <x:v>小注；倾向2-1/3-1。不追民主刚果DNB低水；不追大2.5低水，若只能拿到大3.5则需高水≥1.20才小注。</x:v>
      </x:c>
      <x:c r="I1006" s="66" t="n">
        <x:v>46180.85658564815</x:v>
      </x:c>
      <x:c r="J1006" s="65" t="str">
        <x:v>已结算</x:v>
      </x:c>
      <x:c r="K1006" s="65" t="str">
        <x:v>1-1</x:v>
      </x:c>
      <x:c r="L1006" s="65" t="str">
        <x:v>输</x:v>
      </x:c>
      <x:c r="M1006" s="65" t="str">
        <x:v>输</x:v>
      </x:c>
      <x:c r="N1006" s="67" t="n">
        <x:v>-1</x:v>
      </x:c>
      <x:c r="O1006" s="67" t="n">
        <x:v>-1</x:v>
      </x:c>
      <x:c r="P1006" s="67" t="n">
        <x:f>IF(COUNT(N1006:O1006)=0,"",SUM(N1006:O1006))</x:f>
        <x:v>-2</x:v>
      </x:c>
      <x:c r="Q1006" s="65"/>
      <x:c r="R1006" s="65" t="str">
        <x:v>赛果1-1；民主刚果U20 -0.5 输；大3.0 输。</x:v>
      </x:c>
    </x:row>
    <x:row r="1007" ht="38" customHeight="1">
      <x:c r="A1007" s="65" t="str">
        <x:f>IF(B1007="","",TEXT(B1007,"yyyy-mm-dd")&amp;"|"&amp;D1007&amp;"|"&amp;E1007)</x:f>
        <x:v>2026-06-07|天安城（Cheonan City FC）|水原FC（Suwon FC）</x:v>
      </x:c>
      <x:c r="B1007" s="66" t="n">
        <x:v>46180.770833333336</x:v>
      </x:c>
      <x:c r="C1007" s="65" t="str">
        <x:v>韩国K2联赛</x:v>
      </x:c>
      <x:c r="D1007" s="65" t="str">
        <x:v>天安城（Cheonan City FC）</x:v>
      </x:c>
      <x:c r="E1007" s="65" t="str">
        <x:v>水原FC（Suwon FC）</x:v>
      </x:c>
      <x:c r="F1007" s="65" t="str">
        <x:v>天安城 +0.25（水位约0.88-0.98；低于0.80不进单）</x:v>
      </x:c>
      <x:c r="G1007" s="65" t="str">
        <x:v>小 2.5（水位约0.90-0.98；低于0.80不进单）</x:v>
      </x:c>
      <x:c r="H1007" s="65" t="str">
        <x:v>小注；倾向1-1/0-1。不追水原FC-0.5低水；若临场天安+0.25跌破0.80则放弃让球。</x:v>
      </x:c>
      <x:c r="I1007" s="66" t="n">
        <x:v>46180.76841435185</x:v>
      </x:c>
      <x:c r="J1007" s="65" t="str">
        <x:v>已结算</x:v>
      </x:c>
      <x:c r="K1007" s="65" t="str">
        <x:v>1-1</x:v>
      </x:c>
      <x:c r="L1007" s="65" t="str">
        <x:v>赢</x:v>
      </x:c>
      <x:c r="M1007" s="65" t="str">
        <x:v>赢</x:v>
      </x:c>
      <x:c r="N1007" s="67" t="n">
        <x:v>1</x:v>
      </x:c>
      <x:c r="O1007" s="67" t="n">
        <x:v>1</x:v>
      </x:c>
      <x:c r="P1007" s="67" t="n">
        <x:f>IF(COUNT(N1007:O1007)=0,"",SUM(N1007:O1007))</x:f>
        <x:v>2</x:v>
      </x:c>
      <x:c r="Q1007" s="65"/>
      <x:c r="R1007" s="65" t="str">
        <x:v>赛果1-1；天安城 +0.25 赢；小2.5 赢。</x:v>
      </x:c>
    </x:row>
    <x:row r="1008" ht="38" customHeight="1">
      <x:c r="A1008" s="65" t="str">
        <x:f>IF(B1008="","",TEXT(B1008,"yyyy-mm-dd")&amp;"|"&amp;D1008&amp;"|"&amp;E1008)</x:f>
        <x:v>2026-06-07|金浦市民（Gimpo FC）|全南天龙（Jeonnam Dragons）</x:v>
      </x:c>
      <x:c r="B1008" s="66" t="n">
        <x:v>46180.770833333336</x:v>
      </x:c>
      <x:c r="C1008" s="65" t="str">
        <x:v>韩国K2联赛</x:v>
      </x:c>
      <x:c r="D1008" s="65" t="str">
        <x:v>金浦市民（Gimpo FC）</x:v>
      </x:c>
      <x:c r="E1008" s="65" t="str">
        <x:v>全南天龙（Jeonnam Dragons）</x:v>
      </x:c>
      <x:c r="F1008" s="65" t="str">
        <x:v>金浦市民 -0.5（水位约0.85-0.95；低于0.80不进单）</x:v>
      </x:c>
      <x:c r="G1008" s="65" t="str">
        <x:v>小 2.25（水位约0.85-0.95；低于0.80不进单）</x:v>
      </x:c>
      <x:c r="H1008" s="65" t="str">
        <x:v>小注；倾向1-0/2-0/2-1。不碰小2.5低水；若金浦-0.5低于0.80则放弃让球，若升到-0.75需水位≥1.00才考虑。</x:v>
      </x:c>
      <x:c r="I1008" s="66" t="n">
        <x:v>46180.74859953704</x:v>
      </x:c>
      <x:c r="J1008" s="65" t="str">
        <x:v>已结算</x:v>
      </x:c>
      <x:c r="K1008" s="65" t="str">
        <x:v>2-2</x:v>
      </x:c>
      <x:c r="L1008" s="65" t="str">
        <x:v>输</x:v>
      </x:c>
      <x:c r="M1008" s="65" t="str">
        <x:v>输</x:v>
      </x:c>
      <x:c r="N1008" s="67" t="n">
        <x:v>-1</x:v>
      </x:c>
      <x:c r="O1008" s="67" t="n">
        <x:v>-1</x:v>
      </x:c>
      <x:c r="P1008" s="67" t="n">
        <x:f>IF(COUNT(N1008:O1008)=0,"",SUM(N1008:O1008))</x:f>
        <x:v>-2</x:v>
      </x:c>
      <x:c r="Q1008" s="65"/>
      <x:c r="R1008" s="65" t="str">
        <x:v>赛果2-2；金浦市民 -0.5 输；小2.25 输。</x:v>
      </x:c>
    </x:row>
    <x:row r="1009" ht="38" customHeight="1">
      <x:c r="A1009" s="65" t="str">
        <x:f>IF(B1009="","",TEXT(B1009,"yyyy-mm-dd")&amp;"|"&amp;D1009&amp;"|"&amp;E1009)</x:f>
        <x:v>2026-06-07|首尔衣恋（Seoul E-Land FC）|忠北清州（Chungbuk Cheongju FC）</x:v>
      </x:c>
      <x:c r="B1009" s="66" t="n">
        <x:v>46180.770833333336</x:v>
      </x:c>
      <x:c r="C1009" s="65" t="str">
        <x:v>韩国K2联赛</x:v>
      </x:c>
      <x:c r="D1009" s="65" t="str">
        <x:v>首尔衣恋（Seoul E-Land FC）</x:v>
      </x:c>
      <x:c r="E1009" s="65" t="str">
        <x:v>忠北清州（Chungbuk Cheongju FC）</x:v>
      </x:c>
      <x:c r="F1009" s="65" t="str">
        <x:v>首尔衣恋 -0.75（水位约0.85-0.95；低于0.80不进单）</x:v>
      </x:c>
      <x:c r="G1009" s="65" t="str">
        <x:v>大 2.5（水位约0.85-0.95；低于0.80不进单）</x:v>
      </x:c>
      <x:c r="H1009" s="65" t="str">
        <x:v>小注；倾向2-1/3-1。若临场升到-1且水位≥0.95可小注替代；不追-1.25低水，若大2.5低于0.80则放弃大小球。</x:v>
      </x:c>
      <x:c r="I1009" s="66" t="n">
        <x:v>46180.73537037037</x:v>
      </x:c>
      <x:c r="J1009" s="65" t="str">
        <x:v>已结算</x:v>
      </x:c>
      <x:c r="K1009" s="65" t="str">
        <x:v>1-2</x:v>
      </x:c>
      <x:c r="L1009" s="65" t="str">
        <x:v>输</x:v>
      </x:c>
      <x:c r="M1009" s="65" t="str">
        <x:v>赢</x:v>
      </x:c>
      <x:c r="N1009" s="67" t="n">
        <x:v>-1</x:v>
      </x:c>
      <x:c r="O1009" s="67" t="n">
        <x:v>1</x:v>
      </x:c>
      <x:c r="P1009" s="67" t="n">
        <x:f>IF(COUNT(N1009:O1009)=0,"",SUM(N1009:O1009))</x:f>
        <x:v>0</x:v>
      </x:c>
      <x:c r="Q1009" s="65"/>
      <x:c r="R1009" s="65" t="str">
        <x:v>赛果1-2；首尔衣恋 -0.75 输；大2.5 赢。</x:v>
      </x:c>
    </x:row>
    <x:row r="1010" ht="38" customHeight="1">
      <x:c r="A1010" s="65" t="str">
        <x:f>IF(B1010="","",TEXT(B1010,"yyyy-mm-dd")&amp;"|"&amp;D1010&amp;"|"&amp;E1010)</x:f>
        <x:v>2026-06-07|大分三神（Oita Trinita）|山形山神（Montedio Yamagata）</x:v>
      </x:c>
      <x:c r="B1010" s="66" t="n">
        <x:v>46180.625</x:v>
      </x:c>
      <x:c r="C1010" s="65" t="str">
        <x:v>日职 明治安田J2·J3百年构想联赛</x:v>
      </x:c>
      <x:c r="D1010" s="65" t="str">
        <x:v>大分三神（Oita Trinita）</x:v>
      </x:c>
      <x:c r="E1010" s="65" t="str">
        <x:v>山形山神（Montedio Yamagata）</x:v>
      </x:c>
      <x:c r="F1010" s="65" t="str">
        <x:v>山形山神 +0.25（水位约0.82-0.92；低于0.80不进单）</x:v>
      </x:c>
      <x:c r="G1010" s="65" t="str">
        <x:v>小 2.25（水位约0.86-0.98；低于0.80不进单）</x:v>
      </x:c>
      <x:c r="H1010" s="65" t="str">
        <x:v>小注；倾向0-1/1-1。不追大分平手或-0.25低水；若只能拿到小2.5低于0.80则改小2.25或放弃。</x:v>
      </x:c>
      <x:c r="I1010" s="66" t="n">
        <x:v>46180.625659722224</x:v>
      </x:c>
      <x:c r="J1010" s="65" t="str">
        <x:v>已结算</x:v>
      </x:c>
      <x:c r="K1010" s="65" t="str">
        <x:v>1-0</x:v>
      </x:c>
      <x:c r="L1010" s="65" t="str">
        <x:v>输</x:v>
      </x:c>
      <x:c r="M1010" s="65" t="str">
        <x:v>赢</x:v>
      </x:c>
      <x:c r="N1010" s="67" t="n">
        <x:v>-1</x:v>
      </x:c>
      <x:c r="O1010" s="67" t="n">
        <x:v>1</x:v>
      </x:c>
      <x:c r="P1010" s="67" t="n">
        <x:f>IF(COUNT(N1010:O1010)=0,"",SUM(N1010:O1010))</x:f>
        <x:v>0</x:v>
      </x:c>
      <x:c r="Q1010" s="65"/>
      <x:c r="R1010" s="65" t="str">
        <x:v>赛果：大分三神1-0山形山神。山形+0.25未中；小2.25命中。</x:v>
      </x:c>
    </x:row>
    <x:row r="1011" ht="38" customHeight="1">
      <x:c r="A1011" s="65" t="str">
        <x:f>IF(B1011="","",TEXT(B1011,"yyyy-mm-dd")&amp;"|"&amp;D1011&amp;"|"&amp;E1011)</x:f>
        <x:v>2026-06-07|枥木SC（Tochigi SC）|北九州向日葵（Giravanz Kitakyushu）</x:v>
      </x:c>
      <x:c r="B1011" s="66" t="n">
        <x:v>46180.583333333336</x:v>
      </x:c>
      <x:c r="C1011" s="65" t="str">
        <x:v>日职 明治安田J2·J3百年构想联赛</x:v>
      </x:c>
      <x:c r="D1011" s="65" t="str">
        <x:v>枥木SC（Tochigi SC）</x:v>
      </x:c>
      <x:c r="E1011" s="65" t="str">
        <x:v>北九州向日葵（Giravanz Kitakyushu）</x:v>
      </x:c>
      <x:c r="F1011" s="65" t="str">
        <x:v>枥木SC -0.75（水位约0.92；低于0.80不进单）</x:v>
      </x:c>
      <x:c r="G1011" s="65" t="str">
        <x:v>小 2.25（水位约1.03；低于0.80不进单）</x:v>
      </x:c>
      <x:c r="H1011" s="65" t="str">
        <x:v>小注；倾向1-0/2-0。不追枥木主胜低赔；若临场枥木-0.75低于0.80则降级观察。</x:v>
      </x:c>
      <x:c r="I1011" s="66" t="n">
        <x:v>46180.54090277778</x:v>
      </x:c>
      <x:c r="J1011" s="65" t="str">
        <x:v>已结算</x:v>
      </x:c>
      <x:c r="K1011" s="65"/>
      <x:c r="L1011" s="65" t="str">
        <x:v>输</x:v>
      </x:c>
      <x:c r="M1011" s="65" t="str">
        <x:v>赢</x:v>
      </x:c>
      <x:c r="N1011" s="67" t="n">
        <x:v>-1</x:v>
      </x:c>
      <x:c r="O1011" s="67" t="n">
        <x:v>1</x:v>
      </x:c>
      <x:c r="P1011" s="67" t="n">
        <x:f>IF(COUNT(N1011:O1011)=0,"",SUM(N1011:O1011))</x:f>
        <x:v>0</x:v>
      </x:c>
      <x:c r="Q1011" s="65"/>
      <x:c r="R1011" s="65" t="str">
        <x:v>更正结算口径：官方/比分页为枥木SC2-1北九州向日葵（加时后）；亚洲盘口按90分钟1-1结算。枥木-0.75未中；小2.25命中。</x:v>
      </x:c>
    </x:row>
    <x:row r="1012" ht="38" customHeight="1">
      <x:c r="A1012" s="65" t="str">
        <x:f>IF(B1012="","",TEXT(B1012,"yyyy-mm-dd")&amp;"|"&amp;D1012&amp;"|"&amp;E1012)</x:f>
        <x:v>2026-06-07|马可尼（Marconi Stallions）|卧龙狼队（Wollongong Wolves）</x:v>
      </x:c>
      <x:c r="B1012" s="66" t="n">
        <x:v>46180.541666666664</x:v>
      </x:c>
      <x:c r="C1012" s="65" t="str">
        <x:v>澳大利亚 维多利亚州超级联赛1（VPL1）</x:v>
      </x:c>
      <x:c r="D1012" s="65" t="str">
        <x:v>马可尼（Marconi Stallions）</x:v>
      </x:c>
      <x:c r="E1012" s="65" t="str">
        <x:v>卧龙狼队（Wollongong Wolves）</x:v>
      </x:c>
      <x:c r="F1012" s="65" t="str">
        <x:v>马可尼 -0.75（水位约0.82-0.90；低于0.80不进单）</x:v>
      </x:c>
      <x:c r="G1012" s="65" t="str">
        <x:v>小 2.5（水位约0.95-1.00；低于0.80不进单）</x:v>
      </x:c>
      <x:c r="H1012" s="65" t="str">
        <x:v>小注；倾向1-0/2-0。可选马可尼-1.0需高水≥0.95才考虑，不追主胜或-0.5低水。</x:v>
      </x:c>
      <x:c r="I1012" s="66" t="n">
        <x:v>46180.52909722222</x:v>
      </x:c>
      <x:c r="J1012" s="65" t="str">
        <x:v>已结算</x:v>
      </x:c>
      <x:c r="K1012" s="65" t="str">
        <x:v>1-0</x:v>
      </x:c>
      <x:c r="L1012" s="65" t="str">
        <x:v>赢半</x:v>
      </x:c>
      <x:c r="M1012" s="65" t="str">
        <x:v>赢</x:v>
      </x:c>
      <x:c r="N1012" s="67" t="n">
        <x:v>0.5</x:v>
      </x:c>
      <x:c r="O1012" s="67" t="n">
        <x:v>1</x:v>
      </x:c>
      <x:c r="P1012" s="67" t="n">
        <x:f>IF(COUNT(N1012:O1012)=0,"",SUM(N1012:O1012))</x:f>
        <x:v>1.5</x:v>
      </x:c>
      <x:c r="Q1012" s="65"/>
      <x:c r="R1012" s="65" t="str">
        <x:v>赛果：马可尼1-0卧龙狼队。马可尼-0.75赢半；小2.5命中。</x:v>
      </x:c>
    </x:row>
    <x:row r="1013" ht="38" customHeight="1">
      <x:c r="A1013" s="65" t="str">
        <x:f>IF(B1013="","",TEXT(B1013,"yyyy-mm-dd")&amp;"|"&amp;D1013&amp;"|"&amp;E1013)</x:f>
        <x:v>2026-06-07|秋田蓝色闪电（Blaublitz Akita）|鹿儿岛联（Kagoshima United FC）</x:v>
      </x:c>
      <x:c r="B1013" s="66" t="n">
        <x:v>46180.541666666664</x:v>
      </x:c>
      <x:c r="C1013" s="65" t="str">
        <x:v>日职 明治安田J2·J3百年构想联赛</x:v>
      </x:c>
      <x:c r="D1013" s="65" t="str">
        <x:v>秋田蓝色闪电（Blaublitz Akita）</x:v>
      </x:c>
      <x:c r="E1013" s="65" t="str">
        <x:v>鹿儿岛联（Kagoshima United FC）</x:v>
      </x:c>
      <x:c r="F1013" s="65" t="str">
        <x:v>秋田蓝色闪电 +0（平手/DNB，水位约0.85-0.95；低于0.80不进单）</x:v>
      </x:c>
      <x:c r="G1013" s="65" t="str">
        <x:v>小 2.25（水位约0.83-0.95；低于0.80不进单）</x:v>
      </x:c>
      <x:c r="H1013" s="65" t="str">
        <x:v>小注；倾向1-0/1-1。不碰小2.5低水；若小2.25也低于0.80则放弃大小球。</x:v>
      </x:c>
      <x:c r="I1013" s="66" t="n">
        <x:v>46180.492256944446</x:v>
      </x:c>
      <x:c r="J1013" s="65" t="str">
        <x:v>已结算</x:v>
      </x:c>
      <x:c r="K1013" s="65" t="str">
        <x:v>0-2</x:v>
      </x:c>
      <x:c r="L1013" s="65" t="str">
        <x:v>输</x:v>
      </x:c>
      <x:c r="M1013" s="65" t="str">
        <x:v>赢半</x:v>
      </x:c>
      <x:c r="N1013" s="67" t="n">
        <x:v>-1</x:v>
      </x:c>
      <x:c r="O1013" s="67" t="n">
        <x:v>0.5</x:v>
      </x:c>
      <x:c r="P1013" s="67" t="n">
        <x:f>IF(COUNT(N1013:O1013)=0,"",SUM(N1013:O1013))</x:f>
        <x:v>-0.5</x:v>
      </x:c>
      <x:c r="Q1013" s="65"/>
      <x:c r="R1013" s="65" t="str">
        <x:v>赛果：秋田蓝色闪电0-2鹿儿岛联。秋田+0未中；小2.25总进球2，赢半。</x:v>
      </x:c>
    </x:row>
    <x:row r="1014" ht="38" customHeight="1">
      <x:c r="A1014" s="65" t="str">
        <x:f>IF(B1014="","",TEXT(B1014,"yyyy-mm-dd")&amp;"|"&amp;D1014&amp;"|"&amp;E1014)</x:f>
        <x:v>2026-06-07|拉斯维加斯光（Las Vegas Lights）|奥克兰根（Oakland Roots）</x:v>
      </x:c>
      <x:c r="B1014" s="66" t="n">
        <x:v>46180.4375</x:v>
      </x:c>
      <x:c r="C1014" s="65" t="str">
        <x:v>美国USL杯</x:v>
      </x:c>
      <x:c r="D1014" s="65" t="str">
        <x:v>拉斯维加斯光（Las Vegas Lights）</x:v>
      </x:c>
      <x:c r="E1014" s="65" t="str">
        <x:v>奥克兰根（Oakland Roots）</x:v>
      </x:c>
      <x:c r="F1014" s="65" t="str">
        <x:v>拉斯维加斯光 +0（平手盘/DNB，水位约0.82；低于0.80不进单）</x:v>
      </x:c>
      <x:c r="G1014" s="65" t="str">
        <x:v>大 2.5（水位约0.83-0.86；低于0.80不进单）</x:v>
      </x:c>
      <x:c r="H1014" s="65" t="str">
        <x:v>小注；倾向2-1/1-2。不追低水大2.5；若临场只能拿到大2.5低于0.80则放弃大小球。</x:v>
      </x:c>
      <x:c r="I1014" s="66" t="n">
        <x:v>46180.44697916666</x:v>
      </x:c>
      <x:c r="J1014" s="65" t="str">
        <x:v>已结算</x:v>
      </x:c>
      <x:c r="K1014" s="65" t="str">
        <x:v>0-2</x:v>
      </x:c>
      <x:c r="L1014" s="65" t="str">
        <x:v>输</x:v>
      </x:c>
      <x:c r="M1014" s="65" t="str">
        <x:v>输</x:v>
      </x:c>
      <x:c r="N1014" s="67" t="n">
        <x:v>-1</x:v>
      </x:c>
      <x:c r="O1014" s="67" t="n">
        <x:v>-1</x:v>
      </x:c>
      <x:c r="P1014" s="67" t="n">
        <x:f>IF(COUNT(N1014:O1014)=0,"",SUM(N1014:O1014))</x:f>
        <x:v>-2</x:v>
      </x:c>
      <x:c r="Q1014" s="65"/>
      <x:c r="R1014" s="65" t="str">
        <x:v>赛果：拉斯维加斯光0-2奥克兰根。拉斯维加斯+0未中；大2.5未中。</x:v>
      </x:c>
    </x:row>
    <x:row r="1015" ht="38" customHeight="1">
      <x:c r="A1015" s="65" t="str">
        <x:f>IF(B1015="","",TEXT(B1015,"yyyy-mm-dd")&amp;"|"&amp;D1015&amp;"|"&amp;E1015)</x:f>
        <x:v>2026-06-07|新墨西哥联（New Mexico United）|凤凰重生（Phoenix Rising）</x:v>
      </x:c>
      <x:c r="B1015" s="66" t="n">
        <x:v>46180.395833333336</x:v>
      </x:c>
      <x:c r="C1015" s="65" t="str">
        <x:v>美国USL杯</x:v>
      </x:c>
      <x:c r="D1015" s="65" t="str">
        <x:v>新墨西哥联（New Mexico United）</x:v>
      </x:c>
      <x:c r="E1015" s="65" t="str">
        <x:v>凤凰重生（Phoenix Rising）</x:v>
      </x:c>
      <x:c r="F1015" s="65" t="str">
        <x:v>凤凰重生 +0.25（水位约0.88-0.95；低于0.80不进单）</x:v>
      </x:c>
      <x:c r="G1015" s="65" t="str">
        <x:v>小 2.5（水位约0.94-1.25；低于0.80不进单）</x:v>
      </x:c>
      <x:c r="H1015" s="65" t="str">
        <x:v>小注；倾向0-1/1-1。不追大2.5低水；若临场小2.5跌破0.80则放弃。</x:v>
      </x:c>
      <x:c r="I1015" s="66" t="n">
        <x:v>46180.38552083333</x:v>
      </x:c>
      <x:c r="J1015" s="65" t="str">
        <x:v>已结算</x:v>
      </x:c>
      <x:c r="K1015" s="65" t="str">
        <x:v>4-0</x:v>
      </x:c>
      <x:c r="L1015" s="65" t="str">
        <x:v>输</x:v>
      </x:c>
      <x:c r="M1015" s="65" t="str">
        <x:v>输</x:v>
      </x:c>
      <x:c r="N1015" s="67" t="n">
        <x:v>-1</x:v>
      </x:c>
      <x:c r="O1015" s="67" t="n">
        <x:v>-1</x:v>
      </x:c>
      <x:c r="P1015" s="67" t="n">
        <x:f>IF(COUNT(N1015:O1015)=0,"",SUM(N1015:O1015))</x:f>
        <x:v>-2</x:v>
      </x:c>
      <x:c r="Q1015" s="65"/>
      <x:c r="R1015" s="65" t="str">
        <x:v>赛果：新墨西哥联4-0凤凰重生。凤凰+0.25未中；小2.5未中。</x:v>
      </x:c>
    </x:row>
    <x:row r="1016" ht="38" customHeight="1">
      <x:c r="A1016" s="65" t="str">
        <x:f>IF(B1016="","",TEXT(B1016,"yyyy-mm-dd")&amp;"|"&amp;D1016&amp;"|"&amp;E1016)</x:f>
        <x:v>2026-06-07|科罗拉多涌泉（Colorado Springs Switchbacks）|埃尔帕索机车（El Paso Locomotive）</x:v>
      </x:c>
      <x:c r="B1016" s="66" t="n">
        <x:v>46180.375</x:v>
      </x:c>
      <x:c r="C1016" s="65" t="str">
        <x:v>美国USL杯</x:v>
      </x:c>
      <x:c r="D1016" s="65" t="str">
        <x:v>科罗拉多涌泉（Colorado Springs Switchbacks）</x:v>
      </x:c>
      <x:c r="E1016" s="65" t="str">
        <x:v>埃尔帕索机车（El Paso Locomotive）</x:v>
      </x:c>
      <x:c r="F1016" s="65" t="str">
        <x:v>科罗拉多涌泉 -0.25（水位约0.83-0.90；低于0.80不进单）</x:v>
      </x:c>
      <x:c r="G1016" s="65" t="str">
        <x:v>大 3.0（水位约0.85-0.95；低于0.80不进单）</x:v>
      </x:c>
      <x:c r="H1016" s="65" t="str">
        <x:v>小注；倾向2-1/3-1。不追大2.5低水；若只有大3.5且水位≥1.00可小注替代。</x:v>
      </x:c>
      <x:c r="I1016" s="66" t="n">
        <x:v>46180.384108796294</x:v>
      </x:c>
      <x:c r="J1016" s="65" t="str">
        <x:v>已结算</x:v>
      </x:c>
      <x:c r="K1016" s="65" t="str">
        <x:v>2-1</x:v>
      </x:c>
      <x:c r="L1016" s="65" t="str">
        <x:v>赢</x:v>
      </x:c>
      <x:c r="M1016" s="65" t="str">
        <x:v>走水</x:v>
      </x:c>
      <x:c r="N1016" s="67" t="n">
        <x:v>1</x:v>
      </x:c>
      <x:c r="O1016" s="67" t="n">
        <x:v>0</x:v>
      </x:c>
      <x:c r="P1016" s="67" t="n">
        <x:f>IF(COUNT(N1016:O1016)=0,"",SUM(N1016:O1016))</x:f>
        <x:v>1</x:v>
      </x:c>
      <x:c r="Q1016" s="65"/>
      <x:c r="R1016" s="65" t="str">
        <x:v>赛果：科罗拉多涌泉2-1埃尔帕索机车。科罗拉多-0.25命中；大3.0总进球3走水。</x:v>
      </x:c>
    </x:row>
    <x:row r="1017" ht="38" customHeight="1">
      <x:c r="A1017" s="65" t="str">
        <x:f>IF(B1017="","",TEXT(B1017,"yyyy-mm-dd")&amp;"|"&amp;D1017&amp;"|"&amp;E1017)</x:f>
        <x:v>2026-06-07|库拉索|阿鲁巴</x:v>
      </x:c>
      <x:c r="B1017" s="66" t="n">
        <x:v>46180.333333333336</x:v>
      </x:c>
      <x:c r="C1017" s="65" t="str">
        <x:v>国际友谊赛</x:v>
      </x:c>
      <x:c r="D1017" s="65" t="str">
        <x:v>库拉索</x:v>
      </x:c>
      <x:c r="E1017" s="65" t="str">
        <x:v>阿鲁巴</x:v>
      </x:c>
      <x:c r="F1017" s="65" t="str">
        <x:v>库拉索 -2.5（水位约0.83；低于0.80不进单）</x:v>
      </x:c>
      <x:c r="G1017" s="65" t="str">
        <x:v>大 3.5（水位约0.92；低于0.80不进单）</x:v>
      </x:c>
      <x:c r="H1017" s="65" t="str">
        <x:v>小注；倾向4-0/3-1。不追库拉索-2.75低水；若临场大小球大3.5低于0.80则放弃。</x:v>
      </x:c>
      <x:c r="I1017" s="66" t="n">
        <x:v>46180.32303240741</x:v>
      </x:c>
      <x:c r="J1017" s="65" t="str">
        <x:v>已结算</x:v>
      </x:c>
      <x:c r="K1017" s="65" t="str">
        <x:v>4-0</x:v>
      </x:c>
      <x:c r="L1017" s="65" t="str">
        <x:v>赢</x:v>
      </x:c>
      <x:c r="M1017" s="65" t="str">
        <x:v>赢</x:v>
      </x:c>
      <x:c r="N1017" s="67" t="n">
        <x:v>1</x:v>
      </x:c>
      <x:c r="O1017" s="67" t="n">
        <x:v>1</x:v>
      </x:c>
      <x:c r="P1017" s="67" t="n">
        <x:f>IF(COUNT(N1017:O1017)=0,"",SUM(N1017:O1017))</x:f>
        <x:v>2</x:v>
      </x:c>
      <x:c r="Q1017" s="65"/>
      <x:c r="R1017" s="65" t="str">
        <x:v>更正赛果：库拉索4-0阿鲁巴。库拉索-2.5穿盘；大3.5命中。</x:v>
      </x:c>
    </x:row>
    <x:row r="1018" ht="38" customHeight="1">
      <x:c r="A1018" s="65" t="str">
        <x:f>IF(B1018="","",TEXT(B1018,"yyyy-mm-dd")&amp;"|"&amp;D1018&amp;"|"&amp;E1018)</x:f>
        <x:v>2026-06-07|阿根廷|洪都拉斯</x:v>
      </x:c>
      <x:c r="B1018" s="66" t="n">
        <x:v>46180.333333333336</x:v>
      </x:c>
      <x:c r="C1018" s="65" t="str">
        <x:v>国际友谊赛</x:v>
      </x:c>
      <x:c r="D1018" s="65" t="str">
        <x:v>阿根廷</x:v>
      </x:c>
      <x:c r="E1018" s="65" t="str">
        <x:v>洪都拉斯</x:v>
      </x:c>
      <x:c r="F1018" s="65" t="str">
        <x:v>阿根廷 -2.5（水位约0.90+；低于0.80不进单）</x:v>
      </x:c>
      <x:c r="G1018" s="65" t="str">
        <x:v>小 3.5（水位≥0.80才进；低于0.80不进单）</x:v>
      </x:c>
      <x:c r="H1018" s="65" t="str">
        <x:v>小注；可选比分3-0思路。不追阿根廷-2.75低水，不做低水BTTS No。</x:v>
      </x:c>
      <x:c r="I1018" s="66" t="n">
        <x:v>46180.31835648148</x:v>
      </x:c>
      <x:c r="J1018" s="65" t="str">
        <x:v>已结算</x:v>
      </x:c>
      <x:c r="K1018" s="65" t="str">
        <x:v>2-0</x:v>
      </x:c>
      <x:c r="L1018" s="65" t="str">
        <x:v>输</x:v>
      </x:c>
      <x:c r="M1018" s="65" t="str">
        <x:v>赢</x:v>
      </x:c>
      <x:c r="N1018" s="67" t="n">
        <x:v>-1</x:v>
      </x:c>
      <x:c r="O1018" s="67" t="n">
        <x:v>1</x:v>
      </x:c>
      <x:c r="P1018" s="67" t="n">
        <x:f>IF(COUNT(N1018:O1018)=0,"",SUM(N1018:O1018))</x:f>
        <x:v>0</x:v>
      </x:c>
      <x:c r="Q1018" s="65"/>
      <x:c r="R1018" s="65" t="str">
        <x:v>赛果：阿根廷2-0洪都拉斯。阿根廷-2.5未穿；小3.5命中。</x:v>
      </x:c>
    </x:row>
    <x:row r="1019" ht="38" customHeight="1">
      <x:c r="A1019" s="65" t="str">
        <x:f>IF(B1019="","",TEXT(B1019,"yyyy-mm-dd")&amp;"|"&amp;D1019&amp;"|"&amp;E1019)</x:f>
        <x:v>2026-06-07|佛得角|百慕大</x:v>
      </x:c>
      <x:c r="B1019" s="66" t="n">
        <x:v>46180.166666666664</x:v>
      </x:c>
      <x:c r="C1019" s="65" t="str">
        <x:v>国际友谊赛</x:v>
      </x:c>
      <x:c r="D1019" s="65" t="str">
        <x:v>佛得角</x:v>
      </x:c>
      <x:c r="E1019" s="65" t="str">
        <x:v>百慕大</x:v>
      </x:c>
      <x:c r="F1019" s="65" t="str">
        <x:v>百慕大 +3.25（赛中约18分钟0-0后参考水位约0.86-0.95；低于0.80不进单）</x:v>
      </x:c>
      <x:c r="G1019" s="65" t="str">
        <x:v>小 4.0（赛中0-0后参考水位约0.85-0.95；小4.5低水不进单，低于0.80不进单）</x:v>
      </x:c>
      <x:c r="H1019" s="65" t="str">
        <x:v>赛中小注；比分倾向2-0/3-0。若百慕大+3.25跌破0.80放弃；若只能拿+3.5低水不进，佛得角-2/-2.5低水不追。</x:v>
      </x:c>
      <x:c r="I1019" s="66" t="n">
        <x:v>46180.18881944445</x:v>
      </x:c>
      <x:c r="J1019" s="65" t="str">
        <x:v>已结算</x:v>
      </x:c>
      <x:c r="K1019" s="65" t="str">
        <x:v>3-0</x:v>
      </x:c>
      <x:c r="L1019" s="65" t="str">
        <x:v>赢</x:v>
      </x:c>
      <x:c r="M1019" s="65" t="str">
        <x:v>赢</x:v>
      </x:c>
      <x:c r="N1019" s="67" t="n">
        <x:v>1</x:v>
      </x:c>
      <x:c r="O1019" s="67" t="n">
        <x:v>1</x:v>
      </x:c>
      <x:c r="P1019" s="67" t="n">
        <x:f>IF(COUNT(N1019:O1019)=0,"",SUM(N1019:O1019))</x:f>
        <x:v>2</x:v>
      </x:c>
      <x:c r="Q1019" s="65"/>
      <x:c r="R1019" s="65" t="str">
        <x:v>赛果3-0；百慕大 +3.25 赢；小4.0 赢。</x:v>
      </x:c>
    </x:row>
    <x:row r="1020" ht="38" customHeight="1">
      <x:c r="A1020" s="65" t="str">
        <x:f>IF(B1020="","",TEXT(B1020,"yyyy-mm-dd")&amp;"|"&amp;D1020&amp;"|"&amp;E1020)</x:f>
        <x:v>2026-06-07|英格兰|新西兰</x:v>
      </x:c>
      <x:c r="B1020" s="66" t="n">
        <x:v>46180.166666666664</x:v>
      </x:c>
      <x:c r="C1020" s="65" t="str">
        <x:v>国际友谊赛</x:v>
      </x:c>
      <x:c r="D1020" s="65" t="str">
        <x:v>英格兰</x:v>
      </x:c>
      <x:c r="E1020" s="65" t="str">
        <x:v>新西兰</x:v>
      </x:c>
      <x:c r="F1020" s="65" t="str">
        <x:v>新西兰 +2.75（赛中开局0-0后参考水位约0.85-0.95；低于0.80不进单）</x:v>
      </x:c>
      <x:c r="G1020" s="65" t="str">
        <x:v>小 3.5（赛中开局0-0后参考水位约0.82-0.90；低于0.80不进单）</x:v>
      </x:c>
      <x:c r="H1020" s="65" t="str">
        <x:v>赛中小注；比分倾向2-0/3-0。若新西兰+2.75跌破0.80放弃；若只能拿新西兰+2.5低水不进，英格兰-2低水不追。</x:v>
      </x:c>
      <x:c r="I1020" s="66" t="n">
        <x:v>46180.1771875</x:v>
      </x:c>
      <x:c r="J1020" s="65" t="str">
        <x:v>已结算</x:v>
      </x:c>
      <x:c r="K1020" s="65" t="str">
        <x:v>1-0</x:v>
      </x:c>
      <x:c r="L1020" s="65" t="str">
        <x:v>赢</x:v>
      </x:c>
      <x:c r="M1020" s="65" t="str">
        <x:v>赢</x:v>
      </x:c>
      <x:c r="N1020" s="67" t="n">
        <x:v>1</x:v>
      </x:c>
      <x:c r="O1020" s="67" t="n">
        <x:v>1</x:v>
      </x:c>
      <x:c r="P1020" s="67" t="n">
        <x:f>IF(COUNT(N1020:O1020)=0,"",SUM(N1020:O1020))</x:f>
        <x:v>2</x:v>
      </x:c>
      <x:c r="Q1020" s="65"/>
      <x:c r="R1020" s="65" t="str">
        <x:v>赛果1-0；新西兰 +2.75 赢；小3.5 赢。</x:v>
      </x:c>
    </x:row>
    <x:row r="1021" ht="38" customHeight="1">
      <x:c r="A1021" s="65" t="str">
        <x:f>IF(B1021="","",TEXT(B1021,"yyyy-mm-dd")&amp;"|"&amp;D1021&amp;"|"&amp;E1021)</x:f>
        <x:v>2026-06-06|埃克纳斯（EIF/Ekenäs IF）|米凯利MP（Mikkelin Palloilijat/MP）</x:v>
      </x:c>
      <x:c r="B1021" s="66" t="n">
        <x:v>46179.875</x:v>
      </x:c>
      <x:c r="C1021" s="65" t="str">
        <x:v>芬兰甲级联赛（Ykkösliiga）</x:v>
      </x:c>
      <x:c r="D1021" s="65" t="str">
        <x:v>埃克纳斯（EIF/Ekenäs IF）</x:v>
      </x:c>
      <x:c r="E1021" s="65" t="str">
        <x:v>米凯利MP（Mikkelin Palloilijat/MP）</x:v>
      </x:c>
      <x:c r="F1021" s="65" t="str">
        <x:v>埃克纳斯 -0.25（赛中开局阶段/未可靠确认早球，参考水位≥0.85；低于0.80不进单）</x:v>
      </x:c>
      <x:c r="G1021" s="65" t="str">
        <x:v>大 2.5（参考水位约0.85-0.95；若跌破0.80不进单）</x:v>
      </x:c>
      <x:c r="H1021" s="65" t="str">
        <x:v>赛中小注；比分倾向2-1/2-2。若已出现早球、红牌或埃克纳斯-0.25低于0.80，放弃让球；若大2.5低于0.80，改观察双方进球是≥0.85。</x:v>
      </x:c>
      <x:c r="I1021" s="66" t="n">
        <x:v>46180.16050925926</x:v>
      </x:c>
      <x:c r="J1021" s="65" t="str">
        <x:v>已结算</x:v>
      </x:c>
      <x:c r="K1021" s="65" t="str">
        <x:v>1-0</x:v>
      </x:c>
      <x:c r="L1021" s="65" t="str">
        <x:v>赢</x:v>
      </x:c>
      <x:c r="M1021" s="65" t="str">
        <x:v>输</x:v>
      </x:c>
      <x:c r="N1021" s="67" t="n">
        <x:v>1</x:v>
      </x:c>
      <x:c r="O1021" s="67" t="n">
        <x:v>-1</x:v>
      </x:c>
      <x:c r="P1021" s="67" t="n">
        <x:f>IF(COUNT(N1021:O1021)=0,"",SUM(N1021:O1021))</x:f>
        <x:v>0</x:v>
      </x:c>
      <x:c r="Q1021" s="65"/>
      <x:c r="R1021" s="65" t="str">
        <x:v>赛果1-0；埃克纳斯 -0.25 赢；大2.5 输。</x:v>
      </x:c>
    </x:row>
    <x:row r="1022" ht="38" customHeight="1">
      <x:c r="A1022" s="65" t="str">
        <x:f>IF(B1022="","",TEXT(B1022,"yyyy-mm-dd")&amp;"|"&amp;D1022&amp;"|"&amp;E1022)</x:f>
        <x:v>2026-06-06|比利时|突尼斯</x:v>
      </x:c>
      <x:c r="B1022" s="66" t="n">
        <x:v>46179.875</x:v>
      </x:c>
      <x:c r="C1022" s="65" t="str">
        <x:v>国际友谊赛</x:v>
      </x:c>
      <x:c r="D1022" s="65" t="str">
        <x:v>比利时</x:v>
      </x:c>
      <x:c r="E1022" s="65" t="str">
        <x:v>突尼斯</x:v>
      </x:c>
      <x:c r="F1022" s="65" t="str">
        <x:v>比利时 -1.5（参考水位约0.85-0.95/欧赔1.85-1.92；低于0.80不进单）</x:v>
      </x:c>
      <x:c r="G1022" s="65" t="str">
        <x:v>突尼斯球队进球数 小0.5（传统大小球替代项，参考水位约0.87；传统大2.5低水不进单）</x:v>
      </x:c>
      <x:c r="H1022" s="65" t="str">
        <x:v>赛前小注；比分倾向2-0/3-0。若比利时-1.5跌破0.80放弃；若只能拿比利时-2低水不追，传统总进球大2.5低于0.80不进。</x:v>
      </x:c>
      <x:c r="I1022" s="66" t="n">
        <x:v>46179.85729166667</x:v>
      </x:c>
      <x:c r="J1022" s="65" t="str">
        <x:v>已结算</x:v>
      </x:c>
      <x:c r="K1022" s="65" t="str">
        <x:v>5-0</x:v>
      </x:c>
      <x:c r="L1022" s="65" t="str">
        <x:v>赢</x:v>
      </x:c>
      <x:c r="M1022" s="65" t="str">
        <x:v>赢</x:v>
      </x:c>
      <x:c r="N1022" s="67" t="n">
        <x:v>1</x:v>
      </x:c>
      <x:c r="O1022" s="67" t="n">
        <x:v>1</x:v>
      </x:c>
      <x:c r="P1022" s="67" t="n">
        <x:f>IF(COUNT(N1022:O1022)=0,"",SUM(N1022:O1022))</x:f>
        <x:v>2</x:v>
      </x:c>
      <x:c r="Q1022" s="65"/>
      <x:c r="R1022" s="65" t="str">
        <x:v>赛果：比利时5-0突尼斯；让球：比利时-1.5赢；大小替代项：突尼斯球队进球数小0.5，赢。</x:v>
      </x:c>
    </x:row>
    <x:row r="1023" ht="38" customHeight="1">
      <x:c r="A1023" s="65" t="str">
        <x:f>IF(B1023="","",TEXT(B1023,"yyyy-mm-dd")&amp;"|"&amp;D1023&amp;"|"&amp;E1023)</x:f>
        <x:v>2026-06-06|日本U19|加拿大U20</x:v>
      </x:c>
      <x:c r="B1023" s="66" t="n">
        <x:v>46179.875</x:v>
      </x:c>
      <x:c r="C1023" s="65" t="str">
        <x:v>莫里斯雷维洛锦标赛（Maurice Revello Tournament）</x:v>
      </x:c>
      <x:c r="D1023" s="65" t="str">
        <x:v>日本U19</x:v>
      </x:c>
      <x:c r="E1023" s="65" t="str">
        <x:v>加拿大U20</x:v>
      </x:c>
      <x:c r="F1023" s="65" t="str">
        <x:v>加拿大U20 +0.75（参考水位约0.86-0.95；低于0.80不进单）</x:v>
      </x:c>
      <x:c r="G1023" s="65" t="str">
        <x:v>大 3.0（参考水位约0.90-0.98；大2.5低水不进单，低于0.80不进单）</x:v>
      </x:c>
      <x:c r="H1023" s="65" t="str">
        <x:v>赛前小注；比分倾向2-2/1-2。若只能拿加拿大+0.5低水则放弃让球；若大3.0低于0.80，改观察双方进球是≥0.85。</x:v>
      </x:c>
      <x:c r="I1023" s="66" t="n">
        <x:v>46179.821493055555</x:v>
      </x:c>
      <x:c r="J1023" s="65" t="str">
        <x:v>已结算</x:v>
      </x:c>
      <x:c r="K1023" s="65" t="str">
        <x:v>1-0</x:v>
      </x:c>
      <x:c r="L1023" s="65" t="str">
        <x:v>输半</x:v>
      </x:c>
      <x:c r="M1023" s="65" t="str">
        <x:v>输</x:v>
      </x:c>
      <x:c r="N1023" s="67" t="n">
        <x:v>-0.5</x:v>
      </x:c>
      <x:c r="O1023" s="67" t="n">
        <x:v>-1</x:v>
      </x:c>
      <x:c r="P1023" s="67" t="n">
        <x:f>IF(COUNT(N1023:O1023)=0,"",SUM(N1023:O1023))</x:f>
        <x:v>-1.5</x:v>
      </x:c>
      <x:c r="Q1023" s="65"/>
      <x:c r="R1023" s="65" t="str">
        <x:v>赛果：日本U20 1-0 加拿大U20；让球：加拿大U20+0.75输半；大小：大3.0输。</x:v>
      </x:c>
    </x:row>
    <x:row r="1024" ht="38" customHeight="1">
      <x:c r="A1024" s="65" t="str">
        <x:f>IF(B1024="","",TEXT(B1024,"yyyy-mm-dd")&amp;"|"&amp;D1024&amp;"|"&amp;E1024)</x:f>
        <x:v>2026-06-06|柏太阳神（Kashiwa Reysol）|京都不死鸟（Kyoto Sanga FC）</x:v>
      </x:c>
      <x:c r="B1024" s="66" t="n">
        <x:v>46179.708333333336</x:v>
      </x:c>
      <x:c r="C1024" s="65" t="str">
        <x:v>日职联（J1 League）</x:v>
      </x:c>
      <x:c r="D1024" s="65" t="str">
        <x:v>柏太阳神（Kashiwa Reysol）</x:v>
      </x:c>
      <x:c r="E1024" s="65" t="str">
        <x:v>京都不死鸟（Kyoto Sanga FC）</x:v>
      </x:c>
      <x:c r="F1024" s="65" t="str">
        <x:v>柏太阳神 -0.25（赛中开局阶段参考水位约0.88-0.98；低于0.80不进单）</x:v>
      </x:c>
      <x:c r="G1024" s="65" t="str">
        <x:v>双方进球：是（传统大小球替代项，参考水位约0.90-1.00；若做传统盘只接受大2.5≥0.90，低于0.80不进单）</x:v>
      </x:c>
      <x:c r="H1024" s="65" t="str">
        <x:v>赛中小注；比分倾向2-1/2-2。若柏-0.25跌破0.80或比赛已出现早球后大幅变盘，放弃让球；小2.5低水不进。</x:v>
      </x:c>
      <x:c r="I1024" s="66" t="n">
        <x:v>46179.819710648146</x:v>
      </x:c>
      <x:c r="J1024" s="65" t="str">
        <x:v>已结算</x:v>
      </x:c>
      <x:c r="K1024" s="65" t="str">
        <x:v>0-1</x:v>
      </x:c>
      <x:c r="L1024" s="65" t="str">
        <x:v>输</x:v>
      </x:c>
      <x:c r="M1024" s="65" t="str">
        <x:v>输</x:v>
      </x:c>
      <x:c r="N1024" s="67" t="n">
        <x:v>-1</x:v>
      </x:c>
      <x:c r="O1024" s="67" t="n">
        <x:v>-1</x:v>
      </x:c>
      <x:c r="P1024" s="67" t="n">
        <x:f>IF(COUNT(N1024:O1024)=0,"",SUM(N1024:O1024))</x:f>
        <x:v>-2</x:v>
      </x:c>
      <x:c r="Q1024" s="65"/>
      <x:c r="R1024" s="65" t="str">
        <x:v>赛果：柏太阳神0-1京都不死鸟；让球：柏太阳神-0.25输；大小替代项：双方进球是，输。</x:v>
      </x:c>
    </x:row>
    <x:row r="1025" ht="38" customHeight="1">
      <x:c r="A1025" s="65" t="str">
        <x:f>IF(B1025="","",TEXT(B1025,"yyyy-mm-dd")&amp;"|"&amp;D1025&amp;"|"&amp;E1025)</x:f>
        <x:v>2026-06-06|横滨水手（Yokohama F. Marinos）|清水心跳（Shimizu S-Pulse）</x:v>
      </x:c>
      <x:c r="B1025" s="66" t="n">
        <x:v>46179.666666666664</x:v>
      </x:c>
      <x:c r="C1025" s="65" t="str">
        <x:v>日职联（J1 League）</x:v>
      </x:c>
      <x:c r="D1025" s="65" t="str">
        <x:v>横滨水手（Yokohama F. Marinos）</x:v>
      </x:c>
      <x:c r="E1025" s="65" t="str">
        <x:v>清水心跳（Shimizu S-Pulse）</x:v>
      </x:c>
      <x:c r="F1025" s="65" t="str">
        <x:v>清水心跳 +0.25（赛中开局0-0后参考水位约0.88；低于0.80不进单）</x:v>
      </x:c>
      <x:c r="G1025" s="65" t="str">
        <x:v>大 2.5（参考水位约0.91；小2.5低水不进单，低于0.80不进单）</x:v>
      </x:c>
      <x:c r="H1025" s="65" t="str">
        <x:v>赛中小注；比分倾向1-2/2-2，防1-1。若清水+0.25跌破0.80放弃；若只能拿清水+0.5低水不进，大2.5低于0.80放弃。</x:v>
      </x:c>
      <x:c r="I1025" s="66" t="n">
        <x:v>46179.679664351854</x:v>
      </x:c>
      <x:c r="J1025" s="65" t="str">
        <x:v>已结算</x:v>
      </x:c>
      <x:c r="K1025" s="65" t="str">
        <x:v>3-0</x:v>
      </x:c>
      <x:c r="L1025" s="65" t="str">
        <x:v>输</x:v>
      </x:c>
      <x:c r="M1025" s="65" t="str">
        <x:v>赢</x:v>
      </x:c>
      <x:c r="N1025" s="67" t="n">
        <x:v>-1</x:v>
      </x:c>
      <x:c r="O1025" s="67" t="n">
        <x:v>1</x:v>
      </x:c>
      <x:c r="P1025" s="67" t="n">
        <x:f>IF(COUNT(N1025:O1025)=0,"",SUM(N1025:O1025))</x:f>
        <x:v>0</x:v>
      </x:c>
      <x:c r="Q1025" s="65"/>
      <x:c r="R1025" s="65" t="str">
        <x:v>赛果：横滨水手3-0清水心跳；让球：清水心跳+0.25输；大小：大2.5赢。</x:v>
      </x:c>
    </x:row>
    <x:row r="1026" ht="38" customHeight="1">
      <x:c r="A1026" s="65" t="str">
        <x:f>IF(B1026="","",TEXT(B1026,"yyyy-mm-dd")&amp;"|"&amp;D1026&amp;"|"&amp;E1026)</x:f>
        <x:v>2026-06-06|东京绿茵（Tokyo Verdy）|大阪钢巴（Gamba Osaka）</x:v>
      </x:c>
      <x:c r="B1026" s="66" t="n">
        <x:v>46179.625</x:v>
      </x:c>
      <x:c r="C1026" s="65" t="str">
        <x:v>日职联（J1 League）</x:v>
      </x:c>
      <x:c r="D1026" s="65" t="str">
        <x:v>东京绿茵（Tokyo Verdy）</x:v>
      </x:c>
      <x:c r="E1026" s="65" t="str">
        <x:v>大阪钢巴（Gamba Osaka）</x:v>
      </x:c>
      <x:c r="F1026" s="65" t="str">
        <x:v>大阪钢巴 -0.25（赛中开局0-0附近参考水位约1.04；低于0.80不进单）</x:v>
      </x:c>
      <x:c r="G1026" s="65" t="str">
        <x:v>双方进球：是（传统大小球替代项，参考水位约1.10；若做传统盘大2.5需≥1.10，低于0.80不进单）</x:v>
      </x:c>
      <x:c r="H1026" s="65" t="str">
        <x:v>赛中小注；比分倾向1-2/1-1。若大阪钢巴-0.25跌到0.80以下放弃；东京+0.25低水不进，小2.5低水不进。</x:v>
      </x:c>
      <x:c r="I1026" s="66" t="n">
        <x:v>46179.6275</x:v>
      </x:c>
      <x:c r="J1026" s="65" t="str">
        <x:v>已结算</x:v>
      </x:c>
      <x:c r="K1026" s="65" t="str">
        <x:v>2-4</x:v>
      </x:c>
      <x:c r="L1026" s="65" t="str">
        <x:v>赢</x:v>
      </x:c>
      <x:c r="M1026" s="65" t="str">
        <x:v>赢</x:v>
      </x:c>
      <x:c r="N1026" s="67" t="n">
        <x:v>1</x:v>
      </x:c>
      <x:c r="O1026" s="67" t="n">
        <x:v>1</x:v>
      </x:c>
      <x:c r="P1026" s="67" t="n">
        <x:f>IF(COUNT(N1026:O1026)=0,"",SUM(N1026:O1026))</x:f>
        <x:v>2</x:v>
      </x:c>
      <x:c r="Q1026" s="65"/>
      <x:c r="R1026" s="65" t="str">
        <x:v>赛果：东京绿茵2-4大阪钢巴；让球：大阪钢巴-0.25赢；大小替代项：双方进球是，赢。</x:v>
      </x:c>
    </x:row>
    <x:row r="1027" ht="38" customHeight="1">
      <x:c r="A1027" s="65" t="str">
        <x:f>IF(B1027="","",TEXT(B1027,"yyyy-mm-dd")&amp;"|"&amp;D1027&amp;"|"&amp;E1027)</x:f>
        <x:v>2026-06-06|浦和红钻（Urawa Red Diamonds）|冈山绿雉（Fagiano Okayama）</x:v>
      </x:c>
      <x:c r="B1027" s="66" t="n">
        <x:v>46179.625</x:v>
      </x:c>
      <x:c r="C1027" s="65" t="str">
        <x:v>日职联（J1 League）</x:v>
      </x:c>
      <x:c r="D1027" s="65" t="str">
        <x:v>浦和红钻（Urawa Red Diamonds）</x:v>
      </x:c>
      <x:c r="E1027" s="65" t="str">
        <x:v>冈山绿雉（Fagiano Okayama）</x:v>
      </x:c>
      <x:c r="F1027" s="65" t="str">
        <x:v>浦和红钻 -0.5（参考水位约0.87；低于0.80不进单）</x:v>
      </x:c>
      <x:c r="G1027" s="65" t="str">
        <x:v>双方进球：是（传统大小球替代项，参考水位约0.84；若做传统盘大2.5需≥0.95，低于0.80不进单）</x:v>
      </x:c>
      <x:c r="H1027" s="65" t="str">
        <x:v>临近开球小注；比分倾向2-1。若浦和-0.5跌破0.80放弃；小2.5低水不进，传统大2.5需≥0.95才小注。</x:v>
      </x:c>
      <x:c r="I1027" s="66" t="n">
        <x:v>46179.625868055555</x:v>
      </x:c>
      <x:c r="J1027" s="65" t="str">
        <x:v>已结算</x:v>
      </x:c>
      <x:c r="K1027" s="65" t="str">
        <x:v>0-2</x:v>
      </x:c>
      <x:c r="L1027" s="65" t="str">
        <x:v>输</x:v>
      </x:c>
      <x:c r="M1027" s="65" t="str">
        <x:v>输</x:v>
      </x:c>
      <x:c r="N1027" s="67" t="n">
        <x:v>-1</x:v>
      </x:c>
      <x:c r="O1027" s="67" t="n">
        <x:v>-1</x:v>
      </x:c>
      <x:c r="P1027" s="67" t="n">
        <x:f>IF(COUNT(N1027:O1027)=0,"",SUM(N1027:O1027))</x:f>
        <x:v>-2</x:v>
      </x:c>
      <x:c r="Q1027" s="65"/>
      <x:c r="R1027" s="65" t="str">
        <x:v>赛果：浦和红钻0-2冈山绿雉；让球：浦和红钻-0.5输；大小替代项：双方进球是，输。</x:v>
      </x:c>
    </x:row>
    <x:row r="1028" ht="38" customHeight="1">
      <x:c r="A1028" s="65" t="str">
        <x:f>IF(B1028="","",TEXT(B1028,"yyyy-mm-dd")&amp;"|"&amp;D1028&amp;"|"&amp;E1028)</x:f>
        <x:v>2026-06-06|千叶市原（JEF United Chiba）|福冈黄蜂（Avispa Fukuoka）</x:v>
      </x:c>
      <x:c r="B1028" s="66" t="n">
        <x:v>46179.541666666664</x:v>
      </x:c>
      <x:c r="C1028" s="65" t="str">
        <x:v>日职联（J1 League）</x:v>
      </x:c>
      <x:c r="D1028" s="65" t="str">
        <x:v>千叶市原（JEF United Chiba）</x:v>
      </x:c>
      <x:c r="E1028" s="65" t="str">
        <x:v>福冈黄蜂（Avispa Fukuoka）</x:v>
      </x:c>
      <x:c r="F1028" s="65" t="str">
        <x:v>千叶市原 +0（平手/DNB，赛中开局0-0后参考欧赔1.94/水位约0.94；低于0.80不进单）</x:v>
      </x:c>
      <x:c r="G1028" s="65" t="str">
        <x:v>双方进球：是（传统大小球替代项，参考欧赔1.87/水位约0.87；低于0.80不进单）</x:v>
      </x:c>
      <x:c r="H1028" s="65" t="str">
        <x:v>赛中小注；比分倾向1-1/2-1。千叶+0.25只有1.65低水不进；若必须做传统大小球，只接受大2.5≥2.10小注，小2.5低水不进。</x:v>
      </x:c>
      <x:c r="I1028" s="66" t="n">
        <x:v>46179.55060185185</x:v>
      </x:c>
      <x:c r="J1028" s="65" t="str">
        <x:v>已结算</x:v>
      </x:c>
      <x:c r="K1028" s="65" t="str">
        <x:v>1-2</x:v>
      </x:c>
      <x:c r="L1028" s="65" t="str">
        <x:v>输</x:v>
      </x:c>
      <x:c r="M1028" s="65" t="str">
        <x:v>赢</x:v>
      </x:c>
      <x:c r="N1028" s="67" t="n">
        <x:v>-1</x:v>
      </x:c>
      <x:c r="O1028" s="67" t="n">
        <x:v>1</x:v>
      </x:c>
      <x:c r="P1028" s="67" t="n">
        <x:f>IF(COUNT(N1028:O1028)=0,"",SUM(N1028:O1028))</x:f>
        <x:v>0</x:v>
      </x:c>
      <x:c r="Q1028" s="65"/>
      <x:c r="R1028" s="65" t="str">
        <x:v>赛果：千叶市原1-2福冈黄蜂；让球：千叶市原+0输；大小替代项：双方进球是，赢。</x:v>
      </x:c>
    </x:row>
    <x:row r="1029" ht="38" customHeight="1">
      <x:c r="A1029" s="65" t="str">
        <x:f>IF(B1029="","",TEXT(B1029,"yyyy-mm-dd")&amp;"|"&amp;D1029&amp;"|"&amp;E1029)</x:f>
        <x:v>2026-06-06|枥木市（Tochigi City FC）|滋贺湖王（Reilac Shiga FC）</x:v>
      </x:c>
      <x:c r="B1029" s="66" t="n">
        <x:v>46179.541666666664</x:v>
      </x:c>
      <x:c r="C1029" s="65" t="str">
        <x:v>日职 明治安田J2·J3百年构想联赛</x:v>
      </x:c>
      <x:c r="D1029" s="65" t="str">
        <x:v>枥木市（Tochigi City FC）</x:v>
      </x:c>
      <x:c r="E1029" s="65" t="str">
        <x:v>滋贺湖王（Reilac Shiga FC）</x:v>
      </x:c>
      <x:c r="F1029" s="65" t="str">
        <x:v>滋贺湖王 +0.75（参考水位约0.86-0.95；低于0.80不进单）</x:v>
      </x:c>
      <x:c r="G1029" s="65" t="str">
        <x:v>大 2.5（参考水位约0.90；若临场跌破0.80不进单）</x:v>
      </x:c>
      <x:c r="H1029" s="65" t="str">
        <x:v>临近开球小注；比分倾向1-1/1-2/2-2。若只能拿滋贺+0.5低水则不进；大2.5低于0.80放弃，可观察双方进球是≥0.85。</x:v>
      </x:c>
      <x:c r="I1029" s="66" t="n">
        <x:v>46179.53979166667</x:v>
      </x:c>
      <x:c r="J1029" s="65" t="str">
        <x:v>已结算</x:v>
      </x:c>
      <x:c r="K1029" s="65" t="str">
        <x:v>3-1</x:v>
      </x:c>
      <x:c r="L1029" s="65" t="str">
        <x:v>输</x:v>
      </x:c>
      <x:c r="M1029" s="65" t="str">
        <x:v>赢</x:v>
      </x:c>
      <x:c r="N1029" s="67" t="n">
        <x:v>-1</x:v>
      </x:c>
      <x:c r="O1029" s="67" t="n">
        <x:v>1</x:v>
      </x:c>
      <x:c r="P1029" s="67" t="n">
        <x:f>IF(COUNT(N1029:O1029)=0,"",SUM(N1029:O1029))</x:f>
        <x:v>0</x:v>
      </x:c>
      <x:c r="Q1029" s="65"/>
      <x:c r="R1029" s="65" t="str">
        <x:v>赛果：枥木市3-1滋贺湖王；让球：滋贺湖王+0.75输；大小：大2.5赢。</x:v>
      </x:c>
    </x:row>
    <x:row r="1030" ht="38" customHeight="1">
      <x:c r="A1030" s="65" t="str">
        <x:f>IF(B1030="","",TEXT(B1030,"yyyy-mm-dd")&amp;"|"&amp;D1030&amp;"|"&amp;E1030)</x:f>
        <x:v>2026-06-06|海地|秘鲁</x:v>
      </x:c>
      <x:c r="B1030" s="66" t="n">
        <x:v>46179.333333333336</x:v>
      </x:c>
      <x:c r="C1030" s="65" t="str">
        <x:v>国际友谊赛</x:v>
      </x:c>
      <x:c r="D1030" s="65" t="str">
        <x:v>海地</x:v>
      </x:c>
      <x:c r="E1030" s="65" t="str">
        <x:v>秘鲁</x:v>
      </x:c>
      <x:c r="F1030" s="65" t="str">
        <x:v>海地 +0（平手/DNB，赛中开局0-0后参考水位约0.90-1.05；低于0.80不进单）</x:v>
      </x:c>
      <x:c r="G1030" s="65" t="str">
        <x:v>小 3.0（赛中开局0-0后参考水位需≥0.85；小2.5低水不进单，低于0.80不进单）</x:v>
      </x:c>
      <x:c r="H1030" s="65" t="str">
        <x:v>赛中小注；比分倾向1-0/1-1/2-0。若海地DNB低于0.80放弃；若只能拿海地+0.5低水或小2.5低水，不进单。</x:v>
      </x:c>
      <x:c r="I1030" s="66" t="n">
        <x:v>46179.34599537037</x:v>
      </x:c>
      <x:c r="J1030" s="65" t="str">
        <x:v>已结算</x:v>
      </x:c>
      <x:c r="K1030" s="65" t="str">
        <x:v>1-2</x:v>
      </x:c>
      <x:c r="L1030" s="65" t="str">
        <x:v>输</x:v>
      </x:c>
      <x:c r="M1030" s="65" t="str">
        <x:v>走水</x:v>
      </x:c>
      <x:c r="N1030" s="67" t="n">
        <x:v>-1</x:v>
      </x:c>
      <x:c r="O1030" s="67" t="n">
        <x:v>0</x:v>
      </x:c>
      <x:c r="P1030" s="67" t="n">
        <x:f>IF(COUNT(N1030:O1030)=0,"",SUM(N1030:O1030))</x:f>
        <x:v>-1</x:v>
      </x:c>
      <x:c r="Q1030" s="65"/>
      <x:c r="R1030" s="65" t="str">
        <x:v>赛果：海地1-2秘鲁；让球：海地+0输；大小：小3.0走水。</x:v>
      </x:c>
    </x:row>
    <x:row r="1031" ht="38" customHeight="1">
      <x:c r="A1031" s="65" t="str">
        <x:f>IF(B1031="","",TEXT(B1031,"yyyy-mm-dd")&amp;"|"&amp;D1031&amp;"|"&amp;E1031)</x:f>
        <x:v>2026-06-06|蒙得维的亚流浪者（Montevideo Wanderers）|达努比奥（Danubio FC）</x:v>
      </x:c>
      <x:c r="B1031" s="66" t="n">
        <x:v>46179.25</x:v>
      </x:c>
      <x:c r="C1031" s="65" t="str">
        <x:v>乌拉圭甲级联赛（Campeonato Uruguayo·Primera División）</x:v>
      </x:c>
      <x:c r="D1031" s="65" t="str">
        <x:v>蒙得维的亚流浪者（Montevideo Wanderers）</x:v>
      </x:c>
      <x:c r="E1031" s="65" t="str">
        <x:v>达努比奥（Danubio FC）</x:v>
      </x:c>
      <x:c r="F1031" s="65" t="str">
        <x:v>蒙得维的亚流浪者 -0.25（参考水位约0.88-0.95；低于0.80不进单）</x:v>
      </x:c>
      <x:c r="G1031" s="65" t="str">
        <x:v>小 3.0（参考水位需≥0.80；小2.5低水不进单，低于0.80不进单）</x:v>
      </x:c>
      <x:c r="H1031" s="65" t="str">
        <x:v>小注；比分倾向1-0/2-0/2-1。若流浪者-0.25低于0.80则放弃让球；若只能拿小2.5且低水，不进大小球。</x:v>
      </x:c>
      <x:c r="I1031" s="66" t="n">
        <x:v>46179.24107638889</x:v>
      </x:c>
      <x:c r="J1031" s="65" t="str">
        <x:v>已结算</x:v>
      </x:c>
      <x:c r="K1031" s="65" t="str">
        <x:v>0-0</x:v>
      </x:c>
      <x:c r="L1031" s="65" t="str">
        <x:v>输半</x:v>
      </x:c>
      <x:c r="M1031" s="65" t="str">
        <x:v>赢</x:v>
      </x:c>
      <x:c r="N1031" s="67" t="n">
        <x:v>-0.5</x:v>
      </x:c>
      <x:c r="O1031" s="67" t="n">
        <x:v>1</x:v>
      </x:c>
      <x:c r="P1031" s="67" t="n">
        <x:f>IF(COUNT(N1031:O1031)=0,"",SUM(N1031:O1031))</x:f>
        <x:v>0.5</x:v>
      </x:c>
      <x:c r="Q1031" s="65"/>
      <x:c r="R1031" s="65" t="str">
        <x:v>赛果：蒙得维的亚流浪者0-0达努比奥；让球：蒙得维的亚流浪者-0.25输半；大小：小3.0赢。</x:v>
      </x:c>
    </x:row>
    <x:row r="1032" ht="38" customHeight="1">
      <x:c r="A1032" s="65" t="str">
        <x:f>IF(B1032="","",TEXT(B1032,"yyyy-mm-dd")&amp;"|"&amp;D1032&amp;"|"&amp;E1032)</x:f>
        <x:v>2026-06-05|埃尔特姆红背（Eltham Redbacks FC）|布林狮子（FC Bulleen Lions）</x:v>
      </x:c>
      <x:c r="B1032" s="66" t="n">
        <x:v>46178.770833333336</x:v>
      </x:c>
      <x:c r="C1032" s="65" t="str">
        <x:v>澳大利亚 维多利亚州超级联赛1（VPL1）</x:v>
      </x:c>
      <x:c r="D1032" s="65" t="str">
        <x:v>埃尔特姆红背（Eltham Redbacks FC）</x:v>
      </x:c>
      <x:c r="E1032" s="65" t="str">
        <x:v>布林狮子（FC Bulleen Lions）</x:v>
      </x:c>
      <x:c r="F1032" s="65" t="str">
        <x:v>布林狮子 +0（平手/DNB，参考水位约0.90-1.05；低于0.80不进单）</x:v>
      </x:c>
      <x:c r="G1032" s="65" t="str">
        <x:v>大 3.5（参考水位约1.10-1.20；大2.5低水不进单，低于0.80不进单）</x:v>
      </x:c>
      <x:c r="H1032" s="65" t="str">
        <x:v>小注；比分倾向2-2/2-3。若布林狮子DNB跌到0.80以下放弃；若只能拿布林+0.5低水不进。大3.5需≥1.00才小注。</x:v>
      </x:c>
      <x:c r="I1032" s="66" t="n">
        <x:v>46178.67244212963</x:v>
      </x:c>
      <x:c r="J1032" s="65" t="str">
        <x:v>已结算</x:v>
      </x:c>
      <x:c r="K1032" s="65" t="str">
        <x:v>2-2</x:v>
      </x:c>
      <x:c r="L1032" s="65" t="str">
        <x:v>走水</x:v>
      </x:c>
      <x:c r="M1032" s="65" t="str">
        <x:v>赢</x:v>
      </x:c>
      <x:c r="N1032" s="67" t="n">
        <x:v>0</x:v>
      </x:c>
      <x:c r="O1032" s="67" t="n">
        <x:v>1</x:v>
      </x:c>
      <x:c r="P1032" s="67" t="n">
        <x:f>IF(COUNT(N1032:O1032)=0,"",SUM(N1032:O1032))</x:f>
        <x:v>1</x:v>
      </x:c>
      <x:c r="Q1032" s="65"/>
      <x:c r="R1032" s="65" t="str">
        <x:v>赛果：埃尔特姆红背2-2布林狮子；让球：布林狮子+0走水；大小：大3.5赢。</x:v>
      </x:c>
    </x:row>
    <x:row r="1033" ht="38" customHeight="1">
      <x:c r="A1033" s="65" t="str">
        <x:f>IF(B1033="","",TEXT(B1033,"yyyy-mm-dd")&amp;"|"&amp;D1033&amp;"|"&amp;E1033)</x:f>
        <x:v>2026-06-05|本特利绿茵（Bentleigh Greens FC）|休城（Hume City FC）</x:v>
      </x:c>
      <x:c r="B1033" s="66" t="n">
        <x:v>46178.770833333336</x:v>
      </x:c>
      <x:c r="C1033" s="65" t="str">
        <x:v>澳大利亚 维多利亚州超级联赛1（VPL1）</x:v>
      </x:c>
      <x:c r="D1033" s="65" t="str">
        <x:v>本特利绿茵（Bentleigh Greens FC）</x:v>
      </x:c>
      <x:c r="E1033" s="65" t="str">
        <x:v>休城（Hume City FC）</x:v>
      </x:c>
      <x:c r="F1033" s="65" t="str">
        <x:v>休城 -0.5（参考欧赔1.80-1.87/水位约0.80-0.87；低于0.80不进单）</x:v>
      </x:c>
      <x:c r="G1033" s="65" t="str">
        <x:v>大 2.5（仅取水位≥0.85，参考高位约0.93；若只有0.70-0.78低水不进单）</x:v>
      </x:c>
      <x:c r="H1033" s="65" t="str">
        <x:v>小注；比分倾向1-2/1-3。若休城-0.5跌破0.80则放弃让球；若大2.5低水，改为观察双方进球是≥0.85。</x:v>
      </x:c>
      <x:c r="I1033" s="66" t="n">
        <x:v>46178.63224537037</x:v>
      </x:c>
      <x:c r="J1033" s="65" t="str">
        <x:v>已结算</x:v>
      </x:c>
      <x:c r="K1033" s="65" t="str">
        <x:v>1-5</x:v>
      </x:c>
      <x:c r="L1033" s="65" t="str">
        <x:v>赢</x:v>
      </x:c>
      <x:c r="M1033" s="65" t="str">
        <x:v>赢</x:v>
      </x:c>
      <x:c r="N1033" s="67" t="n">
        <x:v>1</x:v>
      </x:c>
      <x:c r="O1033" s="67" t="n">
        <x:v>1</x:v>
      </x:c>
      <x:c r="P1033" s="67" t="n">
        <x:f>IF(COUNT(N1033:O1033)=0,"",SUM(N1033:O1033))</x:f>
        <x:v>2</x:v>
      </x:c>
      <x:c r="Q1033" s="65"/>
      <x:c r="R1033" s="65" t="str">
        <x:v>赛果：本特利绿茵1-5休城；让球：休城-0.5赢；大小：大2.5赢。</x:v>
      </x:c>
    </x:row>
    <x:row r="1034" ht="38" customHeight="1">
      <x:c r="A1034" s="65" t="str">
        <x:f>IF(B1034="","",TEXT(B1034,"yyyy-mm-dd")&amp;"|"&amp;D1034&amp;"|"&amp;E1034)</x:f>
        <x:v>2026-06-05|欧克莱卡诺（Oakleigh Cannons FC）|圣奥尔本斯圣特斯（St Albans Saints FC）</x:v>
      </x:c>
      <x:c r="B1034" s="66" t="n">
        <x:v>46178.760416666664</x:v>
      </x:c>
      <x:c r="C1034" s="65" t="str">
        <x:v>澳大利亚 维多利亚州超级联赛1（VPL1）</x:v>
      </x:c>
      <x:c r="D1034" s="65" t="str">
        <x:v>欧克莱卡诺（Oakleigh Cannons FC）</x:v>
      </x:c>
      <x:c r="E1034" s="65" t="str">
        <x:v>圣奥尔本斯圣特斯（St Albans Saints FC）</x:v>
      </x:c>
      <x:c r="F1034" s="65" t="str">
        <x:v>欧克莱卡诺 -1.75（参考水位约0.90-1.00；若只能拿-2低水且低于0.80不进单）</x:v>
      </x:c>
      <x:c r="G1034" s="65" t="str">
        <x:v>大 3.5（参考水位约1.10-1.30；大2.5低水不进单，低于0.80不进单）</x:v>
      </x:c>
      <x:c r="H1034" s="65" t="str">
        <x:v>小注；比分倾向3-1/4-1。若欧克莱卡诺首发轮换过大或-1.75低于0.80，放弃让球；若大3.5低于0.90，改为观察不进。</x:v>
      </x:c>
      <x:c r="I1034" s="66" t="n">
        <x:v>46178.63030092593</x:v>
      </x:c>
      <x:c r="J1034" s="65" t="str">
        <x:v>已结算</x:v>
      </x:c>
      <x:c r="K1034" s="65" t="str">
        <x:v>2-2</x:v>
      </x:c>
      <x:c r="L1034" s="65" t="str">
        <x:v>输</x:v>
      </x:c>
      <x:c r="M1034" s="65" t="str">
        <x:v>赢</x:v>
      </x:c>
      <x:c r="N1034" s="67" t="n">
        <x:v>-1</x:v>
      </x:c>
      <x:c r="O1034" s="67" t="n">
        <x:v>1</x:v>
      </x:c>
      <x:c r="P1034" s="67" t="n">
        <x:f>IF(COUNT(N1034:O1034)=0,"",SUM(N1034:O1034))</x:f>
        <x:v>0</x:v>
      </x:c>
      <x:c r="Q1034" s="65"/>
      <x:c r="R1034" s="65" t="str">
        <x:v>赛果：欧克莱卡诺2-2圣奥尔本斯圣特斯；让球：欧克莱卡诺-1.75输；大小：大3.5赢。</x:v>
      </x:c>
    </x:row>
    <x:row r="1035" ht="38" customHeight="1">
      <x:c r="A1035" s="65" t="str">
        <x:f>IF(B1035="","",TEXT(B1035,"yyyy-mm-dd")&amp;"|"&amp;D1035&amp;"|"&amp;E1035)</x:f>
        <x:v>2026-06-05|赞岐釜玉海（Kamatamare Sanuki）|长野帕塞罗（AC Nagano Parceiro）</x:v>
      </x:c>
      <x:c r="B1035" s="66" t="n">
        <x:v>46178.75</x:v>
      </x:c>
      <x:c r="C1035" s="65" t="str">
        <x:v>日职 明治安田J2·J3百年构想联赛</x:v>
      </x:c>
      <x:c r="D1035" s="65" t="str">
        <x:v>赞岐釜玉海（Kamatamare Sanuki）</x:v>
      </x:c>
      <x:c r="E1035" s="65" t="str">
        <x:v>长野帕塞罗（AC Nagano Parceiro）</x:v>
      </x:c>
      <x:c r="F1035" s="65" t="str">
        <x:v>长野帕塞罗 +0（平手/DNB，参考水位约0.95-1.05；低于0.80不进单）</x:v>
      </x:c>
      <x:c r="G1035" s="65" t="str">
        <x:v>双方进球：是（传统大小球替代项，参考水位约0.90-0.95；若做传统盘只接受大2.5高水，低于0.80不进单）</x:v>
      </x:c>
      <x:c r="H1035" s="65" t="str">
        <x:v>小注；比分倾向1-1/1-2。若长野+0降到0.80以下放弃；小2.5低水不进，传统大2.5需≥1.10才少量。</x:v>
      </x:c>
      <x:c r="I1035" s="66" t="n">
        <x:v>46178.646944444445</x:v>
      </x:c>
      <x:c r="J1035" s="65" t="str">
        <x:v>已结算</x:v>
      </x:c>
      <x:c r="K1035" s="65" t="str">
        <x:v>0-0</x:v>
      </x:c>
      <x:c r="L1035" s="65" t="str">
        <x:v>走水</x:v>
      </x:c>
      <x:c r="M1035" s="65" t="str">
        <x:v>输</x:v>
      </x:c>
      <x:c r="N1035" s="67" t="n">
        <x:v>0</x:v>
      </x:c>
      <x:c r="O1035" s="67" t="n">
        <x:v>-1</x:v>
      </x:c>
      <x:c r="P1035" s="67" t="n">
        <x:f>IF(COUNT(N1035:O1035)=0,"",SUM(N1035:O1035))</x:f>
        <x:v>-1</x:v>
      </x:c>
      <x:c r="Q1035" s="65"/>
      <x:c r="R1035" s="65" t="str">
        <x:v>赛果：赞岐釜玉海0-0长野帕塞罗（点球3-5，盘口按常规时间结算）；让球：长野帕塞罗+0走水；大小替代项：双方进球是，输。</x:v>
      </x:c>
    </x:row>
    <x:row r="1036" ht="38" customHeight="1">
      <x:c r="A1036" s="65" t="str">
        <x:f>IF(B1036="","",TEXT(B1036,"yyyy-mm-dd")&amp;"|"&amp;D1036&amp;"|"&amp;E1036)</x:f>
        <x:v>2026-06-05|丹德农市（Dandenong City SC）|海德堡联（Heidelberg United FC）</x:v>
      </x:c>
      <x:c r="B1036" s="66" t="n">
        <x:v>46178.739583333336</x:v>
      </x:c>
      <x:c r="C1036" s="65" t="str">
        <x:v>澳大利亚 维多利亚州超级联赛1（VPL1）</x:v>
      </x:c>
      <x:c r="D1036" s="65" t="str">
        <x:v>丹德农市（Dandenong City SC）</x:v>
      </x:c>
      <x:c r="E1036" s="65" t="str">
        <x:v>海德堡联（Heidelberg United FC）</x:v>
      </x:c>
      <x:c r="F1036" s="65" t="str">
        <x:v>海德堡联 -0.75（参考水位约0.88-0.95；若只能拿客胜低水或-1低水且低于0.80不进单）</x:v>
      </x:c>
      <x:c r="G1036" s="65" t="str">
        <x:v>大 2.75（参考水位约0.85-0.95；大2.5低水不进单，低于0.80不进单）</x:v>
      </x:c>
      <x:c r="H1036" s="65" t="str">
        <x:v>小注；比分倾向1-2/1-3。若海德堡联临场首发轮换过大，降级为客队不败观察；若大2.75低于0.80或升到3.25低水，放弃大小球。</x:v>
      </x:c>
      <x:c r="I1036" s="66" t="n">
        <x:v>46178.62903935185</x:v>
      </x:c>
      <x:c r="J1036" s="65" t="str">
        <x:v>已结算</x:v>
      </x:c>
      <x:c r="K1036" s="65" t="str">
        <x:v>4-1</x:v>
      </x:c>
      <x:c r="L1036" s="65" t="str">
        <x:v>输</x:v>
      </x:c>
      <x:c r="M1036" s="65" t="str">
        <x:v>赢</x:v>
      </x:c>
      <x:c r="N1036" s="67" t="n">
        <x:v>-1</x:v>
      </x:c>
      <x:c r="O1036" s="67" t="n">
        <x:v>1</x:v>
      </x:c>
      <x:c r="P1036" s="67" t="n">
        <x:f>IF(COUNT(N1036:O1036)=0,"",SUM(N1036:O1036))</x:f>
        <x:v>0</x:v>
      </x:c>
      <x:c r="Q1036" s="65"/>
      <x:c r="R1036" s="65" t="str">
        <x:v>赛果：丹德农市4-1海德堡联；让球：海德堡联-0.75输；大小：大2.75赢。</x:v>
      </x:c>
    </x:row>
    <x:row r="1037" ht="38" customHeight="1">
      <x:c r="A1037" s="65" t="str">
        <x:f>IF(B1037="","",TEXT(B1037,"yyyy-mm-dd")&amp;"|"&amp;D1037&amp;"|"&amp;E1037)</x:f>
        <x:v>2026-06-05|格林古利（Green Gully SC）|艾云达尔（Avondale FC）</x:v>
      </x:c>
      <x:c r="B1037" s="66" t="n">
        <x:v>46178.729166666664</x:v>
      </x:c>
      <x:c r="C1037" s="65" t="str">
        <x:v>澳大利亚 维多利亚州超级联赛1（VPL1）</x:v>
      </x:c>
      <x:c r="D1037" s="65" t="str">
        <x:v>格林古利（Green Gully SC）</x:v>
      </x:c>
      <x:c r="E1037" s="65" t="str">
        <x:v>艾云达尔（Avondale FC）</x:v>
      </x:c>
      <x:c r="F1037" s="65" t="str">
        <x:v>艾云达尔 -1.75（参考水位约0.88-0.95；若只能拿到-2低水且低于0.80不进单）</x:v>
      </x:c>
      <x:c r="G1037" s="65" t="str">
        <x:v>大 3.5（参考水位约0.92-1.15；大2.5低水不进单，低于0.80不进单）</x:v>
      </x:c>
      <x:c r="H1037" s="65" t="str">
        <x:v>小注；比分倾向0-3/0-4，防1-3。若临场艾云达尔首发轮换过大或-1.75降到0.80以下，放弃让球；大3.5仅水位≥0.90做小注。</x:v>
      </x:c>
      <x:c r="I1037" s="66" t="n">
        <x:v>46178.62657407407</x:v>
      </x:c>
      <x:c r="J1037" s="65" t="str">
        <x:v>已结算</x:v>
      </x:c>
      <x:c r="K1037" s="65" t="str">
        <x:v>0-2</x:v>
      </x:c>
      <x:c r="L1037" s="65" t="str">
        <x:v>赢半</x:v>
      </x:c>
      <x:c r="M1037" s="65" t="str">
        <x:v>输</x:v>
      </x:c>
      <x:c r="N1037" s="67" t="n">
        <x:v>0.5</x:v>
      </x:c>
      <x:c r="O1037" s="67" t="n">
        <x:v>-1</x:v>
      </x:c>
      <x:c r="P1037" s="67" t="n">
        <x:f>IF(COUNT(N1037:O1037)=0,"",SUM(N1037:O1037))</x:f>
        <x:v>-0.5</x:v>
      </x:c>
      <x:c r="Q1037" s="65"/>
      <x:c r="R1037" s="65" t="str">
        <x:v>赛果：格林古利0-2艾云达尔；让球：艾云达尔-1.75赢半；大小：大3.5输。</x:v>
      </x:c>
    </x:row>
    <x:row r="1038" ht="38" customHeight="1">
      <x:c r="A1038" s="65" t="str">
        <x:f>IF(B1038="","",TEXT(B1038,"yyyy-mm-dd")&amp;"|"&amp;D1038&amp;"|"&amp;E1038)</x:f>
        <x:v>2026-06-05|埃尔特姆红背U23（Eltham Redbacks U23）|布林狮子U23（Bulleen Lions U23）</x:v>
      </x:c>
      <x:c r="B1038" s="66" t="n">
        <x:v>46178.677083333336</x:v>
      </x:c>
      <x:c r="C1038" s="65" t="str">
        <x:v>澳大利亚 维多利亚州超1 U23</x:v>
      </x:c>
      <x:c r="D1038" s="65" t="str">
        <x:v>埃尔特姆红背U23（Eltham Redbacks U23）</x:v>
      </x:c>
      <x:c r="E1038" s="65" t="str">
        <x:v>布林狮子U23（Bulleen Lions U23）</x:v>
      </x:c>
      <x:c r="F1038" s="65" t="str">
        <x:v>布林狮子U23 -0.5（参考水位约1.16-1.32；若只做DNB需≥0.80，低于0.80不进单）</x:v>
      </x:c>
      <x:c r="G1038" s="65" t="str">
        <x:v>大 3.5（参考水位约0.86-0.90；大2.5低水不进单，低于0.80不进单）</x:v>
      </x:c>
      <x:c r="H1038" s="65" t="str">
        <x:v>小注；比分倾向1-3/2-3，防2-2。若临场布林-0.5跌到0.80以下或首发轮换过大，放弃让球；大3.5若低于0.80不进。</x:v>
      </x:c>
      <x:c r="I1038" s="66" t="n">
        <x:v>46178.67113425926</x:v>
      </x:c>
      <x:c r="J1038" s="65" t="str">
        <x:v>已结算</x:v>
      </x:c>
      <x:c r="K1038" s="65" t="str">
        <x:v>1-1</x:v>
      </x:c>
      <x:c r="L1038" s="65" t="str">
        <x:v>输</x:v>
      </x:c>
      <x:c r="M1038" s="65" t="str">
        <x:v>输</x:v>
      </x:c>
      <x:c r="N1038" s="67" t="n">
        <x:v>-1</x:v>
      </x:c>
      <x:c r="O1038" s="67" t="n">
        <x:v>-1</x:v>
      </x:c>
      <x:c r="P1038" s="67" t="n">
        <x:f>IF(COUNT(N1038:O1038)=0,"",SUM(N1038:O1038))</x:f>
        <x:v>-2</x:v>
      </x:c>
      <x:c r="Q1038" s="65"/>
      <x:c r="R1038" s="65" t="str">
        <x:v>赛果：埃尔特姆红背U23 1-1 布林狮子U23；让球：布林狮子U23-0.5输；大小：大3.5输。</x:v>
      </x:c>
    </x:row>
    <x:row r="1039" ht="38" customHeight="1">
      <x:c r="A1039" s="65" t="str">
        <x:f>IF(B1039="","",TEXT(B1039,"yyyy-mm-dd")&amp;"|"&amp;D1039&amp;"|"&amp;E1039)</x:f>
        <x:v>2026-06-05|墨西哥|塞尔维亚</x:v>
      </x:c>
      <x:c r="B1039" s="66" t="n">
        <x:v>46178.416666666664</x:v>
      </x:c>
      <x:c r="C1039" s="65" t="str">
        <x:v>国际友谊赛</x:v>
      </x:c>
      <x:c r="D1039" s="65" t="str">
        <x:v>墨西哥</x:v>
      </x:c>
      <x:c r="E1039" s="65" t="str">
        <x:v>塞尔维亚</x:v>
      </x:c>
      <x:c r="F1039" s="65" t="str">
        <x:v>墨西哥 -1.5（仅参考水位约0.82/欧赔1.82以上进；若临场低于0.80不进单）</x:v>
      </x:c>
      <x:c r="G1039" s="65" t="str">
        <x:v>小 2.5（参考水位约0.88-1.11；低于0.80不进单）</x:v>
      </x:c>
      <x:c r="H1039" s="65" t="str">
        <x:v>小注；比分倾向2-0。若墨西哥-1.5只有1.75附近/水位0.75则放弃让球，单做小2.5；大2.5低水不追。</x:v>
      </x:c>
      <x:c r="I1039" s="66" t="n">
        <x:v>46178.304756944446</x:v>
      </x:c>
      <x:c r="J1039" s="65" t="str">
        <x:v>已结算</x:v>
      </x:c>
      <x:c r="K1039" s="65" t="str">
        <x:v>5-1</x:v>
      </x:c>
      <x:c r="L1039" s="65" t="str">
        <x:v>赢</x:v>
      </x:c>
      <x:c r="M1039" s="65" t="str">
        <x:v>输</x:v>
      </x:c>
      <x:c r="N1039" s="67" t="n">
        <x:v>1</x:v>
      </x:c>
      <x:c r="O1039" s="67" t="n">
        <x:v>-1</x:v>
      </x:c>
      <x:c r="P1039" s="67" t="n">
        <x:f>IF(COUNT(N1039:O1039)=0,"",SUM(N1039:O1039))</x:f>
        <x:v>0</x:v>
      </x:c>
      <x:c r="Q1039" s="65"/>
      <x:c r="R1039" s="65" t="str">
        <x:v>赛果：墨西哥5-1塞尔维亚；让球：墨西哥-1.5赢；大小：小2.5输。</x:v>
      </x:c>
    </x:row>
    <x:row r="1040" ht="38" customHeight="1">
      <x:c r="A1040" s="65" t="str">
        <x:f>IF(B1040="","",TEXT(B1040,"yyyy-mm-dd")&amp;"|"&amp;D1040&amp;"|"&amp;E1040)</x:f>
        <x:v>2026-06-05|昆卡青年（CD Cuenca Juniors）|马卡拉</x:v>
      </x:c>
      <x:c r="B1040" s="66" t="n">
        <x:v>46178.3125</x:v>
      </x:c>
      <x:c r="C1040" s="65" t="str">
        <x:v>厄瓜多尔杯（Copa Ecuador）</x:v>
      </x:c>
      <x:c r="D1040" s="65" t="str">
        <x:v>昆卡青年（CD Cuenca Juniors）</x:v>
      </x:c>
      <x:c r="E1040" s="65" t="str">
        <x:v>马卡拉</x:v>
      </x:c>
      <x:c r="F1040" s="65" t="str">
        <x:v>马卡拉 -0.25（开球边缘/赛中0-0附近，参考水位约0.85-0.95；低于0.80不进单）</x:v>
      </x:c>
      <x:c r="G1040" s="65" t="str">
        <x:v>小 2.25（仅水位≥0.80进；传统小2.5低水不进单）</x:v>
      </x:c>
      <x:c r="H1040" s="65" t="str">
        <x:v>小注；比分倾向0-1/1-1。若马卡拉临场退到平手低水则不追；若小2.25低于0.80，改为放弃大小球。</x:v>
      </x:c>
      <x:c r="I1040" s="66" t="n">
        <x:v>46178.31543981482</x:v>
      </x:c>
      <x:c r="J1040" s="65" t="str">
        <x:v>已结算</x:v>
      </x:c>
      <x:c r="K1040" s="65" t="str">
        <x:v>0-1</x:v>
      </x:c>
      <x:c r="L1040" s="65" t="str">
        <x:v>赢</x:v>
      </x:c>
      <x:c r="M1040" s="65" t="str">
        <x:v>赢</x:v>
      </x:c>
      <x:c r="N1040" s="67" t="n">
        <x:v>1</x:v>
      </x:c>
      <x:c r="O1040" s="67" t="n">
        <x:v>1</x:v>
      </x:c>
      <x:c r="P1040" s="67" t="n">
        <x:f>IF(COUNT(N1040:O1040)=0,"",SUM(N1040:O1040))</x:f>
        <x:v>2</x:v>
      </x:c>
      <x:c r="Q1040" s="65"/>
      <x:c r="R1040" s="65" t="str">
        <x:v>赛果：昆卡青年0-1马卡拉；让球：马卡拉-0.25赢；大小：小2.25赢。</x:v>
      </x:c>
    </x:row>
    <x:row r="1041" ht="38" customHeight="1">
      <x:c r="A1041" s="65" t="str">
        <x:f>IF(B1041="","",TEXT(B1041,"yyyy-mm-dd")&amp;"|"&amp;D1041&amp;"|"&amp;E1041)</x:f>
        <x:v>2026-06-05|法国|科特迪瓦</x:v>
      </x:c>
      <x:c r="B1041" s="66" t="n">
        <x:v>46178.131944444445</x:v>
      </x:c>
      <x:c r="C1041" s="65" t="str">
        <x:v>国际友谊赛</x:v>
      </x:c>
      <x:c r="D1041" s="65" t="str">
        <x:v>法国</x:v>
      </x:c>
      <x:c r="E1041" s="65" t="str">
        <x:v>科特迪瓦</x:v>
      </x:c>
      <x:c r="F1041" s="65" t="str">
        <x:v>科特迪瓦 +1.5（参考水位约1.15；低于0.80不进单）</x:v>
      </x:c>
      <x:c r="G1041" s="65" t="str">
        <x:v>双方进球：是（传统大小球替代项，参考水位约0.83-0.96；低于0.80不进单）</x:v>
      </x:c>
      <x:c r="H1041" s="65" t="str">
        <x:v>小注；比分倾向2-1/2-2。法国-1.5当前低水不追；小3.5低水不进，若必须做传统大小球，只接受大3.5≥0.90小注。</x:v>
      </x:c>
      <x:c r="I1041" s="66" t="n">
        <x:v>46178.23703703703</x:v>
      </x:c>
      <x:c r="J1041" s="65" t="str">
        <x:v>已结算</x:v>
      </x:c>
      <x:c r="K1041" s="65" t="str">
        <x:v>1-2</x:v>
      </x:c>
      <x:c r="L1041" s="65" t="str">
        <x:v>赢</x:v>
      </x:c>
      <x:c r="M1041" s="65" t="str">
        <x:v>赢</x:v>
      </x:c>
      <x:c r="N1041" s="67" t="n">
        <x:v>1</x:v>
      </x:c>
      <x:c r="O1041" s="67" t="n">
        <x:v>1</x:v>
      </x:c>
      <x:c r="P1041" s="67" t="n">
        <x:f>IF(COUNT(N1041:O1041)=0,"",SUM(N1041:O1041))</x:f>
        <x:v>2</x:v>
      </x:c>
      <x:c r="Q1041" s="65"/>
      <x:c r="R1041" s="65" t="str">
        <x:v>赛果：法国1-2科特迪瓦；让球：科特迪瓦+1.5赢；大小替代项：双方进球是，赢。</x:v>
      </x:c>
    </x:row>
    <x:row r="1042" ht="38" customHeight="1">
      <x:c r="A1042" s="65" t="str">
        <x:f>IF(B1042="","",TEXT(B1042,"yyyy-mm-dd")&amp;"|"&amp;D1042&amp;"|"&amp;E1042)</x:f>
        <x:v>2026-06-05|西班牙|伊拉克</x:v>
      </x:c>
      <x:c r="B1042" s="66" t="n">
        <x:v>46178.125</x:v>
      </x:c>
      <x:c r="C1042" s="65" t="str">
        <x:v>国际友谊赛</x:v>
      </x:c>
      <x:c r="D1042" s="65" t="str">
        <x:v>西班牙</x:v>
      </x:c>
      <x:c r="E1042" s="65" t="str">
        <x:v>伊拉克</x:v>
      </x:c>
      <x:c r="F1042" s="65" t="str">
        <x:v>西班牙 -3.0（参考水位约0.90；低于0.80不进单）</x:v>
      </x:c>
      <x:c r="G1042" s="65" t="str">
        <x:v>小 4.0（参考水位约0.85；低于0.80不进单）</x:v>
      </x:c>
      <x:c r="H1042" s="65" t="str">
        <x:v>小注；比分倾向3-0/4-0。西班牙-3.5虽高水但容错不足，除非≥1.10才少量；大3.5低水不进。</x:v>
      </x:c>
      <x:c r="I1042" s="66" t="n">
        <x:v>46178.12063657407</x:v>
      </x:c>
      <x:c r="J1042" s="65" t="str">
        <x:v>已结算</x:v>
      </x:c>
      <x:c r="K1042" s="65" t="str">
        <x:v>1-1</x:v>
      </x:c>
      <x:c r="L1042" s="65" t="str">
        <x:v>输</x:v>
      </x:c>
      <x:c r="M1042" s="65" t="str">
        <x:v>赢</x:v>
      </x:c>
      <x:c r="N1042" s="67" t="n">
        <x:v>-1</x:v>
      </x:c>
      <x:c r="O1042" s="67" t="n">
        <x:v>1</x:v>
      </x:c>
      <x:c r="P1042" s="67" t="n">
        <x:f>IF(COUNT(N1042:O1042)=0,"",SUM(N1042:O1042))</x:f>
        <x:v>0</x:v>
      </x:c>
      <x:c r="Q1042" s="65"/>
      <x:c r="R1042" s="65" t="str">
        <x:v>赛果：西班牙1-1伊拉克；让球：西班牙-3.0输；大小：小4.0赢。</x:v>
      </x:c>
    </x:row>
    <x:row r="1043" ht="38" customHeight="1">
      <x:c r="A1043" s="65" t="str">
        <x:f>IF(B1043="","",TEXT(B1043,"yyyy-mm-dd")&amp;"|"&amp;D1043&amp;"|"&amp;E1043)</x:f>
        <x:v>2026-06-04|瑞典U21|芬兰U21</x:v>
      </x:c>
      <x:c r="B1043" s="66" t="n">
        <x:v>46177.958333333336</x:v>
      </x:c>
      <x:c r="C1043" s="65" t="str">
        <x:v>U21国际友谊赛</x:v>
      </x:c>
      <x:c r="D1043" s="65" t="str">
        <x:v>瑞典U21</x:v>
      </x:c>
      <x:c r="E1043" s="65" t="str">
        <x:v>芬兰U21</x:v>
      </x:c>
      <x:c r="F1043" s="65" t="str">
        <x:v>瑞典U21 -1.0（赛中1-0后可接受水位≥0.85；低于0.80不进单）</x:v>
      </x:c>
      <x:c r="G1043" s="65" t="str">
        <x:v>大 3.0（赛中1-0后可接受水位≥0.85；若升到3.25需≥0.95，低于0.80不进单）</x:v>
      </x:c>
      <x:c r="H1043" s="65" t="str">
        <x:v>赛中小注；比分倾向2-1/3-1。赛前芬兰DNB价值因早球失效；瑞典-1.25低水不追，3.5大球不追。</x:v>
      </x:c>
      <x:c r="I1043" s="66" t="n">
        <x:v>46178.11885416666</x:v>
      </x:c>
      <x:c r="J1043" s="65" t="str">
        <x:v>已结算</x:v>
      </x:c>
      <x:c r="K1043" s="65" t="str">
        <x:v>1-3</x:v>
      </x:c>
      <x:c r="L1043" s="65" t="str">
        <x:v>输</x:v>
      </x:c>
      <x:c r="M1043" s="65" t="str">
        <x:v>赢</x:v>
      </x:c>
      <x:c r="N1043" s="67" t="n">
        <x:v>-1</x:v>
      </x:c>
      <x:c r="O1043" s="67" t="n">
        <x:v>1</x:v>
      </x:c>
      <x:c r="P1043" s="67" t="n">
        <x:f>IF(COUNT(N1043:O1043)=0,"",SUM(N1043:O1043))</x:f>
        <x:v>0</x:v>
      </x:c>
      <x:c r="Q1043" s="65"/>
      <x:c r="R1043" s="65" t="str">
        <x:v>赛果：瑞典U21 1-3 芬兰U21；让球：瑞典U21-1.0输；大小：大3.0赢。</x:v>
      </x:c>
    </x:row>
    <x:row r="1044" ht="38" customHeight="1">
      <x:c r="A1044" s="65" t="str">
        <x:f>IF(B1044="","",TEXT(B1044,"yyyy-mm-dd")&amp;"|"&amp;D1044&amp;"|"&amp;E1044)</x:f>
        <x:v>2026-06-04|比利时U17|法国U17</x:v>
      </x:c>
      <x:c r="B1044" s="66" t="n">
        <x:v>46177.8125</x:v>
      </x:c>
      <x:c r="C1044" s="65" t="str">
        <x:v>欧洲U17足球锦标赛</x:v>
      </x:c>
      <x:c r="D1044" s="65" t="str">
        <x:v>比利时U17</x:v>
      </x:c>
      <x:c r="E1044" s="65" t="str">
        <x:v>法国U17</x:v>
      </x:c>
      <x:c r="F1044" s="65" t="str">
        <x:v>法国U17 -0.25（赛中0-0后可接受水位≥0.85；低于0.80不进单）</x:v>
      </x:c>
      <x:c r="G1044" s="65" t="str">
        <x:v>小 2.75（赛中可接受水位≥0.85；低于0.80不进单）</x:v>
      </x:c>
      <x:c r="H1044" s="65" t="str">
        <x:v>小注；赛中冻结非赛前初盘。比分倾向0-1/1-2。若只能拿法国-0.5且水位低于0.90不追；小2.5低于0.80放弃。</x:v>
      </x:c>
      <x:c r="I1044" s="66" t="n">
        <x:v>46177.830983796295</x:v>
      </x:c>
      <x:c r="J1044" s="65" t="str">
        <x:v>已结算</x:v>
      </x:c>
      <x:c r="K1044" s="65" t="str">
        <x:v>1-0</x:v>
      </x:c>
      <x:c r="L1044" s="65" t="str">
        <x:v>输</x:v>
      </x:c>
      <x:c r="M1044" s="65" t="str">
        <x:v>赢</x:v>
      </x:c>
      <x:c r="N1044" s="67" t="n">
        <x:v>-1</x:v>
      </x:c>
      <x:c r="O1044" s="67" t="n">
        <x:v>1</x:v>
      </x:c>
      <x:c r="P1044" s="67" t="n">
        <x:f>IF(COUNT(N1044:O1044)=0,"",SUM(N1044:O1044))</x:f>
        <x:v>0</x:v>
      </x:c>
      <x:c r="Q1044" s="65"/>
      <x:c r="R1044" s="65" t="str">
        <x:v>赛果：比利时U17 1-0 法国U17；让球：法国U17-0.25输；大小：小2.75赢。</x:v>
      </x:c>
    </x:row>
    <x:row r="1045" ht="38" customHeight="1">
      <x:c r="A1045" s="65" t="str">
        <x:f>IF(B1045="","",TEXT(B1045,"yyyy-mm-dd")&amp;"|"&amp;D1045&amp;"|"&amp;E1045)</x:f>
        <x:v>2026-06-04|韩国|萨尔瓦多</x:v>
      </x:c>
      <x:c r="B1045" s="66" t="n">
        <x:v>46177.375</x:v>
      </x:c>
      <x:c r="C1045" s="65" t="str">
        <x:v>国际友谊赛</x:v>
      </x:c>
      <x:c r="D1045" s="65" t="str">
        <x:v>韩国</x:v>
      </x:c>
      <x:c r="E1045" s="65" t="str">
        <x:v>萨尔瓦多</x:v>
      </x:c>
      <x:c r="F1045" s="65" t="str">
        <x:v>韩国 -2.5（参考水位约1.01；低于0.80不进单）</x:v>
      </x:c>
      <x:c r="G1045" s="65" t="str">
        <x:v>大 3.5（参考水位约0.96；低于0.80不进单）</x:v>
      </x:c>
      <x:c r="H1045" s="65" t="str">
        <x:v>小注；比分倾向4-0/4-1。若只能拿到韩国-2低水或大3.25低于0.80则放弃；不追低水韩国胜。</x:v>
      </x:c>
      <x:c r="I1045" s="66" t="n">
        <x:v>46177.37</x:v>
      </x:c>
      <x:c r="J1045" s="65" t="str">
        <x:v>已结算</x:v>
      </x:c>
      <x:c r="K1045" s="65" t="str">
        <x:v>1-0</x:v>
      </x:c>
      <x:c r="L1045" s="65" t="str">
        <x:v>输</x:v>
      </x:c>
      <x:c r="M1045" s="65" t="str">
        <x:v>输</x:v>
      </x:c>
      <x:c r="N1045" s="67" t="n">
        <x:v>-1</x:v>
      </x:c>
      <x:c r="O1045" s="67" t="n">
        <x:v>-1</x:v>
      </x:c>
      <x:c r="P1045" s="67" t="n">
        <x:f>IF(COUNT(N1045:O1045)=0,"",SUM(N1045:O1045))</x:f>
        <x:v>-2</x:v>
      </x:c>
      <x:c r="Q1045" s="65"/>
      <x:c r="R1045" s="65" t="str">
        <x:v>赛果：韩国1-0萨尔瓦多；让球：韩国-2.5输；大小：大3.5输。</x:v>
      </x:c>
    </x:row>
    <x:row r="1046" ht="38" customHeight="1">
      <x:c r="A1046" s="65" t="str">
        <x:f>IF(B1046="","",TEXT(B1046,"yyyy-mm-dd")&amp;"|"&amp;D1046&amp;"|"&amp;E1046)</x:f>
        <x:v>2026-06-04|卢森堡|意大利</x:v>
      </x:c>
      <x:c r="B1046" s="66" t="n">
        <x:v>46177.114583333336</x:v>
      </x:c>
      <x:c r="C1046" s="65" t="str">
        <x:v>国际友谊赛</x:v>
      </x:c>
      <x:c r="D1046" s="65" t="str">
        <x:v>卢森堡</x:v>
      </x:c>
      <x:c r="E1046" s="65" t="str">
        <x:v>意大利</x:v>
      </x:c>
      <x:c r="F1046" s="65" t="str">
        <x:v>意大利 -1.25（参考水位约0.94；低于0.80不进单）</x:v>
      </x:c>
      <x:c r="G1046" s="65" t="str">
        <x:v>小 2.5（参考水位约1.07；低于0.80不进单）</x:v>
      </x:c>
      <x:c r="H1046" s="65" t="str">
        <x:v>小注；比分倾向0-2。可选：意大利-1.5仅≥0.88才少量，若临场低于0.80放弃。</x:v>
      </x:c>
      <x:c r="I1046" s="66" t="n">
        <x:v>46177.08966435185</x:v>
      </x:c>
      <x:c r="J1046" s="65" t="str">
        <x:v>已结算</x:v>
      </x:c>
      <x:c r="K1046" s="65" t="str">
        <x:v>0-1</x:v>
      </x:c>
      <x:c r="L1046" s="65" t="str">
        <x:v>输半</x:v>
      </x:c>
      <x:c r="M1046" s="65" t="str">
        <x:v>赢</x:v>
      </x:c>
      <x:c r="N1046" s="67" t="n">
        <x:v>-0.5</x:v>
      </x:c>
      <x:c r="O1046" s="67" t="n">
        <x:v>1</x:v>
      </x:c>
      <x:c r="P1046" s="67" t="n">
        <x:f>IF(COUNT(N1046:O1046)=0,"",SUM(N1046:O1046))</x:f>
        <x:v>0.5</x:v>
      </x:c>
      <x:c r="Q1046" s="65"/>
      <x:c r="R1046" s="65" t="str">
        <x:v>赛果：卢森堡0-1意大利；让球：意大利-1.25输半；大小：小2.5赢。</x:v>
      </x:c>
    </x:row>
    <x:row r="1047" ht="38" customHeight="1">
      <x:c r="A1047" s="65" t="str">
        <x:f>IF(B1047="","",TEXT(B1047,"yyyy-mm-dd")&amp;"|"&amp;D1047&amp;"|"&amp;E1047)</x:f>
        <x:v>2026-06-04|刚果民主共和国（刚果金）|丹麦</x:v>
      </x:c>
      <x:c r="B1047" s="66" t="n">
        <x:v>46177.083333333336</x:v>
      </x:c>
      <x:c r="C1047" s="65" t="str">
        <x:v>国际友谊赛</x:v>
      </x:c>
      <x:c r="D1047" s="65" t="str">
        <x:v>刚果民主共和国（刚果金）</x:v>
      </x:c>
      <x:c r="E1047" s="65" t="str">
        <x:v>丹麦</x:v>
      </x:c>
      <x:c r="F1047" s="65" t="str">
        <x:v>刚果民主共和国（刚果金） +0.75（参考水位约1.10；低于0.80不进单）</x:v>
      </x:c>
      <x:c r="G1047" s="65" t="str">
        <x:v>小 2.25（参考水位约0.91；低于0.80不进单）</x:v>
      </x:c>
      <x:c r="H1047" s="65" t="str">
        <x:v>小注；比分倾向1-1/0-1。若只能拿到小2.5且水位低于0.80则放弃；丹麦-0.75不追。</x:v>
      </x:c>
      <x:c r="I1047" s="66" t="n">
        <x:v>46177.093125</x:v>
      </x:c>
      <x:c r="J1047" s="65" t="str">
        <x:v>已结算</x:v>
      </x:c>
      <x:c r="K1047" s="65" t="str">
        <x:v>0-0</x:v>
      </x:c>
      <x:c r="L1047" s="65" t="str">
        <x:v>赢</x:v>
      </x:c>
      <x:c r="M1047" s="65" t="str">
        <x:v>赢</x:v>
      </x:c>
      <x:c r="N1047" s="67" t="n">
        <x:v>1</x:v>
      </x:c>
      <x:c r="O1047" s="67" t="n">
        <x:v>1</x:v>
      </x:c>
      <x:c r="P1047" s="67" t="n">
        <x:f>IF(COUNT(N1047:O1047)=0,"",SUM(N1047:O1047))</x:f>
        <x:v>2</x:v>
      </x:c>
      <x:c r="Q1047" s="65"/>
      <x:c r="R1047" s="65" t="str">
        <x:v>赛果：刚果民主共和国0-0丹麦；让球：刚果金+0.75赢；大小：小2.25赢。</x:v>
      </x:c>
    </x:row>
    <x:row r="1048" ht="38" customHeight="1">
      <x:c r="A1048" s="65" t="str">
        <x:f>IF(B1048="","",TEXT(B1048,"yyyy-mm-dd")&amp;"|"&amp;D1048&amp;"|"&amp;E1048)</x:f>
        <x:v>2026-06-03|日本U19青年队|葡萄牙U20青年队</x:v>
      </x:c>
      <x:c r="B1048" s="66" t="n">
        <x:v>46176.875</x:v>
      </x:c>
      <x:c r="C1048" s="65" t="str">
        <x:v>土伦杯（Maurice Revello Tournament）</x:v>
      </x:c>
      <x:c r="D1048" s="65" t="str">
        <x:v>日本U19青年队</x:v>
      </x:c>
      <x:c r="E1048" s="65" t="str">
        <x:v>葡萄牙U20青年队</x:v>
      </x:c>
      <x:c r="F1048" s="65" t="str">
        <x:v>葡萄牙U20青年队 -0.75，水位≥0.90才进；若只有-0.5且低于0.80不进单，-1需水位≥1.05小注</x:v>
      </x:c>
      <x:c r="G1048" s="65" t="str">
        <x:v>小2.75，水位≥0.82才进；若只有小2.5需水位≥1.00小注，低水不进</x:v>
      </x:c>
      <x:c r="H1048" s="65" t="str">
        <x:v>小注；若临场葡萄牙U20退到-0.5且水位≥0.82可优先，若日本首发明显偏U19主力且葡萄牙轮换过大则让球降级观察</x:v>
      </x:c>
      <x:c r="I1048" s="66" t="n">
        <x:v>46176.865949074076</x:v>
      </x:c>
      <x:c r="J1048" s="65" t="str">
        <x:v>已结算</x:v>
      </x:c>
      <x:c r="K1048" s="65" t="str">
        <x:v>1-4</x:v>
      </x:c>
      <x:c r="L1048" s="65" t="str">
        <x:v>赢</x:v>
      </x:c>
      <x:c r="M1048" s="65" t="str">
        <x:v>输</x:v>
      </x:c>
      <x:c r="N1048" s="67" t="n">
        <x:v>1</x:v>
      </x:c>
      <x:c r="O1048" s="67" t="n">
        <x:v>-1</x:v>
      </x:c>
      <x:c r="P1048" s="67" t="n">
        <x:f>IF(COUNT(N1048:O1048)=0,"",SUM(N1048:O1048))</x:f>
        <x:v>0</x:v>
      </x:c>
      <x:c r="Q1048" s="65"/>
      <x:c r="R1048" s="65" t="str">
        <x:v>赛果1-4；葡萄牙U20青年队 -0.75 赢；小2.75 输。</x:v>
      </x:c>
    </x:row>
    <x:row r="1049" ht="38" customHeight="1">
      <x:c r="A1049" s="65" t="str">
        <x:f>IF(B1049="","",TEXT(B1049,"yyyy-mm-dd")&amp;"|"&amp;D1049&amp;"|"&amp;E1049)</x:f>
        <x:v>2026-06-03|菲律宾|关岛</x:v>
      </x:c>
      <x:c r="B1049" s="66" t="n">
        <x:v>46176.8125</x:v>
      </x:c>
      <x:c r="C1049" s="65" t="str">
        <x:v>国际友谊赛</x:v>
      </x:c>
      <x:c r="D1049" s="65" t="str">
        <x:v>菲律宾</x:v>
      </x:c>
      <x:c r="E1049" s="65" t="str">
        <x:v>关岛</x:v>
      </x:c>
      <x:c r="F1049" s="65" t="str">
        <x:v>菲律宾 -3，水位≥0.85才进；若只有-3.5需水位≥1.05小注，低于0.80不进单</x:v>
      </x:c>
      <x:c r="G1049" s="65" t="str">
        <x:v>小3.5，水位≥0.95才进；若升到小4且水位≥0.80更优先，低水小球不进</x:v>
      </x:c>
      <x:c r="H1049" s="65" t="str">
        <x:v>小注；若菲律宾大幅轮换前场或盘口升到-3.5低水，则让球降级观察，比分倾向3-0/4-0</x:v>
      </x:c>
      <x:c r="I1049" s="66" t="n">
        <x:v>46176.798159722224</x:v>
      </x:c>
      <x:c r="J1049" s="65" t="str">
        <x:v>已结算</x:v>
      </x:c>
      <x:c r="K1049" s="65" t="str">
        <x:v>5-1</x:v>
      </x:c>
      <x:c r="L1049" s="65" t="str">
        <x:v>赢</x:v>
      </x:c>
      <x:c r="M1049" s="65" t="str">
        <x:v>输</x:v>
      </x:c>
      <x:c r="N1049" s="67" t="n">
        <x:v>1</x:v>
      </x:c>
      <x:c r="O1049" s="67" t="n">
        <x:v>-1</x:v>
      </x:c>
      <x:c r="P1049" s="67" t="n">
        <x:f>IF(COUNT(N1049:O1049)=0,"",SUM(N1049:O1049))</x:f>
        <x:v>0</x:v>
      </x:c>
      <x:c r="Q1049" s="65"/>
      <x:c r="R1049" s="65" t="str">
        <x:v>赛果5-1；菲律宾 -3 赢；小3.5 输。</x:v>
      </x:c>
    </x:row>
    <x:row r="1050" ht="38" customHeight="1">
      <x:c r="A1050" s="65" t="str">
        <x:f>IF(B1050="","",TEXT(B1050,"yyyy-mm-dd")&amp;"|"&amp;D1050&amp;"|"&amp;E1050)</x:f>
        <x:v>2026-06-03|巴兰基亚青年|国民竞技</x:v>
      </x:c>
      <x:c r="B1050" s="66" t="n">
        <x:v>46176.354166666664</x:v>
      </x:c>
      <x:c r="C1050" s="65" t="str">
        <x:v>哥伦比亚甲级联赛（Liga BetPlay DIMAYOR）</x:v>
      </x:c>
      <x:c r="D1050" s="65" t="str">
        <x:v>巴兰基亚青年</x:v>
      </x:c>
      <x:c r="E1050" s="65" t="str">
        <x:v>国民竞技</x:v>
      </x:c>
      <x:c r="F1050" s="65" t="str">
        <x:v>国民竞技 0（平手/DNB），水位≥0.83才进；若只有+0.25但低于0.80不进单</x:v>
      </x:c>
      <x:c r="G1050" s="65" t="str">
        <x:v>大2.5，水位≥0.90才进；若降到大2.25且水位≥0.80可小注，低水不追</x:v>
      </x:c>
      <x:c r="H1050" s="65" t="str">
        <x:v>小注；决赛首回合临场若国民竞技前场Morelos/Arango/Rengifo轮换两人以上，则让球降级观察</x:v>
      </x:c>
      <x:c r="I1050" s="66" t="n">
        <x:v>46176.326631944445</x:v>
      </x:c>
      <x:c r="J1050" s="65" t="str">
        <x:v>已结算</x:v>
      </x:c>
      <x:c r="K1050" s="65" t="str">
        <x:v>3-0</x:v>
      </x:c>
      <x:c r="L1050" s="65" t="str">
        <x:v>输</x:v>
      </x:c>
      <x:c r="M1050" s="65" t="str">
        <x:v>赢</x:v>
      </x:c>
      <x:c r="N1050" s="67" t="n">
        <x:v>-1</x:v>
      </x:c>
      <x:c r="O1050" s="67" t="n">
        <x:v>1</x:v>
      </x:c>
      <x:c r="P1050" s="67" t="n">
        <x:f>IF(COUNT(N1050:O1050)=0,"",SUM(N1050:O1050))</x:f>
        <x:v>0</x:v>
      </x:c>
      <x:c r="Q1050" s="65"/>
      <x:c r="R1050" s="65" t="str">
        <x:v>赛果3-0；国民竞技 0（平手/DNB）输；大2.5 赢。</x:v>
      </x:c>
    </x:row>
    <x:row r="1051" ht="38" customHeight="1">
      <x:c r="A1051" s="65" t="str">
        <x:f>IF(B1051="","",TEXT(B1051,"yyyy-mm-dd")&amp;"|"&amp;D1051&amp;"|"&amp;E1051)</x:f>
        <x:v>2026-06-03|巴拉卡斯中央|飓风（Huracán）</x:v>
      </x:c>
      <x:c r="B1051" s="66" t="n">
        <x:v>46176.34027777778</x:v>
      </x:c>
      <x:c r="C1051" s="65" t="str">
        <x:v>阿根廷杯（Copa Argentina）</x:v>
      </x:c>
      <x:c r="D1051" s="65" t="str">
        <x:v>巴拉卡斯中央</x:v>
      </x:c>
      <x:c r="E1051" s="65" t="str">
        <x:v>飓风（Huracán）</x:v>
      </x:c>
      <x:c r="F1051" s="65" t="str">
        <x:v>飓风 -0.25，水位≥0.82才进；若只有-0.5需水位≥0.90小注，低于0.80不进单</x:v>
      </x:c>
      <x:c r="G1051" s="65" t="str">
        <x:v>小2.25，水位≥0.82才进；若只有小2.5低水不进单</x:v>
      </x:c>
      <x:c r="H1051" s="65" t="str">
        <x:v>小注；若临场飓风退到0且水位≥0.80更优先，若升到-0.75低水放弃</x:v>
      </x:c>
      <x:c r="I1051" s="66" t="n">
        <x:v>46176.33033564815</x:v>
      </x:c>
      <x:c r="J1051" s="65" t="str">
        <x:v>已结算</x:v>
      </x:c>
      <x:c r="K1051" s="65" t="str">
        <x:v>1-0</x:v>
      </x:c>
      <x:c r="L1051" s="65" t="str">
        <x:v>输</x:v>
      </x:c>
      <x:c r="M1051" s="65" t="str">
        <x:v>赢</x:v>
      </x:c>
      <x:c r="N1051" s="67" t="n">
        <x:v>-1</x:v>
      </x:c>
      <x:c r="O1051" s="67" t="n">
        <x:v>1</x:v>
      </x:c>
      <x:c r="P1051" s="67" t="n">
        <x:f>IF(COUNT(N1051:O1051)=0,"",SUM(N1051:O1051))</x:f>
        <x:v>0</x:v>
      </x:c>
      <x:c r="Q1051" s="65"/>
      <x:c r="R1051" s="65" t="str">
        <x:v>90分钟赛果1-0；飓风 -0.25 输；小2.25 赢。</x:v>
      </x:c>
    </x:row>
    <x:row r="1052" ht="38" customHeight="1">
      <x:c r="A1052" s="65" t="str">
        <x:f>IF(B1052="","",TEXT(B1052,"yyyy-mm-dd")&amp;"|"&amp;D1052&amp;"|"&amp;E1052)</x:f>
        <x:v>2026-06-03|麦德林独立|侨卡巴（Cúcuta Deportivo）</x:v>
      </x:c>
      <x:c r="B1052" s="66" t="n">
        <x:v>46176.208333333336</x:v>
      </x:c>
      <x:c r="C1052" s="65" t="str">
        <x:v>哥伦比亚杯（Copa Colombia）</x:v>
      </x:c>
      <x:c r="D1052" s="65" t="str">
        <x:v>麦德林独立</x:v>
      </x:c>
      <x:c r="E1052" s="65" t="str">
        <x:v>侨卡巴（Cúcuta Deportivo）</x:v>
      </x:c>
      <x:c r="F1052" s="65" t="str">
        <x:v>麦德林独立 -1.25，水位≥0.85才进；若只有-1.5需水位≥1.00，小注；低于0.80不进单</x:v>
      </x:c>
      <x:c r="G1052" s="65" t="str">
        <x:v>小2.75，水位≥0.82才进；若只有小2.5且水位≥0.90可小注，低水不进</x:v>
      </x:c>
      <x:c r="H1052" s="65" t="str">
        <x:v>小注；若临场麦德林独立降到-1且水位≥0.80可优先，若维持-1.5但低水放弃</x:v>
      </x:c>
      <x:c r="I1052" s="66" t="n">
        <x:v>46176.329247685186</x:v>
      </x:c>
      <x:c r="J1052" s="65" t="str">
        <x:v>已结算</x:v>
      </x:c>
      <x:c r="K1052" s="65" t="str">
        <x:v>2-1</x:v>
      </x:c>
      <x:c r="L1052" s="65" t="str">
        <x:v>输半</x:v>
      </x:c>
      <x:c r="M1052" s="65" t="str">
        <x:v>输</x:v>
      </x:c>
      <x:c r="N1052" s="67" t="n">
        <x:v>-0.5</x:v>
      </x:c>
      <x:c r="O1052" s="67" t="n">
        <x:v>-1</x:v>
      </x:c>
      <x:c r="P1052" s="67" t="n">
        <x:f>IF(COUNT(N1052:O1052)=0,"",SUM(N1052:O1052))</x:f>
        <x:v>-1.5</x:v>
      </x:c>
      <x:c r="Q1052" s="65"/>
      <x:c r="R1052" s="65" t="str">
        <x:v>赛果2-1；麦德林独立 -1.25 输半；小2.75 输。</x:v>
      </x:c>
    </x:row>
    <x:row r="1053" ht="38" customHeight="1">
      <x:c r="A1053" s="65" t="str">
        <x:f>IF(B1053="","",TEXT(B1053,"yyyy-mm-dd")&amp;"|"&amp;D1053&amp;"|"&amp;E1053)</x:f>
        <x:v>2026-06-03|克罗地亚|比利时</x:v>
      </x:c>
      <x:c r="B1053" s="66" t="n">
        <x:v>46176</x:v>
      </x:c>
      <x:c r="C1053" s="65" t="str">
        <x:v>国际友谊赛</x:v>
      </x:c>
      <x:c r="D1053" s="65" t="str">
        <x:v>克罗地亚</x:v>
      </x:c>
      <x:c r="E1053" s="65" t="str">
        <x:v>比利时</x:v>
      </x:c>
      <x:c r="F1053" s="65" t="str">
        <x:v>比利时 0（平手/DNB），水位≥0.82才进；低于0.80不进单</x:v>
      </x:c>
      <x:c r="G1053" s="65" t="str">
        <x:v>大2.5，水位≥0.82才进；若临场升到2.75且低水不追</x:v>
      </x:c>
      <x:c r="H1053" s="65" t="str">
        <x:v>小注；若比利时前场明显轮换或德布劳内/多库均不首发，大小球降级观察</x:v>
      </x:c>
      <x:c r="I1053" s="66" t="n">
        <x:v>46176.010416666664</x:v>
      </x:c>
      <x:c r="J1053" s="65" t="str">
        <x:v>已结算</x:v>
      </x:c>
      <x:c r="K1053" s="65" t="str">
        <x:v>0-2</x:v>
      </x:c>
      <x:c r="L1053" s="65" t="str">
        <x:v>赢</x:v>
      </x:c>
      <x:c r="M1053" s="65" t="str">
        <x:v>输</x:v>
      </x:c>
      <x:c r="N1053" s="67" t="n">
        <x:v>1</x:v>
      </x:c>
      <x:c r="O1053" s="67" t="n">
        <x:v>-1</x:v>
      </x:c>
      <x:c r="P1053" s="67" t="n">
        <x:f>IF(COUNT(N1053:O1053)=0,"",SUM(N1053:O1053))</x:f>
        <x:v>0</x:v>
      </x:c>
      <x:c r="Q1053" s="65"/>
      <x:c r="R1053" s="65" t="str">
        <x:v>赛果0-2；比利时 0（平手/DNB）赢；大2.5 输。</x:v>
      </x:c>
    </x:row>
    <x:row r="1054" ht="38" customHeight="1">
      <x:c r="A1054" s="65" t="str">
        <x:f>IF(B1054="","",TEXT(B1054,"yyyy-mm-dd")&amp;"|"&amp;D1054&amp;"|"&amp;E1054)</x:f>
        <x:v>2026-06-02|北鹰阳光|艾云达尔</x:v>
      </x:c>
      <x:c r="B1054" s="66" t="n">
        <x:v>46175.739583333336</x:v>
      </x:c>
      <x:c r="C1054" s="65" t="str">
        <x:v>澳大利亚 维多利亚州超级联赛1（VPL1）</x:v>
      </x:c>
      <x:c r="D1054" s="65" t="str">
        <x:v>北鹰阳光</x:v>
      </x:c>
      <x:c r="E1054" s="65" t="str">
        <x:v>艾云达尔</x:v>
      </x:c>
      <x:c r="F1054" s="65" t="str">
        <x:v>艾云达尔 -2，水位≥0.82才进；低于0.80不进单</x:v>
      </x:c>
      <x:c r="G1054" s="65" t="str">
        <x:v>大3.5，水位≥0.80才进；若升到3.75且低水不追</x:v>
      </x:c>
      <x:c r="H1054" s="65" t="str">
        <x:v>小注；若临场艾云达尔升到-2.25且水位≥0.90可小注，-2.5低水放弃</x:v>
      </x:c>
      <x:c r="I1054" s="66" t="n">
        <x:v>46175.67701388889</x:v>
      </x:c>
      <x:c r="J1054" s="65" t="str">
        <x:v>已结算</x:v>
      </x:c>
      <x:c r="K1054" s="65" t="str">
        <x:v>3-2</x:v>
      </x:c>
      <x:c r="L1054" s="65" t="str">
        <x:v>输</x:v>
      </x:c>
      <x:c r="M1054" s="65" t="str">
        <x:v>赢</x:v>
      </x:c>
      <x:c r="N1054" s="67" t="n">
        <x:v>-1</x:v>
      </x:c>
      <x:c r="O1054" s="67" t="n">
        <x:v>1</x:v>
      </x:c>
      <x:c r="P1054" s="67" t="n">
        <x:f>IF(COUNT(N1054:O1054)=0,"",SUM(N1054:O1054))</x:f>
        <x:v>0</x:v>
      </x:c>
      <x:c r="Q1054" s="65"/>
      <x:c r="R1054" s="65" t="str">
        <x:v>赛果3-2；艾云达尔 -2 输；大3.5 赢。</x:v>
      </x:c>
    </x:row>
    <x:row r="1055" ht="38" customHeight="1">
      <x:c r="A1055" s="65" t="str">
        <x:f>IF(B1055="","",TEXT(B1055,"yyyy-mm-dd")&amp;"|"&amp;D1055&amp;"|"&amp;E1055)</x:f>
        <x:v>2026-06-02|澳尼塔（Universitario de Vinto）|奥罗拉（Club Aurora）</x:v>
      </x:c>
      <x:c r="B1055" s="66" t="n">
        <x:v>46175.333333333336</x:v>
      </x:c>
      <x:c r="C1055" s="65" t="str">
        <x:v>玻利维亚甲级联赛</x:v>
      </x:c>
      <x:c r="D1055" s="65" t="str">
        <x:v>澳尼塔（Universitario de Vinto）</x:v>
      </x:c>
      <x:c r="E1055" s="65" t="str">
        <x:v>奥罗拉（Club Aurora）</x:v>
      </x:c>
      <x:c r="F1055" s="65" t="str">
        <x:v>奥罗拉 0（平手/DNB），水位≥0.80才进；低于0.80不进单</x:v>
      </x:c>
      <x:c r="G1055" s="65" t="str">
        <x:v>大2.75，水位≥0.80才进；若只有大2.5低水不进单</x:v>
      </x:c>
      <x:c r="H1055" s="65" t="str">
        <x:v>小注；若临场奥罗拉降到+0.25且水位低于0.80放弃，若升到-0/0.25且≥0.85可小注跟</x:v>
      </x:c>
      <x:c r="I1055" s="66" t="n">
        <x:v>46175.306655092594</x:v>
      </x:c>
      <x:c r="J1055" s="65" t="str">
        <x:v>已结算</x:v>
      </x:c>
      <x:c r="K1055" s="65" t="str">
        <x:v>1-2</x:v>
      </x:c>
      <x:c r="L1055" s="65" t="str">
        <x:v>赢</x:v>
      </x:c>
      <x:c r="M1055" s="65" t="str">
        <x:v>赢</x:v>
      </x:c>
      <x:c r="N1055" s="67" t="n">
        <x:v>1</x:v>
      </x:c>
      <x:c r="O1055" s="67" t="n">
        <x:v>1</x:v>
      </x:c>
      <x:c r="P1055" s="67" t="n">
        <x:f>IF(COUNT(N1055:O1055)=0,"",SUM(N1055:O1055))</x:f>
        <x:v>2</x:v>
      </x:c>
      <x:c r="Q1055" s="65"/>
      <x:c r="R1055" s="65" t="str">
        <x:v>赛果1-2；奥罗拉 0（平手/DNB）赢；大2.75 赢。</x:v>
      </x:c>
    </x:row>
    <x:row r="1056" ht="38" customHeight="1">
      <x:c r="A1056" s="65" t="str">
        <x:f>IF(B1056="","",TEXT(B1056,"yyyy-mm-dd")&amp;"|"&amp;D1056&amp;"|"&amp;E1056)</x:f>
        <x:v>2026-06-02|瓦迪格拉（Wadi Degla）|恩比（ENPPI）</x:v>
      </x:c>
      <x:c r="B1056" s="66" t="n">
        <x:v>46175.041666666664</x:v>
      </x:c>
      <x:c r="C1056" s="65" t="str">
        <x:v>埃及联赛杯（Egyptian League Cup）</x:v>
      </x:c>
      <x:c r="D1056" s="65" t="str">
        <x:v>瓦迪格拉（Wadi Degla）</x:v>
      </x:c>
      <x:c r="E1056" s="65" t="str">
        <x:v>恩比（ENPPI）</x:v>
      </x:c>
      <x:c r="F1056" s="65" t="str">
        <x:v>瓦迪格拉 -0.25（参考水位约0.95-1.05；低于0.80不进单）</x:v>
      </x:c>
      <x:c r="G1056" s="65" t="str">
        <x:v>大 2.25（参考水位需≥0.90；若只有大2.5且水位≥1.20则小注，低于0.80不进单）</x:v>
      </x:c>
      <x:c r="H1056" s="65" t="str">
        <x:v>可选/加仓：若临场退到瓦迪格拉0盘且水位≥0.80，可加仓；若升到-0.5或主队方向低于0.80，放弃追高。小2.5若低水不进单。</x:v>
      </x:c>
      <x:c r="I1056" s="66" t="n">
        <x:v>46175.01045138889</x:v>
      </x:c>
      <x:c r="J1056" s="65" t="str">
        <x:v>已结算</x:v>
      </x:c>
      <x:c r="K1056" s="65" t="str">
        <x:v>0-1</x:v>
      </x:c>
      <x:c r="L1056" s="65" t="str">
        <x:v>输</x:v>
      </x:c>
      <x:c r="M1056" s="65" t="str">
        <x:v>输</x:v>
      </x:c>
      <x:c r="N1056" s="67" t="n">
        <x:v>-1</x:v>
      </x:c>
      <x:c r="O1056" s="67" t="n">
        <x:v>-1</x:v>
      </x:c>
      <x:c r="P1056" s="67" t="n">
        <x:f>IF(COUNT(N1056:O1056)=0,"",SUM(N1056:O1056))</x:f>
        <x:v>-2</x:v>
      </x:c>
      <x:c r="Q1056" s="65"/>
      <x:c r="R1056" s="65" t="str">
        <x:v>赛果0-1；瓦迪格拉 -0.25 输；大2.25 输。</x:v>
      </x:c>
    </x:row>
    <x:row r="1057" ht="38" customHeight="1">
      <x:c r="A1057" s="65" t="str">
        <x:f>IF(B1057="","",TEXT(B1057,"yyyy-mm-dd")&amp;"|"&amp;D1057&amp;"|"&amp;E1057)</x:f>
        <x:v>2026-06-01|马斯里（Al Masry）|ZED（ZED FC）</x:v>
      </x:c>
      <x:c r="B1057" s="66" t="n">
        <x:v>46174.916666666664</x:v>
      </x:c>
      <x:c r="C1057" s="65" t="str">
        <x:v>埃及联赛杯（Egyptian League Cup）</x:v>
      </x:c>
      <x:c r="D1057" s="65" t="str">
        <x:v>马斯里（Al Masry）</x:v>
      </x:c>
      <x:c r="E1057" s="65" t="str">
        <x:v>ZED（ZED FC）</x:v>
      </x:c>
      <x:c r="F1057" s="65" t="str">
        <x:v>ZED +0.5（等同X2方向，参考水位约0.90-1.10；低于0.80不进单）</x:v>
      </x:c>
      <x:c r="G1057" s="65" t="str">
        <x:v>大 2.25（参考水位需≥0.85；若只有大2.5且水位≥1.10则小注，低于0.80不进单）</x:v>
      </x:c>
      <x:c r="H1057" s="65" t="str">
        <x:v>可选/加仓：若临场马斯里-0.5继续降到低于0.80，坚决不追主队；若ZED +0.5仍≥0.90可正常进。大小球只接受高水大球，小2.5低水不进单。</x:v>
      </x:c>
      <x:c r="I1057" s="66" t="n">
        <x:v>46174.92212962963</x:v>
      </x:c>
      <x:c r="J1057" s="65" t="str">
        <x:v>已结算</x:v>
      </x:c>
      <x:c r="K1057" s="65" t="str">
        <x:v>1-0</x:v>
      </x:c>
      <x:c r="L1057" s="65" t="str">
        <x:v>输</x:v>
      </x:c>
      <x:c r="M1057" s="65" t="str">
        <x:v>输</x:v>
      </x:c>
      <x:c r="N1057" s="67" t="n">
        <x:v>-1</x:v>
      </x:c>
      <x:c r="O1057" s="67" t="n">
        <x:v>-1</x:v>
      </x:c>
      <x:c r="P1057" s="67" t="n">
        <x:f>IF(COUNT(N1057:O1057)=0,"",SUM(N1057:O1057))</x:f>
        <x:v>-2</x:v>
      </x:c>
      <x:c r="Q1057" s="65"/>
      <x:c r="R1057" s="65" t="str">
        <x:v>赛果1-0；ZED +0.5 输；大2.25 输。</x:v>
      </x:c>
    </x:row>
    <x:row r="1058" ht="38" customHeight="1">
      <x:c r="A1058" s="65" t="str">
        <x:f>IF(B1058="","",TEXT(B1058,"yyyy-mm-dd")&amp;"|"&amp;D1058&amp;"|"&amp;E1058)</x:f>
        <x:v>2026-06-01|八户云罗里（Vanraure Hachinohe）|福岛联（Fukushima United FC）</x:v>
      </x:c>
      <x:c r="B1058" s="66" t="n">
        <x:v>46174.75208333333</x:v>
      </x:c>
      <x:c r="C1058" s="65" t="str">
        <x:v>日职 明治安田J2·J3百年构想联赛</x:v>
      </x:c>
      <x:c r="D1058" s="65" t="str">
        <x:v>八户云罗里（Vanraure Hachinohe）</x:v>
      </x:c>
      <x:c r="E1058" s="65" t="str">
        <x:v>福岛联（Fukushima United FC）</x:v>
      </x:c>
      <x:c r="F1058" s="65" t="str">
        <x:v>八户云罗里 -0.5（参考水位约0.85-0.90；低于0.80不进单）</x:v>
      </x:c>
      <x:c r="G1058" s="65" t="str">
        <x:v>小 2.5（参考水位需≥0.80；若只有小3低水则不进单）</x:v>
      </x:c>
      <x:c r="H1058" s="65" t="str">
        <x:v>可选/加仓：若临场退到八户云罗里 -0.25且水位≥0.80，可加仓；若升到-0.75或主队方向低于0.80，放弃追高。</x:v>
      </x:c>
      <x:c r="I1058" s="66" t="n">
        <x:v>46174.73025462963</x:v>
      </x:c>
      <x:c r="J1058" s="65" t="str">
        <x:v>已结算</x:v>
      </x:c>
      <x:c r="K1058" s="65" t="str">
        <x:v>0-1</x:v>
      </x:c>
      <x:c r="L1058" s="65" t="str">
        <x:v>输</x:v>
      </x:c>
      <x:c r="M1058" s="65" t="str">
        <x:v>赢</x:v>
      </x:c>
      <x:c r="N1058" s="67" t="n">
        <x:v>-1</x:v>
      </x:c>
      <x:c r="O1058" s="67" t="n">
        <x:v>1</x:v>
      </x:c>
      <x:c r="P1058" s="67" t="n">
        <x:f>IF(COUNT(N1058:O1058)=0,"",SUM(N1058:O1058))</x:f>
        <x:v>0</x:v>
      </x:c>
      <x:c r="Q1058" s="65"/>
      <x:c r="R1058" s="65" t="str">
        <x:v>赛果0-1；八户云罗里 -0.5 输；小2.5 赢。</x:v>
      </x:c>
    </x:row>
    <x:row r="1059" ht="38" customHeight="1">
      <x:c r="A1059" s="65" t="str">
        <x:f>IF(B1059="","",TEXT(B1059,"yyyy-mm-dd")&amp;"|"&amp;D1059&amp;"|"&amp;E1059)</x:f>
        <x:v>2026-06-01|瑞模贝雷（Clube do Remo）|圣保罗（São Paulo）</x:v>
      </x:c>
      <x:c r="B1059" s="66" t="n">
        <x:v>46174.3125</x:v>
      </x:c>
      <x:c r="C1059" s="65" t="str">
        <x:v>巴西甲（Serie A）</x:v>
      </x:c>
      <x:c r="D1059" s="65" t="str">
        <x:v>瑞模贝雷（Clube do Remo）</x:v>
      </x:c>
      <x:c r="E1059" s="65" t="str">
        <x:v>圣保罗（São Paulo）</x:v>
      </x:c>
      <x:c r="F1059" s="65" t="str">
        <x:v>圣保罗 0（平手/DNB，参考水位约0.86；低于0.80不进单）</x:v>
      </x:c>
      <x:c r="G1059" s="65" t="str">
        <x:v>大 2.25（参考水位≥0.80；若只有大2.5且水位≥1.00则小注，低于0.80不进单）</x:v>
      </x:c>
      <x:c r="H1059" s="65" t="str">
        <x:v>可选/加仓：若临场圣保罗退到受让+0.25且水位≥0.80，可加仓；若圣保罗平手降到低于0.80或升到-0.25低水，放弃追高。</x:v>
      </x:c>
      <x:c r="I1059" s="66" t="n">
        <x:v>46174.30496527778</x:v>
      </x:c>
      <x:c r="J1059" s="65" t="str">
        <x:v>已结算</x:v>
      </x:c>
      <x:c r="K1059" s="65" t="str">
        <x:v>1-0</x:v>
      </x:c>
      <x:c r="L1059" s="65" t="str">
        <x:v>输</x:v>
      </x:c>
      <x:c r="M1059" s="65" t="str">
        <x:v>输</x:v>
      </x:c>
      <x:c r="N1059" s="67" t="n">
        <x:v>-1</x:v>
      </x:c>
      <x:c r="O1059" s="67" t="n">
        <x:v>-1</x:v>
      </x:c>
      <x:c r="P1059" s="67" t="n">
        <x:f>IF(COUNT(N1059:O1059)=0,"",SUM(N1059:O1059))</x:f>
        <x:v>-2</x:v>
      </x:c>
      <x:c r="Q1059" s="65"/>
      <x:c r="R1059" s="65" t="str">
        <x:v>赛果1-0；让球输；大小球输。</x:v>
      </x:c>
    </x:row>
    <x:row r="1060" ht="38" customHeight="1">
      <x:c r="A1060" s="65" t="str">
        <x:f>IF(B1060="","",TEXT(B1060,"yyyy-mm-dd")&amp;"|"&amp;D1060&amp;"|"&amp;E1060)</x:f>
        <x:v>2026-06-01|克鲁塞罗（Cruzeiro）|弗鲁米嫩塞（Fluminense）</x:v>
      </x:c>
      <x:c r="B1060" s="66" t="n">
        <x:v>46174.3125</x:v>
      </x:c>
      <x:c r="C1060" s="65" t="str">
        <x:v>巴西甲（Serie A）</x:v>
      </x:c>
      <x:c r="D1060" s="65" t="str">
        <x:v>克鲁塞罗（Cruzeiro）</x:v>
      </x:c>
      <x:c r="E1060" s="65" t="str">
        <x:v>弗鲁米嫩塞（Fluminense）</x:v>
      </x:c>
      <x:c r="F1060" s="65" t="str">
        <x:v>克鲁塞罗 -0.5（参考水位约0.90；低于0.80不进单）</x:v>
      </x:c>
      <x:c r="G1060" s="65" t="str">
        <x:v>大 2.5（参考水位约0.90+；低于0.80不进单，小注）</x:v>
      </x:c>
      <x:c r="H1060" s="65" t="str">
        <x:v>可选/加仓：若临场退到克鲁塞罗 -0.25 且水位≥0.80，可加仓；若升到 -0.75 或主胜/让球降到低于0.80，放弃追高。</x:v>
      </x:c>
      <x:c r="I1060" s="66" t="n">
        <x:v>46174.2968287037</x:v>
      </x:c>
      <x:c r="J1060" s="65" t="str">
        <x:v>已结算</x:v>
      </x:c>
      <x:c r="K1060" s="65" t="str">
        <x:v>1-1</x:v>
      </x:c>
      <x:c r="L1060" s="65" t="str">
        <x:v>输</x:v>
      </x:c>
      <x:c r="M1060" s="65" t="str">
        <x:v>输</x:v>
      </x:c>
      <x:c r="N1060" s="67" t="n">
        <x:v>-1</x:v>
      </x:c>
      <x:c r="O1060" s="67" t="n">
        <x:v>-1</x:v>
      </x:c>
      <x:c r="P1060" s="67" t="n">
        <x:f>IF(COUNT(N1060:O1060)=0,"",SUM(N1060:O1060))</x:f>
        <x:v>-2</x:v>
      </x:c>
      <x:c r="Q1060" s="65"/>
      <x:c r="R1060" s="65" t="str">
        <x:v>赛果1-1；让球输；大小球输。</x:v>
      </x:c>
    </x:row>
    <x:row r="1061" ht="38" customHeight="1">
      <x:c r="A1061" s="65" t="str">
        <x:f>IF(B1061="","",TEXT(B1061,"yyyy-mm-dd")&amp;"|"&amp;D1061&amp;"|"&amp;E1061)</x:f>
        <x:v>2026-06-01|奥利恩特石油（Oriente Petrolero）|布鲁明（Blooming）</x:v>
      </x:c>
      <x:c r="B1061" s="66" t="n">
        <x:v>46174.166666666664</x:v>
      </x:c>
      <x:c r="C1061" s="65" t="str">
        <x:v>玻利维亚甲级联赛</x:v>
      </x:c>
      <x:c r="D1061" s="65" t="str">
        <x:v>奥利恩特石油（Oriente Petrolero）</x:v>
      </x:c>
      <x:c r="E1061" s="65" t="str">
        <x:v>布鲁明（Blooming）</x:v>
      </x:c>
      <x:c r="F1061" s="65" t="str">
        <x:v>奥利恩特石油 -0.5（亚洲让球/90分钟主胜，目标水位约0.90-0.98；若临场只能拿-0.25且水位≥0.80可替代，低于0.80不进单）</x:v>
      </x:c>
      <x:c r="G1061" s="65" t="str">
        <x:v>大2.5（亚洲大小球，目标水位约0.88-0.98；BTTS Yes若只有约0.50低水不进，低于0.80不进单）</x:v>
      </x:c>
      <x:c r="H1061" s="65" t="str">
        <x:v>小注，不加仓；德比战交锋波动大，若奥利恩特升到-0.75低水则放弃；若大2.5跌破0.80改观察</x:v>
      </x:c>
      <x:c r="I1061" s="66" t="n">
        <x:v>46173.96537037037</x:v>
      </x:c>
      <x:c r="J1061" s="65" t="str">
        <x:v>已结算</x:v>
      </x:c>
      <x:c r="K1061" s="65" t="str">
        <x:v>0-1</x:v>
      </x:c>
      <x:c r="L1061" s="65" t="str">
        <x:v>输</x:v>
      </x:c>
      <x:c r="M1061" s="65" t="str">
        <x:v>输</x:v>
      </x:c>
      <x:c r="N1061" s="67" t="n">
        <x:v>-1</x:v>
      </x:c>
      <x:c r="O1061" s="67" t="n">
        <x:v>-1</x:v>
      </x:c>
      <x:c r="P1061" s="67" t="n">
        <x:f>IF(COUNT(N1061:O1061)=0,"",SUM(N1061:O1061))</x:f>
        <x:v>-2</x:v>
      </x:c>
      <x:c r="Q1061" s="65"/>
      <x:c r="R1061" s="65" t="str">
        <x:v>赛果0-1；让球输；大小球输。</x:v>
      </x:c>
    </x:row>
    <x:row r="1062" ht="38" customHeight="1">
      <x:c r="A1062" s="65" t="str">
        <x:f>IF(B1062="","",TEXT(B1062,"yyyy-mm-dd")&amp;"|"&amp;D1062&amp;"|"&amp;E1062)</x:f>
        <x:v>2026-06-01|帕尔梅拉斯（Palmeiras）|沙佩科恩斯（Chapecoense）</x:v>
      </x:c>
      <x:c r="B1062" s="66" t="n">
        <x:v>46174.125</x:v>
      </x:c>
      <x:c r="C1062" s="65" t="str">
        <x:v>巴西甲（Serie A）</x:v>
      </x:c>
      <x:c r="D1062" s="65" t="str">
        <x:v>帕尔梅拉斯（Palmeiras）</x:v>
      </x:c>
      <x:c r="E1062" s="65" t="str">
        <x:v>沙佩科恩斯（Chapecoense）</x:v>
      </x:c>
      <x:c r="F1062" s="65" t="str">
        <x:v>帕尔梅拉斯 -1.5（亚洲让球，目标水位约0.90-0.95；低于0.80不进单）</x:v>
      </x:c>
      <x:c r="G1062" s="65" t="str">
        <x:v>小2.5（亚洲大小球，高水小注，目标水位约1.10-1.15；大2.5低水约0.65-0.70不追，低于0.80不进单）</x:v>
      </x:c>
      <x:c r="H1062" s="65" t="str">
        <x:v>小注，不加仓；若帕尔梅拉斯升到-1.75需水位≥1.05才考虑；若临场主队轮换明显则让球降级观察；小3/小3.25若水位≥0.80可替代小2.5</x:v>
      </x:c>
      <x:c r="I1062" s="66" t="n">
        <x:v>46173.98619212963</x:v>
      </x:c>
      <x:c r="J1062" s="65" t="str">
        <x:v>已结算</x:v>
      </x:c>
      <x:c r="K1062" s="65" t="str">
        <x:v>1-0</x:v>
      </x:c>
      <x:c r="L1062" s="65" t="str">
        <x:v>输</x:v>
      </x:c>
      <x:c r="M1062" s="65" t="str">
        <x:v>赢</x:v>
      </x:c>
      <x:c r="N1062" s="67" t="n">
        <x:v>-1</x:v>
      </x:c>
      <x:c r="O1062" s="67" t="n">
        <x:v>1</x:v>
      </x:c>
      <x:c r="P1062" s="67" t="n">
        <x:f>IF(COUNT(N1062:O1062)=0,"",SUM(N1062:O1062))</x:f>
        <x:v>0</x:v>
      </x:c>
      <x:c r="Q1062" s="65"/>
      <x:c r="R1062" s="65" t="str">
        <x:v>赛果1-0；让球输；大小球赢。</x:v>
      </x:c>
    </x:row>
    <x:row r="1063" ht="38" customHeight="1">
      <x:c r="A1063" s="65" t="str">
        <x:f>IF(B1063="","",TEXT(B1063,"yyyy-mm-dd")&amp;"|"&amp;D1063&amp;"|"&amp;E1063)</x:f>
        <x:v>2026-05-31|红牛布拉甘蒂诺（Red Bull Bragantino）|巴西国际（Internacional）</x:v>
      </x:c>
      <x:c r="B1063" s="66" t="n">
        <x:v>46173.916666666664</x:v>
      </x:c>
      <x:c r="C1063" s="65" t="str">
        <x:v>巴西甲（Serie A）</x:v>
      </x:c>
      <x:c r="D1063" s="65" t="str">
        <x:v>红牛布拉甘蒂诺（Red Bull Bragantino）</x:v>
      </x:c>
      <x:c r="E1063" s="65" t="str">
        <x:v>巴西国际（Internacional）</x:v>
      </x:c>
      <x:c r="F1063" s="65" t="str">
        <x:v>红牛布拉甘蒂诺 -0.25（亚洲让球，水位约0.86；低于0.80不进单）</x:v>
      </x:c>
      <x:c r="G1063" s="65" t="str">
        <x:v>大2.5（亚洲大小球，水位约1.00；小2.5约0.78低于0.80不进，低于0.80不进单）</x:v>
      </x:c>
      <x:c r="H1063" s="65" t="str">
        <x:v>小注，不加仓；若临场退到布拉甘蒂诺0盘但水位≥0.80可替代；若主队核心中前场确认缺席则让球降级观察</x:v>
      </x:c>
      <x:c r="I1063" s="66" t="n">
        <x:v>46173.8984375</x:v>
      </x:c>
      <x:c r="J1063" s="65" t="str">
        <x:v>已结算</x:v>
      </x:c>
      <x:c r="K1063" s="65" t="str">
        <x:v>3-1</x:v>
      </x:c>
      <x:c r="L1063" s="65" t="str">
        <x:v>赢</x:v>
      </x:c>
      <x:c r="M1063" s="65" t="str">
        <x:v>赢</x:v>
      </x:c>
      <x:c r="N1063" s="67" t="n">
        <x:v>1</x:v>
      </x:c>
      <x:c r="O1063" s="67" t="n">
        <x:v>1</x:v>
      </x:c>
      <x:c r="P1063" s="67" t="n">
        <x:f>IF(COUNT(N1063:O1063)=0,"",SUM(N1063:O1063))</x:f>
        <x:v>2</x:v>
      </x:c>
      <x:c r="Q1063" s="65"/>
      <x:c r="R1063" s="65" t="str">
        <x:v>赛果3-1；让球赢；大小球赢。</x:v>
      </x:c>
    </x:row>
    <x:row r="1064" ht="38" customHeight="1">
      <x:c r="A1064" s="65" t="str">
        <x:f>IF(B1064="","",TEXT(B1064,"yyyy-mm-dd")&amp;"|"&amp;D1064&amp;"|"&amp;E1064)</x:f>
        <x:v>2026-05-31|瓦斯特拉斯（Västerås SK）|哥德堡（IFK Göteborg）</x:v>
      </x:c>
      <x:c r="B1064" s="66" t="n">
        <x:v>46173.833333333336</x:v>
      </x:c>
      <x:c r="C1064" s="65" t="str">
        <x:v>瑞典超级联赛</x:v>
      </x:c>
      <x:c r="D1064" s="65" t="str">
        <x:v>瓦斯特拉斯（Västerås SK）</x:v>
      </x:c>
      <x:c r="E1064" s="65" t="str">
        <x:v>哥德堡（IFK Göteborg）</x:v>
      </x:c>
      <x:c r="F1064" s="65" t="str">
        <x:v>瓦斯特拉斯 -0.25（亚洲让球，目标水位约1.05-1.12；低于0.80不进单）</x:v>
      </x:c>
      <x:c r="G1064" s="65" t="str">
        <x:v>小2.5（亚洲大小球，目标水位约0.90-0.95；热门大2.5若水位约0.75-0.78则不追，低于0.80不进单）</x:v>
      </x:c>
      <x:c r="H1064" s="65" t="str">
        <x:v>小注，不加仓；若瓦斯特拉斯退到0盘且水位≥0.80可替代；BTTS Yes低水不进；若改大2.75需水位≥0.90才小注</x:v>
      </x:c>
      <x:c r="I1064" s="66" t="n">
        <x:v>46173.842569444445</x:v>
      </x:c>
      <x:c r="J1064" s="65" t="str">
        <x:v>已结算</x:v>
      </x:c>
      <x:c r="K1064" s="65" t="str">
        <x:v>4-5</x:v>
      </x:c>
      <x:c r="L1064" s="65" t="str">
        <x:v>输</x:v>
      </x:c>
      <x:c r="M1064" s="65" t="str">
        <x:v>输</x:v>
      </x:c>
      <x:c r="N1064" s="67" t="n">
        <x:v>-1</x:v>
      </x:c>
      <x:c r="O1064" s="67" t="n">
        <x:v>-1</x:v>
      </x:c>
      <x:c r="P1064" s="67" t="n">
        <x:f>IF(COUNT(N1064:O1064)=0,"",SUM(N1064:O1064))</x:f>
        <x:v>-2</x:v>
      </x:c>
      <x:c r="Q1064" s="65"/>
      <x:c r="R1064" s="65" t="str">
        <x:v>赛果4-5；让球输；大小球输。</x:v>
      </x:c>
    </x:row>
    <x:row r="1065" ht="38" customHeight="1">
      <x:c r="A1065" s="65" t="str">
        <x:f>IF(B1065="","",TEXT(B1065,"yyyy-mm-dd")&amp;"|"&amp;D1065&amp;"|"&amp;E1065)</x:f>
        <x:v>2026-05-31|代格福什（Degerfors IF）|布洛马波卡纳（IF Brommapojkarna）</x:v>
      </x:c>
      <x:c r="B1065" s="66" t="n">
        <x:v>46173.833333333336</x:v>
      </x:c>
      <x:c r="C1065" s="65" t="str">
        <x:v>瑞典超级联赛</x:v>
      </x:c>
      <x:c r="D1065" s="65" t="str">
        <x:v>代格福什（Degerfors IF）</x:v>
      </x:c>
      <x:c r="E1065" s="65" t="str">
        <x:v>布洛马波卡纳（IF Brommapojkarna）</x:v>
      </x:c>
      <x:c r="F1065" s="65" t="str">
        <x:v>布洛马波卡纳 +0.25（亚洲让球，目标水位约0.85-0.90；若只能拿到约0.74低水则放弃，低于0.80不进单）</x:v>
      </x:c>
      <x:c r="G1065" s="65" t="str">
        <x:v>大2.5（亚洲大小球，目标水位约0.90-0.95；低于0.80不进单）</x:v>
      </x:c>
      <x:c r="H1065" s="65" t="str">
        <x:v>小注，不加仓；若临场布洛马波卡纳退到0盘且水位≥0.90可替代；BTTS Yes低水不进</x:v>
      </x:c>
      <x:c r="I1065" s="66" t="n">
        <x:v>46173.84079861111</x:v>
      </x:c>
      <x:c r="J1065" s="65" t="str">
        <x:v>已结算</x:v>
      </x:c>
      <x:c r="K1065" s="65" t="str">
        <x:v>2-2</x:v>
      </x:c>
      <x:c r="L1065" s="65" t="str">
        <x:v>赢半</x:v>
      </x:c>
      <x:c r="M1065" s="65" t="str">
        <x:v>赢</x:v>
      </x:c>
      <x:c r="N1065" s="67" t="n">
        <x:v>0.5</x:v>
      </x:c>
      <x:c r="O1065" s="67" t="n">
        <x:v>1</x:v>
      </x:c>
      <x:c r="P1065" s="67" t="n">
        <x:f>IF(COUNT(N1065:O1065)=0,"",SUM(N1065:O1065))</x:f>
        <x:v>1.5</x:v>
      </x:c>
      <x:c r="Q1065" s="65"/>
      <x:c r="R1065" s="65" t="str">
        <x:v>赛果2-2；让球赢半；大小球赢。</x:v>
      </x:c>
    </x:row>
    <x:row r="1066" ht="38" customHeight="1">
      <x:c r="A1066" s="65" t="str">
        <x:f>IF(B1066="","",TEXT(B1066,"yyyy-mm-dd")&amp;"|"&amp;D1066&amp;"|"&amp;E1066)</x:f>
        <x:v>2026-05-31|赫根（BK Häcken）|哈马比（Hammarby IF）</x:v>
      </x:c>
      <x:c r="B1066" s="66" t="n">
        <x:v>46173.833333333336</x:v>
      </x:c>
      <x:c r="C1066" s="65" t="str">
        <x:v>瑞典超级联赛</x:v>
      </x:c>
      <x:c r="D1066" s="65" t="str">
        <x:v>赫根（BK Häcken）</x:v>
      </x:c>
      <x:c r="E1066" s="65" t="str">
        <x:v>哈马比（Hammarby IF）</x:v>
      </x:c>
      <x:c r="F1066" s="65" t="str">
        <x:v>赫根 0（平手盘/DNB，目标水位约1.00-1.05；若能拿到赫根+0.25且水位≥0.80可替代，低于0.80不进单）</x:v>
      </x:c>
      <x:c r="G1066" s="65" t="str">
        <x:v>小2.5（亚洲大小球，目标水位约1.15-1.25；若改小3需水位≥0.80，低于0.80不进单）</x:v>
      </x:c>
      <x:c r="H1066" s="65" t="str">
        <x:v>小注，不加仓；赫根+0.25若只有约0.75水位不进；大2.5低水约0.55不追；BTTS Yes低水不进</x:v>
      </x:c>
      <x:c r="I1066" s="66" t="n">
        <x:v>46173.839166666665</x:v>
      </x:c>
      <x:c r="J1066" s="65" t="str">
        <x:v>已结算</x:v>
      </x:c>
      <x:c r="K1066" s="65" t="str">
        <x:v>3-2</x:v>
      </x:c>
      <x:c r="L1066" s="65" t="str">
        <x:v>赢</x:v>
      </x:c>
      <x:c r="M1066" s="65" t="str">
        <x:v>输</x:v>
      </x:c>
      <x:c r="N1066" s="67" t="n">
        <x:v>1</x:v>
      </x:c>
      <x:c r="O1066" s="67" t="n">
        <x:v>-1</x:v>
      </x:c>
      <x:c r="P1066" s="67" t="n">
        <x:f>IF(COUNT(N1066:O1066)=0,"",SUM(N1066:O1066))</x:f>
        <x:v>0</x:v>
      </x:c>
      <x:c r="Q1066" s="65"/>
      <x:c r="R1066" s="65" t="str">
        <x:v>赛果3-2；让球赢；大小球输。</x:v>
      </x:c>
    </x:row>
    <x:row r="1067" ht="38" customHeight="1">
      <x:c r="A1067" s="65" t="str">
        <x:f>IF(B1067="","",TEXT(B1067,"yyyy-mm-dd")&amp;"|"&amp;D1067&amp;"|"&amp;E1067)</x:f>
        <x:v>2026-05-31|天津津门虎（Tianjin Jinmen Tiger）|大连英博（Dalian Yingbo FC）</x:v>
      </x:c>
      <x:c r="B1067" s="66" t="n">
        <x:v>46173.791666666664</x:v>
      </x:c>
      <x:c r="C1067" s="65" t="str">
        <x:v>中国足球超级联赛</x:v>
      </x:c>
      <x:c r="D1067" s="65" t="str">
        <x:v>天津津门虎（Tianjin Jinmen Tiger）</x:v>
      </x:c>
      <x:c r="E1067" s="65" t="str">
        <x:v>大连英博（Dalian Yingbo FC）</x:v>
      </x:c>
      <x:c r="F1067" s="65" t="str">
        <x:v>大连英博 -0.25（亚洲让球，目标水位约1.02；低于0.80不进单）</x:v>
      </x:c>
      <x:c r="G1067" s="65" t="str">
        <x:v>大2.5（亚洲大小球，目标水位约1.10；若只能买BTTS Yes则水位≥0.80才替代，低于0.80不进单）</x:v>
      </x:c>
      <x:c r="H1067" s="65" t="str">
        <x:v>小注，不加仓；大连0盘/DNB若水位低于0.80不进；若临场升到大连-0.5且水位≥1.05才小注替代</x:v>
      </x:c>
      <x:c r="I1067" s="66" t="n">
        <x:v>46173.79106481482</x:v>
      </x:c>
      <x:c r="J1067" s="65" t="str">
        <x:v>已结算</x:v>
      </x:c>
      <x:c r="K1067" s="65" t="str">
        <x:v>1-0</x:v>
      </x:c>
      <x:c r="L1067" s="65" t="str">
        <x:v>输</x:v>
      </x:c>
      <x:c r="M1067" s="65" t="str">
        <x:v>输</x:v>
      </x:c>
      <x:c r="N1067" s="67" t="n">
        <x:v>-1</x:v>
      </x:c>
      <x:c r="O1067" s="67" t="n">
        <x:v>-1</x:v>
      </x:c>
      <x:c r="P1067" s="67" t="n">
        <x:f>IF(COUNT(N1067:O1067)=0,"",SUM(N1067:O1067))</x:f>
        <x:v>-2</x:v>
      </x:c>
      <x:c r="Q1067" s="65"/>
      <x:c r="R1067" s="65" t="str">
        <x:v>赛果1-0；让球输；大小球输。</x:v>
      </x:c>
    </x:row>
    <x:row r="1068" ht="38" customHeight="1">
      <x:c r="A1068" s="65" t="str">
        <x:f>IF(B1068="","",TEXT(B1068,"yyyy-mm-dd")&amp;"|"&amp;D1068&amp;"|"&amp;E1068)</x:f>
        <x:v>2026-05-31|全南天龙（Jeonnam Dragons）|首尔衣恋（Seoul E-Land FC）</x:v>
      </x:c>
      <x:c r="B1068" s="66" t="n">
        <x:v>46173.645833333336</x:v>
      </x:c>
      <x:c r="C1068" s="65" t="str">
        <x:v>韩国K2联赛</x:v>
      </x:c>
      <x:c r="D1068" s="65" t="str">
        <x:v>全南天龙（Jeonnam Dragons）</x:v>
      </x:c>
      <x:c r="E1068" s="65" t="str">
        <x:v>首尔衣恋（Seoul E-Land FC）</x:v>
      </x:c>
      <x:c r="F1068" s="65" t="str">
        <x:v>首尔衣恋 -0.5（亚洲让球/90分钟客胜，目标水位约0.95-1.02；低于0.80不进单）</x:v>
      </x:c>
      <x:c r="G1068" s="65" t="str">
        <x:v>小2.5（亚洲大小球，目标水位约0.85-0.95；低于0.80不进单）</x:v>
      </x:c>
      <x:c r="H1068" s="65" t="str">
        <x:v>小注，不加仓；首尔衣恋0盘/DNB水位约0.44-0.49低于0.80不进；若临场降到首尔-0.25且水位≥0.80可替代；BTTS No水位≥0.90可作备选</x:v>
      </x:c>
      <x:c r="I1068" s="66" t="n">
        <x:v>46173.62391203704</x:v>
      </x:c>
      <x:c r="J1068" s="65" t="str">
        <x:v>已结算</x:v>
      </x:c>
      <x:c r="K1068" s="65" t="str">
        <x:v>0-1</x:v>
      </x:c>
      <x:c r="L1068" s="65" t="str">
        <x:v>赢</x:v>
      </x:c>
      <x:c r="M1068" s="65" t="str">
        <x:v>赢</x:v>
      </x:c>
      <x:c r="N1068" s="67" t="n">
        <x:v>1</x:v>
      </x:c>
      <x:c r="O1068" s="67" t="n">
        <x:v>1</x:v>
      </x:c>
      <x:c r="P1068" s="67" t="n">
        <x:f>IF(COUNT(N1068:O1068)=0,"",SUM(N1068:O1068))</x:f>
        <x:v>2</x:v>
      </x:c>
      <x:c r="Q1068" s="65"/>
      <x:c r="R1068" s="65" t="str">
        <x:v>赛果0-1；让球赢；大小球赢。</x:v>
      </x:c>
    </x:row>
    <x:row r="1069" ht="38" customHeight="1">
      <x:c r="A1069" s="65" t="str">
        <x:f>IF(B1069="","",TEXT(B1069,"yyyy-mm-dd")&amp;"|"&amp;D1069&amp;"|"&amp;E1069)</x:f>
        <x:v>2026-05-31|秋田蓝色闪电（Blaublitz Akita）|札幌冈萨多（Hokkaido Consadole Sapporo）</x:v>
      </x:c>
      <x:c r="B1069" s="66" t="n">
        <x:v>46173.541666666664</x:v>
      </x:c>
      <x:c r="C1069" s="65" t="str">
        <x:v>日职 明治安田J2·J3百年构想联赛</x:v>
      </x:c>
      <x:c r="D1069" s="65" t="str">
        <x:v>秋田蓝色闪电（Blaublitz Akita）</x:v>
      </x:c>
      <x:c r="E1069" s="65" t="str">
        <x:v>札幌冈萨多（Hokkaido Consadole Sapporo）</x:v>
      </x:c>
      <x:c r="F1069" s="65" t="str">
        <x:v>秋田蓝色闪电 -0.25（亚洲让球，目标水位约0.85-0.90；低于0.80不进单）</x:v>
      </x:c>
      <x:c r="G1069" s="65" t="str">
        <x:v>大2.25（亚洲大小球，目标水位约0.82-0.90；若只能买大2.5需水位≥0.95；低于0.80不进单）</x:v>
      </x:c>
      <x:c r="H1069" s="65" t="str">
        <x:v>小注，不加仓；若退到秋田0盘但水位低于0.80不追；BTTS Yes仅水位≥0.80可替代</x:v>
      </x:c>
      <x:c r="I1069" s="66" t="n">
        <x:v>46173.50834490741</x:v>
      </x:c>
      <x:c r="J1069" s="65" t="str">
        <x:v>已结算</x:v>
      </x:c>
      <x:c r="K1069" s="65" t="str">
        <x:v>1-1</x:v>
      </x:c>
      <x:c r="L1069" s="65" t="str">
        <x:v>输半</x:v>
      </x:c>
      <x:c r="M1069" s="65" t="str">
        <x:v>输半</x:v>
      </x:c>
      <x:c r="N1069" s="67" t="n">
        <x:v>-0.5</x:v>
      </x:c>
      <x:c r="O1069" s="67" t="n">
        <x:v>-0.5</x:v>
      </x:c>
      <x:c r="P1069" s="67" t="n">
        <x:f>IF(COUNT(N1069:O1069)=0,"",SUM(N1069:O1069))</x:f>
        <x:v>-1</x:v>
      </x:c>
      <x:c r="Q1069" s="65"/>
      <x:c r="R1069" s="65" t="str">
        <x:v>赛果1-1；让球输半；大小球输半。</x:v>
      </x:c>
    </x:row>
    <x:row r="1070" ht="38" customHeight="1">
      <x:c r="A1070" s="65" t="str">
        <x:f>IF(B1070="","",TEXT(B1070,"yyyy-mm-dd")&amp;"|"&amp;D1070&amp;"|"&amp;E1070)</x:f>
        <x:v>2026-05-31|哈依布拉瓦（坦皮科马德罗/Jaiba Brava）|特帕迪特兰（Tepatitlán FC）</x:v>
      </x:c>
      <x:c r="B1070" s="66" t="n">
        <x:v>46173.375</x:v>
      </x:c>
      <x:c r="C1070" s="65" t="str">
        <x:v>墨西哥甲级扩展联赛（Liga de Expansión MX）</x:v>
      </x:c>
      <x:c r="D1070" s="65" t="str">
        <x:v>哈依布拉瓦（坦皮科马德罗/Jaiba Brava）</x:v>
      </x:c>
      <x:c r="E1070" s="65" t="str">
        <x:v>特帕迪特兰（Tepatitlán FC）</x:v>
      </x:c>
      <x:c r="F1070" s="65" t="str">
        <x:v>哈依布拉瓦 -0.25（亚洲让球/90分钟，目标水位约0.85-0.95；低于0.80不进单，0盘低水不追）</x:v>
      </x:c>
      <x:c r="G1070" s="65" t="str">
        <x:v>大2.25（亚洲大小球，目标水位约0.85-0.95；若只能买大2.5需水位≥0.90，低于0.80不进单）</x:v>
      </x:c>
      <x:c r="H1070" s="65" t="str">
        <x:v>小注，不加仓；若临场主队升到-0.5且水位≥1.00可小注替代；小2.5低水约0.70不进</x:v>
      </x:c>
      <x:c r="I1070" s="66" t="n">
        <x:v>46173.38533564815</x:v>
      </x:c>
      <x:c r="J1070" s="65" t="str">
        <x:v>已结算</x:v>
      </x:c>
      <x:c r="K1070" s="65" t="str">
        <x:v>2-0</x:v>
      </x:c>
      <x:c r="L1070" s="65" t="str">
        <x:v>赢</x:v>
      </x:c>
      <x:c r="M1070" s="65" t="str">
        <x:v>输半</x:v>
      </x:c>
      <x:c r="N1070" s="67" t="n">
        <x:v>1</x:v>
      </x:c>
      <x:c r="O1070" s="67" t="n">
        <x:v>-0.5</x:v>
      </x:c>
      <x:c r="P1070" s="67" t="n">
        <x:f>IF(COUNT(N1070:O1070)=0,"",SUM(N1070:O1070))</x:f>
        <x:v>0.5</x:v>
      </x:c>
      <x:c r="Q1070" s="65"/>
      <x:c r="R1070" s="65" t="str">
        <x:v>90分钟赛果2-0（加时4-2、点球3-4不计入盘口）；让球赢；大小球输半。</x:v>
      </x:c>
    </x:row>
    <x:row r="1071" ht="38" customHeight="1">
      <x:c r="A1071" s="65" t="str">
        <x:f>IF(B1071="","",TEXT(B1071,"yyyy-mm-dd")&amp;"|"&amp;D1071&amp;"|"&amp;E1071)</x:f>
        <x:v>2026-05-31|拉瓜伊拉（Deportivo La Guaira）|卡贝略港学院（Academia Puerto Cabello）</x:v>
      </x:c>
      <x:c r="B1071" s="66" t="n">
        <x:v>46173.333333333336</x:v>
      </x:c>
      <x:c r="C1071" s="65" t="str">
        <x:v>委内瑞拉甲级联赛（Liga FUTVE）</x:v>
      </x:c>
      <x:c r="D1071" s="65" t="str">
        <x:v>拉瓜伊拉（Deportivo La Guaira）</x:v>
      </x:c>
      <x:c r="E1071" s="65" t="str">
        <x:v>卡贝略港学院（Academia Puerto Cabello）</x:v>
      </x:c>
      <x:c r="F1071" s="65" t="str">
        <x:v>卡贝略港学院 +0.25（亚洲让球，目标水位约0.85-0.95；低于0.80不进单）</x:v>
      </x:c>
      <x:c r="G1071" s="65" t="str">
        <x:v>小2.25（亚洲大小球，目标水位约0.82-0.90；若只能买小2.5低水低于0.80则放弃）</x:v>
      </x:c>
      <x:c r="H1071" s="65" t="str">
        <x:v>小注，不加仓；拉瓜伊拉0盘若水位低于0.80不进；BTTS No仅水位≥0.85作替代</x:v>
      </x:c>
      <x:c r="I1071" s="66" t="n">
        <x:v>46173.345243055555</x:v>
      </x:c>
      <x:c r="J1071" s="65" t="str">
        <x:v>已结算</x:v>
      </x:c>
      <x:c r="K1071" s="65" t="str">
        <x:v>0-2</x:v>
      </x:c>
      <x:c r="L1071" s="65" t="str">
        <x:v>赢</x:v>
      </x:c>
      <x:c r="M1071" s="65" t="str">
        <x:v>赢</x:v>
      </x:c>
      <x:c r="N1071" s="67" t="n">
        <x:v>1</x:v>
      </x:c>
      <x:c r="O1071" s="67" t="n">
        <x:v>1</x:v>
      </x:c>
      <x:c r="P1071" s="67" t="n">
        <x:f>IF(COUNT(N1071:O1071)=0,"",SUM(N1071:O1071))</x:f>
        <x:v>2</x:v>
      </x:c>
      <x:c r="Q1071" s="65"/>
      <x:c r="R1071" s="65" t="str">
        <x:v>赛果0-2；让球赢；大小球赢。</x:v>
      </x:c>
    </x:row>
    <x:row r="1072" ht="38" customHeight="1">
      <x:c r="A1072" s="65" t="str">
        <x:f>IF(B1072="","",TEXT(B1072,"yyyy-mm-dd")&amp;"|"&amp;D1072&amp;"|"&amp;E1072)</x:f>
        <x:v>2026-05-31|托卢卡（Toluca）|老虎大学（Tigres UANL）</x:v>
      </x:c>
      <x:c r="B1072" s="66" t="n">
        <x:v>46173.333333333336</x:v>
      </x:c>
      <x:c r="C1072" s="65" t="str">
        <x:v>中北美冠军杯（CONCACAF Champions Cup）</x:v>
      </x:c>
      <x:c r="D1072" s="65" t="str">
        <x:v>托卢卡（Toluca）</x:v>
      </x:c>
      <x:c r="E1072" s="65" t="str">
        <x:v>老虎大学（Tigres UANL）</x:v>
      </x:c>
      <x:c r="F1072" s="65" t="str">
        <x:v>托卢卡 -0.5（亚洲让球/90分钟，目标水位约0.88-0.95；低于0.80不进单，-0.75低水不追）</x:v>
      </x:c>
      <x:c r="G1072" s="65" t="str">
        <x:v>大2.25（亚洲大小球，目标水位约0.82-0.90；若只能买大2.5需水位≥0.90，低于0.80不进单）</x:v>
      </x:c>
      <x:c r="H1072" s="65" t="str">
        <x:v>小注，不加仓；可选托卢卡胜平负90分钟胜仅在赔率≥1.85时替代；若临场降到托卢卡-0.75低水则放弃</x:v>
      </x:c>
      <x:c r="I1072" s="66" t="n">
        <x:v>46173.31706018518</x:v>
      </x:c>
      <x:c r="J1072" s="65" t="str">
        <x:v>已结算</x:v>
      </x:c>
      <x:c r="K1072" s="65" t="str">
        <x:v>0-0</x:v>
      </x:c>
      <x:c r="L1072" s="65" t="str">
        <x:v>输</x:v>
      </x:c>
      <x:c r="M1072" s="65" t="str">
        <x:v>输</x:v>
      </x:c>
      <x:c r="N1072" s="67" t="n">
        <x:v>-1</x:v>
      </x:c>
      <x:c r="O1072" s="67" t="n">
        <x:v>-1</x:v>
      </x:c>
      <x:c r="P1072" s="67" t="n">
        <x:f>IF(COUNT(N1072:O1072)=0,"",SUM(N1072:O1072))</x:f>
        <x:v>-2</x:v>
      </x:c>
      <x:c r="Q1072" s="65"/>
      <x:c r="R1072" s="65" t="str">
        <x:v>90分钟赛果0-0（加时后1-1，点球6-5不计入盘口）；让球输；大小球输。</x:v>
      </x:c>
    </x:row>
    <x:row r="1073" ht="38" customHeight="1">
      <x:c r="A1073" s="65" t="str">
        <x:f>IF(B1073="","",TEXT(B1073,"yyyy-mm-dd")&amp;"|"&amp;D1073&amp;"|"&amp;E1073)</x:f>
        <x:v>2026-05-31|格雷米奥（Grêmio）|科林蒂安（Corinthians）</x:v>
      </x:c>
      <x:c r="B1073" s="66" t="n">
        <x:v>46173.1875</x:v>
      </x:c>
      <x:c r="C1073" s="65" t="str">
        <x:v>巴西甲（Serie A）</x:v>
      </x:c>
      <x:c r="D1073" s="65" t="str">
        <x:v>格雷米奥（Grêmio）</x:v>
      </x:c>
      <x:c r="E1073" s="65" t="str">
        <x:v>科林蒂安（Corinthians）</x:v>
      </x:c>
      <x:c r="F1073" s="65" t="str">
        <x:v>科林蒂安 0（平手盘/DNB，水位约0.90；低于0.80不进单）</x:v>
      </x:c>
      <x:c r="G1073" s="65" t="str">
        <x:v>小2.5（亚洲大小球，水位约1.00；低于0.80不进单）</x:v>
      </x:c>
      <x:c r="H1073" s="65" t="str">
        <x:v>小注，不加仓；若临场科林蒂安 +0.25 水位≥0.80可替代；BTTS No若低于0.80不进</x:v>
      </x:c>
      <x:c r="I1073" s="66" t="n">
        <x:v>46173.157488425924</x:v>
      </x:c>
      <x:c r="J1073" s="65" t="str">
        <x:v>已结算</x:v>
      </x:c>
      <x:c r="K1073" s="65" t="str">
        <x:v>1-3</x:v>
      </x:c>
      <x:c r="L1073" s="65" t="str">
        <x:v>赢</x:v>
      </x:c>
      <x:c r="M1073" s="65" t="str">
        <x:v>输</x:v>
      </x:c>
      <x:c r="N1073" s="67" t="n">
        <x:v>1</x:v>
      </x:c>
      <x:c r="O1073" s="67" t="n">
        <x:v>-1</x:v>
      </x:c>
      <x:c r="P1073" s="67" t="n">
        <x:f>IF(COUNT(N1073:O1073)=0,"",SUM(N1073:O1073))</x:f>
        <x:v>0</x:v>
      </x:c>
      <x:c r="Q1073" s="65"/>
      <x:c r="R1073" s="65" t="str">
        <x:v>赛果1-3；让球赢；大小球输。</x:v>
      </x:c>
    </x:row>
    <x:row r="1074" ht="38" customHeight="1">
      <x:c r="A1074" s="65" t="str">
        <x:f>IF(B1074="","",TEXT(B1074,"yyyy-mm-dd")&amp;"|"&amp;D1074&amp;"|"&amp;E1074)</x:f>
        <x:v>2026-05-31|巴拉纳竞技（Athletico Paranaense）|米拉索尔（Mirassol）</x:v>
      </x:c>
      <x:c r="B1074" s="66" t="n">
        <x:v>46173.125</x:v>
      </x:c>
      <x:c r="C1074" s="65" t="str">
        <x:v>巴西甲（Serie A）</x:v>
      </x:c>
      <x:c r="D1074" s="65" t="str">
        <x:v>巴拉纳竞技（Athletico Paranaense）</x:v>
      </x:c>
      <x:c r="E1074" s="65" t="str">
        <x:v>米拉索尔（Mirassol）</x:v>
      </x:c>
      <x:c r="F1074" s="65" t="str">
        <x:v>巴拉纳竞技 -0.5（亚洲让球；赛前水位约0.83，滚球约1.20；低于0.80不进单）</x:v>
      </x:c>
      <x:c r="G1074" s="65" t="str">
        <x:v>小1.5（滚球0-0且≤20分钟条件下，水位约1.12；若只能买小2.5低水约0.57则放弃）</x:v>
      </x:c>
      <x:c r="H1074" s="65" t="str">
        <x:v>小注，不加仓；若已超过20分钟或出现进球则大小球不追；巴拉纳竞技方向水位低于0.80放弃</x:v>
      </x:c>
      <x:c r="I1074" s="66" t="n">
        <x:v>46173.154444444444</x:v>
      </x:c>
      <x:c r="J1074" s="65" t="str">
        <x:v>已结算</x:v>
      </x:c>
      <x:c r="K1074" s="65" t="str">
        <x:v>1-0</x:v>
      </x:c>
      <x:c r="L1074" s="65" t="str">
        <x:v>赢</x:v>
      </x:c>
      <x:c r="M1074" s="65" t="str">
        <x:v>赢</x:v>
      </x:c>
      <x:c r="N1074" s="67" t="n">
        <x:v>1</x:v>
      </x:c>
      <x:c r="O1074" s="67" t="n">
        <x:v>1</x:v>
      </x:c>
      <x:c r="P1074" s="67" t="n">
        <x:f>IF(COUNT(N1074:O1074)=0,"",SUM(N1074:O1074))</x:f>
        <x:v>2</x:v>
      </x:c>
      <x:c r="Q1074" s="65"/>
      <x:c r="R1074" s="65" t="str">
        <x:v>赛果1-0；让球赢；大小球赢。</x:v>
      </x:c>
    </x:row>
    <x:row r="1075" ht="38" customHeight="1">
      <x:c r="A1075" s="65" t="str">
        <x:f>IF(B1075="","",TEXT(B1075,"yyyy-mm-dd")&amp;"|"&amp;D1075&amp;"|"&amp;E1075)</x:f>
        <x:v>2026-05-30|库奥皮奥（KuPS）|图尔库国际（FC Inter Turku）</x:v>
      </x:c>
      <x:c r="B1075" s="66" t="n">
        <x:v>46172.916666666664</x:v>
      </x:c>
      <x:c r="C1075" s="65" t="str">
        <x:v>芬兰超级联赛（Veikkausliiga）</x:v>
      </x:c>
      <x:c r="D1075" s="65" t="str">
        <x:v>库奥皮奥（KuPS）</x:v>
      </x:c>
      <x:c r="E1075" s="65" t="str">
        <x:v>图尔库国际（FC Inter Turku）</x:v>
      </x:c>
      <x:c r="F1075" s="65" t="str">
        <x:v>库奥皮奥 -0.25（亚洲让球，水位约0.90-1.00；低于0.80不进单）</x:v>
      </x:c>
      <x:c r="G1075" s="65" t="str">
        <x:v>大2.5（亚洲大小球，水位约1.00；低于0.80不进单）</x:v>
      </x:c>
      <x:c r="H1075" s="65" t="str">
        <x:v>小注，不加仓；若盘口退到库奥皮奥0且水位≥0.80可替换，低水0盘不追；双方进球可作备选</x:v>
      </x:c>
      <x:c r="I1075" s="66" t="n">
        <x:v>46172.926145833335</x:v>
      </x:c>
      <x:c r="J1075" s="65" t="str">
        <x:v>已结算</x:v>
      </x:c>
      <x:c r="K1075" s="65" t="str">
        <x:v>1-1</x:v>
      </x:c>
      <x:c r="L1075" s="65" t="str">
        <x:v>输半</x:v>
      </x:c>
      <x:c r="M1075" s="65" t="str">
        <x:v>输</x:v>
      </x:c>
      <x:c r="N1075" s="67" t="n">
        <x:v>-0.5</x:v>
      </x:c>
      <x:c r="O1075" s="67" t="n">
        <x:v>-1</x:v>
      </x:c>
      <x:c r="P1075" s="67" t="n">
        <x:f>IF(COUNT(N1075:O1075)=0,"",SUM(N1075:O1075))</x:f>
        <x:v>-1.5</x:v>
      </x:c>
      <x:c r="Q1075" s="65"/>
      <x:c r="R1075" s="65" t="str">
        <x:v>赛果1-1；让球输半；大小球输。</x:v>
      </x:c>
    </x:row>
    <x:row r="1076" ht="38" customHeight="1">
      <x:c r="A1076" s="65" t="str">
        <x:f>IF(B1076="","",TEXT(B1076,"yyyy-mm-dd")&amp;"|"&amp;D1076&amp;"|"&amp;E1076)</x:f>
        <x:v>2026-05-30|格尼斯坦（IF Gnistan）|赛那乔其（SJK Seinäjoki）</x:v>
      </x:c>
      <x:c r="B1076" s="66" t="n">
        <x:v>46172.916666666664</x:v>
      </x:c>
      <x:c r="C1076" s="65" t="str">
        <x:v>芬兰超级联赛（Veikkausliiga）</x:v>
      </x:c>
      <x:c r="D1076" s="65" t="str">
        <x:v>格尼斯坦（IF Gnistan）</x:v>
      </x:c>
      <x:c r="E1076" s="65" t="str">
        <x:v>赛那乔其（SJK Seinäjoki）</x:v>
      </x:c>
      <x:c r="F1076" s="65" t="str">
        <x:v>格尼斯坦 +0.25（亚洲让球，水位约0.80-0.85；低于0.80不进单）</x:v>
      </x:c>
      <x:c r="G1076" s="65" t="str">
        <x:v>大2.5（亚洲大小球，水位约0.85；低于0.80不进单）</x:v>
      </x:c>
      <x:c r="H1076" s="65" t="str">
        <x:v>不加仓；若临场升到大2.75需水位≥0.90才小注；赛那乔其方向仅观察</x:v>
      </x:c>
      <x:c r="I1076" s="66" t="n">
        <x:v>46172.92140046296</x:v>
      </x:c>
      <x:c r="J1076" s="65" t="str">
        <x:v>已结算</x:v>
      </x:c>
      <x:c r="K1076" s="65" t="str">
        <x:v>3-2</x:v>
      </x:c>
      <x:c r="L1076" s="65" t="str">
        <x:v>赢</x:v>
      </x:c>
      <x:c r="M1076" s="65" t="str">
        <x:v>赢</x:v>
      </x:c>
      <x:c r="N1076" s="67" t="n">
        <x:v>1</x:v>
      </x:c>
      <x:c r="O1076" s="67" t="n">
        <x:v>1</x:v>
      </x:c>
      <x:c r="P1076" s="67" t="n">
        <x:f>IF(COUNT(N1076:O1076)=0,"",SUM(N1076:O1076))</x:f>
        <x:v>2</x:v>
      </x:c>
      <x:c r="Q1076" s="65"/>
      <x:c r="R1076" s="65" t="str">
        <x:v>赛果3-2；让球赢；大小球赢。</x:v>
      </x:c>
    </x:row>
    <x:row r="1077" ht="38" customHeight="1">
      <x:c r="A1077" s="65" t="str">
        <x:f>IF(B1077="","",TEXT(B1077,"yyyy-mm-dd")&amp;"|"&amp;D1077&amp;"|"&amp;E1077)</x:f>
        <x:v>2026-05-30|索尔纳（AIK）|天狼星（IK Sirius）</x:v>
      </x:c>
      <x:c r="B1077" s="66" t="n">
        <x:v>46172.875</x:v>
      </x:c>
      <x:c r="C1077" s="65" t="str">
        <x:v>瑞典超级联赛</x:v>
      </x:c>
      <x:c r="D1077" s="65" t="str">
        <x:v>索尔纳（AIK）</x:v>
      </x:c>
      <x:c r="E1077" s="65" t="str">
        <x:v>天狼星（IK Sirius）</x:v>
      </x:c>
      <x:c r="F1077" s="65" t="str">
        <x:v>天狼星 -0.5（亚洲让球，水位约0.96；低于0.80不进单）</x:v>
      </x:c>
      <x:c r="G1077" s="65" t="str">
        <x:v>小3/3.5（替代大2.5低水；水位需≥0.85，低于0.80不进单）</x:v>
      </x:c>
      <x:c r="H1077" s="65" t="str">
        <x:v>不加仓；若只能买传统2.5盘，大2.5水位约0.66不进单，可观察双方进球是但低水不进单</x:v>
      </x:c>
      <x:c r="I1077" s="66" t="n">
        <x:v>46172.90238425926</x:v>
      </x:c>
      <x:c r="J1077" s="65" t="str">
        <x:v>已结算</x:v>
      </x:c>
      <x:c r="K1077" s="65" t="str">
        <x:v>0-3</x:v>
      </x:c>
      <x:c r="L1077" s="65" t="str">
        <x:v>赢</x:v>
      </x:c>
      <x:c r="M1077" s="65" t="str">
        <x:v>赢</x:v>
      </x:c>
      <x:c r="N1077" s="67" t="n">
        <x:v>1</x:v>
      </x:c>
      <x:c r="O1077" s="67" t="n">
        <x:v>1</x:v>
      </x:c>
      <x:c r="P1077" s="67" t="n">
        <x:f>IF(COUNT(N1077:O1077)=0,"",SUM(N1077:O1077))</x:f>
        <x:v>2</x:v>
      </x:c>
      <x:c r="Q1077" s="65"/>
      <x:c r="R1077" s="65" t="str">
        <x:v>赛果0-3；让球赢；大小球赢。</x:v>
      </x:c>
    </x:row>
    <x:row r="1078" ht="38" customHeight="1">
      <x:c r="A1078" s="65" t="str">
        <x:f>IF(B1078="","",TEXT(B1078,"yyyy-mm-dd")&amp;"|"&amp;D1078&amp;"|"&amp;E1078)</x:f>
        <x:v>2026-05-30|赫尔辛基（HJK）|玛丽港（IFK Mariehamn）</x:v>
      </x:c>
      <x:c r="B1078" s="66" t="n">
        <x:v>46172.833333333336</x:v>
      </x:c>
      <x:c r="C1078" s="65" t="str">
        <x:v>芬兰超级联赛（Veikkausliiga）</x:v>
      </x:c>
      <x:c r="D1078" s="65" t="str">
        <x:v>赫尔辛基（HJK）</x:v>
      </x:c>
      <x:c r="E1078" s="65" t="str">
        <x:v>玛丽港（IFK Mariehamn）</x:v>
      </x:c>
      <x:c r="F1078" s="65" t="str">
        <x:v>玛丽港 +2（亚洲让球，水位约0.81；低于0.80不进单）</x:v>
      </x:c>
      <x:c r="G1078" s="65" t="str">
        <x:v>大3.5（小注，水位约1.12；低于0.80不进单）</x:v>
      </x:c>
      <x:c r="H1078" s="65" t="str">
        <x:v>不加仓；可选赫尔辛基球队进球大2.5（仅水位≥0.90时考虑）</x:v>
      </x:c>
      <x:c r="I1078" s="66" t="n">
        <x:v>46172.838738425926</x:v>
      </x:c>
      <x:c r="J1078" s="65" t="str">
        <x:v>已结算</x:v>
      </x:c>
      <x:c r="K1078" s="65" t="str">
        <x:v>1-0</x:v>
      </x:c>
      <x:c r="L1078" s="65" t="str">
        <x:v>赢</x:v>
      </x:c>
      <x:c r="M1078" s="65" t="str">
        <x:v>输</x:v>
      </x:c>
      <x:c r="N1078" s="67" t="n">
        <x:v>1</x:v>
      </x:c>
      <x:c r="O1078" s="67" t="n">
        <x:v>-1</x:v>
      </x:c>
      <x:c r="P1078" s="67" t="n">
        <x:f>IF(COUNT(N1078:O1078)=0,"",SUM(N1078:O1078))</x:f>
        <x:v>0</x:v>
      </x:c>
      <x:c r="Q1078" s="65"/>
      <x:c r="R1078" s="65" t="str">
        <x:v>赛果1-0；让球赢；大小球输。</x:v>
      </x:c>
    </x:row>
    <x:row r="1079" ht="38" customHeight="1">
      <x:c r="A1079" s="65" t="str">
        <x:f>IF(B1079="","",TEXT(B1079,"yyyy-mm-dd")&amp;"|"&amp;D1079&amp;"|"&amp;E1079)</x:f>
        <x:v>2026-05-30|索伦托FC（Sorrento FC）|湾水市（Bayswater City）</x:v>
      </x:c>
      <x:c r="B1079" s="66" t="n">
        <x:v>46172.625</x:v>
      </x:c>
      <x:c r="C1079" s="65" t="str">
        <x:v>澳大利亚 维多利亚州超级联赛1（VPL1）</x:v>
      </x:c>
      <x:c r="D1079" s="65" t="str">
        <x:v>索伦托FC（Sorrento FC）</x:v>
      </x:c>
      <x:c r="E1079" s="65" t="str">
        <x:v>湾水市（Bayswater City）</x:v>
      </x:c>
      <x:c r="F1079" s="65" t="str">
        <x:v>湾水市 -1（亚洲让球，水位≥0.85才进；若只能-1.25需≥0.95并降级小注）</x:v>
      </x:c>
      <x:c r="G1079" s="65" t="str">
        <x:v>大3（亚洲大小，水位≥0.85才进；大2.5低水不进，若升到大3.25需≥1.00才可选）</x:v>
      </x:c>
      <x:c r="H1079" s="65" t="str">
        <x:v>小注；不加仓；若湾水市临场轮换前场或盘口升到-1.5低水，放弃让球；比分思路1-2/1-3/2-3</x:v>
      </x:c>
      <x:c r="I1079" s="66" t="n">
        <x:v>46172.63884259259</x:v>
      </x:c>
      <x:c r="J1079" s="65" t="str">
        <x:v>已结算</x:v>
      </x:c>
      <x:c r="K1079" s="65" t="str">
        <x:v>1-2</x:v>
      </x:c>
      <x:c r="L1079" s="65" t="str">
        <x:v>走水</x:v>
      </x:c>
      <x:c r="M1079" s="65" t="str">
        <x:v>走水</x:v>
      </x:c>
      <x:c r="N1079" s="67" t="n">
        <x:v>0</x:v>
      </x:c>
      <x:c r="O1079" s="67" t="n">
        <x:v>0</x:v>
      </x:c>
      <x:c r="P1079" s="67" t="n">
        <x:f>IF(COUNT(N1079:O1079)=0,"",SUM(N1079:O1079))</x:f>
        <x:v>0</x:v>
      </x:c>
      <x:c r="Q1079" s="65"/>
      <x:c r="R1079" s="65" t="str">
        <x:v>赛果1-2；让球走水；大小球走水。</x:v>
      </x:c>
    </x:row>
    <x:row r="1080" ht="38" customHeight="1">
      <x:c r="A1080" s="65" t="str">
        <x:f>IF(B1080="","",TEXT(B1080,"yyyy-mm-dd")&amp;"|"&amp;D1080&amp;"|"&amp;E1080)</x:f>
        <x:v>2026-05-30|大阪樱花（Cerezo Osaka）|FC东京（FC Tokyo）</x:v>
      </x:c>
      <x:c r="B1080" s="66" t="n">
        <x:v>46172.583333333336</x:v>
      </x:c>
      <x:c r="C1080" s="65" t="str">
        <x:v>日职联（J1 League）</x:v>
      </x:c>
      <x:c r="D1080" s="65" t="str">
        <x:v>大阪樱花（Cerezo Osaka）</x:v>
      </x:c>
      <x:c r="E1080" s="65" t="str">
        <x:v>FC东京（FC Tokyo）</x:v>
      </x:c>
      <x:c r="F1080" s="65" t="str">
        <x:v>FC东京 -0.25（亚洲让球，水位≥0.85才进；若只能-0.5需≥1.10且小注）</x:v>
      </x:c>
      <x:c r="G1080" s="65" t="str">
        <x:v>大3（亚洲大小，水位≥0.95优先，最低≥0.85才进；大2.5低水不进）</x:v>
      </x:c>
      <x:c r="H1080" s="65" t="str">
        <x:v>小注；不加仓；若临场FC东京退到平手低水则放弃让球，若大阪樱花前场轮换明显则大球降级观察</x:v>
      </x:c>
      <x:c r="I1080" s="66" t="n">
        <x:v>46172.58837962963</x:v>
      </x:c>
      <x:c r="J1080" s="65" t="str">
        <x:v>已结算</x:v>
      </x:c>
      <x:c r="K1080" s="65" t="str">
        <x:v>2-2</x:v>
      </x:c>
      <x:c r="L1080" s="65" t="str">
        <x:v>输半</x:v>
      </x:c>
      <x:c r="M1080" s="65" t="str">
        <x:v>赢</x:v>
      </x:c>
      <x:c r="N1080" s="67" t="n">
        <x:v>-0.5</x:v>
      </x:c>
      <x:c r="O1080" s="67" t="n">
        <x:v>1</x:v>
      </x:c>
      <x:c r="P1080" s="67" t="n">
        <x:f>IF(COUNT(N1080:O1080)=0,"",SUM(N1080:O1080))</x:f>
        <x:v>0.5</x:v>
      </x:c>
      <x:c r="Q1080" s="65"/>
      <x:c r="R1080" s="65" t="str">
        <x:v>赛果2-2；让球输半；大小球赢。</x:v>
      </x:c>
    </x:row>
    <x:row r="1081" ht="38" customHeight="1">
      <x:c r="A1081" s="65" t="str">
        <x:f>IF(B1081="","",TEXT(B1081,"yyyy-mm-dd")&amp;"|"&amp;D1081&amp;"|"&amp;E1081)</x:f>
        <x:v>2026-05-30|休城（Hume City）|南墨尔本（South Melbourne）</x:v>
      </x:c>
      <x:c r="B1081" s="66" t="n">
        <x:v>46172.5</x:v>
      </x:c>
      <x:c r="C1081" s="65" t="str">
        <x:v>澳大利亚 维多利亚州超级联赛1（VPL1）</x:v>
      </x:c>
      <x:c r="D1081" s="65" t="str">
        <x:v>休城（Hume City）</x:v>
      </x:c>
      <x:c r="E1081" s="65" t="str">
        <x:v>南墨尔本（South Melbourne）</x:v>
      </x:c>
      <x:c r="F1081" s="65" t="str">
        <x:v>休城 -0.25（亚洲让球，水位≥0.90才进；若只能休城0且低于0.80不进）</x:v>
      </x:c>
      <x:c r="G1081" s="65" t="str">
        <x:v>替代大小：双方进球 否（BTTS No，水位≥0.80才进；传统大2.5低水不进）</x:v>
      </x:c>
      <x:c r="H1081" s="65" t="str">
        <x:v>小注；不加仓；若休城升到-0.5低水或南墨尔本主力锋线完整且盘口退盘，放弃让球；比分思路2-0/3-0/2-1</x:v>
      </x:c>
      <x:c r="I1081" s="66" t="n">
        <x:v>46172.45040509259</x:v>
      </x:c>
      <x:c r="J1081" s="65" t="str">
        <x:v>已结算</x:v>
      </x:c>
      <x:c r="K1081" s="65" t="str">
        <x:v>1-1</x:v>
      </x:c>
      <x:c r="L1081" s="65" t="str">
        <x:v>输半</x:v>
      </x:c>
      <x:c r="M1081" s="65" t="str">
        <x:v>输</x:v>
      </x:c>
      <x:c r="N1081" s="67" t="n">
        <x:v>-0.5</x:v>
      </x:c>
      <x:c r="O1081" s="67" t="n">
        <x:v>-1</x:v>
      </x:c>
      <x:c r="P1081" s="67" t="n">
        <x:f>IF(COUNT(N1081:O1081)=0,"",SUM(N1081:O1081))</x:f>
        <x:v>-1.5</x:v>
      </x:c>
      <x:c r="Q1081" s="65"/>
      <x:c r="R1081" s="65" t="str">
        <x:v>赛果1-1；让球输半；大小球输（BTTS No未中）。</x:v>
      </x:c>
    </x:row>
    <x:row r="1082" ht="38" customHeight="1">
      <x:c r="A1082" s="65" t="str">
        <x:f>IF(B1082="","",TEXT(B1082,"yyyy-mm-dd")&amp;"|"&amp;D1082&amp;"|"&amp;E1082)</x:f>
        <x:v>2026-05-30|卡利竞技（Atlético FC / Atlético Cali）|百万富翁（Millonarios）</x:v>
      </x:c>
      <x:c r="B1082" s="66" t="n">
        <x:v>46172.381944444445</x:v>
      </x:c>
      <x:c r="C1082" s="65" t="str">
        <x:v>哥伦比亚杯（Copa Colombia）</x:v>
      </x:c>
      <x:c r="D1082" s="65" t="str">
        <x:v>卡利竞技（Atlético FC / Atlético Cali）</x:v>
      </x:c>
      <x:c r="E1082" s="65" t="str">
        <x:v>百万富翁（Millonarios）</x:v>
      </x:c>
      <x:c r="F1082" s="65" t="str">
        <x:v>卡利竞技 +1.75（亚洲让球，水位≥0.85才进；若只剩+1.5需≥0.90并降级小注）</x:v>
      </x:c>
      <x:c r="G1082" s="65" t="str">
        <x:v>小3（亚洲大小，水位≥0.90优先，最低≥0.80才进；大3低水不进）</x:v>
      </x:c>
      <x:c r="H1082" s="65" t="str">
        <x:v>小注；不加仓；若百万富翁主力前场全上且盘口退到-1.5高水，放弃受让；若卡利竞技早盘受让升到+2低水也不追</x:v>
      </x:c>
      <x:c r="I1082" s="66" t="n">
        <x:v>46172.35178240741</x:v>
      </x:c>
      <x:c r="J1082" s="65" t="str">
        <x:v>已结算</x:v>
      </x:c>
      <x:c r="K1082" s="65" t="str">
        <x:v>1-8</x:v>
      </x:c>
      <x:c r="L1082" s="65" t="str">
        <x:v>输</x:v>
      </x:c>
      <x:c r="M1082" s="65" t="str">
        <x:v>输</x:v>
      </x:c>
      <x:c r="N1082" s="67" t="n">
        <x:v>-1</x:v>
      </x:c>
      <x:c r="O1082" s="67" t="n">
        <x:v>-1</x:v>
      </x:c>
      <x:c r="P1082" s="67" t="n">
        <x:f>IF(COUNT(N1082:O1082)=0,"",SUM(N1082:O1082))</x:f>
        <x:v>-2</x:v>
      </x:c>
      <x:c r="Q1082" s="65"/>
      <x:c r="R1082" s="65" t="str">
        <x:v>赛果1-8；让球输；大小球输。</x:v>
      </x:c>
    </x:row>
    <x:row r="1083" ht="38" customHeight="1">
      <x:c r="A1083" s="65" t="str">
        <x:f>IF(B1083="","",TEXT(B1083,"yyyy-mm-dd")&amp;"|"&amp;D1083&amp;"|"&amp;E1083)</x:f>
        <x:v>2026-05-30|圣安东尼奥布鲁布鲁（San Antonio Bulo Bulo）|瓜比拉（Guabirá）</x:v>
      </x:c>
      <x:c r="B1083" s="66" t="n">
        <x:v>46172.125</x:v>
      </x:c>
      <x:c r="C1083" s="65" t="str">
        <x:v>玻利维亚甲级联赛</x:v>
      </x:c>
      <x:c r="D1083" s="65" t="str">
        <x:v>圣安东尼奥布鲁布鲁（San Antonio Bulo Bulo）</x:v>
      </x:c>
      <x:c r="E1083" s="65" t="str">
        <x:v>瓜比拉（Guabirá）</x:v>
      </x:c>
      <x:c r="F1083" s="65" t="str">
        <x:v>圣安东尼奥布鲁布鲁 -0.25（亚洲让球，水位≥0.80才进；若只能-0.5需≥0.85，小注）</x:v>
      </x:c>
      <x:c r="G1083" s="65" t="str">
        <x:v>大3（亚洲大小，水位≥0.85才进；大2.5低水不进，大3.25需≥0.95才可选）</x:v>
      </x:c>
      <x:c r="H1083" s="65" t="str">
        <x:v>小注；不加仓；若赛前主队锋线轮换或盘口降到主队低水-0.5以下，放弃让球，仅保留大球观察</x:v>
      </x:c>
      <x:c r="I1083" s="66" t="n">
        <x:v>46172.13034722222</x:v>
      </x:c>
      <x:c r="J1083" s="65" t="str">
        <x:v>已结算</x:v>
      </x:c>
      <x:c r="K1083" s="65" t="str">
        <x:v>1-2</x:v>
      </x:c>
      <x:c r="L1083" s="65" t="str">
        <x:v>输</x:v>
      </x:c>
      <x:c r="M1083" s="65" t="str">
        <x:v>走水</x:v>
      </x:c>
      <x:c r="N1083" s="67" t="n">
        <x:v>-1</x:v>
      </x:c>
      <x:c r="O1083" s="67" t="n">
        <x:v>0</x:v>
      </x:c>
      <x:c r="P1083" s="67" t="n">
        <x:f>IF(COUNT(N1083:O1083)=0,"",SUM(N1083:O1083))</x:f>
        <x:v>-1</x:v>
      </x:c>
      <x:c r="Q1083" s="65"/>
      <x:c r="R1083" s="65" t="str">
        <x:v>赛果1-2；让球输；大小球走水。</x:v>
      </x:c>
    </x:row>
    <x:row r="1084" ht="38" customHeight="1">
      <x:c r="A1084" s="65" t="str">
        <x:f>IF(B1084="","",TEXT(B1084,"yyyy-mm-dd")&amp;"|"&amp;D1084&amp;"|"&amp;E1084)</x:f>
        <x:v>2026-05-30|布兰（SK Brann）|萨普斯堡08（Sarpsborg 08）</x:v>
      </x:c>
      <x:c r="B1084" s="66" t="n">
        <x:v>46172.041666666664</x:v>
      </x:c>
      <x:c r="C1084" s="65" t="str">
        <x:v>挪威超级联赛（Eliteserien）</x:v>
      </x:c>
      <x:c r="D1084" s="65" t="str">
        <x:v>布兰（SK Brann）</x:v>
      </x:c>
      <x:c r="E1084" s="65" t="str">
        <x:v>萨普斯堡08（Sarpsborg 08）</x:v>
      </x:c>
      <x:c r="F1084" s="65" t="str">
        <x:v>萨普斯堡08 +1（亚洲让球，水位≥0.80才进；若降到+0.75低水则不进）</x:v>
      </x:c>
      <x:c r="G1084" s="65" t="str">
        <x:v>大3.5（总进球/亚洲大小，水位≥1.00优先，最低≥0.80才进；大2.5低水不进）</x:v>
      </x:c>
      <x:c r="H1084" s="65" t="str">
        <x:v>小注；不加仓；让球优先级高于大小球，若布兰首发锋线明显削弱则大小球放弃</x:v>
      </x:c>
      <x:c r="I1084" s="66" t="n">
        <x:v>46171.96532407407</x:v>
      </x:c>
      <x:c r="J1084" s="65" t="str">
        <x:v>已结算</x:v>
      </x:c>
      <x:c r="K1084" s="65" t="str">
        <x:v>1-2</x:v>
      </x:c>
      <x:c r="L1084" s="65" t="str">
        <x:v>赢</x:v>
      </x:c>
      <x:c r="M1084" s="65" t="str">
        <x:v>输</x:v>
      </x:c>
      <x:c r="N1084" s="67" t="n">
        <x:v>1</x:v>
      </x:c>
      <x:c r="O1084" s="67" t="n">
        <x:v>-1</x:v>
      </x:c>
      <x:c r="P1084" s="67" t="n">
        <x:f>IF(COUNT(N1084:O1084)=0,"",SUM(N1084:O1084))</x:f>
        <x:v>0</x:v>
      </x:c>
      <x:c r="Q1084" s="65"/>
      <x:c r="R1084" s="65" t="str">
        <x:v>赛果1-2；让球赢；大小球输。</x:v>
      </x:c>
    </x:row>
    <x:row r="1085" ht="38" customHeight="1">
      <x:c r="A1085" s="65" t="str">
        <x:f>IF(B1085="","",TEXT(B1085,"yyyy-mm-dd")&amp;"|"&amp;D1085&amp;"|"&amp;E1085)</x:f>
        <x:v>2026-05-29|悉尼FC青年队（Sydney FC Youth）|西悉尼流浪者青年队（Western Sydney Wanderers Youth）</x:v>
      </x:c>
      <x:c r="B1085" s="66" t="n">
        <x:v>46171.729166666664</x:v>
      </x:c>
      <x:c r="C1085" s="65" t="str">
        <x:v>澳大利亚 维多利亚州超级联赛1（VPL1）</x:v>
      </x:c>
      <x:c r="D1085" s="65" t="str">
        <x:v>悉尼FC青年队（Sydney FC Youth）</x:v>
      </x:c>
      <x:c r="E1085" s="65" t="str">
        <x:v>西悉尼流浪者青年队（Western Sydney Wanderers Youth）</x:v>
      </x:c>
      <x:c r="F1085" s="65" t="str">
        <x:v>西悉尼流浪者青年队 +0（平手盘，水位≥0.80才进；若降到-0.25低水则不进）</x:v>
      </x:c>
      <x:c r="G1085" s="65" t="str">
        <x:v>大2.5（亚洲大小，水位≥0.80才进；大3/3.25低水不追）</x:v>
      </x:c>
      <x:c r="H1085" s="65" t="str">
        <x:v>小注；不加仓；若临场首发前场轮换严重，大小球降级观察</x:v>
      </x:c>
      <x:c r="I1085" s="66" t="n">
        <x:v>46171.73416666667</x:v>
      </x:c>
      <x:c r="J1085" s="65" t="str">
        <x:v>已结算</x:v>
      </x:c>
      <x:c r="K1085" s="65" t="str">
        <x:v>0-6</x:v>
      </x:c>
      <x:c r="L1085" s="65" t="str">
        <x:v>赢</x:v>
      </x:c>
      <x:c r="M1085" s="65" t="str">
        <x:v>赢</x:v>
      </x:c>
      <x:c r="N1085" s="67" t="n">
        <x:v>1</x:v>
      </x:c>
      <x:c r="O1085" s="67" t="n">
        <x:v>1</x:v>
      </x:c>
      <x:c r="P1085" s="67" t="n">
        <x:f>IF(COUNT(N1085:O1085)=0,"",SUM(N1085:O1085))</x:f>
        <x:v>2</x:v>
      </x:c>
      <x:c r="Q1085" s="65"/>
      <x:c r="R1085" s="65" t="str">
        <x:v>赛果0-6；让球赢；大小球赢。</x:v>
      </x:c>
    </x:row>
    <x:row r="1086" ht="38" customHeight="1">
      <x:c r="A1086" s="65" t="str">
        <x:f>IF(B1086="","",TEXT(B1086,"yyyy-mm-dd")&amp;"|"&amp;D1086&amp;"|"&amp;E1086)</x:f>
        <x:v>2026-05-29|海德堡联（Heidelberg United）|丹德农迅雷（Dandenong Thunder）</x:v>
      </x:c>
      <x:c r="B1086" s="66" t="n">
        <x:v>46171.729166666664</x:v>
      </x:c>
      <x:c r="C1086" s="65" t="str">
        <x:v>澳大利亚 维多利亚州超级联赛1（VPL1）</x:v>
      </x:c>
      <x:c r="D1086" s="65" t="str">
        <x:v>海德堡联（Heidelberg United）</x:v>
      </x:c>
      <x:c r="E1086" s="65" t="str">
        <x:v>丹德农迅雷（Dandenong Thunder）</x:v>
      </x:c>
      <x:c r="F1086" s="65" t="str">
        <x:v>海德堡联 -1（亚洲让球，水位≥0.80才进）</x:v>
      </x:c>
      <x:c r="G1086" s="65" t="str">
        <x:v>替代大小：双方进球 否（BTTS No，水位≥0.80；传统小3.5低水不进）</x:v>
      </x:c>
      <x:c r="H1086" s="65" t="str">
        <x:v>小注；不加仓；海德堡联-1.25仅在≥0.90且首发完整时可选，不与-1叠加</x:v>
      </x:c>
      <x:c r="I1086" s="66" t="n">
        <x:v>46171.722546296296</x:v>
      </x:c>
      <x:c r="J1086" s="65" t="str">
        <x:v>已结算</x:v>
      </x:c>
      <x:c r="K1086" s="65" t="str">
        <x:v>4-2</x:v>
      </x:c>
      <x:c r="L1086" s="65" t="str">
        <x:v>赢</x:v>
      </x:c>
      <x:c r="M1086" s="65" t="str">
        <x:v>输</x:v>
      </x:c>
      <x:c r="N1086" s="67" t="n">
        <x:v>1</x:v>
      </x:c>
      <x:c r="O1086" s="67" t="n">
        <x:v>-1</x:v>
      </x:c>
      <x:c r="P1086" s="67" t="n">
        <x:f>IF(COUNT(N1086:O1086)=0,"",SUM(N1086:O1086))</x:f>
        <x:v>0</x:v>
      </x:c>
      <x:c r="Q1086" s="65"/>
      <x:c r="R1086" s="65" t="str">
        <x:v>赛果4-2；让球赢；大小球输（BTTS No未中）。</x:v>
      </x:c>
    </x:row>
    <x:row r="1087" ht="38" customHeight="1">
      <x:c r="A1087" s="65" t="str">
        <x:f>IF(B1087="","",TEXT(B1087,"yyyy-mm-dd")&amp;"|"&amp;D1087&amp;"|"&amp;E1087)</x:f>
        <x:v>2026-05-29|卡利美洲（América de Cali）|马卡拉（CSD Macará）</x:v>
      </x:c>
      <x:c r="B1087" s="66" t="n">
        <x:v>46171.354166666664</x:v>
      </x:c>
      <x:c r="C1087" s="65" t="str">
        <x:v>南美杯（Copa Sudamericana）资格赛</x:v>
      </x:c>
      <x:c r="D1087" s="65" t="str">
        <x:v>卡利美洲（América de Cali）</x:v>
      </x:c>
      <x:c r="E1087" s="65" t="str">
        <x:v>马卡拉（CSD Macará）</x:v>
      </x:c>
      <x:c r="F1087" s="65" t="str">
        <x:v>马卡拉 +0.75，进行中盘，水位≥0.85；低于0.80不进单</x:v>
      </x:c>
      <x:c r="G1087" s="65" t="str">
        <x:v>小2.25，进行中盘，水位≥0.85；低于0.80不进单</x:v>
      </x:c>
      <x:c r="H1087" s="65" t="str">
        <x:v>进行中补录，非赛前冻结；主推马卡拉+0.75，小2.25只小注；若只能拿到马卡拉+1.5低水或小2.5低水则放弃，不加仓</x:v>
      </x:c>
      <x:c r="I1087" s="66" t="n">
        <x:v>46171.36739583333</x:v>
      </x:c>
      <x:c r="J1087" s="65" t="str">
        <x:v>已结算</x:v>
      </x:c>
      <x:c r="K1087" s="65" t="str">
        <x:v>0-0</x:v>
      </x:c>
      <x:c r="L1087" s="65" t="str">
        <x:v>赢</x:v>
      </x:c>
      <x:c r="M1087" s="65" t="str">
        <x:v>赢</x:v>
      </x:c>
      <x:c r="N1087" s="67" t="n">
        <x:v>1</x:v>
      </x:c>
      <x:c r="O1087" s="67" t="n">
        <x:v>1</x:v>
      </x:c>
      <x:c r="P1087" s="67" t="n">
        <x:f>IF(COUNT(N1087:O1087)=0,"",SUM(N1087:O1087))</x:f>
        <x:v>2</x:v>
      </x:c>
      <x:c r="Q1087" s="65"/>
      <x:c r="R1087" s="65" t="str">
        <x:v>赛果0-0；让球赢；大小球赢。</x:v>
      </x:c>
    </x:row>
    <x:row r="1088" ht="38" customHeight="1">
      <x:c r="A1088" s="65" t="str">
        <x:f>IF(B1088="","",TEXT(B1088,"yyyy-mm-dd")&amp;"|"&amp;D1088&amp;"|"&amp;E1088)</x:f>
        <x:v>2026-05-29|波特诺山丘（Cerro Porteño）|水晶竞技（Sporting Cristal）</x:v>
      </x:c>
      <x:c r="B1088" s="66" t="n">
        <x:v>46171.25</x:v>
      </x:c>
      <x:c r="C1088" s="65" t="str">
        <x:v>南美解放者杯</x:v>
      </x:c>
      <x:c r="D1088" s="65" t="str">
        <x:v>波特诺山丘（Cerro Porteño）</x:v>
      </x:c>
      <x:c r="E1088" s="65" t="str">
        <x:v>水晶竞技（Sporting Cristal）</x:v>
      </x:c>
      <x:c r="F1088" s="65" t="str">
        <x:v>水晶竞技 +0.75，参考欧赔约2.02/港水约1.02；低于0.80不进单</x:v>
      </x:c>
      <x:c r="G1088" s="65" t="str">
        <x:v>大2.5，小注，参考欧赔约2.08/港水约1.08；低于0.80不进单</x:v>
      </x:c>
      <x:c r="H1088" s="65" t="str">
        <x:v>主推受让方向；波特诺山丘-0.75当前约1.78/港水0.78不进单，若返到≥0.82仅观察；大小球小注，不加仓</x:v>
      </x:c>
      <x:c r="I1088" s="66" t="n">
        <x:v>46171.23971064815</x:v>
      </x:c>
      <x:c r="J1088" s="65" t="str">
        <x:v>已结算</x:v>
      </x:c>
      <x:c r="K1088" s="65" t="str">
        <x:v>2-0</x:v>
      </x:c>
      <x:c r="L1088" s="65" t="str">
        <x:v>输</x:v>
      </x:c>
      <x:c r="M1088" s="65" t="str">
        <x:v>输</x:v>
      </x:c>
      <x:c r="N1088" s="67" t="n">
        <x:v>-1</x:v>
      </x:c>
      <x:c r="O1088" s="67" t="n">
        <x:v>-1</x:v>
      </x:c>
      <x:c r="P1088" s="67" t="n">
        <x:f>IF(COUNT(N1088:O1088)=0,"",SUM(N1088:O1088))</x:f>
        <x:v>-2</x:v>
      </x:c>
      <x:c r="Q1088" s="65"/>
      <x:c r="R1088" s="65" t="str">
        <x:v>赛果2-0；让球输；大小球输。</x:v>
      </x:c>
    </x:row>
    <x:row r="1089" ht="38" customHeight="1">
      <x:c r="A1089" s="65" t="str">
        <x:f>IF(B1089="","",TEXT(B1089,"yyyy-mm-dd")&amp;"|"&amp;D1089&amp;"|"&amp;E1089)</x:f>
        <x:v>2026-05-28|佩纳罗尔（Peñarol）|圣塔菲独立（Independiente Santa Fe）</x:v>
      </x:c>
      <x:c r="B1089" s="66" t="n">
        <x:v>46170.354166666664</x:v>
      </x:c>
      <x:c r="C1089" s="65" t="str">
        <x:v>南美解放者杯</x:v>
      </x:c>
      <x:c r="D1089" s="65" t="str">
        <x:v>佩纳罗尔（Peñarol）</x:v>
      </x:c>
      <x:c r="E1089" s="65" t="str">
        <x:v>圣塔菲独立（Independiente Santa Fe）</x:v>
      </x:c>
      <x:c r="F1089" s="65" t="str">
        <x:v>圣塔菲独立 +0.25，进行中盘，水位≥0.85；低于0.80不进单</x:v>
      </x:c>
      <x:c r="G1089" s="65" t="str">
        <x:v>小2/小2.25，进行中盘，水位≥0.85；低于0.80不进单</x:v>
      </x:c>
      <x:c r="H1089" s="65" t="str">
        <x:v>进行中补录，非赛前冻结；主推圣塔菲独立+0.25，小球只小注；若只能拿到圣塔菲+0.5低水或小2低于0.80则放弃，不加仓</x:v>
      </x:c>
      <x:c r="I1089" s="66" t="n">
        <x:v>46170.37409722222</x:v>
      </x:c>
      <x:c r="J1089" s="65" t="str">
        <x:v>已结算</x:v>
      </x:c>
      <x:c r="K1089" s="65" t="str">
        <x:v>0-1</x:v>
      </x:c>
      <x:c r="L1089" s="65" t="str">
        <x:v>赢</x:v>
      </x:c>
      <x:c r="M1089" s="65" t="str">
        <x:v>赢</x:v>
      </x:c>
      <x:c r="N1089" s="67" t="n">
        <x:v>1</x:v>
      </x:c>
      <x:c r="O1089" s="67" t="n">
        <x:v>1</x:v>
      </x:c>
      <x:c r="P1089" s="67" t="n">
        <x:f>IF(COUNT(N1089:O1089)=0,"",SUM(N1089:O1089))</x:f>
        <x:v>2</x:v>
      </x:c>
      <x:c r="Q1089" s="65"/>
      <x:c r="R1089" s="65" t="str">
        <x:v>赛果0-1；让球赢；大小球赢。</x:v>
      </x:c>
    </x:row>
    <x:row r="1090" ht="38" customHeight="1">
      <x:c r="A1090" s="65" t="str">
        <x:f>IF(B1090="","",TEXT(B1090,"yyyy-mm-dd")&amp;"|"&amp;D1090&amp;"|"&amp;E1090)</x:f>
        <x:v>2026-05-28|弗鲁米嫩塞（Fluminense）|拉瓜伊拉体育（Deportivo La Guaira）</x:v>
      </x:c>
      <x:c r="B1090" s="66" t="n">
        <x:v>46170.354166666664</x:v>
      </x:c>
      <x:c r="C1090" s="65" t="str">
        <x:v>南美解放者杯</x:v>
      </x:c>
      <x:c r="D1090" s="65" t="str">
        <x:v>弗鲁米嫩塞（Fluminense）</x:v>
      </x:c>
      <x:c r="E1090" s="65" t="str">
        <x:v>拉瓜伊拉体育（Deportivo La Guaira）</x:v>
      </x:c>
      <x:c r="F1090" s="65" t="str">
        <x:v>拉瓜伊拉体育 +2.5，进行中盘，参考美赔+105/港水约1.05；低于0.80不进单</x:v>
      </x:c>
      <x:c r="G1090" s="65" t="str">
        <x:v>小3.5，小注，进行中盘，参考美赔+106/港水约1.06；低于0.80不进单</x:v>
      </x:c>
      <x:c r="H1090" s="65" t="str">
        <x:v>进行中补录，非赛前冻结；主推受让+2.5，小3.5只小注；若只能拿到弗鲁米嫩塞-2.5低水或大3.5低水则放弃，不加仓</x:v>
      </x:c>
      <x:c r="I1090" s="66" t="n">
        <x:v>46170.370358796295</x:v>
      </x:c>
      <x:c r="J1090" s="65" t="str">
        <x:v>已结算</x:v>
      </x:c>
      <x:c r="K1090" s="65" t="str">
        <x:v>3-1</x:v>
      </x:c>
      <x:c r="L1090" s="65" t="str">
        <x:v>赢</x:v>
      </x:c>
      <x:c r="M1090" s="65" t="str">
        <x:v>输</x:v>
      </x:c>
      <x:c r="N1090" s="67" t="n">
        <x:v>1</x:v>
      </x:c>
      <x:c r="O1090" s="67" t="n">
        <x:v>-1</x:v>
      </x:c>
      <x:c r="P1090" s="67" t="n">
        <x:f>IF(COUNT(N1090:O1090)=0,"",SUM(N1090:O1090))</x:f>
        <x:v>0</x:v>
      </x:c>
      <x:c r="Q1090" s="65"/>
      <x:c r="R1090" s="65" t="str">
        <x:v>赛果3-1；让球赢；大小球输。</x:v>
      </x:c>
    </x:row>
    <x:row r="1091" ht="38" customHeight="1">
      <x:c r="A1091" s="65" t="str">
        <x:f>IF(B1091="","",TEXT(B1091,"yyyy-mm-dd")&amp;"|"&amp;D1091&amp;"|"&amp;E1091)</x:f>
        <x:v>2026-05-28|科林蒂安（Corinthians）|普拉腾斯（Club Atlético Platense）</x:v>
      </x:c>
      <x:c r="B1091" s="66" t="n">
        <x:v>46170.354166666664</x:v>
      </x:c>
      <x:c r="C1091" s="65" t="str">
        <x:v>南美解放者杯</x:v>
      </x:c>
      <x:c r="D1091" s="65" t="str">
        <x:v>科林蒂安（Corinthians）</x:v>
      </x:c>
      <x:c r="E1091" s="65" t="str">
        <x:v>普拉腾斯（Club Atlético Platense）</x:v>
      </x:c>
      <x:c r="F1091" s="65" t="str">
        <x:v>科林蒂安 -0.75，进行中盘，水位≥0.85；低于0.80不进单</x:v>
      </x:c>
      <x:c r="G1091" s="65" t="str">
        <x:v>小2.75/小3，进行中盘，水位≥0.80；低于0.80不进单</x:v>
      </x:c>
      <x:c r="H1091" s="65" t="str">
        <x:v>进行中补录，非赛前冻结；只小注，不加仓；若只能拿到科林蒂安-1低水或-1.25则放弃</x:v>
      </x:c>
      <x:c r="I1091" s="66" t="n">
        <x:v>46170.36284722222</x:v>
      </x:c>
      <x:c r="J1091" s="65" t="str">
        <x:v>已结算</x:v>
      </x:c>
      <x:c r="K1091" s="65" t="str">
        <x:v>0-2</x:v>
      </x:c>
      <x:c r="L1091" s="65" t="str">
        <x:v>输</x:v>
      </x:c>
      <x:c r="M1091" s="65" t="str">
        <x:v>赢</x:v>
      </x:c>
      <x:c r="N1091" s="67" t="n">
        <x:v>-1</x:v>
      </x:c>
      <x:c r="O1091" s="67" t="n">
        <x:v>1</x:v>
      </x:c>
      <x:c r="P1091" s="67" t="n">
        <x:f>IF(COUNT(N1091:O1091)=0,"",SUM(N1091:O1091))</x:f>
        <x:v>0</x:v>
      </x:c>
      <x:c r="Q1091" s="65"/>
      <x:c r="R1091" s="65" t="str">
        <x:v>赛果0-2；让球输；大小球赢。</x:v>
      </x:c>
    </x:row>
    <x:row r="1092" ht="38" customHeight="1">
      <x:c r="A1092" s="65" t="str">
        <x:f>IF(B1092="","",TEXT(B1092,"yyyy-mm-dd")&amp;"|"&amp;D1092&amp;"|"&amp;E1092)</x:f>
        <x:v>2026-05-28|玻利瓦尔（Bolívar）|门多萨独立（Independiente Rivadavia）</x:v>
      </x:c>
      <x:c r="B1092" s="66" t="n">
        <x:v>46170.354166666664</x:v>
      </x:c>
      <x:c r="C1092" s="65" t="str">
        <x:v>南美解放者杯</x:v>
      </x:c>
      <x:c r="D1092" s="65" t="str">
        <x:v>玻利瓦尔（Bolívar）</x:v>
      </x:c>
      <x:c r="E1092" s="65" t="str">
        <x:v>门多萨独立（Independiente Rivadavia）</x:v>
      </x:c>
      <x:c r="F1092" s="65" t="str">
        <x:v>玻利瓦尔 0（平手/DNB），参考均水约1.91；低于0.80不进单</x:v>
      </x:c>
      <x:c r="G1092" s="65" t="str">
        <x:v>小2.5，参考均水约1.98；低于0.80不进单</x:v>
      </x:c>
      <x:c r="H1092" s="65" t="str">
        <x:v>主推玻利瓦尔0；若临场能拿到玻利瓦尔-0.25且水位≥0.90可小注替代，低于0.80放弃；大小球小注，不加仓</x:v>
      </x:c>
      <x:c r="I1092" s="66" t="n">
        <x:v>46170.34091435185</x:v>
      </x:c>
      <x:c r="J1092" s="65" t="str">
        <x:v>已结算</x:v>
      </x:c>
      <x:c r="K1092" s="65" t="str">
        <x:v>1-3</x:v>
      </x:c>
      <x:c r="L1092" s="65" t="str">
        <x:v>输</x:v>
      </x:c>
      <x:c r="M1092" s="65" t="str">
        <x:v>输</x:v>
      </x:c>
      <x:c r="N1092" s="67" t="n">
        <x:v>-1</x:v>
      </x:c>
      <x:c r="O1092" s="67" t="n">
        <x:v>-1</x:v>
      </x:c>
      <x:c r="P1092" s="67" t="n">
        <x:f>IF(COUNT(N1092:O1092)=0,"",SUM(N1092:O1092))</x:f>
        <x:v>-2</x:v>
      </x:c>
      <x:c r="Q1092" s="65"/>
      <x:c r="R1092" s="65" t="str">
        <x:v>赛果1-3；让球输；大小球输。</x:v>
      </x:c>
    </x:row>
    <x:row r="1093" ht="38" customHeight="1">
      <x:c r="A1093" s="65" t="str">
        <x:f>IF(B1093="","",TEXT(B1093,"yyyy-mm-dd")&amp;"|"&amp;D1093&amp;"|"&amp;E1093)</x:f>
        <x:v>2026-05-28|山谷独立（Independiente del Valle）|罗萨里奥中央（Rosario Central）</x:v>
      </x:c>
      <x:c r="B1093" s="66" t="n">
        <x:v>46170.25</x:v>
      </x:c>
      <x:c r="C1093" s="65" t="str">
        <x:v>南美解放者杯</x:v>
      </x:c>
      <x:c r="D1093" s="65" t="str">
        <x:v>山谷独立（Independiente del Valle）</x:v>
      </x:c>
      <x:c r="E1093" s="65" t="str">
        <x:v>罗萨里奥中央（Rosario Central）</x:v>
      </x:c>
      <x:c r="F1093" s="65" t="str">
        <x:v>罗萨里奥中央 +0.25，参考欧赔约1.98/港水约0.98；低于0.80不进单</x:v>
      </x:c>
      <x:c r="G1093" s="65" t="str">
        <x:v>大2.5，小注，参考欧赔约2.20/港水约1.20；低于0.80不进单</x:v>
      </x:c>
      <x:c r="H1093" s="65" t="str">
        <x:v>主推受让方向；大小球只小注。若只能拿到罗萨里奥中央+0或低于0.80水位则放弃；不加仓</x:v>
      </x:c>
      <x:c r="I1093" s="66" t="n">
        <x:v>46170.26175925926</x:v>
      </x:c>
      <x:c r="J1093" s="65" t="str">
        <x:v>已结算</x:v>
      </x:c>
      <x:c r="K1093" s="65" t="str">
        <x:v>1-0</x:v>
      </x:c>
      <x:c r="L1093" s="65" t="str">
        <x:v>输半</x:v>
      </x:c>
      <x:c r="M1093" s="65" t="str">
        <x:v>输</x:v>
      </x:c>
      <x:c r="N1093" s="67" t="n">
        <x:v>-0.5</x:v>
      </x:c>
      <x:c r="O1093" s="67" t="n">
        <x:v>-1</x:v>
      </x:c>
      <x:c r="P1093" s="67" t="n">
        <x:f>IF(COUNT(N1093:O1093)=0,"",SUM(N1093:O1093))</x:f>
        <x:v>-1.5</x:v>
      </x:c>
      <x:c r="Q1093" s="65"/>
      <x:c r="R1093" s="65" t="str">
        <x:v>赛果1-0；让球输半；大小球输。</x:v>
      </x:c>
    </x:row>
    <x:row r="1094" ht="38" customHeight="1">
      <x:c r="A1094" s="65" t="str">
        <x:f>IF(B1094="","",TEXT(B1094,"yyyy-mm-dd")&amp;"|"&amp;D1094&amp;"|"&amp;E1094)</x:f>
        <x:v>2026-05-27|莱卡特老虎（APIA Leichhardt Tigers）|洛克达尔伊林登（Rockdale Ilinden）</x:v>
      </x:c>
      <x:c r="B1094" s="66" t="n">
        <x:v>46169.739583333336</x:v>
      </x:c>
      <x:c r="C1094" s="65" t="str">
        <x:v>澳大利亚 维多利亚州超级联赛1（VPL1）</x:v>
      </x:c>
      <x:c r="D1094" s="65" t="str">
        <x:v>莱卡特老虎（APIA Leichhardt Tigers）</x:v>
      </x:c>
      <x:c r="E1094" s="65" t="str">
        <x:v>洛克达尔伊林登（Rockdale Ilinden）</x:v>
      </x:c>
      <x:c r="F1094" s="65" t="str">
        <x:v>莱卡特老虎 -0.5，参考水位约0.98；低于0.80不进单</x:v>
      </x:c>
      <x:c r="G1094" s="65" t="str">
        <x:v>大3.25，参考水位约0.83；低于0.80不进单</x:v>
      </x:c>
      <x:c r="H1094" s="65" t="str">
        <x:v>主推让球；大小球小注。可选莱卡特老虎 -0.75 需≥0.88才考虑；不加仓</x:v>
      </x:c>
      <x:c r="I1094" s="66" t="n">
        <x:v>46169.750914351855</x:v>
      </x:c>
      <x:c r="J1094" s="65" t="str">
        <x:v>已结算</x:v>
      </x:c>
      <x:c r="K1094" s="65" t="str">
        <x:v>1-0</x:v>
      </x:c>
      <x:c r="L1094" s="65" t="str">
        <x:v>赢</x:v>
      </x:c>
      <x:c r="M1094" s="65" t="str">
        <x:v>输</x:v>
      </x:c>
      <x:c r="N1094" s="67" t="n">
        <x:v>1</x:v>
      </x:c>
      <x:c r="O1094" s="67" t="n">
        <x:v>-1</x:v>
      </x:c>
      <x:c r="P1094" s="67" t="n">
        <x:f>IF(COUNT(N1094:O1094)=0,"",SUM(N1094:O1094))</x:f>
        <x:v>0</x:v>
      </x:c>
      <x:c r="Q1094" s="65"/>
      <x:c r="R1094" s="65" t="str">
        <x:v>赛果1-0；让球赢；大小球输。</x:v>
      </x:c>
    </x:row>
    <x:row r="1095" ht="38" customHeight="1">
      <x:c r="A1095" s="65" t="str">
        <x:f>IF(B1095="","",TEXT(B1095,"yyyy-mm-dd")&amp;"|"&amp;D1095&amp;"|"&amp;E1095)</x:f>
        <x:v>2026-05-27|首尔中浪野马（Seoul Jungnang FC）|春川市民（Chuncheon Citizen/Chuncheon FC）</x:v>
      </x:c>
      <x:c r="B1095" s="66" t="n">
        <x:v>46169.541666666664</x:v>
      </x:c>
      <x:c r="C1095" s="65" t="str">
        <x:v>韩国K3/K4锦标赛</x:v>
      </x:c>
      <x:c r="D1095" s="65" t="str">
        <x:v>首尔中浪野马（Seoul Jungnang FC）</x:v>
      </x:c>
      <x:c r="E1095" s="65" t="str">
        <x:v>春川市民（Chuncheon Citizen/Chuncheon FC）</x:v>
      </x:c>
      <x:c r="F1095" s="65" t="str">
        <x:v>首尔中浪野马 +0.5（约0.90水；低于0.80不进单）</x:v>
      </x:c>
      <x:c r="G1095" s="65" t="str">
        <x:v>小2.75（≥0.80水；若只能买小2.5低水则不进单）</x:v>
      </x:c>
      <x:c r="H1095" s="65" t="str">
        <x:v>让球主推小注；大小球小注可选，不加仓；比分倾向1-1/1-0/0-1</x:v>
      </x:c>
      <x:c r="I1095" s="66" t="n">
        <x:v>46169.54659722222</x:v>
      </x:c>
      <x:c r="J1095" s="65" t="str">
        <x:v>已结算</x:v>
      </x:c>
      <x:c r="K1095" s="65" t="str">
        <x:v>1-6</x:v>
      </x:c>
      <x:c r="L1095" s="65" t="str">
        <x:v>输</x:v>
      </x:c>
      <x:c r="M1095" s="65" t="str">
        <x:v>输</x:v>
      </x:c>
      <x:c r="N1095" s="67" t="n">
        <x:v>-1</x:v>
      </x:c>
      <x:c r="O1095" s="67" t="n">
        <x:v>-1</x:v>
      </x:c>
      <x:c r="P1095" s="67" t="n">
        <x:f>IF(COUNT(N1095:O1095)=0,"",SUM(N1095:O1095))</x:f>
        <x:v>-2</x:v>
      </x:c>
      <x:c r="Q1095" s="65"/>
      <x:c r="R1095" s="65" t="str">
        <x:v>赛果1-6；让球输；大小球输。</x:v>
      </x:c>
    </x:row>
    <x:row r="1096" ht="38" customHeight="1">
      <x:c r="A1096" s="65" t="str">
        <x:f>IF(B1096="","",TEXT(B1096,"yyyy-mm-dd")&amp;"|"&amp;D1096&amp;"|"&amp;E1096)</x:f>
        <x:v>2026-05-27|拉努斯（Lanús）|米拉索尔（Mirassol）</x:v>
      </x:c>
      <x:c r="B1096" s="66" t="n">
        <x:v>46169.25</x:v>
      </x:c>
      <x:c r="C1096" s="65" t="str">
        <x:v>南美解放者杯</x:v>
      </x:c>
      <x:c r="D1096" s="65" t="str">
        <x:v>拉努斯（Lanús）</x:v>
      </x:c>
      <x:c r="E1096" s="65" t="str">
        <x:v>米拉索尔（Mirassol）</x:v>
      </x:c>
      <x:c r="F1096" s="65" t="str">
        <x:v>拉努斯 -0.5（仅接受≥0.85水；若临场低于0.80不进单）</x:v>
      </x:c>
      <x:c r="G1096" s="65" t="str">
        <x:v>小2.0（≥0.90水优先，2球走水；若只能买小2.5且低于0.80不进单）</x:v>
      </x:c>
      <x:c r="H1096" s="65" t="str">
        <x:v>让球小注；大小球优先小2.0，低水小2.5不追；不加仓；比分倾向1-0/1-1</x:v>
      </x:c>
      <x:c r="I1096" s="66" t="n">
        <x:v>46169.26076388889</x:v>
      </x:c>
      <x:c r="J1096" s="65" t="str">
        <x:v>已结算</x:v>
      </x:c>
      <x:c r="K1096" s="65" t="str">
        <x:v>1-0</x:v>
      </x:c>
      <x:c r="L1096" s="65" t="str">
        <x:v>赢</x:v>
      </x:c>
      <x:c r="M1096" s="65" t="str">
        <x:v>赢</x:v>
      </x:c>
      <x:c r="N1096" s="67" t="n">
        <x:v>1</x:v>
      </x:c>
      <x:c r="O1096" s="67" t="n">
        <x:v>1</x:v>
      </x:c>
      <x:c r="P1096" s="67" t="n">
        <x:f>IF(COUNT(N1096:O1096)=0,"",SUM(N1096:O1096))</x:f>
        <x:v>2</x:v>
      </x:c>
      <x:c r="Q1096" s="65"/>
      <x:c r="R1096" s="65" t="str">
        <x:v>赛果1-0；让球赢；大小球赢。</x:v>
      </x:c>
    </x:row>
    <x:row r="1097" ht="38" customHeight="1">
      <x:c r="A1097" s="65" t="str">
        <x:f>IF(B1097="","",TEXT(B1097,"yyyy-mm-dd")&amp;"|"&amp;D1097&amp;"|"&amp;E1097)</x:f>
        <x:v>2026-05-27|基多大学体育（LDU Quito）|阿拉维准备（Always Ready）</x:v>
      </x:c>
      <x:c r="B1097" s="66" t="n">
        <x:v>46169.25</x:v>
      </x:c>
      <x:c r="C1097" s="65" t="str">
        <x:v>南美解放者杯</x:v>
      </x:c>
      <x:c r="D1097" s="65" t="str">
        <x:v>基多大学体育（LDU Quito）</x:v>
      </x:c>
      <x:c r="E1097" s="65" t="str">
        <x:v>阿拉维准备（Always Ready）</x:v>
      </x:c>
      <x:c r="F1097" s="65" t="str">
        <x:v>基多大学体育 -1.5（约0.87水；低于0.80不进单）</x:v>
      </x:c>
      <x:c r="G1097" s="65" t="str">
        <x:v>小2.5（高水小注，或以双方进球：否替代；低于0.80不进单）</x:v>
      </x:c>
      <x:c r="H1097" s="65" t="str">
        <x:v>让球主推小注；大小球/BTTS替代仅小注，不加仓；比分倾向2-0，其次1-0/3-0</x:v>
      </x:c>
      <x:c r="I1097" s="66" t="n">
        <x:v>46169.25880787037</x:v>
      </x:c>
      <x:c r="J1097" s="65" t="str">
        <x:v>已结算</x:v>
      </x:c>
      <x:c r="K1097" s="65" t="str">
        <x:v>3-2</x:v>
      </x:c>
      <x:c r="L1097" s="65" t="str">
        <x:v>输</x:v>
      </x:c>
      <x:c r="M1097" s="65" t="str">
        <x:v>输</x:v>
      </x:c>
      <x:c r="N1097" s="67" t="n">
        <x:v>-1</x:v>
      </x:c>
      <x:c r="O1097" s="67" t="n">
        <x:v>-1</x:v>
      </x:c>
      <x:c r="P1097" s="67" t="n">
        <x:f>IF(COUNT(N1097:O1097)=0,"",SUM(N1097:O1097))</x:f>
        <x:v>-2</x:v>
      </x:c>
      <x:c r="Q1097" s="65"/>
      <x:c r="R1097" s="65" t="str">
        <x:v>赛果3-2；让球输；大小球输。</x:v>
      </x:c>
    </x:row>
    <x:row r="1098" ht="38" customHeight="1">
      <x:c r="A1098" s="65" t="str">
        <x:f>IF(B1098="","",TEXT(B1098,"yyyy-mm-dd")&amp;"|"&amp;D1098&amp;"|"&amp;E1098)</x:f>
        <x:v>2026-05-27|佩雷拉（Deportivo Pereira）|科尔多瓦美洲虎（Jaguares de Córdoba）</x:v>
      </x:c>
      <x:c r="B1098" s="66" t="n">
        <x:v>46169.1875</x:v>
      </x:c>
      <x:c r="C1098" s="65" t="str">
        <x:v>哥伦比亚杯（Copa Colombia）</x:v>
      </x:c>
      <x:c r="D1098" s="65" t="str">
        <x:v>佩雷拉（Deportivo Pereira）</x:v>
      </x:c>
      <x:c r="E1098" s="65" t="str">
        <x:v>科尔多瓦美洲虎（Jaguares de Córdoba）</x:v>
      </x:c>
      <x:c r="F1098" s="65" t="str">
        <x:v>科尔多瓦美洲虎 +0.25（≥0.80水；低于0.80不进单）</x:v>
      </x:c>
      <x:c r="G1098" s="65" t="str">
        <x:v>大2.5（高水小注；≥0.80水才进，低于0.80不进单）</x:v>
      </x:c>
      <x:c r="H1098" s="65" t="str">
        <x:v>让球主推小注；大小球仅可选小注，不加仓；比分倾向1-1/1-2</x:v>
      </x:c>
      <x:c r="I1098" s="66" t="n">
        <x:v>46169.23473379629</x:v>
      </x:c>
      <x:c r="J1098" s="65" t="str">
        <x:v>已结算</x:v>
      </x:c>
      <x:c r="K1098" s="65" t="str">
        <x:v>1-0</x:v>
      </x:c>
      <x:c r="L1098" s="65" t="str">
        <x:v>输</x:v>
      </x:c>
      <x:c r="M1098" s="65" t="str">
        <x:v>输</x:v>
      </x:c>
      <x:c r="N1098" s="67" t="n">
        <x:v>-1</x:v>
      </x:c>
      <x:c r="O1098" s="67" t="n">
        <x:v>-1</x:v>
      </x:c>
      <x:c r="P1098" s="67" t="n">
        <x:f>IF(COUNT(N1098:O1098)=0,"",SUM(N1098:O1098))</x:f>
        <x:v>-2</x:v>
      </x:c>
      <x:c r="Q1098" s="65"/>
      <x:c r="R1098" s="65" t="str">
        <x:v>赛果1-0；让球输；大小球输。</x:v>
      </x:c>
    </x:row>
    <x:row r="1099" ht="38" customHeight="1">
      <x:c r="A1099" s="65" t="str">
        <x:f>IF(B1099="","",TEXT(B1099,"yyyy-mm-dd")&amp;"|"&amp;D1099&amp;"|"&amp;E1099)</x:f>
        <x:v>2026-05-26|VPS瓦萨（Vaasan Palloseura）|哈卡（FC Haka）</x:v>
      </x:c>
      <x:c r="B1099" s="66" t="n">
        <x:v>46168.958333333336</x:v>
      </x:c>
      <x:c r="C1099" s="65" t="str">
        <x:v>芬兰杯（Suomen Cup）</x:v>
      </x:c>
      <x:c r="D1099" s="65" t="str">
        <x:v>VPS瓦萨（Vaasan Palloseura）</x:v>
      </x:c>
      <x:c r="E1099" s="65" t="str">
        <x:v>哈卡（FC Haka）</x:v>
      </x:c>
      <x:c r="F1099" s="65" t="str">
        <x:v>VPS瓦萨 -1（水位≥0.80才进；低于0.80不进单）</x:v>
      </x:c>
      <x:c r="G1099" s="65" t="str">
        <x:v>大2.75（水位≥0.80才进；低于0.80不进单）</x:v>
      </x:c>
      <x:c r="H1099" s="65" t="str">
        <x:v>小注；若只能拿到VPS胜或VPS-0.75低水则不加仓；若临场升到VPS-1.25高水或大球低于0.80则放弃加仓</x:v>
      </x:c>
      <x:c r="I1099" s="66" t="n">
        <x:v>46168.96238425926</x:v>
      </x:c>
      <x:c r="J1099" s="65" t="str">
        <x:v>已结算</x:v>
      </x:c>
      <x:c r="K1099" s="65" t="str">
        <x:v>4-0</x:v>
      </x:c>
      <x:c r="L1099" s="65" t="str">
        <x:v>赢</x:v>
      </x:c>
      <x:c r="M1099" s="65" t="str">
        <x:v>赢</x:v>
      </x:c>
      <x:c r="N1099" s="67" t="n">
        <x:v>1</x:v>
      </x:c>
      <x:c r="O1099" s="67" t="n">
        <x:v>1</x:v>
      </x:c>
      <x:c r="P1099" s="67" t="n">
        <x:f>IF(COUNT(N1099:O1099)=0,"",SUM(N1099:O1099))</x:f>
        <x:v>2</x:v>
      </x:c>
      <x:c r="Q1099" s="65"/>
      <x:c r="R1099" s="65" t="str">
        <x:v>赛果4-0；让球赢；大小球赢。</x:v>
      </x:c>
    </x:row>
    <x:row r="1100" ht="38" customHeight="1">
      <x:c r="A1100" s="65" t="str">
        <x:f>IF(B1100="","",TEXT(B1100,"yyyy-mm-dd")&amp;"|"&amp;D1100&amp;"|"&amp;E1100)</x:f>
        <x:v>2026-05-26|海德堡联|本特利绿茵</x:v>
      </x:c>
      <x:c r="B1100" s="66" t="n">
        <x:v>46168.729166666664</x:v>
      </x:c>
      <x:c r="C1100" s="65" t="str">
        <x:v>澳大利亚 维多利亚州超级联赛1（VPL1）</x:v>
      </x:c>
      <x:c r="D1100" s="65" t="str">
        <x:v>海德堡联</x:v>
      </x:c>
      <x:c r="E1100" s="65" t="str">
        <x:v>本特利绿茵</x:v>
      </x:c>
      <x:c r="F1100" s="65" t="str">
        <x:v>海德堡联 -1.25（水位≥0.85）</x:v>
      </x:c>
      <x:c r="G1100" s="65" t="str">
        <x:v>大2.75球（水位≥0.90）；若只能买大2.5且低于0.80则不进</x:v>
      </x:c>
      <x:c r="H1100" s="65" t="str">
        <x:v>进行中小注；仅0-0且无红牌时有效；海德堡联-1.5水位≥0.95可替代，-2不追；低于0.80不进单</x:v>
      </x:c>
      <x:c r="I1100" s="66" t="n">
        <x:v>46168.74385416666</x:v>
      </x:c>
      <x:c r="J1100" s="65" t="str">
        <x:v>已结算</x:v>
      </x:c>
      <x:c r="K1100" s="65" t="str">
        <x:v>2-0</x:v>
      </x:c>
      <x:c r="L1100" s="65" t="str">
        <x:v>赢半</x:v>
      </x:c>
      <x:c r="M1100" s="65" t="str">
        <x:v>输</x:v>
      </x:c>
      <x:c r="N1100" s="67" t="n">
        <x:v>0.5</x:v>
      </x:c>
      <x:c r="O1100" s="67" t="n">
        <x:v>-1</x:v>
      </x:c>
      <x:c r="P1100" s="67" t="n">
        <x:f>IF(COUNT(N1100:O1100)=0,"",SUM(N1100:O1100))</x:f>
        <x:v>-0.5</x:v>
      </x:c>
      <x:c r="Q1100" s="65"/>
      <x:c r="R1100" s="65" t="str">
        <x:v>赛果2-0；让球赢半；大小球输。源文件同场重复3行，仅按唯一match_key回填一次。</x:v>
      </x:c>
    </x:row>
    <x:row r="1101" ht="38" customHeight="1">
      <x:c r="A1101" s="65" t="str">
        <x:f>IF(B1101="","",TEXT(B1101,"yyyy-mm-dd")&amp;"|"&amp;D1101&amp;"|"&amp;E1101)</x:f>
        <x:v>2026-05-26|皇家卡塔赫纳|恩维加多</x:v>
      </x:c>
      <x:c r="B1101" s="66" t="n">
        <x:v>46168.375</x:v>
      </x:c>
      <x:c r="C1101" s="65" t="str">
        <x:v>哥伦比亚乙级联赛（Primera B / Torneo BetPlay Apertura）</x:v>
      </x:c>
      <x:c r="D1101" s="65" t="str">
        <x:v>皇家卡塔赫纳</x:v>
      </x:c>
      <x:c r="E1101" s="65" t="str">
        <x:v>恩维加多</x:v>
      </x:c>
      <x:c r="F1101" s="65" t="str">
        <x:v>皇家卡塔赫纳 -0.5（水位≥0.85/欧赔≥1.85）</x:v>
      </x:c>
      <x:c r="G1101" s="65" t="str">
        <x:v>大2球（水位≥0.82）；若只剩大2.5则欧赔≥2.45小注</x:v>
      </x:c>
      <x:c r="H1101" s="65" t="str">
        <x:v>赛前小注；皇家卡塔赫纳-0.75不追；小2.5低水不进；临场首发明显保守则降级；低于0.80不进单</x:v>
      </x:c>
      <x:c r="I1101" s="66" t="n">
        <x:v>46168.379745370374</x:v>
      </x:c>
      <x:c r="J1101" s="65" t="str">
        <x:v>已结算</x:v>
      </x:c>
      <x:c r="K1101" s="65" t="str">
        <x:v>2-3</x:v>
      </x:c>
      <x:c r="L1101" s="65" t="str">
        <x:v>输</x:v>
      </x:c>
      <x:c r="M1101" s="65" t="str">
        <x:v>赢</x:v>
      </x:c>
      <x:c r="N1101" s="67" t="n">
        <x:v>-1</x:v>
      </x:c>
      <x:c r="O1101" s="67" t="n">
        <x:v>1</x:v>
      </x:c>
      <x:c r="P1101" s="67" t="n">
        <x:f>IF(COUNT(N1101:O1101)=0,"",SUM(N1101:O1101))</x:f>
        <x:v>0</x:v>
      </x:c>
      <x:c r="Q1101" s="65"/>
      <x:c r="R1101" s="65" t="str">
        <x:v>赛果2-3；让球输；大小球赢。</x:v>
      </x:c>
    </x:row>
    <x:row r="1102" ht="38" customHeight="1">
      <x:c r="A1102" s="65" t="str">
        <x:f>IF(B1102="","",TEXT(B1102,"yyyy-mm-dd")&amp;"|"&amp;D1102&amp;"|"&amp;E1102)</x:f>
        <x:v>2026-05-26|科里蒂巴|巴伊亚</x:v>
      </x:c>
      <x:c r="B1102" s="66" t="n">
        <x:v>46168.291666666664</x:v>
      </x:c>
      <x:c r="C1102" s="65" t="str">
        <x:v>巴西甲（Serie A）</x:v>
      </x:c>
      <x:c r="D1102" s="65" t="str">
        <x:v>科里蒂巴</x:v>
      </x:c>
      <x:c r="E1102" s="65" t="str">
        <x:v>巴伊亚</x:v>
      </x:c>
      <x:c r="F1102" s="65" t="str">
        <x:v>科里蒂巴 0（平手/DNB，水位≥0.82/欧赔≥1.82）</x:v>
      </x:c>
      <x:c r="G1102" s="65" t="str">
        <x:v>大2.5球（水位≥1.00/欧赔≥2.00）</x:v>
      </x:c>
      <x:c r="H1102" s="65" t="str">
        <x:v>赛前小注；科里蒂巴+0.25低于0.80不进；科里蒂巴-0.25只可观察不主推；小2.5低水不进；低于0.80不进单</x:v>
      </x:c>
      <x:c r="I1102" s="66" t="n">
        <x:v>46168.268541666665</x:v>
      </x:c>
      <x:c r="J1102" s="65" t="str">
        <x:v>已结算</x:v>
      </x:c>
      <x:c r="K1102" s="65" t="str">
        <x:v>3-2</x:v>
      </x:c>
      <x:c r="L1102" s="65" t="str">
        <x:v>赢</x:v>
      </x:c>
      <x:c r="M1102" s="65" t="str">
        <x:v>赢</x:v>
      </x:c>
      <x:c r="N1102" s="67" t="n">
        <x:v>1</x:v>
      </x:c>
      <x:c r="O1102" s="67" t="n">
        <x:v>1</x:v>
      </x:c>
      <x:c r="P1102" s="67" t="n">
        <x:f>IF(COUNT(N1102:O1102)=0,"",SUM(N1102:O1102))</x:f>
        <x:v>2</x:v>
      </x:c>
      <x:c r="Q1102" s="65"/>
      <x:c r="R1102" s="65" t="str">
        <x:v>赛果3-2；让球赢；大小球赢。</x:v>
      </x:c>
    </x:row>
    <x:row r="1103" ht="38" customHeight="1">
      <x:c r="A1103" s="65" t="str">
        <x:f>IF(B1103="","",TEXT(B1103,"yyyy-mm-dd")&amp;"|"&amp;D1103&amp;"|"&amp;E1103)</x:f>
        <x:v>2026-05-25|斯达|瓦勒伦加</x:v>
      </x:c>
      <x:c r="B1103" s="66" t="n">
        <x:v>46167.854166666664</x:v>
      </x:c>
      <x:c r="C1103" s="65" t="str">
        <x:v>挪威超级联赛（Eliteserien）</x:v>
      </x:c>
      <x:c r="D1103" s="65" t="str">
        <x:v>斯达</x:v>
      </x:c>
      <x:c r="E1103" s="65" t="str">
        <x:v>瓦勒伦加</x:v>
      </x:c>
      <x:c r="F1103" s="65" t="str">
        <x:v>斯达 +0.25（水位≥0.85）</x:v>
      </x:c>
      <x:c r="G1103" s="65" t="str">
        <x:v>大3球（水位≥0.85）</x:v>
      </x:c>
      <x:c r="H1103" s="65" t="str">
        <x:v>赛前小注；瓦勒伦加-0.25不追；斯达+0.25低于0.80不进；大2.5低水不进，若升到大3.25需≥0.95才考虑；低于0.80不进单</x:v>
      </x:c>
      <x:c r="I1103" s="66" t="n">
        <x:v>46167.85269675926</x:v>
      </x:c>
      <x:c r="J1103" s="65" t="str">
        <x:v>已结算</x:v>
      </x:c>
      <x:c r="K1103" s="65" t="str">
        <x:v>2-0</x:v>
      </x:c>
      <x:c r="L1103" s="65" t="str">
        <x:v>赢</x:v>
      </x:c>
      <x:c r="M1103" s="65" t="str">
        <x:v>输</x:v>
      </x:c>
      <x:c r="N1103" s="67" t="n">
        <x:v>1</x:v>
      </x:c>
      <x:c r="O1103" s="67" t="n">
        <x:v>-1</x:v>
      </x:c>
      <x:c r="P1103" s="67" t="n">
        <x:f>IF(COUNT(N1103:O1103)=0,"",SUM(N1103:O1103))</x:f>
        <x:v>0</x:v>
      </x:c>
      <x:c r="Q1103" s="65"/>
      <x:c r="R1103" s="65" t="str">
        <x:v>赛果2-0；让球赢；大小球输。</x:v>
      </x:c>
    </x:row>
    <x:row r="1104" ht="38" customHeight="1">
      <x:c r="A1104" s="65" t="str">
        <x:f>IF(B1104="","",TEXT(B1104,"yyyy-mm-dd")&amp;"|"&amp;D1104&amp;"|"&amp;E1104)</x:f>
        <x:v>2026-05-25|南墨尔本|艾云达尔</x:v>
      </x:c>
      <x:c r="B1104" s="66" t="n">
        <x:v>46167.729166666664</x:v>
      </x:c>
      <x:c r="C1104" s="65" t="str">
        <x:v>澳大利亚 维多利亚州超级联赛1（VPL1）</x:v>
      </x:c>
      <x:c r="D1104" s="65" t="str">
        <x:v>南墨尔本</x:v>
      </x:c>
      <x:c r="E1104" s="65" t="str">
        <x:v>艾云达尔</x:v>
      </x:c>
      <x:c r="F1104" s="65" t="str">
        <x:v>艾云达尔 -2（客让，水位≥0.85）</x:v>
      </x:c>
      <x:c r="G1104" s="65" t="str">
        <x:v>小3.5球（水位≥0.82/欧赔≥1.82）</x:v>
      </x:c>
      <x:c r="H1104" s="65" t="str">
        <x:v>赛前小注；艾云达尔-2.25水位≥0.90可替代，-2.5不追；大2.5低水不进；低于0.80不进单</x:v>
      </x:c>
      <x:c r="I1104" s="66" t="n">
        <x:v>46167.6952662037</x:v>
      </x:c>
      <x:c r="J1104" s="65" t="str">
        <x:v>已结算</x:v>
      </x:c>
      <x:c r="K1104" s="65" t="str">
        <x:v>0-4</x:v>
      </x:c>
      <x:c r="L1104" s="65" t="str">
        <x:v>赢</x:v>
      </x:c>
      <x:c r="M1104" s="65" t="str">
        <x:v>输</x:v>
      </x:c>
      <x:c r="N1104" s="67" t="n">
        <x:v>1</x:v>
      </x:c>
      <x:c r="O1104" s="67" t="n">
        <x:v>-1</x:v>
      </x:c>
      <x:c r="P1104" s="67" t="n">
        <x:f>IF(COUNT(N1104:O1104)=0,"",SUM(N1104:O1104))</x:f>
        <x:v>0</x:v>
      </x:c>
      <x:c r="Q1104" s="65"/>
      <x:c r="R1104" s="65" t="str">
        <x:v>赛果0-4；让球赢；大小球输。</x:v>
      </x:c>
    </x:row>
    <x:row r="1105" ht="38" customHeight="1">
      <x:c r="A1105" s="65" t="str">
        <x:f>IF(B1105="","",TEXT(B1105,"yyyy-mm-dd")&amp;"|"&amp;D1105&amp;"|"&amp;E1105)</x:f>
        <x:v>2026-05-25|美洲狮（Pumas UNAM）|蓝十字（Cruz Azul）</x:v>
      </x:c>
      <x:c r="B1105" s="66" t="n">
        <x:v>46167.375</x:v>
      </x:c>
      <x:c r="C1105" s="65" t="str">
        <x:v>墨西哥超（Liga MX，Clausura）</x:v>
      </x:c>
      <x:c r="D1105" s="65" t="str">
        <x:v>美洲狮（Pumas UNAM）</x:v>
      </x:c>
      <x:c r="E1105" s="65" t="str">
        <x:v>蓝十字（Cruz Azul）</x:v>
      </x:c>
      <x:c r="F1105" s="65" t="str">
        <x:v>美洲狮 0（平手/DNB，水位≥0.95/欧赔≥1.95）</x:v>
      </x:c>
      <x:c r="G1105" s="65" t="str">
        <x:v>小2.5球（水位≥0.84/欧赔≥1.84）</x:v>
      </x:c>
      <x:c r="H1105" s="65" t="str">
        <x:v>进行中小注；仅0-0且无红牌时有效；美洲狮+0.25低于0.80不进；蓝十字-0.25不追；低于0.80不进单</x:v>
      </x:c>
      <x:c r="I1105" s="66" t="n">
        <x:v>46167.39518518518</x:v>
      </x:c>
      <x:c r="J1105" s="65" t="str">
        <x:v>已结算</x:v>
      </x:c>
      <x:c r="K1105" s="65" t="str">
        <x:v>1-2</x:v>
      </x:c>
      <x:c r="L1105" s="65" t="str">
        <x:v>输</x:v>
      </x:c>
      <x:c r="M1105" s="65" t="str">
        <x:v>输</x:v>
      </x:c>
      <x:c r="N1105" s="67" t="n">
        <x:v>-1</x:v>
      </x:c>
      <x:c r="O1105" s="67" t="n">
        <x:v>-1</x:v>
      </x:c>
      <x:c r="P1105" s="67" t="n">
        <x:f>IF(COUNT(N1105:O1105)=0,"",SUM(N1105:O1105))</x:f>
        <x:v>-2</x:v>
      </x:c>
      <x:c r="Q1105" s="65"/>
      <x:c r="R1105" s="65" t="str">
        <x:v>赛果1-2；让球输；大小球输。</x:v>
      </x:c>
    </x:row>
    <x:row r="1106" ht="38" customHeight="1">
      <x:c r="A1106" s="65" t="str">
        <x:f>IF(B1106="","",TEXT(B1106,"yyyy-mm-dd")&amp;"|"&amp;D1106&amp;"|"&amp;E1106)</x:f>
        <x:v>2026-05-25|瓦斯科达伽马|红牛布拉干蒂诺</x:v>
      </x:c>
      <x:c r="B1106" s="66" t="n">
        <x:v>46167.3125</x:v>
      </x:c>
      <x:c r="C1106" s="65" t="str">
        <x:v>巴西甲（Serie A）</x:v>
      </x:c>
      <x:c r="D1106" s="65" t="str">
        <x:v>瓦斯科达伽马</x:v>
      </x:c>
      <x:c r="E1106" s="65" t="str">
        <x:v>红牛布拉干蒂诺</x:v>
      </x:c>
      <x:c r="F1106" s="65" t="str">
        <x:v>瓦斯科达伽马 -0.5（水位≥0.90/欧赔≥1.90）</x:v>
      </x:c>
      <x:c r="G1106" s="65" t="str">
        <x:v>大2.5球（水位≥0.95/欧赔约2.00）</x:v>
      </x:c>
      <x:c r="H1106" s="65" t="str">
        <x:v>进行中小注；瓦斯科-0.75不追；若已出现早球/红牌则取消；低于0.80不进单</x:v>
      </x:c>
      <x:c r="I1106" s="66" t="n">
        <x:v>46167.38917824074</x:v>
      </x:c>
      <x:c r="J1106" s="65" t="str">
        <x:v>已结算</x:v>
      </x:c>
      <x:c r="K1106" s="65" t="str">
        <x:v>0-3</x:v>
      </x:c>
      <x:c r="L1106" s="65" t="str">
        <x:v>输</x:v>
      </x:c>
      <x:c r="M1106" s="65" t="str">
        <x:v>赢</x:v>
      </x:c>
      <x:c r="N1106" s="67" t="n">
        <x:v>-1</x:v>
      </x:c>
      <x:c r="O1106" s="67" t="n">
        <x:v>1</x:v>
      </x:c>
      <x:c r="P1106" s="67" t="n">
        <x:f>IF(COUNT(N1106:O1106)=0,"",SUM(N1106:O1106))</x:f>
        <x:v>0</x:v>
      </x:c>
      <x:c r="Q1106" s="65"/>
      <x:c r="R1106" s="65" t="str">
        <x:v>赛果0-3；让球输；大小球赢。</x:v>
      </x:c>
    </x:row>
    <x:row r="1107" ht="38" customHeight="1">
      <x:c r="A1107" s="65" t="str">
        <x:f>IF(B1107="","",TEXT(B1107,"yyyy-mm-dd")&amp;"|"&amp;D1107&amp;"|"&amp;E1107)</x:f>
        <x:v>2026-05-25|迈阿密国际|费城联合</x:v>
      </x:c>
      <x:c r="B1107" s="66" t="n">
        <x:v>46167.291666666664</x:v>
      </x:c>
      <x:c r="C1107" s="65" t="str">
        <x:v>美职联（MLS）</x:v>
      </x:c>
      <x:c r="D1107" s="65" t="str">
        <x:v>迈阿密国际</x:v>
      </x:c>
      <x:c r="E1107" s="65" t="str">
        <x:v>费城联合</x:v>
      </x:c>
      <x:c r="F1107" s="65" t="str">
        <x:v>迈阿密国际 -1.5（水位≥0.85）</x:v>
      </x:c>
      <x:c r="G1107" s="65" t="str">
        <x:v>大3.75（水位≥0.85）</x:v>
      </x:c>
      <x:c r="H1107" s="65" t="str">
        <x:v>进行中盘面复核，小注；迈阿密-2不追；大3.5低水不进；低于0.80不进单</x:v>
      </x:c>
      <x:c r="I1107" s="66" t="n">
        <x:v>46167.29802083333</x:v>
      </x:c>
      <x:c r="J1107" s="65" t="str">
        <x:v>已结算</x:v>
      </x:c>
      <x:c r="K1107" s="65" t="str">
        <x:v>6-4</x:v>
      </x:c>
      <x:c r="L1107" s="65" t="str">
        <x:v>赢</x:v>
      </x:c>
      <x:c r="M1107" s="65" t="str">
        <x:v>赢</x:v>
      </x:c>
      <x:c r="N1107" s="67" t="n">
        <x:v>1</x:v>
      </x:c>
      <x:c r="O1107" s="67" t="n">
        <x:v>1</x:v>
      </x:c>
      <x:c r="P1107" s="67" t="n">
        <x:f>IF(COUNT(N1107:O1107)=0,"",SUM(N1107:O1107))</x:f>
        <x:v>2</x:v>
      </x:c>
      <x:c r="Q1107" s="65"/>
      <x:c r="R1107" s="65" t="str">
        <x:v>赛果6-4；让球赢；大小球赢。</x:v>
      </x:c>
    </x:row>
    <x:row r="1108" ht="38" customHeight="1">
      <x:c r="A1108" s="65" t="str">
        <x:f>IF(B1108="","",TEXT(B1108,"yyyy-mm-dd")&amp;"|"&amp;D1108&amp;"|"&amp;E1108)</x:f>
        <x:v>2026-05-25|哥伦布机员|亚特兰大联</x:v>
      </x:c>
      <x:c r="B1108" s="66" t="n">
        <x:v>46167.208333333336</x:v>
      </x:c>
      <x:c r="C1108" s="65" t="str">
        <x:v>美职联（MLS）</x:v>
      </x:c>
      <x:c r="D1108" s="65" t="str">
        <x:v>哥伦布机员</x:v>
      </x:c>
      <x:c r="E1108" s="65" t="str">
        <x:v>亚特兰大联</x:v>
      </x:c>
      <x:c r="F1108" s="65" t="str">
        <x:v>哥伦布机员 -1（水位≥0.83）</x:v>
      </x:c>
      <x:c r="G1108" s="65" t="str">
        <x:v>小2.5球（≥2.35/2.40，小注）</x:v>
      </x:c>
      <x:c r="H1108" s="65" t="str">
        <x:v>小注；哥伦布-1低于0.80不进单；大小球只做小2.5高水反向，不加仓</x:v>
      </x:c>
      <x:c r="I1108" s="66" t="n">
        <x:v>46167.216412037036</x:v>
      </x:c>
      <x:c r="J1108" s="65" t="str">
        <x:v>已结算</x:v>
      </x:c>
      <x:c r="K1108" s="65" t="str">
        <x:v>2-0</x:v>
      </x:c>
      <x:c r="L1108" s="65" t="str">
        <x:v>赢</x:v>
      </x:c>
      <x:c r="M1108" s="65" t="str">
        <x:v>赢</x:v>
      </x:c>
      <x:c r="N1108" s="67" t="n">
        <x:v>1</x:v>
      </x:c>
      <x:c r="O1108" s="67" t="n">
        <x:v>1</x:v>
      </x:c>
      <x:c r="P1108" s="67" t="n">
        <x:f>IF(COUNT(N1108:O1108)=0,"",SUM(N1108:O1108))</x:f>
        <x:v>2</x:v>
      </x:c>
      <x:c r="Q1108" s="65"/>
      <x:c r="R1108" s="65" t="str">
        <x:v>赛果2-0；让球赢；大小球赢。</x:v>
      </x:c>
    </x:row>
    <x:row r="1109" ht="38" customHeight="1">
      <x:c r="A1109" s="65" t="str">
        <x:f>IF(B1109="","",TEXT(B1109,"yyyy-mm-dd")&amp;"|"&amp;D1109&amp;"|"&amp;E1109)</x:f>
        <x:v>2026-05-25|阿利安萨FC（Alianza Valledupar）|布卡拉曼加竞技</x:v>
      </x:c>
      <x:c r="B1109" s="66" t="n">
        <x:v>46167.1875</x:v>
      </x:c>
      <x:c r="C1109" s="65" t="str">
        <x:v>哥伦比亚杯（Copa Colombia）</x:v>
      </x:c>
      <x:c r="D1109" s="65" t="str">
        <x:v>阿利安萨FC（Alianza Valledupar）</x:v>
      </x:c>
      <x:c r="E1109" s="65" t="str">
        <x:v>布卡拉曼加竞技</x:v>
      </x:c>
      <x:c r="F1109" s="65" t="str">
        <x:v>布卡拉曼加竞技 +0（平手盘/DNB，参考水位约0.88-0.96；低于0.80不进单）</x:v>
      </x:c>
      <x:c r="G1109" s="65" t="str">
        <x:v>小 2.25（参考水位约0.88-0.95；若只能买BTTS No但水位低于0.80则不进单）</x:v>
      </x:c>
      <x:c r="H1109" s="65" t="str">
        <x:v>小注，不加仓。若临场布卡拉曼加平手盘跌到低于0.80或确认大幅轮换锋线，则放弃让球；大小球只接受小2.25水位≥0.80，不追低水BTTS No。</x:v>
      </x:c>
      <x:c r="I1109" s="66" t="n">
        <x:v>46167.21105324074</x:v>
      </x:c>
      <x:c r="J1109" s="65" t="str">
        <x:v>已结算</x:v>
      </x:c>
      <x:c r="K1109" s="65" t="str">
        <x:v>2-1</x:v>
      </x:c>
      <x:c r="L1109" s="65" t="str">
        <x:v>输</x:v>
      </x:c>
      <x:c r="M1109" s="65" t="str">
        <x:v>输</x:v>
      </x:c>
      <x:c r="N1109" s="67" t="n">
        <x:v>-1</x:v>
      </x:c>
      <x:c r="O1109" s="67" t="n">
        <x:v>-1</x:v>
      </x:c>
      <x:c r="P1109" s="67" t="n">
        <x:f>IF(COUNT(N1109:O1109)=0,"",SUM(N1109:O1109))</x:f>
        <x:v>-2</x:v>
      </x:c>
      <x:c r="Q1109" s="65"/>
      <x:c r="R1109" s="65" t="str">
        <x:v>赛果2-1；让球输；大小球输。</x:v>
      </x:c>
    </x:row>
    <x:row r="1110" ht="38" customHeight="1">
      <x:c r="A1110" s="65" t="str">
        <x:f>IF(B1110="","",TEXT(B1110,"yyyy-mm-dd")&amp;"|"&amp;D1110&amp;"|"&amp;E1110)</x:f>
        <x:v>2026-05-24|西汉姆联|利兹联</x:v>
      </x:c>
      <x:c r="B1110" s="66" t="n">
        <x:v>46166.958333333336</x:v>
      </x:c>
      <x:c r="C1110" s="65" t="str">
        <x:v>英格兰超级联赛（Premier League）</x:v>
      </x:c>
      <x:c r="D1110" s="65" t="str">
        <x:v>西汉姆联</x:v>
      </x:c>
      <x:c r="E1110" s="65" t="str">
        <x:v>利兹联</x:v>
      </x:c>
      <x:c r="F1110" s="65" t="str">
        <x:v>西汉姆联 -1.0（参考水位约0.88-0.98；低于0.80不进单）</x:v>
      </x:c>
      <x:c r="G1110" s="65" t="str">
        <x:v>大 3.0（参考水位约0.86-0.95；低于0.80不进单）</x:v>
      </x:c>
      <x:c r="H1110" s="65" t="str">
        <x:v>小注，不加仓。西汉姆必须赢但盘口热度会很高，若-1跌破0.80或升到-1.25低水则不追；大小球只接受大3.0水位≥0.80。</x:v>
      </x:c>
      <x:c r="I1110" s="66" t="n">
        <x:v>46166.940717592595</x:v>
      </x:c>
      <x:c r="J1110" s="65" t="str">
        <x:v>已结算</x:v>
      </x:c>
      <x:c r="K1110" s="65" t="str">
        <x:v>3-0</x:v>
      </x:c>
      <x:c r="L1110" s="65" t="str">
        <x:v>赢</x:v>
      </x:c>
      <x:c r="M1110" s="65" t="str">
        <x:v>走水</x:v>
      </x:c>
      <x:c r="N1110" s="67" t="n">
        <x:v>1</x:v>
      </x:c>
      <x:c r="O1110" s="67" t="n">
        <x:v>0</x:v>
      </x:c>
      <x:c r="P1110" s="67" t="n">
        <x:f>IF(COUNT(N1110:O1110)=0,"",SUM(N1110:O1110))</x:f>
        <x:v>1</x:v>
      </x:c>
      <x:c r="Q1110" s="65"/>
      <x:c r="R1110" s="65" t="str">
        <x:v>赛果3-0；让球赢；大小球走水。</x:v>
      </x:c>
    </x:row>
    <x:row r="1111" ht="38" customHeight="1">
      <x:c r="A1111" s="65" t="str">
        <x:f>IF(B1111="","",TEXT(B1111,"yyyy-mm-dd")&amp;"|"&amp;D1111&amp;"|"&amp;E1111)</x:f>
        <x:v>2026-05-24|托特纳姆热刺|埃弗顿</x:v>
      </x:c>
      <x:c r="B1111" s="66" t="n">
        <x:v>46166.958333333336</x:v>
      </x:c>
      <x:c r="C1111" s="65" t="str">
        <x:v>英格兰超级联赛（Premier League）</x:v>
      </x:c>
      <x:c r="D1111" s="65" t="str">
        <x:v>托特纳姆热刺</x:v>
      </x:c>
      <x:c r="E1111" s="65" t="str">
        <x:v>埃弗顿</x:v>
      </x:c>
      <x:c r="F1111" s="65" t="str">
        <x:v>埃弗顿 +0.5（参考水位约0.88-0.96；低于0.80不进单）</x:v>
      </x:c>
      <x:c r="G1111" s="65" t="str">
        <x:v>大 2.75（参考水位约0.85-0.95；低于0.80不进单）</x:v>
      </x:c>
      <x:c r="H1111" s="65" t="str">
        <x:v>小注，不加仓。若埃弗顿+0.5跌破0.80则不进；若热刺保级压力导致极端保守，大小球降级。</x:v>
      </x:c>
      <x:c r="I1111" s="66" t="n">
        <x:v>46166.94064814815</x:v>
      </x:c>
      <x:c r="J1111" s="65" t="str">
        <x:v>已结算</x:v>
      </x:c>
      <x:c r="K1111" s="65" t="str">
        <x:v>1-0</x:v>
      </x:c>
      <x:c r="L1111" s="65" t="str">
        <x:v>输</x:v>
      </x:c>
      <x:c r="M1111" s="65" t="str">
        <x:v>输</x:v>
      </x:c>
      <x:c r="N1111" s="67" t="n">
        <x:v>-1</x:v>
      </x:c>
      <x:c r="O1111" s="67" t="n">
        <x:v>-1</x:v>
      </x:c>
      <x:c r="P1111" s="67" t="n">
        <x:f>IF(COUNT(N1111:O1111)=0,"",SUM(N1111:O1111))</x:f>
        <x:v>-2</x:v>
      </x:c>
      <x:c r="Q1111" s="65"/>
      <x:c r="R1111" s="65" t="str">
        <x:v>赛果1-0；让球输；大小球输。</x:v>
      </x:c>
    </x:row>
    <x:row r="1112" ht="38" customHeight="1">
      <x:c r="A1112" s="65" t="str">
        <x:f>IF(B1112="","",TEXT(B1112,"yyyy-mm-dd")&amp;"|"&amp;D1112&amp;"|"&amp;E1112)</x:f>
        <x:v>2026-05-24|桑德兰|切尔西</x:v>
      </x:c>
      <x:c r="B1112" s="66" t="n">
        <x:v>46166.958333333336</x:v>
      </x:c>
      <x:c r="C1112" s="65" t="str">
        <x:v>英格兰超级联赛（Premier League）</x:v>
      </x:c>
      <x:c r="D1112" s="65" t="str">
        <x:v>桑德兰</x:v>
      </x:c>
      <x:c r="E1112" s="65" t="str">
        <x:v>切尔西</x:v>
      </x:c>
      <x:c r="F1112" s="65" t="str">
        <x:v>桑德兰 +0.25（参考水位约0.88-0.95；低于0.80不进单）</x:v>
      </x:c>
      <x:c r="G1112" s="65" t="str">
        <x:v>小 3.0（参考水位约0.85-0.95；低于0.80不进单）</x:v>
      </x:c>
      <x:c r="H1112" s="65" t="str">
        <x:v>小注，不加仓。若桑德兰+0.25跌破0.80则放弃让球；若切尔西强攻阵完整且小3.0被压低，大小球降级。</x:v>
      </x:c>
      <x:c r="I1112" s="66" t="n">
        <x:v>46166.9405787037</x:v>
      </x:c>
      <x:c r="J1112" s="65" t="str">
        <x:v>已结算</x:v>
      </x:c>
      <x:c r="K1112" s="65" t="str">
        <x:v>2-1</x:v>
      </x:c>
      <x:c r="L1112" s="65" t="str">
        <x:v>赢</x:v>
      </x:c>
      <x:c r="M1112" s="65" t="str">
        <x:v>走水</x:v>
      </x:c>
      <x:c r="N1112" s="67" t="n">
        <x:v>1</x:v>
      </x:c>
      <x:c r="O1112" s="67" t="n">
        <x:v>0</x:v>
      </x:c>
      <x:c r="P1112" s="67" t="n">
        <x:f>IF(COUNT(N1112:O1112)=0,"",SUM(N1112:O1112))</x:f>
        <x:v>1</x:v>
      </x:c>
      <x:c r="Q1112" s="65"/>
      <x:c r="R1112" s="65" t="str">
        <x:v>赛果2-1；让球赢；大小球走水。</x:v>
      </x:c>
    </x:row>
    <x:row r="1113" ht="38" customHeight="1">
      <x:c r="A1113" s="65" t="str">
        <x:f>IF(B1113="","",TEXT(B1113,"yyyy-mm-dd")&amp;"|"&amp;D1113&amp;"|"&amp;E1113)</x:f>
        <x:v>2026-05-24|诺丁汉森林|伯恩茅斯</x:v>
      </x:c>
      <x:c r="B1113" s="66" t="n">
        <x:v>46166.958333333336</x:v>
      </x:c>
      <x:c r="C1113" s="65" t="str">
        <x:v>英格兰超级联赛（Premier League）</x:v>
      </x:c>
      <x:c r="D1113" s="65" t="str">
        <x:v>诺丁汉森林</x:v>
      </x:c>
      <x:c r="E1113" s="65" t="str">
        <x:v>伯恩茅斯</x:v>
      </x:c>
      <x:c r="F1113" s="65" t="str">
        <x:v>伯恩茅斯 +0（平手盘/DNB，参考水位约0.90-1.00；低于0.80不进单）</x:v>
      </x:c>
      <x:c r="G1113" s="65" t="str">
        <x:v>大 2.75（参考水位约0.86-0.95；低于0.80不进单）</x:v>
      </x:c>
      <x:c r="H1113" s="65" t="str">
        <x:v>小注，不加仓。若伯恩茅斯平手盘跌破0.80或首发锋线明显轮换，放弃让球；大小球只接受大2.75水位≥0.80。</x:v>
      </x:c>
      <x:c r="I1113" s="66" t="n">
        <x:v>46166.94050925926</x:v>
      </x:c>
      <x:c r="J1113" s="65" t="str">
        <x:v>已结算</x:v>
      </x:c>
      <x:c r="K1113" s="65" t="str">
        <x:v>1-1</x:v>
      </x:c>
      <x:c r="L1113" s="65" t="str">
        <x:v>走水</x:v>
      </x:c>
      <x:c r="M1113" s="65" t="str">
        <x:v>输</x:v>
      </x:c>
      <x:c r="N1113" s="67" t="n">
        <x:v>0</x:v>
      </x:c>
      <x:c r="O1113" s="67" t="n">
        <x:v>-1</x:v>
      </x:c>
      <x:c r="P1113" s="67" t="n">
        <x:f>IF(COUNT(N1113:O1113)=0,"",SUM(N1113:O1113))</x:f>
        <x:v>-1</x:v>
      </x:c>
      <x:c r="Q1113" s="65"/>
      <x:c r="R1113" s="65" t="str">
        <x:v>赛果1-1；让球走水；大小球输。</x:v>
      </x:c>
    </x:row>
    <x:row r="1114" ht="38" customHeight="1">
      <x:c r="A1114" s="65" t="str">
        <x:f>IF(B1114="","",TEXT(B1114,"yyyy-mm-dd")&amp;"|"&amp;D1114&amp;"|"&amp;E1114)</x:f>
        <x:v>2026-05-24|曼彻斯特城|阿斯顿维拉</x:v>
      </x:c>
      <x:c r="B1114" s="66" t="n">
        <x:v>46166.958333333336</x:v>
      </x:c>
      <x:c r="C1114" s="65" t="str">
        <x:v>英格兰超级联赛（Premier League）</x:v>
      </x:c>
      <x:c r="D1114" s="65" t="str">
        <x:v>曼彻斯特城</x:v>
      </x:c>
      <x:c r="E1114" s="65" t="str">
        <x:v>阿斯顿维拉</x:v>
      </x:c>
      <x:c r="F1114" s="65" t="str">
        <x:v>曼彻斯特城 -1.0（参考水位约0.90-1.00；低于0.80不进单）</x:v>
      </x:c>
      <x:c r="G1114" s="65" t="str">
        <x:v>大 3.25（参考水位约0.85-0.95；大2.5低水不进）</x:v>
      </x:c>
      <x:c r="H1114" s="65" t="str">
        <x:v>小注，不加仓。若曼城大幅轮换或-1跌破0.80，放弃让球；若维拉欧战争夺压力导致强攻，大小球可保留，但只接受大3.25水位≥0.80。</x:v>
      </x:c>
      <x:c r="I1114" s="66" t="n">
        <x:v>46166.940416666665</x:v>
      </x:c>
      <x:c r="J1114" s="65" t="str">
        <x:v>已结算</x:v>
      </x:c>
      <x:c r="K1114" s="65" t="str">
        <x:v>1-2</x:v>
      </x:c>
      <x:c r="L1114" s="65" t="str">
        <x:v>输</x:v>
      </x:c>
      <x:c r="M1114" s="65" t="str">
        <x:v>输</x:v>
      </x:c>
      <x:c r="N1114" s="67" t="n">
        <x:v>-1</x:v>
      </x:c>
      <x:c r="O1114" s="67" t="n">
        <x:v>-1</x:v>
      </x:c>
      <x:c r="P1114" s="67" t="n">
        <x:f>IF(COUNT(N1114:O1114)=0,"",SUM(N1114:O1114))</x:f>
        <x:v>-2</x:v>
      </x:c>
      <x:c r="Q1114" s="65"/>
      <x:c r="R1114" s="65" t="str">
        <x:v>赛果1-2；让球输；大小球输。</x:v>
      </x:c>
    </x:row>
    <x:row r="1115" ht="38" customHeight="1">
      <x:c r="A1115" s="65" t="str">
        <x:f>IF(B1115="","",TEXT(B1115,"yyyy-mm-dd")&amp;"|"&amp;D1115&amp;"|"&amp;E1115)</x:f>
        <x:v>2026-05-24|利物浦|布伦特福德</x:v>
      </x:c>
      <x:c r="B1115" s="66" t="n">
        <x:v>46166.958333333336</x:v>
      </x:c>
      <x:c r="C1115" s="65" t="str">
        <x:v>英格兰超级联赛（Premier League）</x:v>
      </x:c>
      <x:c r="D1115" s="65" t="str">
        <x:v>利物浦</x:v>
      </x:c>
      <x:c r="E1115" s="65" t="str">
        <x:v>布伦特福德</x:v>
      </x:c>
      <x:c r="F1115" s="65" t="str">
        <x:v>利物浦 -1.5（参考水位约0.85-0.95；低于0.80不进单）</x:v>
      </x:c>
      <x:c r="G1115" s="65" t="str">
        <x:v>大 3.5（参考水位约0.86-0.96；大3.0低水不进）</x:v>
      </x:c>
      <x:c r="H1115" s="65" t="str">
        <x:v>小注，不加仓。若利物浦临场明显轮换进攻线或-1.5跌破0.80，则放弃让球；大小球只接受大3.5水位≥0.80。</x:v>
      </x:c>
      <x:c r="I1115" s="66" t="n">
        <x:v>46166.94013888889</x:v>
      </x:c>
      <x:c r="J1115" s="65" t="str">
        <x:v>已结算</x:v>
      </x:c>
      <x:c r="K1115" s="65" t="str">
        <x:v>1-1</x:v>
      </x:c>
      <x:c r="L1115" s="65" t="str">
        <x:v>输</x:v>
      </x:c>
      <x:c r="M1115" s="65" t="str">
        <x:v>输</x:v>
      </x:c>
      <x:c r="N1115" s="67" t="n">
        <x:v>-1</x:v>
      </x:c>
      <x:c r="O1115" s="67" t="n">
        <x:v>-1</x:v>
      </x:c>
      <x:c r="P1115" s="67" t="n">
        <x:f>IF(COUNT(N1115:O1115)=0,"",SUM(N1115:O1115))</x:f>
        <x:v>-2</x:v>
      </x:c>
      <x:c r="Q1115" s="65"/>
      <x:c r="R1115" s="65" t="str">
        <x:v>赛果1-1；让球输；大小球输。</x:v>
      </x:c>
    </x:row>
    <x:row r="1116" ht="38" customHeight="1">
      <x:c r="A1116" s="65" t="str">
        <x:f>IF(B1116="","",TEXT(B1116,"yyyy-mm-dd")&amp;"|"&amp;D1116&amp;"|"&amp;E1116)</x:f>
        <x:v>2026-05-24|富勒姆|纽卡斯尔联</x:v>
      </x:c>
      <x:c r="B1116" s="66" t="n">
        <x:v>46166.958333333336</x:v>
      </x:c>
      <x:c r="C1116" s="65" t="str">
        <x:v>英格兰超级联赛（Premier League）</x:v>
      </x:c>
      <x:c r="D1116" s="65" t="str">
        <x:v>富勒姆</x:v>
      </x:c>
      <x:c r="E1116" s="65" t="str">
        <x:v>纽卡斯尔联</x:v>
      </x:c>
      <x:c r="F1116" s="65" t="str">
        <x:v>纽卡斯尔联 +0（平手盘/DNB，参考水位约0.90-1.00；低于0.80不进单）</x:v>
      </x:c>
      <x:c r="G1116" s="65" t="str">
        <x:v>大 3.0（参考水位约0.85-0.95；大2.5低水不进）</x:v>
      </x:c>
      <x:c r="H1116" s="65" t="str">
        <x:v>小注，不加仓。若纽卡斯尔联平手盘跌破0.80或临场锋线明显轮换，则放弃让球；大小球只接受大3.0水位≥0.80。</x:v>
      </x:c>
      <x:c r="I1116" s="66" t="n">
        <x:v>46166.940046296295</x:v>
      </x:c>
      <x:c r="J1116" s="65" t="str">
        <x:v>已结算</x:v>
      </x:c>
      <x:c r="K1116" s="65" t="str">
        <x:v>2-0</x:v>
      </x:c>
      <x:c r="L1116" s="65" t="str">
        <x:v>输</x:v>
      </x:c>
      <x:c r="M1116" s="65" t="str">
        <x:v>输</x:v>
      </x:c>
      <x:c r="N1116" s="67" t="n">
        <x:v>-1</x:v>
      </x:c>
      <x:c r="O1116" s="67" t="n">
        <x:v>-1</x:v>
      </x:c>
      <x:c r="P1116" s="67" t="n">
        <x:f>IF(COUNT(N1116:O1116)=0,"",SUM(N1116:O1116))</x:f>
        <x:v>-2</x:v>
      </x:c>
      <x:c r="Q1116" s="65"/>
      <x:c r="R1116" s="65" t="str">
        <x:v>赛果2-0；让球输；大小球输。</x:v>
      </x:c>
    </x:row>
    <x:row r="1117" ht="38" customHeight="1">
      <x:c r="A1117" s="65" t="str">
        <x:f>IF(B1117="","",TEXT(B1117,"yyyy-mm-dd")&amp;"|"&amp;D1117&amp;"|"&amp;E1117)</x:f>
        <x:v>2026-05-24|水晶宫|阿森纳</x:v>
      </x:c>
      <x:c r="B1117" s="66" t="n">
        <x:v>46166.958333333336</x:v>
      </x:c>
      <x:c r="C1117" s="65" t="str">
        <x:v>英格兰超级联赛（Premier League）</x:v>
      </x:c>
      <x:c r="D1117" s="65" t="str">
        <x:v>水晶宫</x:v>
      </x:c>
      <x:c r="E1117" s="65" t="str">
        <x:v>阿森纳</x:v>
      </x:c>
      <x:c r="F1117" s="65" t="str">
        <x:v>阿森纳 -0.75（参考水位约0.90；低于0.80不进单）</x:v>
      </x:c>
      <x:c r="G1117" s="65" t="str">
        <x:v>小 3.0（参考水位约0.88-0.96；若只能买小2.5低水则不进单）</x:v>
      </x:c>
      <x:c r="H1117" s="65" t="str">
        <x:v>小注，不加仓。若阿森纳临场大轮换或-0.75跌破0.80，则放弃让球；若水晶宫锋线Eze/Mateta等全部首发且小球水位被压低，大小球降级。</x:v>
      </x:c>
      <x:c r="I1117" s="66" t="n">
        <x:v>46166.93996527778</x:v>
      </x:c>
      <x:c r="J1117" s="65" t="str">
        <x:v>已结算</x:v>
      </x:c>
      <x:c r="K1117" s="65" t="str">
        <x:v>1-2</x:v>
      </x:c>
      <x:c r="L1117" s="65" t="str">
        <x:v>赢半</x:v>
      </x:c>
      <x:c r="M1117" s="65" t="str">
        <x:v>走水</x:v>
      </x:c>
      <x:c r="N1117" s="67" t="n">
        <x:v>0.5</x:v>
      </x:c>
      <x:c r="O1117" s="67" t="n">
        <x:v>0</x:v>
      </x:c>
      <x:c r="P1117" s="67" t="n">
        <x:f>IF(COUNT(N1117:O1117)=0,"",SUM(N1117:O1117))</x:f>
        <x:v>0.5</x:v>
      </x:c>
      <x:c r="Q1117" s="65"/>
      <x:c r="R1117" s="65" t="str">
        <x:v>赛果1-2；让球赢半；大小球走水。</x:v>
      </x:c>
    </x:row>
    <x:row r="1118" ht="38" customHeight="1">
      <x:c r="A1118" s="65" t="str">
        <x:f>IF(B1118="","",TEXT(B1118,"yyyy-mm-dd")&amp;"|"&amp;D1118&amp;"|"&amp;E1118)</x:f>
        <x:v>2026-05-24|伯恩利|狼队</x:v>
      </x:c>
      <x:c r="B1118" s="66" t="n">
        <x:v>46166.958333333336</x:v>
      </x:c>
      <x:c r="C1118" s="65" t="str">
        <x:v>英格兰超级联赛（Premier League）</x:v>
      </x:c>
      <x:c r="D1118" s="65" t="str">
        <x:v>伯恩利</x:v>
      </x:c>
      <x:c r="E1118" s="65" t="str">
        <x:v>狼队</x:v>
      </x:c>
      <x:c r="F1118" s="65" t="str">
        <x:v>狼队 -0.25（参考水位约0.90-1.00；低于0.80不进单）</x:v>
      </x:c>
      <x:c r="G1118" s="65" t="str">
        <x:v>小 2.75（参考水位约0.86-0.95；若小2.5低水则不进单）</x:v>
      </x:c>
      <x:c r="H1118" s="65" t="str">
        <x:v>小注，不加仓。若临场狼队退到平手低水，或首发轮换掉主力锋线/中轴，则放弃让球；大小球只接受小2.75水位≥0.80。</x:v>
      </x:c>
      <x:c r="I1118" s="66" t="n">
        <x:v>46166.93989583333</x:v>
      </x:c>
      <x:c r="J1118" s="65" t="str">
        <x:v>已结算</x:v>
      </x:c>
      <x:c r="K1118" s="65" t="str">
        <x:v>1-1</x:v>
      </x:c>
      <x:c r="L1118" s="65" t="str">
        <x:v>输半</x:v>
      </x:c>
      <x:c r="M1118" s="65" t="str">
        <x:v>赢</x:v>
      </x:c>
      <x:c r="N1118" s="67" t="n">
        <x:v>-0.5</x:v>
      </x:c>
      <x:c r="O1118" s="67" t="n">
        <x:v>1</x:v>
      </x:c>
      <x:c r="P1118" s="67" t="n">
        <x:f>IF(COUNT(N1118:O1118)=0,"",SUM(N1118:O1118))</x:f>
        <x:v>0.5</x:v>
      </x:c>
      <x:c r="Q1118" s="65"/>
      <x:c r="R1118" s="65" t="str">
        <x:v>赛果1-1；让球输半；大小球赢。</x:v>
      </x:c>
    </x:row>
    <x:row r="1119" ht="38" customHeight="1">
      <x:c r="A1119" s="65" t="str">
        <x:f>IF(B1119="","",TEXT(B1119,"yyyy-mm-dd")&amp;"|"&amp;D1119&amp;"|"&amp;E1119)</x:f>
        <x:v>2026-05-24|布莱顿|曼彻斯特联</x:v>
      </x:c>
      <x:c r="B1119" s="66" t="n">
        <x:v>46166.958333333336</x:v>
      </x:c>
      <x:c r="C1119" s="65" t="str">
        <x:v>英格兰超级联赛（Premier League）</x:v>
      </x:c>
      <x:c r="D1119" s="65" t="str">
        <x:v>布莱顿</x:v>
      </x:c>
      <x:c r="E1119" s="65" t="str">
        <x:v>曼彻斯特联</x:v>
      </x:c>
      <x:c r="F1119" s="65" t="str">
        <x:v>布莱顿 -0.25（参考水位约0.88-0.95；低于0.80不进单）</x:v>
      </x:c>
      <x:c r="G1119" s="65" t="str">
        <x:v>大 3.0（参考水位约0.85-0.95；若只能买大2.5低水则不进单）</x:v>
      </x:c>
      <x:c r="H1119" s="65" t="str">
        <x:v>小注，不加仓。若临场布莱顿退到平手低水，或确认前场继续缺少三笘薰且进攻线明显轮换，则放弃让球；大小球只接受大3.0水位≥0.80。</x:v>
      </x:c>
      <x:c r="I1119" s="66" t="n">
        <x:v>46166.93980324074</x:v>
      </x:c>
      <x:c r="J1119" s="65" t="str">
        <x:v>已结算</x:v>
      </x:c>
      <x:c r="K1119" s="65" t="str">
        <x:v>0-3</x:v>
      </x:c>
      <x:c r="L1119" s="65" t="str">
        <x:v>输</x:v>
      </x:c>
      <x:c r="M1119" s="65" t="str">
        <x:v>走水</x:v>
      </x:c>
      <x:c r="N1119" s="67" t="n">
        <x:v>-1</x:v>
      </x:c>
      <x:c r="O1119" s="67" t="n">
        <x:v>0</x:v>
      </x:c>
      <x:c r="P1119" s="67" t="n">
        <x:f>IF(COUNT(N1119:O1119)=0,"",SUM(N1119:O1119))</x:f>
        <x:v>-1</x:v>
      </x:c>
      <x:c r="Q1119" s="65"/>
      <x:c r="R1119" s="65" t="str">
        <x:v>赛果0-3；让球输；大小球走水。</x:v>
      </x:c>
    </x:row>
    <x:row r="1120" ht="38" customHeight="1">
      <x:c r="A1120" s="65" t="str">
        <x:f>IF(B1120="","",TEXT(B1120,"yyyy-mm-dd")&amp;"|"&amp;D1120&amp;"|"&amp;E1120)</x:f>
        <x:v>2026-05-24|博德闪耀（Bodø/Glimt）|布兰（SK Brann）</x:v>
      </x:c>
      <x:c r="B1120" s="66" t="n">
        <x:v>46166.916666666664</x:v>
      </x:c>
      <x:c r="C1120" s="65" t="str">
        <x:v>挪威超级联赛（Eliteserien）</x:v>
      </x:c>
      <x:c r="D1120" s="65" t="str">
        <x:v>博德闪耀（Bodø/Glimt）</x:v>
      </x:c>
      <x:c r="E1120" s="65" t="str">
        <x:v>布兰（SK Brann）</x:v>
      </x:c>
      <x:c r="F1120" s="65" t="str">
        <x:v>博德闪耀 -1.75（参考水位约0.89；若只能拿到-1.5且低于0.80则不进单）</x:v>
      </x:c>
      <x:c r="G1120" s="65" t="str">
        <x:v>大 3.5（参考水位约0.85-0.90；大2.5低水不进；低于0.80不进单）</x:v>
      </x:c>
      <x:c r="H1120" s="65" t="str">
        <x:v>小注，不加仓。若临场博德闪耀-1.75跌到低于0.80或升到-2低水，不追让球；大小球只接受大3.5水位≥0.80，不与深让重仓串关。</x:v>
      </x:c>
      <x:c r="I1120" s="66" t="n">
        <x:v>46166.92234953704</x:v>
      </x:c>
      <x:c r="J1120" s="65" t="str">
        <x:v>已结算</x:v>
      </x:c>
      <x:c r="K1120" s="65" t="str">
        <x:v>3-1</x:v>
      </x:c>
      <x:c r="L1120" s="65" t="str">
        <x:v>赢半</x:v>
      </x:c>
      <x:c r="M1120" s="65" t="str">
        <x:v>赢</x:v>
      </x:c>
      <x:c r="N1120" s="67" t="n">
        <x:v>0.5</x:v>
      </x:c>
      <x:c r="O1120" s="67" t="n">
        <x:v>1</x:v>
      </x:c>
      <x:c r="P1120" s="67" t="n">
        <x:f>IF(COUNT(N1120:O1120)=0,"",SUM(N1120:O1120))</x:f>
        <x:v>1.5</x:v>
      </x:c>
      <x:c r="Q1120" s="65"/>
      <x:c r="R1120" s="65" t="str">
        <x:v>赛果3-1；让球赢半；大小球赢。</x:v>
      </x:c>
    </x:row>
    <x:row r="1121" ht="38" customHeight="1">
      <x:c r="A1121" s="65" t="str">
        <x:f>IF(B1121="","",TEXT(B1121,"yyyy-mm-dd")&amp;"|"&amp;D1121&amp;"|"&amp;E1121)</x:f>
        <x:v>2026-05-24|清水心跳|大阪钢巴</x:v>
      </x:c>
      <x:c r="B1121" s="66" t="n">
        <x:v>46166.666666666664</x:v>
      </x:c>
      <x:c r="C1121" s="65" t="str">
        <x:v>日职联（J1 League）</x:v>
      </x:c>
      <x:c r="D1121" s="65" t="str">
        <x:v>清水心跳</x:v>
      </x:c>
      <x:c r="E1121" s="65" t="str">
        <x:v>大阪钢巴</x:v>
      </x:c>
      <x:c r="F1121" s="65" t="str">
        <x:v>清水心跳 +0（平手盘/DNB，参考水位约0.89；低于0.80不进单）</x:v>
      </x:c>
      <x:c r="G1121" s="65" t="str">
        <x:v>小 2.5（参考水位约0.84-0.87；低于0.80不进单）</x:v>
      </x:c>
      <x:c r="H1121" s="65" t="str">
        <x:v>小注，不加仓。若临场清水平手盘跌到低于0.80则放弃让球；若大阪钢巴确认主力后防回归且小2.5被压到低于0.80，则大小球不进单。</x:v>
      </x:c>
      <x:c r="I1121" s="66" t="n">
        <x:v>46166.63295138889</x:v>
      </x:c>
      <x:c r="J1121" s="65" t="str">
        <x:v>已结算</x:v>
      </x:c>
      <x:c r="K1121" s="65" t="str">
        <x:v>1-2</x:v>
      </x:c>
      <x:c r="L1121" s="65" t="str">
        <x:v>输</x:v>
      </x:c>
      <x:c r="M1121" s="65" t="str">
        <x:v>输</x:v>
      </x:c>
      <x:c r="N1121" s="67" t="n">
        <x:v>-1</x:v>
      </x:c>
      <x:c r="O1121" s="67" t="n">
        <x:v>-1</x:v>
      </x:c>
      <x:c r="P1121" s="67" t="n">
        <x:f>IF(COUNT(N1121:O1121)=0,"",SUM(N1121:O1121))</x:f>
        <x:v>-2</x:v>
      </x:c>
      <x:c r="Q1121" s="65"/>
      <x:c r="R1121" s="65" t="str">
        <x:v>赛果1-2；让球输；大小球输。</x:v>
      </x:c>
    </x:row>
    <x:row r="1122" ht="38" customHeight="1">
      <x:c r="A1122" s="65" t="str">
        <x:f>IF(B1122="","",TEXT(B1122,"yyyy-mm-dd")&amp;"|"&amp;D1122&amp;"|"&amp;E1122)</x:f>
        <x:v>2026-05-24|秋田蓝色闪电|枥木城FC（Tochigi City FC）</x:v>
      </x:c>
      <x:c r="B1122" s="66" t="n">
        <x:v>46166.541666666664</x:v>
      </x:c>
      <x:c r="C1122" s="65" t="str">
        <x:v>日职 明治安田J2·J3百年构想联赛</x:v>
      </x:c>
      <x:c r="D1122" s="65" t="str">
        <x:v>秋田蓝色闪电</x:v>
      </x:c>
      <x:c r="E1122" s="65" t="str">
        <x:v>枥木城FC（Tochigi City FC）</x:v>
      </x:c>
      <x:c r="F1122" s="65" t="str">
        <x:v>秋田蓝色闪电 -0.5（等同主胜，参考欧赔2.00/亚洲水位约1.00；低于0.80不进单）</x:v>
      </x:c>
      <x:c r="G1122" s="65" t="str">
        <x:v>大 2.25（参考水位约0.88-0.95；若只能买小2.5低水则不进；低于0.80不进单）</x:v>
      </x:c>
      <x:c r="H1122" s="65" t="str">
        <x:v>小注，不加仓。若临场秋田退到-0.25低水或首发攻击线明显轮换，放弃让球；大小球只接受大2.25水位≥0.80，不追小2.5低水。</x:v>
      </x:c>
      <x:c r="I1122" s="66" t="n">
        <x:v>46166.540983796294</x:v>
      </x:c>
      <x:c r="J1122" s="65" t="str">
        <x:v>已结算</x:v>
      </x:c>
      <x:c r="K1122" s="65" t="str">
        <x:v>1-0</x:v>
      </x:c>
      <x:c r="L1122" s="65" t="str">
        <x:v>赢</x:v>
      </x:c>
      <x:c r="M1122" s="65" t="str">
        <x:v>输</x:v>
      </x:c>
      <x:c r="N1122" s="67" t="n">
        <x:v>1</x:v>
      </x:c>
      <x:c r="O1122" s="67" t="n">
        <x:v>-1</x:v>
      </x:c>
      <x:c r="P1122" s="67" t="n">
        <x:f>IF(COUNT(N1122:O1122)=0,"",SUM(N1122:O1122))</x:f>
        <x:v>0</x:v>
      </x:c>
      <x:c r="Q1122" s="65"/>
      <x:c r="R1122" s="65" t="str">
        <x:v>赛果1-0；让球赢；大小球输。</x:v>
      </x:c>
    </x:row>
    <x:row r="1123" ht="38" customHeight="1">
      <x:c r="A1123" s="65" t="str">
        <x:f>IF(B1123="","",TEXT(B1123,"yyyy-mm-dd")&amp;"|"&amp;D1123&amp;"|"&amp;E1123)</x:f>
        <x:v>2026-05-24|冈山绿雉|大阪樱花</x:v>
      </x:c>
      <x:c r="B1123" s="66" t="n">
        <x:v>46166.49652777778</x:v>
      </x:c>
      <x:c r="C1123" s="65" t="str">
        <x:v>日职联（J1 League）</x:v>
      </x:c>
      <x:c r="D1123" s="65" t="str">
        <x:v>冈山绿雉</x:v>
      </x:c>
      <x:c r="E1123" s="65" t="str">
        <x:v>大阪樱花</x:v>
      </x:c>
      <x:c r="F1123" s="65" t="str">
        <x:v>大阪樱花 -0.25（参考水位约0.88-0.92；低于0.80不进单）</x:v>
      </x:c>
      <x:c r="G1123" s="65" t="str">
        <x:v>小 2.75（参考水位约0.85-0.95；若只能拿到小2.5低于0.80则不进单）</x:v>
      </x:c>
      <x:c r="H1123" s="65" t="str">
        <x:v>小注，不加仓。若临场大阪樱花退到平手低水或首发轮换掉中村航辅/田中骏汰/樱川索罗门等关键中轴，则放弃让球；大小球只接受小2.75水位≥0.80。</x:v>
      </x:c>
      <x:c r="I1123" s="66" t="n">
        <x:v>46166.48101851852</x:v>
      </x:c>
      <x:c r="J1123" s="65" t="str">
        <x:v>已结算</x:v>
      </x:c>
      <x:c r="K1123" s="65" t="str">
        <x:v>2-3</x:v>
      </x:c>
      <x:c r="L1123" s="65" t="str">
        <x:v>赢</x:v>
      </x:c>
      <x:c r="M1123" s="65" t="str">
        <x:v>输</x:v>
      </x:c>
      <x:c r="N1123" s="67" t="n">
        <x:v>1</x:v>
      </x:c>
      <x:c r="O1123" s="67" t="n">
        <x:v>-1</x:v>
      </x:c>
      <x:c r="P1123" s="67" t="n">
        <x:f>IF(COUNT(N1123:O1123)=0,"",SUM(N1123:O1123))</x:f>
        <x:v>0</x:v>
      </x:c>
      <x:c r="Q1123" s="65"/>
      <x:c r="R1123" s="65" t="str">
        <x:v>赛果2-3；让球赢；大小球输。</x:v>
      </x:c>
    </x:row>
    <x:row r="1124" ht="38" customHeight="1">
      <x:c r="A1124" s="65" t="str">
        <x:f>IF(B1124="","",TEXT(B1124,"yyyy-mm-dd")&amp;"|"&amp;D1124&amp;"|"&amp;E1124)</x:f>
        <x:v>2026-05-24|科罗拉多急流|达拉斯FC</x:v>
      </x:c>
      <x:c r="B1124" s="66" t="n">
        <x:v>46166.395833333336</x:v>
      </x:c>
      <x:c r="C1124" s="65" t="str">
        <x:v>美职联（MLS）</x:v>
      </x:c>
      <x:c r="D1124" s="65" t="str">
        <x:v>科罗拉多急流</x:v>
      </x:c>
      <x:c r="E1124" s="65" t="str">
        <x:v>达拉斯FC</x:v>
      </x:c>
      <x:c r="F1124" s="65" t="str">
        <x:v>科罗拉多急流 -0.25（参考水位约0.90；低于0.80不进单）</x:v>
      </x:c>
      <x:c r="G1124" s="65" t="str">
        <x:v>大 3.0（参考水位约0.86-0.92；若只能买大2.5低水则不进；低于0.80不进单）</x:v>
      </x:c>
      <x:c r="H1124" s="65" t="str">
        <x:v>小注，不加仓。若临场科罗拉多退到平手低水，或达拉斯确认Musa/Julio等攻击点意外回归导致盘口反向压客队，则让球降级；大小球只接受大3.0水位≥0.80。</x:v>
      </x:c>
      <x:c r="I1124" s="66" t="n">
        <x:v>46166.3412962963</x:v>
      </x:c>
      <x:c r="J1124" s="65" t="str">
        <x:v>已结算</x:v>
      </x:c>
      <x:c r="K1124" s="65" t="str">
        <x:v>1-2</x:v>
      </x:c>
      <x:c r="L1124" s="65" t="str">
        <x:v>输</x:v>
      </x:c>
      <x:c r="M1124" s="65" t="str">
        <x:v>走水</x:v>
      </x:c>
      <x:c r="N1124" s="67" t="n">
        <x:v>-1</x:v>
      </x:c>
      <x:c r="O1124" s="67" t="n">
        <x:v>0</x:v>
      </x:c>
      <x:c r="P1124" s="67" t="n">
        <x:f>IF(COUNT(N1124:O1124)=0,"",SUM(N1124:O1124))</x:f>
        <x:v>-1</x:v>
      </x:c>
      <x:c r="Q1124" s="65"/>
      <x:c r="R1124" s="65" t="str">
        <x:v>赛果1-2；让球输；大小球走水。</x:v>
      </x:c>
    </x:row>
    <x:row r="1125" ht="38" customHeight="1">
      <x:c r="A1125" s="65" t="str">
        <x:f>IF(B1125="","",TEXT(B1125,"yyyy-mm-dd")&amp;"|"&amp;D1125&amp;"|"&amp;E1125)</x:f>
        <x:v>2026-05-24|纳什维尔SC|纽约城FC</x:v>
      </x:c>
      <x:c r="B1125" s="66" t="n">
        <x:v>46166.354166666664</x:v>
      </x:c>
      <x:c r="C1125" s="65" t="str">
        <x:v>美职联（MLS）</x:v>
      </x:c>
      <x:c r="D1125" s="65" t="str">
        <x:v>纳什维尔SC</x:v>
      </x:c>
      <x:c r="E1125" s="65" t="str">
        <x:v>纽约城FC</x:v>
      </x:c>
      <x:c r="F1125" s="65" t="str">
        <x:v>纳什维尔SC -0.75（参考水位约0.90；低于0.80不进单）</x:v>
      </x:c>
      <x:c r="G1125" s="65" t="str">
        <x:v>双方进球 否（BTTS No，参考水位约1.07；传统大2.5约0.74低水不进；低于0.80不进单）</x:v>
      </x:c>
      <x:c r="H1125" s="65" t="str">
        <x:v>小注，不加仓。若赛前确认Sam Surridge缺阵且纳什维尔退到-0.5低水，放弃让球；若纽约城首发攻击线临场补强明显，BTTS No降级。</x:v>
      </x:c>
      <x:c r="I1125" s="66" t="n">
        <x:v>46166.34234953704</x:v>
      </x:c>
      <x:c r="J1125" s="65" t="str">
        <x:v>已结算</x:v>
      </x:c>
      <x:c r="K1125" s="65" t="str">
        <x:v>2-1</x:v>
      </x:c>
      <x:c r="L1125" s="65" t="str">
        <x:v>赢半</x:v>
      </x:c>
      <x:c r="M1125" s="65" t="str">
        <x:v>输</x:v>
      </x:c>
      <x:c r="N1125" s="67" t="n">
        <x:v>0.5</x:v>
      </x:c>
      <x:c r="O1125" s="67" t="n">
        <x:v>-1</x:v>
      </x:c>
      <x:c r="P1125" s="67" t="n">
        <x:f>IF(COUNT(N1125:O1125)=0,"",SUM(N1125:O1125))</x:f>
        <x:v>-0.5</x:v>
      </x:c>
      <x:c r="Q1125" s="65"/>
      <x:c r="R1125" s="65" t="str">
        <x:v>赛果2-1；让球赢半；大小球输（BTTS No未中）。</x:v>
      </x:c>
    </x:row>
    <x:row r="1126" ht="38" customHeight="1">
      <x:c r="A1126" s="65" t="str">
        <x:f>IF(B1126="","",TEXT(B1126,"yyyy-mm-dd")&amp;"|"&amp;D1126&amp;"|"&amp;E1126)</x:f>
        <x:v>2026-05-24|堪萨斯城竞技|纽约红牛</x:v>
      </x:c>
      <x:c r="B1126" s="66" t="n">
        <x:v>46166.354166666664</x:v>
      </x:c>
      <x:c r="C1126" s="65" t="str">
        <x:v>美职联（MLS）</x:v>
      </x:c>
      <x:c r="D1126" s="65" t="str">
        <x:v>堪萨斯城竞技</x:v>
      </x:c>
      <x:c r="E1126" s="65" t="str">
        <x:v>纽约红牛</x:v>
      </x:c>
      <x:c r="F1126" s="65" t="str">
        <x:v>纽约红牛 -0.25（参考水位约0.90；低于0.80不进单）</x:v>
      </x:c>
      <x:c r="G1126" s="65" t="str">
        <x:v>大 3.5（参考水位约0.90；若只能买大2.5低水则不进；低于0.80不进单）</x:v>
      </x:c>
      <x:c r="H1126" s="65" t="str">
        <x:v>小注，不加仓。若临场红牛退到平手低水或首发前场缺少Julian Hall/Cade Cowell之一，放弃让球；大小球只接受大3.5水位≥0.80，不追大2.5低水。</x:v>
      </x:c>
      <x:c r="I1126" s="66" t="n">
        <x:v>46166.33731481482</x:v>
      </x:c>
      <x:c r="J1126" s="65" t="str">
        <x:v>已结算</x:v>
      </x:c>
      <x:c r="K1126" s="65" t="str">
        <x:v>1-2</x:v>
      </x:c>
      <x:c r="L1126" s="65" t="str">
        <x:v>赢</x:v>
      </x:c>
      <x:c r="M1126" s="65" t="str">
        <x:v>输</x:v>
      </x:c>
      <x:c r="N1126" s="67" t="n">
        <x:v>1</x:v>
      </x:c>
      <x:c r="O1126" s="67" t="n">
        <x:v>-1</x:v>
      </x:c>
      <x:c r="P1126" s="67" t="n">
        <x:f>IF(COUNT(N1126:O1126)=0,"",SUM(N1126:O1126))</x:f>
        <x:v>0</x:v>
      </x:c>
      <x:c r="Q1126" s="65"/>
      <x:c r="R1126" s="65" t="str">
        <x:v>赛果1-2；让球赢；大小球输。</x:v>
      </x:c>
    </x:row>
    <x:row r="1127" ht="38" customHeight="1">
      <x:c r="A1127" s="65" t="str">
        <x:f>IF(B1127="","",TEXT(B1127,"yyyy-mm-dd")&amp;"|"&amp;D1127&amp;"|"&amp;E1127)</x:f>
        <x:v>2026-05-24|辛辛那提FC|奥兰多城</x:v>
      </x:c>
      <x:c r="B1127" s="66" t="n">
        <x:v>46166.3125</x:v>
      </x:c>
      <x:c r="C1127" s="65" t="str">
        <x:v>美职联（MLS）</x:v>
      </x:c>
      <x:c r="D1127" s="65" t="str">
        <x:v>辛辛那提FC</x:v>
      </x:c>
      <x:c r="E1127" s="65" t="str">
        <x:v>奥兰多城</x:v>
      </x:c>
      <x:c r="F1127" s="65" t="str">
        <x:v>辛辛那提FC -0.75（参考水位约0.87；低于0.80不进单）</x:v>
      </x:c>
      <x:c r="G1127" s="65" t="str">
        <x:v>小 3.5（参考水位约1.10；大3.5低水不进；低于0.80不进单）</x:v>
      </x:c>
      <x:c r="H1127" s="65" t="str">
        <x:v>小注，不加仓。若临场辛辛那提升到-1低水不追；若奥兰多派上邓肯·麦圭尔/帕萨利奇等强攻击替补并压低小3.5水位，则大小球降级。</x:v>
      </x:c>
      <x:c r="I1127" s="66" t="n">
        <x:v>46166.330509259256</x:v>
      </x:c>
      <x:c r="J1127" s="65" t="str">
        <x:v>已结算</x:v>
      </x:c>
      <x:c r="K1127" s="65" t="str">
        <x:v>6-2</x:v>
      </x:c>
      <x:c r="L1127" s="65" t="str">
        <x:v>赢</x:v>
      </x:c>
      <x:c r="M1127" s="65" t="str">
        <x:v>输</x:v>
      </x:c>
      <x:c r="N1127" s="67" t="n">
        <x:v>1</x:v>
      </x:c>
      <x:c r="O1127" s="67" t="n">
        <x:v>-1</x:v>
      </x:c>
      <x:c r="P1127" s="67" t="n">
        <x:f>IF(COUNT(N1127:O1127)=0,"",SUM(N1127:O1127))</x:f>
        <x:v>0</x:v>
      </x:c>
      <x:c r="Q1127" s="65"/>
      <x:c r="R1127" s="65" t="str">
        <x:v>赛果6-2；让球赢；大小球输。</x:v>
      </x:c>
    </x:row>
    <x:row r="1128" ht="38" customHeight="1">
      <x:c r="A1128" s="65" t="str">
        <x:f>IF(B1128="","",TEXT(B1128,"yyyy-mm-dd")&amp;"|"&amp;D1128&amp;"|"&amp;E1128)</x:f>
        <x:v>2026-05-24|国民竞技(Atlético Nacional)|托利马(Deportes Tolima)</x:v>
      </x:c>
      <x:c r="B1128" s="66" t="n">
        <x:v>46166.291666666664</x:v>
      </x:c>
      <x:c r="C1128" s="65" t="str">
        <x:v>哥伦比亚甲级联赛（Liga BetPlay DIMAYOR）</x:v>
      </x:c>
      <x:c r="D1128" s="65" t="str">
        <x:v>国民竞技(Atlético Nacional)</x:v>
      </x:c>
      <x:c r="E1128" s="65" t="str">
        <x:v>托利马(Deportes Tolima)</x:v>
      </x:c>
      <x:c r="F1128" s="65" t="str">
        <x:v>国民竞技 -0.75（参考水位约0.88；低于0.80不进单）</x:v>
      </x:c>
      <x:c r="G1128" s="65" t="str">
        <x:v>小 2.5（参考水位约0.88-0.95；若只能拿到低于0.80的小2.5则不进单）</x:v>
      </x:c>
      <x:c r="H1128" s="65" t="str">
        <x:v>小注，不加仓。若国民竞技临场锋线缺少莫雷洛斯/伦吉福之一，或盘口退到-0.5低水，放弃让球；大小球只接受小2.5水位≥0.80。</x:v>
      </x:c>
      <x:c r="I1128" s="66" t="n">
        <x:v>46166.281331018516</x:v>
      </x:c>
      <x:c r="J1128" s="65" t="str">
        <x:v>已结算</x:v>
      </x:c>
      <x:c r="K1128" s="65" t="str">
        <x:v>3-1</x:v>
      </x:c>
      <x:c r="L1128" s="65" t="str">
        <x:v>赢</x:v>
      </x:c>
      <x:c r="M1128" s="65" t="str">
        <x:v>输</x:v>
      </x:c>
      <x:c r="N1128" s="67" t="n">
        <x:v>1</x:v>
      </x:c>
      <x:c r="O1128" s="67" t="n">
        <x:v>-1</x:v>
      </x:c>
      <x:c r="P1128" s="67" t="n">
        <x:f>IF(COUNT(N1128:O1128)=0,"",SUM(N1128:O1128))</x:f>
        <x:v>0</x:v>
      </x:c>
      <x:c r="Q1128" s="65"/>
      <x:c r="R1128" s="65" t="str">
        <x:v>赛果3-1；让球赢；大小球输。</x:v>
      </x:c>
    </x:row>
    <x:row r="1129" ht="38" customHeight="1">
      <x:c r="A1129" s="65" t="str">
        <x:f>IF(B1129="","",TEXT(B1129,"yyyy-mm-dd")&amp;"|"&amp;D1129&amp;"|"&amp;E1129)</x:f>
        <x:v>2026-05-24|米拉索尔|弗鲁米嫩塞</x:v>
      </x:c>
      <x:c r="B1129" s="66" t="n">
        <x:v>46166.25</x:v>
      </x:c>
      <x:c r="C1129" s="65" t="str">
        <x:v>巴西甲（Serie A）</x:v>
      </x:c>
      <x:c r="D1129" s="65" t="str">
        <x:v>米拉索尔</x:v>
      </x:c>
      <x:c r="E1129" s="65" t="str">
        <x:v>弗鲁米嫩塞</x:v>
      </x:c>
      <x:c r="F1129" s="65" t="str">
        <x:v>弗鲁米嫩塞 +0（平手盘/DNB，参考水位约1.00；低于0.80不进单）</x:v>
      </x:c>
      <x:c r="G1129" s="65" t="str">
        <x:v>大 2.5（参考水位约1.25；若临场降到低于0.80不进单）</x:v>
      </x:c>
      <x:c r="H1129" s="65" t="str">
        <x:v>小注，不加仓。若只能拿到弗鲁米嫩塞+0.25但水位低于0.80，则不进；大小球可替代为双方进球是（参考水位约0.86）。</x:v>
      </x:c>
      <x:c r="I1129" s="66" t="n">
        <x:v>46166.18221064815</x:v>
      </x:c>
      <x:c r="J1129" s="65" t="str">
        <x:v>已结算</x:v>
      </x:c>
      <x:c r="K1129" s="65" t="str">
        <x:v>1-0</x:v>
      </x:c>
      <x:c r="L1129" s="65" t="str">
        <x:v>输</x:v>
      </x:c>
      <x:c r="M1129" s="65" t="str">
        <x:v>输</x:v>
      </x:c>
      <x:c r="N1129" s="67" t="n">
        <x:v>-1</x:v>
      </x:c>
      <x:c r="O1129" s="67" t="n">
        <x:v>-1</x:v>
      </x:c>
      <x:c r="P1129" s="67" t="n">
        <x:f>IF(COUNT(N1129:O1129)=0,"",SUM(N1129:O1129))</x:f>
        <x:v>-2</x:v>
      </x:c>
      <x:c r="Q1129" s="65"/>
      <x:c r="R1129" s="65" t="str">
        <x:v>赛果1-0；让球输；大小球输。</x:v>
      </x:c>
    </x:row>
    <x:row r="1130" ht="38" customHeight="1">
      <x:c r="A1130" s="65" t="str">
        <x:f>IF(B1130="","",TEXT(B1130,"yyyy-mm-dd")&amp;"|"&amp;D1130&amp;"|"&amp;E1130)</x:f>
        <x:v>2026-05-24|维多利亚|巴西国际</x:v>
      </x:c>
      <x:c r="B1130" s="66" t="n">
        <x:v>46166.166666666664</x:v>
      </x:c>
      <x:c r="C1130" s="65" t="str">
        <x:v>巴西甲（Serie A）</x:v>
      </x:c>
      <x:c r="D1130" s="65" t="str">
        <x:v>维多利亚</x:v>
      </x:c>
      <x:c r="E1130" s="65" t="str">
        <x:v>巴西国际</x:v>
      </x:c>
      <x:c r="F1130" s="65" t="str">
        <x:v>维多利亚 +0（平手盘/DNB，参考水位约0.98；低于0.80不进单）</x:v>
      </x:c>
      <x:c r="G1130" s="65" t="str">
        <x:v>双方进球 是（BTTS Yes，参考水位约0.84；传统小2.5低水不进；低于0.80不进单）</x:v>
      </x:c>
      <x:c r="H1130" s="65" t="str">
        <x:v>小注，不加仓。若临场维多利亚左路Ramon缺阵且替补防守端明显降级，或平手盘低于0.80，则放弃让球；大小球只做BTTS Yes，不追大2.5。</x:v>
      </x:c>
      <x:c r="I1130" s="66" t="n">
        <x:v>46166.18215277778</x:v>
      </x:c>
      <x:c r="J1130" s="65" t="str">
        <x:v>已结算</x:v>
      </x:c>
      <x:c r="K1130" s="65" t="str">
        <x:v>2-0</x:v>
      </x:c>
      <x:c r="L1130" s="65" t="str">
        <x:v>赢</x:v>
      </x:c>
      <x:c r="M1130" s="65" t="str">
        <x:v>输</x:v>
      </x:c>
      <x:c r="N1130" s="67" t="n">
        <x:v>1</x:v>
      </x:c>
      <x:c r="O1130" s="67" t="n">
        <x:v>-1</x:v>
      </x:c>
      <x:c r="P1130" s="67" t="n">
        <x:f>IF(COUNT(N1130:O1130)=0,"",SUM(N1130:O1130))</x:f>
        <x:v>0</x:v>
      </x:c>
      <x:c r="Q1130" s="65"/>
      <x:c r="R1130" s="65" t="str">
        <x:v>赛果2-0；让球赢；大小球输（BTTS Yes未中）。</x:v>
      </x:c>
    </x:row>
    <x:row r="1131" ht="38" customHeight="1">
      <x:c r="A1131" s="65" t="str">
        <x:f>IF(B1131="","",TEXT(B1131,"yyyy-mm-dd")&amp;"|"&amp;D1131&amp;"|"&amp;E1131)</x:f>
        <x:v>2026-05-24|圣路易斯城|奥斯汀FC</x:v>
      </x:c>
      <x:c r="B1131" s="66" t="n">
        <x:v>46166.114583333336</x:v>
      </x:c>
      <x:c r="C1131" s="65" t="str">
        <x:v>美职联（MLS）</x:v>
      </x:c>
      <x:c r="D1131" s="65" t="str">
        <x:v>圣路易斯城</x:v>
      </x:c>
      <x:c r="E1131" s="65" t="str">
        <x:v>奥斯汀FC</x:v>
      </x:c>
      <x:c r="F1131" s="65" t="str">
        <x:v>圣路易斯城 -0.75（参考水位约0.95；低于0.80不进单）</x:v>
      </x:c>
      <x:c r="G1131" s="65" t="str">
        <x:v>大 3.5（参考水位约1.35；若只能买大2.5低水则不进；低于0.80不进单）</x:v>
      </x:c>
      <x:c r="H1131" s="65" t="str">
        <x:v>小注，不加仓；让球和大小球不建议串关。若临场圣路易斯城首发攻击线弱化、门将风险扩大，或-0.75低于0.80则放弃让球。</x:v>
      </x:c>
      <x:c r="I1131" s="66" t="n">
        <x:v>46166.18209490741</x:v>
      </x:c>
      <x:c r="J1131" s="65" t="str">
        <x:v>已结算</x:v>
      </x:c>
      <x:c r="K1131" s="65" t="str">
        <x:v>3-0</x:v>
      </x:c>
      <x:c r="L1131" s="65" t="str">
        <x:v>赢</x:v>
      </x:c>
      <x:c r="M1131" s="65" t="str">
        <x:v>输</x:v>
      </x:c>
      <x:c r="N1131" s="67" t="n">
        <x:v>1</x:v>
      </x:c>
      <x:c r="O1131" s="67" t="n">
        <x:v>-1</x:v>
      </x:c>
      <x:c r="P1131" s="67" t="n">
        <x:f>IF(COUNT(N1131:O1131)=0,"",SUM(N1131:O1131))</x:f>
        <x:v>0</x:v>
      </x:c>
      <x:c r="Q1131" s="65"/>
      <x:c r="R1131" s="65" t="str">
        <x:v>赛果3-0；让球赢；大小球输。</x:v>
      </x:c>
    </x:row>
    <x:row r="1132" ht="38" customHeight="1">
      <x:c r="A1132" s="65" t="str">
        <x:f>IF(B1132="","",TEXT(B1132,"yyyy-mm-dd")&amp;"|"&amp;D1132&amp;"|"&amp;E1132)</x:f>
        <x:v>2026-05-24|拉齐奥|比萨</x:v>
      </x:c>
      <x:c r="B1132" s="66" t="n">
        <x:v>46166.114583333336</x:v>
      </x:c>
      <x:c r="C1132" s="65" t="str">
        <x:v>意大利甲级联赛（Serie A）</x:v>
      </x:c>
      <x:c r="D1132" s="65" t="str">
        <x:v>拉齐奥</x:v>
      </x:c>
      <x:c r="E1132" s="65" t="str">
        <x:v>比萨</x:v>
      </x:c>
      <x:c r="F1132" s="65" t="str">
        <x:v>拉齐奥 -0.75（参考水位约0.82；低于0.80不进单）</x:v>
      </x:c>
      <x:c r="G1132" s="65" t="str">
        <x:v>大 2.5（参考水位约0.83；低于0.80不进单）</x:v>
      </x:c>
      <x:c r="H1132" s="65" t="str">
        <x:v>小中注；不加仓。若临场拉齐奥首发攻击线明显轮换或大2.5低于0.80则降级/放弃大小球。</x:v>
      </x:c>
      <x:c r="I1132" s="66" t="n">
        <x:v>46166.119479166664</x:v>
      </x:c>
      <x:c r="J1132" s="65" t="str">
        <x:v>已结算</x:v>
      </x:c>
      <x:c r="K1132" s="65" t="str">
        <x:v>2-1</x:v>
      </x:c>
      <x:c r="L1132" s="65" t="str">
        <x:v>赢半</x:v>
      </x:c>
      <x:c r="M1132" s="65" t="str">
        <x:v>赢</x:v>
      </x:c>
      <x:c r="N1132" s="67" t="n">
        <x:v>0.5</x:v>
      </x:c>
      <x:c r="O1132" s="67" t="n">
        <x:v>1</x:v>
      </x:c>
      <x:c r="P1132" s="67" t="n">
        <x:f>IF(COUNT(N1132:O1132)=0,"",SUM(N1132:O1132))</x:f>
        <x:v>1.5</x:v>
      </x:c>
      <x:c r="Q1132" s="65"/>
      <x:c r="R1132" s="65" t="str">
        <x:v>赛果2-1；让球赢半；大小球赢。</x:v>
      </x:c>
    </x:row>
    <x:row r="1133" ht="38" customHeight="1">
      <x:c r="A1133" s="65" t="str">
        <x:f>IF(B1133="","",TEXT(B1133,"yyyy-mm-dd")&amp;"|"&amp;D1133&amp;"|"&amp;E1133)</x:f>
        <x:v>2026-05-24|塞罗拉尔戈（Cerro Largo）|波士顿河（Boston River）</x:v>
      </x:c>
      <x:c r="B1133" s="66" t="n">
        <x:v>46166.083333333336</x:v>
      </x:c>
      <x:c r="C1133" s="65" t="str">
        <x:v>乌拉圭甲级联赛（Campeonato Uruguayo·Primera División）</x:v>
      </x:c>
      <x:c r="D1133" s="65" t="str">
        <x:v>塞罗拉尔戈（Cerro Largo）</x:v>
      </x:c>
      <x:c r="E1133" s="65" t="str">
        <x:v>波士顿河（Boston River）</x:v>
      </x:c>
      <x:c r="F1133" s="65" t="str">
        <x:v>波士顿河 +0.25，亚洲水位≥0.86可入；若退到+0需水位≥0.82；低于0.80不进单</x:v>
      </x:c>
      <x:c r="G1133" s="65" t="str">
        <x:v>大2.25，亚洲水位≥0.84可入；若只有大2.5需水位≥1.05小注；低于0.80不进单</x:v>
      </x:c>
      <x:c r="H1133" s="65" t="str">
        <x:v>小注；可选波士顿河+0.5水位≥0.80作保守替代；若临场波士顿河前场轮换或盘口退到平手低水，则让球降级观察</x:v>
      </x:c>
      <x:c r="I1133" s="66" t="n">
        <x:v>46166.05792824074</x:v>
      </x:c>
      <x:c r="J1133" s="65" t="str">
        <x:v>已结算</x:v>
      </x:c>
      <x:c r="K1133" s="65" t="str">
        <x:v>3-0</x:v>
      </x:c>
      <x:c r="L1133" s="65" t="str">
        <x:v>输</x:v>
      </x:c>
      <x:c r="M1133" s="65" t="str">
        <x:v>赢</x:v>
      </x:c>
      <x:c r="N1133" s="67" t="n">
        <x:v>-1</x:v>
      </x:c>
      <x:c r="O1133" s="67" t="n">
        <x:v>1</x:v>
      </x:c>
      <x:c r="P1133" s="67" t="n">
        <x:f>IF(COUNT(N1133:O1133)=0,"",SUM(N1133:O1133))</x:f>
        <x:v>0</x:v>
      </x:c>
      <x:c r="Q1133" s="65"/>
      <x:c r="R1133" s="65" t="str">
        <x:v>赛果3-0；让球输；大小球赢。</x:v>
      </x:c>
    </x:row>
    <x:row r="1134" ht="38" customHeight="1">
      <x:c r="A1134" s="65" t="str">
        <x:f>IF(B1134="","",TEXT(B1134,"yyyy-mm-dd")&amp;"|"&amp;D1134&amp;"|"&amp;E1134)</x:f>
        <x:v>2026-05-24|未来FC（Modern Sport FC）|马哈拉纺织（Ghazl El Mahalla）</x:v>
      </x:c>
      <x:c r="B1134" s="66" t="n">
        <x:v>46166.041666666664</x:v>
      </x:c>
      <x:c r="C1134" s="65" t="str">
        <x:v>埃及超级联赛（Egyptian Premier League）</x:v>
      </x:c>
      <x:c r="D1134" s="65" t="str">
        <x:v>未来FC（Modern Sport FC）</x:v>
      </x:c>
      <x:c r="E1134" s="65" t="str">
        <x:v>马哈拉纺织（Ghazl El Mahalla）</x:v>
      </x:c>
      <x:c r="F1134" s="65" t="str">
        <x:v>未来FC（Modern Sport FC） 0（平手/DNB），亚洲水位≥0.82可入；若升到-0.25需水位≥0.92小注；低于0.80不进单</x:v>
      </x:c>
      <x:c r="G1134" s="65" t="str">
        <x:v>小2.25，亚洲水位≥0.84可入；若只有小2.5低水不进单；小2.0需水位≥0.90小注</x:v>
      </x:c>
      <x:c r="H1134" s="65" t="str">
        <x:v>小注；若已开赛超过15分钟不新进；不追主胜低赔，也不买小2.5低水；若马哈拉临场锋线双外援齐整则大小球降级观察</x:v>
      </x:c>
      <x:c r="I1134" s="66" t="n">
        <x:v>46166.0627662037</x:v>
      </x:c>
      <x:c r="J1134" s="65" t="str">
        <x:v>已结算</x:v>
      </x:c>
      <x:c r="K1134" s="65" t="str">
        <x:v>0-0</x:v>
      </x:c>
      <x:c r="L1134" s="65" t="str">
        <x:v>走水</x:v>
      </x:c>
      <x:c r="M1134" s="65" t="str">
        <x:v>赢</x:v>
      </x:c>
      <x:c r="N1134" s="67" t="n">
        <x:v>0</x:v>
      </x:c>
      <x:c r="O1134" s="67" t="n">
        <x:v>1</x:v>
      </x:c>
      <x:c r="P1134" s="67" t="n">
        <x:f>IF(COUNT(N1134:O1134)=0,"",SUM(N1134:O1134))</x:f>
        <x:v>1</x:v>
      </x:c>
      <x:c r="Q1134" s="65"/>
      <x:c r="R1134" s="65" t="str">
        <x:v>赛果0-0；让球走水；大小球赢。</x:v>
      </x:c>
    </x:row>
    <x:row r="1135" ht="38" customHeight="1">
      <x:c r="A1135" s="65" t="str">
        <x:f>IF(B1135="","",TEXT(B1135,"yyyy-mm-dd")&amp;"|"&amp;D1135&amp;"|"&amp;E1135)</x:f>
        <x:v>2026-05-23|赫尔城（Hull City）|米德尔斯堡（Middlesbrough）</x:v>
      </x:c>
      <x:c r="B1135" s="66" t="n">
        <x:v>46165.9375</x:v>
      </x:c>
      <x:c r="C1135" s="65" t="str">
        <x:v>英格兰冠军联赛（英冠）</x:v>
      </x:c>
      <x:c r="D1135" s="65" t="str">
        <x:v>赫尔城（Hull City）</x:v>
      </x:c>
      <x:c r="E1135" s="65" t="str">
        <x:v>米德尔斯堡（Middlesbrough）</x:v>
      </x:c>
      <x:c r="F1135" s="65" t="str">
        <x:v>米德尔斯堡 -0.5，亚洲水位≥0.86可入；若临场退到-0.25需水位≥0.80；低于0.80不进单</x:v>
      </x:c>
      <x:c r="G1135" s="65" t="str">
        <x:v>大2.5，亚洲水位≥1.05小注；若只有大2.25且水位低于0.80不进单；不买小2.5低水</x:v>
      </x:c>
      <x:c r="H1135" s="65" t="str">
        <x:v>小注；可选米德尔斯堡-0.25水位≥0.80作保守替代；若Hackney不首发且Boro锋线进一步削弱，大球降级观察</x:v>
      </x:c>
      <x:c r="I1135" s="66" t="n">
        <x:v>46165.84207175926</x:v>
      </x:c>
      <x:c r="J1135" s="65" t="str">
        <x:v>已结算</x:v>
      </x:c>
      <x:c r="K1135" s="65" t="str">
        <x:v>1-0</x:v>
      </x:c>
      <x:c r="L1135" s="65" t="str">
        <x:v>输</x:v>
      </x:c>
      <x:c r="M1135" s="65" t="str">
        <x:v>输</x:v>
      </x:c>
      <x:c r="N1135" s="67" t="n">
        <x:v>-1</x:v>
      </x:c>
      <x:c r="O1135" s="67" t="n">
        <x:v>-1</x:v>
      </x:c>
      <x:c r="P1135" s="67" t="n">
        <x:f>IF(COUNT(N1135:O1135)=0,"",SUM(N1135:O1135))</x:f>
        <x:v>-2</x:v>
      </x:c>
      <x:c r="Q1135" s="65"/>
      <x:c r="R1135" s="65" t="str">
        <x:v>赛果1-0；让球输；大小球输。</x:v>
      </x:c>
    </x:row>
    <x:row r="1136" ht="38" customHeight="1">
      <x:c r="A1136" s="65" t="str">
        <x:f>IF(B1136="","",TEXT(B1136,"yyyy-mm-dd")&amp;"|"&amp;D1136&amp;"|"&amp;E1136)</x:f>
        <x:v>2026-05-23|帕尔斯巴亚（Persebaya Surabaya）|佩斯克谏义里（Persik Kediri）</x:v>
      </x:c>
      <x:c r="B1136" s="66" t="n">
        <x:v>46165.708333333336</x:v>
      </x:c>
      <x:c r="C1136" s="65" t="str">
        <x:v>印度尼西亚超级联赛（印尼超/Liga 1 Indonesia）</x:v>
      </x:c>
      <x:c r="D1136" s="65" t="str">
        <x:v>帕尔斯巴亚（Persebaya Surabaya）</x:v>
      </x:c>
      <x:c r="E1136" s="65" t="str">
        <x:v>佩斯克谏义里（Persik Kediri）</x:v>
      </x:c>
      <x:c r="F1136" s="65" t="str">
        <x:v>帕尔斯巴亚 -0.75，亚洲水位≥0.82可入；若只能拿-1需水位≥0.96小注；低于0.80不进单</x:v>
      </x:c>
      <x:c r="G1136" s="65" t="str">
        <x:v>小3.5，亚洲水位≥0.82可入；若只有小3.25需水位≥0.86；大2.5低水不进单</x:v>
      </x:c>
      <x:c r="H1136" s="65" t="str">
        <x:v>小注；可选帕尔斯巴亚-0.5水位≥0.80作保守替代；不追主胜低赔、不追大2.5低水</x:v>
      </x:c>
      <x:c r="I1136" s="66" t="n">
        <x:v>46165.722037037034</x:v>
      </x:c>
      <x:c r="J1136" s="65" t="str">
        <x:v>已结算</x:v>
      </x:c>
      <x:c r="K1136" s="65" t="str">
        <x:v>5-0</x:v>
      </x:c>
      <x:c r="L1136" s="65" t="str">
        <x:v>赢</x:v>
      </x:c>
      <x:c r="M1136" s="65" t="str">
        <x:v>输</x:v>
      </x:c>
      <x:c r="N1136" s="67" t="n">
        <x:v>1</x:v>
      </x:c>
      <x:c r="O1136" s="67" t="n">
        <x:v>-1</x:v>
      </x:c>
      <x:c r="P1136" s="67" t="n">
        <x:f>IF(COUNT(N1136:O1136)=0,"",SUM(N1136:O1136))</x:f>
        <x:v>0</x:v>
      </x:c>
      <x:c r="Q1136" s="65"/>
      <x:c r="R1136" s="65" t="str">
        <x:v>赛果5-0；让球赢；大小球输。</x:v>
      </x:c>
    </x:row>
    <x:row r="1137" ht="38" customHeight="1">
      <x:c r="A1137" s="65" t="str">
        <x:f>IF(B1137="","",TEXT(B1137,"yyyy-mm-dd")&amp;"|"&amp;D1137&amp;"|"&amp;E1137)</x:f>
        <x:v>2026-05-23|布林狮子（Bulleen Lions）|曼宁厄姆联蓝调（Manningham United Blues）</x:v>
      </x:c>
      <x:c r="B1137" s="66" t="n">
        <x:v>46165.6875</x:v>
      </x:c>
      <x:c r="C1137" s="65" t="str">
        <x:v>澳大利亚 维多利亚州超级联赛1（VPL1）</x:v>
      </x:c>
      <x:c r="D1137" s="65" t="str">
        <x:v>布林狮子（Bulleen Lions）</x:v>
      </x:c>
      <x:c r="E1137" s="65" t="str">
        <x:v>曼宁厄姆联蓝调（Manningham United Blues）</x:v>
      </x:c>
      <x:c r="F1137" s="65" t="str">
        <x:v>布林狮子（Bulleen Lions） -0.25，亚洲水位≥0.84可入；若只剩-0.5需水位≥0.95小注；低于0.80不进单</x:v>
      </x:c>
      <x:c r="G1137" s="65" t="str">
        <x:v>小3.25，亚洲水位≥0.84可入；若只有小3.0需水位≥0.88；低于0.80不进单</x:v>
      </x:c>
      <x:c r="H1137" s="65" t="str">
        <x:v>小注；不追布林狮子-0.75深盘；若临场曼宁厄姆前场主力齐整且大小球降到3.0低水，则大小球放弃</x:v>
      </x:c>
      <x:c r="I1137" s="66" t="n">
        <x:v>46165.673530092594</x:v>
      </x:c>
      <x:c r="J1137" s="65" t="str">
        <x:v>已结算</x:v>
      </x:c>
      <x:c r="K1137" s="65" t="str">
        <x:v>1-2</x:v>
      </x:c>
      <x:c r="L1137" s="65" t="str">
        <x:v>输</x:v>
      </x:c>
      <x:c r="M1137" s="65" t="str">
        <x:v>赢</x:v>
      </x:c>
      <x:c r="N1137" s="67" t="n">
        <x:v>-1</x:v>
      </x:c>
      <x:c r="O1137" s="67" t="n">
        <x:v>1</x:v>
      </x:c>
      <x:c r="P1137" s="67" t="n">
        <x:f>IF(COUNT(N1137:O1137)=0,"",SUM(N1137:O1137))</x:f>
        <x:v>0</x:v>
      </x:c>
      <x:c r="Q1137" s="65"/>
      <x:c r="R1137" s="65" t="str">
        <x:v>赛果1-2；让球输；大小球赢。</x:v>
      </x:c>
    </x:row>
    <x:row r="1138" ht="38" customHeight="1">
      <x:c r="A1138" s="65" t="str">
        <x:f>IF(B1138="","",TEXT(B1138,"yyyy-mm-dd")&amp;"|"&amp;D1138&amp;"|"&amp;E1138)</x:f>
        <x:v>2026-05-23|阿东那魔术（Altona Magic）|休城（Hume City）</x:v>
      </x:c>
      <x:c r="B1138" s="66" t="n">
        <x:v>46165.677083333336</x:v>
      </x:c>
      <x:c r="C1138" s="65" t="str">
        <x:v>澳大利亚 维多利亚州超级联赛1（VPL1）</x:v>
      </x:c>
      <x:c r="D1138" s="65" t="str">
        <x:v>阿东那魔术（Altona Magic）</x:v>
      </x:c>
      <x:c r="E1138" s="65" t="str">
        <x:v>休城（Hume City）</x:v>
      </x:c>
      <x:c r="F1138" s="65" t="str">
        <x:v>休城（Hume City） -0.5，亚洲水位≥0.85可入；若升到-0.75需水位≥0.92小注；低于0.80不进单</x:v>
      </x:c>
      <x:c r="G1138" s="65" t="str">
        <x:v>小3.25，亚洲水位≥0.84可入；若只有小3.0需水位≥0.88；低于0.80不进单</x:v>
      </x:c>
      <x:c r="H1138" s="65" t="str">
        <x:v>小注；不追休城-1深盘，不买客胜低赔；若临场确认阿东那主力中卫/门将缺阵，大小球降级为观察</x:v>
      </x:c>
      <x:c r="I1138" s="66" t="n">
        <x:v>46165.67215277778</x:v>
      </x:c>
      <x:c r="J1138" s="65" t="str">
        <x:v>已结算</x:v>
      </x:c>
      <x:c r="K1138" s="65" t="str">
        <x:v>1-3</x:v>
      </x:c>
      <x:c r="L1138" s="65" t="str">
        <x:v>赢</x:v>
      </x:c>
      <x:c r="M1138" s="65" t="str">
        <x:v>输</x:v>
      </x:c>
      <x:c r="N1138" s="67" t="n">
        <x:v>1</x:v>
      </x:c>
      <x:c r="O1138" s="67" t="n">
        <x:v>-1</x:v>
      </x:c>
      <x:c r="P1138" s="67" t="n">
        <x:f>IF(COUNT(N1138:O1138)=0,"",SUM(N1138:O1138))</x:f>
        <x:v>0</x:v>
      </x:c>
      <x:c r="Q1138" s="65"/>
      <x:c r="R1138" s="65" t="str">
        <x:v>赛果1-3；让球赢；大小球输。</x:v>
      </x:c>
    </x:row>
    <x:row r="1139" ht="38" customHeight="1">
      <x:c r="A1139" s="65" t="str">
        <x:f>IF(B1139="","",TEXT(B1139,"yyyy-mm-dd")&amp;"|"&amp;D1139&amp;"|"&amp;E1139)</x:f>
        <x:v>2026-05-23|奥克兰FC|悉尼FC</x:v>
      </x:c>
      <x:c r="B1139" s="66" t="n">
        <x:v>46165.67361111111</x:v>
      </x:c>
      <x:c r="C1139" s="65" t="str">
        <x:v>澳大利亚A联赛（A-League Men）</x:v>
      </x:c>
      <x:c r="D1139" s="65" t="str">
        <x:v>奥克兰FC</x:v>
      </x:c>
      <x:c r="E1139" s="65" t="str">
        <x:v>悉尼FC</x:v>
      </x:c>
      <x:c r="F1139" s="65" t="str">
        <x:v>悉尼FC +0.5，亚洲水位≥0.82可入；若临场变+0.25需水位≥0.88；低于0.80不进单</x:v>
      </x:c>
      <x:c r="G1139" s="65" t="str">
        <x:v>大2.5，亚洲水位≥0.90可小注；若大2.25水位≥0.80可保守替代；低于0.80不进单</x:v>
      </x:c>
      <x:c r="H1139" s="65" t="str">
        <x:v>小注；不追奥克兰-0.5低水，也不买小2.5低水；若首发显示悉尼前场轮换严重，大小球降级观察</x:v>
      </x:c>
      <x:c r="I1139" s="66" t="n">
        <x:v>46165.66043981481</x:v>
      </x:c>
      <x:c r="J1139" s="65" t="str">
        <x:v>已结算</x:v>
      </x:c>
      <x:c r="K1139" s="65" t="str">
        <x:v>1-0</x:v>
      </x:c>
      <x:c r="L1139" s="65" t="str">
        <x:v>输</x:v>
      </x:c>
      <x:c r="M1139" s="65" t="str">
        <x:v>输</x:v>
      </x:c>
      <x:c r="N1139" s="67" t="n">
        <x:v>-1</x:v>
      </x:c>
      <x:c r="O1139" s="67" t="n">
        <x:v>-1</x:v>
      </x:c>
      <x:c r="P1139" s="67" t="n">
        <x:f>IF(COUNT(N1139:O1139)=0,"",SUM(N1139:O1139))</x:f>
        <x:v>-2</x:v>
      </x:c>
      <x:c r="Q1139" s="65"/>
      <x:c r="R1139" s="65" t="str">
        <x:v>赛果1-0；让球输；大小球输。</x:v>
      </x:c>
    </x:row>
    <x:row r="1140" ht="38" customHeight="1">
      <x:c r="A1140" s="65" t="str">
        <x:f>IF(B1140="","",TEXT(B1140,"yyyy-mm-dd")&amp;"|"&amp;D1140&amp;"|"&amp;E1140)</x:f>
        <x:v>2026-05-23|萨瑟兰德鲨鱼|恩比瑞特（NWS Spirit）</x:v>
      </x:c>
      <x:c r="B1140" s="66" t="n">
        <x:v>46165.583333333336</x:v>
      </x:c>
      <x:c r="C1140" s="65" t="str">
        <x:v>澳大利亚 维多利亚州超级联赛1（VPL1）</x:v>
      </x:c>
      <x:c r="D1140" s="65" t="str">
        <x:v>萨瑟兰德鲨鱼</x:v>
      </x:c>
      <x:c r="E1140" s="65" t="str">
        <x:v>恩比瑞特（NWS Spirit）</x:v>
      </x:c>
      <x:c r="F1140" s="65" t="str">
        <x:v>恩比瑞特（NWS Spirit） +0.25，亚洲水位≥0.88可入；若退到+0需水位≥0.82；低于0.80不进单</x:v>
      </x:c>
      <x:c r="G1140" s="65" t="str">
        <x:v>小3.0，亚洲水位≥0.84可入；若只有小2.5且水位低于0.80则不进单，可等小2.75≥0.88</x:v>
      </x:c>
      <x:c r="H1140" s="65" t="str">
        <x:v>小注；若临场主队从平手强拉到-0.25低水，不追主队；已开赛超过15分钟不新进</x:v>
      </x:c>
      <x:c r="I1140" s="66" t="n">
        <x:v>46165.60256944445</x:v>
      </x:c>
      <x:c r="J1140" s="65" t="str">
        <x:v>已结算</x:v>
      </x:c>
      <x:c r="K1140" s="65" t="str">
        <x:v>1-0</x:v>
      </x:c>
      <x:c r="L1140" s="65" t="str">
        <x:v>输</x:v>
      </x:c>
      <x:c r="M1140" s="65" t="str">
        <x:v>赢</x:v>
      </x:c>
      <x:c r="N1140" s="67" t="n">
        <x:v>-1</x:v>
      </x:c>
      <x:c r="O1140" s="67" t="n">
        <x:v>1</x:v>
      </x:c>
      <x:c r="P1140" s="67" t="n">
        <x:f>IF(COUNT(N1140:O1140)=0,"",SUM(N1140:O1140))</x:f>
        <x:v>0</x:v>
      </x:c>
      <x:c r="Q1140" s="65"/>
      <x:c r="R1140" s="65" t="str">
        <x:v>赛果1-0；让球输；大小球赢。</x:v>
      </x:c>
    </x:row>
    <x:row r="1141" ht="38" customHeight="1">
      <x:c r="A1141" s="65" t="str">
        <x:f>IF(B1141="","",TEXT(B1141,"yyyy-mm-dd")&amp;"|"&amp;D1141&amp;"|"&amp;E1141)</x:f>
        <x:v>2026-05-23|墨尔本港鲨鱼|布伦瑞克尤文图斯（Brunswick Juventus）</x:v>
      </x:c>
      <x:c r="B1141" s="66" t="n">
        <x:v>46165.541666666664</x:v>
      </x:c>
      <x:c r="C1141" s="65" t="str">
        <x:v>澳大利亚 维多利亚州超级联赛1（VPL1）</x:v>
      </x:c>
      <x:c r="D1141" s="65" t="str">
        <x:v>墨尔本港鲨鱼</x:v>
      </x:c>
      <x:c r="E1141" s="65" t="str">
        <x:v>布伦瑞克尤文图斯（Brunswick Juventus）</x:v>
      </x:c>
      <x:c r="F1141" s="65" t="str">
        <x:v>布伦瑞克尤文图斯 -1.25，亚洲水位≥0.86可入；若只有-1.5则水位≥0.92小注；低于0.80不进单</x:v>
      </x:c>
      <x:c r="G1141" s="65" t="str">
        <x:v>大3.25，水位≥0.88可入；若只有大3.5需水位≥1.05小注替代；大2.5低水不进单</x:v>
      </x:c>
      <x:c r="H1141" s="65" t="str">
        <x:v>小注；可选布伦瑞克尤文图斯-1.5水位≥0.92作进取替代，不追客胜低赔和大2.5低水</x:v>
      </x:c>
      <x:c r="I1141" s="66" t="n">
        <x:v>46165.55645833333</x:v>
      </x:c>
      <x:c r="J1141" s="65" t="str">
        <x:v>已结算</x:v>
      </x:c>
      <x:c r="K1141" s="65" t="str">
        <x:v>0-2</x:v>
      </x:c>
      <x:c r="L1141" s="65" t="str">
        <x:v>赢</x:v>
      </x:c>
      <x:c r="M1141" s="65" t="str">
        <x:v>输</x:v>
      </x:c>
      <x:c r="N1141" s="67" t="n">
        <x:v>1</x:v>
      </x:c>
      <x:c r="O1141" s="67" t="n">
        <x:v>-1</x:v>
      </x:c>
      <x:c r="P1141" s="67" t="n">
        <x:f>IF(COUNT(N1141:O1141)=0,"",SUM(N1141:O1141))</x:f>
        <x:v>0</x:v>
      </x:c>
      <x:c r="Q1141" s="65"/>
      <x:c r="R1141" s="65" t="str">
        <x:v>赛果0-2；让球赢；大小球输。</x:v>
      </x:c>
    </x:row>
    <x:row r="1142" ht="38" customHeight="1">
      <x:c r="A1142" s="65" t="str">
        <x:f>IF(B1142="","",TEXT(B1142,"yyyy-mm-dd")&amp;"|"&amp;D1142&amp;"|"&amp;E1142)</x:f>
        <x:v>2026-05-23|新潟天鹅|爱媛FC</x:v>
      </x:c>
      <x:c r="B1142" s="66" t="n">
        <x:v>46165.541666666664</x:v>
      </x:c>
      <x:c r="C1142" s="65" t="str">
        <x:v>日职 明治安田J2·J3百年构想联赛</x:v>
      </x:c>
      <x:c r="D1142" s="65" t="str">
        <x:v>新潟天鹅</x:v>
      </x:c>
      <x:c r="E1142" s="65" t="str">
        <x:v>爱媛FC</x:v>
      </x:c>
      <x:c r="F1142" s="65" t="str">
        <x:v>新潟天鹅 -0.5，水位≥0.82可入；若升-0.75且低于0.80不进单</x:v>
      </x:c>
      <x:c r="G1142" s="65" t="str">
        <x:v>大2.5，水位≥0.84可入；低于0.80不进单</x:v>
      </x:c>
      <x:c r="H1142" s="65" t="str">
        <x:v>小注；若临场新潟退到-0.25说明支撑不足，只保留大球观察</x:v>
      </x:c>
      <x:c r="I1142" s="66" t="n">
        <x:v>46165.54247685185</x:v>
      </x:c>
      <x:c r="J1142" s="65" t="str">
        <x:v>已结算</x:v>
      </x:c>
      <x:c r="K1142" s="65" t="str">
        <x:v>2-1</x:v>
      </x:c>
      <x:c r="L1142" s="65" t="str">
        <x:v>赢</x:v>
      </x:c>
      <x:c r="M1142" s="65" t="str">
        <x:v>赢</x:v>
      </x:c>
      <x:c r="N1142" s="67" t="n">
        <x:v>1</x:v>
      </x:c>
      <x:c r="O1142" s="67" t="n">
        <x:v>1</x:v>
      </x:c>
      <x:c r="P1142" s="67" t="n">
        <x:f>IF(COUNT(N1142:O1142)=0,"",SUM(N1142:O1142))</x:f>
        <x:v>2</x:v>
      </x:c>
      <x:c r="Q1142" s="65"/>
      <x:c r="R1142" s="65" t="str">
        <x:v>赛果2-1；让球赢；大小球赢。</x:v>
      </x:c>
    </x:row>
    <x:row r="1143" ht="38" customHeight="1">
      <x:c r="A1143" s="65" t="str">
        <x:f>IF(B1143="","",TEXT(B1143,"yyyy-mm-dd")&amp;"|"&amp;D1143&amp;"|"&amp;E1143)</x:f>
        <x:v>2026-05-23|山口雷法|熊本深红</x:v>
      </x:c>
      <x:c r="B1143" s="66" t="n">
        <x:v>46165.541666666664</x:v>
      </x:c>
      <x:c r="C1143" s="65" t="str">
        <x:v>日职 明治安田J2·J3百年构想联赛</x:v>
      </x:c>
      <x:c r="D1143" s="65" t="str">
        <x:v>山口雷法</x:v>
      </x:c>
      <x:c r="E1143" s="65" t="str">
        <x:v>熊本深红</x:v>
      </x:c>
      <x:c r="F1143" s="65" t="str">
        <x:v>熊本深红 +0.25，水位≥0.82可入；若降到+0且低于0.80不进单</x:v>
      </x:c>
      <x:c r="G1143" s="65" t="str">
        <x:v>小2.5，水位≥0.83可入；低于0.80不进单</x:v>
      </x:c>
      <x:c r="H1143" s="65" t="str">
        <x:v>小注；客队不败优先，若山口临场强拉-0.5高水不追主队</x:v>
      </x:c>
      <x:c r="I1143" s="66" t="n">
        <x:v>46165.54241898148</x:v>
      </x:c>
      <x:c r="J1143" s="65" t="str">
        <x:v>已结算</x:v>
      </x:c>
      <x:c r="K1143" s="65" t="str">
        <x:v>1-1</x:v>
      </x:c>
      <x:c r="L1143" s="65" t="str">
        <x:v>赢半</x:v>
      </x:c>
      <x:c r="M1143" s="65" t="str">
        <x:v>赢</x:v>
      </x:c>
      <x:c r="N1143" s="67" t="n">
        <x:v>0.5</x:v>
      </x:c>
      <x:c r="O1143" s="67" t="n">
        <x:v>1</x:v>
      </x:c>
      <x:c r="P1143" s="67" t="n">
        <x:f>IF(COUNT(N1143:O1143)=0,"",SUM(N1143:O1143))</x:f>
        <x:v>1.5</x:v>
      </x:c>
      <x:c r="Q1143" s="65"/>
      <x:c r="R1143" s="65" t="str">
        <x:v>90分钟赛果1-1（点球4-5不计入盘口）；让球赢半；大小球赢。</x:v>
      </x:c>
    </x:row>
    <x:row r="1144" ht="38" customHeight="1">
      <x:c r="A1144" s="65" t="str">
        <x:f>IF(B1144="","",TEXT(B1144,"yyyy-mm-dd")&amp;"|"&amp;D1144&amp;"|"&amp;E1144)</x:f>
        <x:v>2026-05-23|鸟栖砂岩|FC琉球冲绳</x:v>
      </x:c>
      <x:c r="B1144" s="66" t="n">
        <x:v>46165.541666666664</x:v>
      </x:c>
      <x:c r="C1144" s="65" t="str">
        <x:v>日职 明治安田J2·J3百年构想联赛</x:v>
      </x:c>
      <x:c r="D1144" s="65" t="str">
        <x:v>鸟栖砂岩</x:v>
      </x:c>
      <x:c r="E1144" s="65" t="str">
        <x:v>FC琉球冲绳</x:v>
      </x:c>
      <x:c r="F1144" s="65" t="str">
        <x:v>鸟栖砂岩 -0.75，水位≥0.82可入；若升-1低水不进单</x:v>
      </x:c>
      <x:c r="G1144" s="65" t="str">
        <x:v>大2.75，水位≥0.86可入；若只有大2.5低于0.80不进单</x:v>
      </x:c>
      <x:c r="H1144" s="65" t="str">
        <x:v>小注偏强；可选鸟栖-0.5水位≥0.80保守替代，不追-1以上深盘</x:v>
      </x:c>
      <x:c r="I1144" s="66" t="n">
        <x:v>46165.54237268519</x:v>
      </x:c>
      <x:c r="J1144" s="65" t="str">
        <x:v>已结算</x:v>
      </x:c>
      <x:c r="K1144" s="65" t="str">
        <x:v>2-2</x:v>
      </x:c>
      <x:c r="L1144" s="65" t="str">
        <x:v>输</x:v>
      </x:c>
      <x:c r="M1144" s="65" t="str">
        <x:v>赢</x:v>
      </x:c>
      <x:c r="N1144" s="67" t="n">
        <x:v>-1</x:v>
      </x:c>
      <x:c r="O1144" s="67" t="n">
        <x:v>1</x:v>
      </x:c>
      <x:c r="P1144" s="67" t="n">
        <x:f>IF(COUNT(N1144:O1144)=0,"",SUM(N1144:O1144))</x:f>
        <x:v>0</x:v>
      </x:c>
      <x:c r="Q1144" s="65"/>
      <x:c r="R1144" s="65" t="str">
        <x:v>赛果2-2；让球输；大小球赢。</x:v>
      </x:c>
    </x:row>
    <x:row r="1145" ht="38" customHeight="1">
      <x:c r="A1145" s="65" t="str">
        <x:f>IF(B1145="","",TEXT(B1145,"yyyy-mm-dd")&amp;"|"&amp;D1145&amp;"|"&amp;E1145)</x:f>
        <x:v>2026-05-23|奈良俱乐部|富山胜利</x:v>
      </x:c>
      <x:c r="B1145" s="66" t="n">
        <x:v>46165.541666666664</x:v>
      </x:c>
      <x:c r="C1145" s="65" t="str">
        <x:v>日职 明治安田J2·J3百年构想联赛</x:v>
      </x:c>
      <x:c r="D1145" s="65" t="str">
        <x:v>奈良俱乐部</x:v>
      </x:c>
      <x:c r="E1145" s="65" t="str">
        <x:v>富山胜利</x:v>
      </x:c>
      <x:c r="F1145" s="65" t="str">
        <x:v>富山胜利 +0.25，水位≥0.82可入；若退到+0低水不进单</x:v>
      </x:c>
      <x:c r="G1145" s="65" t="str">
        <x:v>大2.5，水位≥0.84可入；低于0.80不进单</x:v>
      </x:c>
      <x:c r="H1145" s="65" t="str">
        <x:v>小注；奈良前场有进球点但防线不稳，富山受让更有保护</x:v>
      </x:c>
      <x:c r="I1145" s="66" t="n">
        <x:v>46165.54231481482</x:v>
      </x:c>
      <x:c r="J1145" s="65" t="str">
        <x:v>已结算</x:v>
      </x:c>
      <x:c r="K1145" s="65" t="str">
        <x:v>5-1</x:v>
      </x:c>
      <x:c r="L1145" s="65" t="str">
        <x:v>输</x:v>
      </x:c>
      <x:c r="M1145" s="65" t="str">
        <x:v>赢</x:v>
      </x:c>
      <x:c r="N1145" s="67" t="n">
        <x:v>-1</x:v>
      </x:c>
      <x:c r="O1145" s="67" t="n">
        <x:v>1</x:v>
      </x:c>
      <x:c r="P1145" s="67" t="n">
        <x:f>IF(COUNT(N1145:O1145)=0,"",SUM(N1145:O1145))</x:f>
        <x:v>0</x:v>
      </x:c>
      <x:c r="Q1145" s="65"/>
      <x:c r="R1145" s="65" t="str">
        <x:v>赛果5-1；让球输；大小球赢。</x:v>
      </x:c>
    </x:row>
    <x:row r="1146" ht="38" customHeight="1">
      <x:c r="A1146" s="65" t="str">
        <x:f>IF(B1146="","",TEXT(B1146,"yyyy-mm-dd")&amp;"|"&amp;D1146&amp;"|"&amp;E1146)</x:f>
        <x:v>2026-05-23|藤枝MYFC|磐城FC</x:v>
      </x:c>
      <x:c r="B1146" s="66" t="n">
        <x:v>46165.541666666664</x:v>
      </x:c>
      <x:c r="C1146" s="65" t="str">
        <x:v>日职 明治安田J2·J3百年构想联赛</x:v>
      </x:c>
      <x:c r="D1146" s="65" t="str">
        <x:v>藤枝MYFC</x:v>
      </x:c>
      <x:c r="E1146" s="65" t="str">
        <x:v>磐城FC</x:v>
      </x:c>
      <x:c r="F1146" s="65" t="str">
        <x:v>磐城FC 0（平手/DNB），水位≥0.82可入；若只剩-0.25低水不进单</x:v>
      </x:c>
      <x:c r="G1146" s="65" t="str">
        <x:v>小2.75，水位≥0.83可入；若降到小2.5低于0.80不进单</x:v>
      </x:c>
      <x:c r="H1146" s="65" t="str">
        <x:v>小注；藤枝主场韧性强，不追磐城深让，临场平手高水优先</x:v>
      </x:c>
      <x:c r="I1146" s="66" t="n">
        <x:v>46165.54226851852</x:v>
      </x:c>
      <x:c r="J1146" s="65" t="str">
        <x:v>已结算</x:v>
      </x:c>
      <x:c r="K1146" s="65" t="str">
        <x:v>1-0</x:v>
      </x:c>
      <x:c r="L1146" s="65" t="str">
        <x:v>输</x:v>
      </x:c>
      <x:c r="M1146" s="65" t="str">
        <x:v>赢</x:v>
      </x:c>
      <x:c r="N1146" s="67" t="n">
        <x:v>-1</x:v>
      </x:c>
      <x:c r="O1146" s="67" t="n">
        <x:v>1</x:v>
      </x:c>
      <x:c r="P1146" s="67" t="n">
        <x:f>IF(COUNT(N1146:O1146)=0,"",SUM(N1146:O1146))</x:f>
        <x:v>0</x:v>
      </x:c>
      <x:c r="Q1146" s="65"/>
      <x:c r="R1146" s="65" t="str">
        <x:v>赛果1-0；让球输；大小球赢。</x:v>
      </x:c>
    </x:row>
    <x:row r="1147" ht="38" customHeight="1">
      <x:c r="A1147" s="65" t="str">
        <x:f>IF(B1147="","",TEXT(B1147,"yyyy-mm-dd")&amp;"|"&amp;D1147&amp;"|"&amp;E1147)</x:f>
        <x:v>2026-05-23|北海道札幌冈萨多|磐田喜悦</x:v>
      </x:c>
      <x:c r="B1147" s="66" t="n">
        <x:v>46165.541666666664</x:v>
      </x:c>
      <x:c r="C1147" s="65" t="str">
        <x:v>日职 明治安田J2·J3百年构想联赛</x:v>
      </x:c>
      <x:c r="D1147" s="65" t="str">
        <x:v>北海道札幌冈萨多</x:v>
      </x:c>
      <x:c r="E1147" s="65" t="str">
        <x:v>磐田喜悦</x:v>
      </x:c>
      <x:c r="F1147" s="65" t="str">
        <x:v>北海道札幌冈萨多 -0.25，水位≥0.82可入；若升-0.5低水不进单</x:v>
      </x:c>
      <x:c r="G1147" s="65" t="str">
        <x:v>大2.75，水位≥0.86可入；若只有大2.5低于0.80不进单</x:v>
      </x:c>
      <x:c r="H1147" s="65" t="str">
        <x:v>小注偏主；可选札幌0盘作保守替代，低水不加仓</x:v>
      </x:c>
      <x:c r="I1147" s="66" t="n">
        <x:v>46165.541863425926</x:v>
      </x:c>
      <x:c r="J1147" s="65" t="str">
        <x:v>已结算</x:v>
      </x:c>
      <x:c r="K1147" s="65" t="str">
        <x:v>0-1</x:v>
      </x:c>
      <x:c r="L1147" s="65" t="str">
        <x:v>输</x:v>
      </x:c>
      <x:c r="M1147" s="65" t="str">
        <x:v>输</x:v>
      </x:c>
      <x:c r="N1147" s="67" t="n">
        <x:v>-1</x:v>
      </x:c>
      <x:c r="O1147" s="67" t="n">
        <x:v>-1</x:v>
      </x:c>
      <x:c r="P1147" s="67" t="n">
        <x:f>IF(COUNT(N1147:O1147)=0,"",SUM(N1147:O1147))</x:f>
        <x:v>-2</x:v>
      </x:c>
      <x:c r="Q1147" s="65"/>
      <x:c r="R1147" s="65" t="str">
        <x:v>赛果0-1；让球输；大小球输。</x:v>
      </x:c>
    </x:row>
    <x:row r="1148" ht="38" customHeight="1">
      <x:c r="A1148" s="65" t="str">
        <x:f>IF(B1148="","",TEXT(B1148,"yyyy-mm-dd")&amp;"|"&amp;D1148&amp;"|"&amp;E1148)</x:f>
        <x:v>2026-05-23|群马草津温泉|SC相模原</x:v>
      </x:c>
      <x:c r="B1148" s="66" t="n">
        <x:v>46165.541666666664</x:v>
      </x:c>
      <x:c r="C1148" s="65" t="str">
        <x:v>日职 明治安田J2·J3百年构想联赛</x:v>
      </x:c>
      <x:c r="D1148" s="65" t="str">
        <x:v>群马草津温泉</x:v>
      </x:c>
      <x:c r="E1148" s="65" t="str">
        <x:v>SC相模原</x:v>
      </x:c>
      <x:c r="F1148" s="65" t="str">
        <x:v>SC相模原 +0.25，水位≥0.82可入；若降到+0低水则不进单</x:v>
      </x:c>
      <x:c r="G1148" s="65" t="str">
        <x:v>小2.5，水位≥0.83可入；低于0.80不进单</x:v>
      </x:c>
      <x:c r="H1148" s="65" t="str">
        <x:v>小注；可选相模原不败方向，盘口若变群马-0.5高水不追主队</x:v>
      </x:c>
      <x:c r="I1148" s="66" t="n">
        <x:v>46165.54180555556</x:v>
      </x:c>
      <x:c r="J1148" s="65" t="str">
        <x:v>已结算</x:v>
      </x:c>
      <x:c r="K1148" s="65" t="str">
        <x:v>7-2</x:v>
      </x:c>
      <x:c r="L1148" s="65" t="str">
        <x:v>输</x:v>
      </x:c>
      <x:c r="M1148" s="65" t="str">
        <x:v>输</x:v>
      </x:c>
      <x:c r="N1148" s="67" t="n">
        <x:v>-1</x:v>
      </x:c>
      <x:c r="O1148" s="67" t="n">
        <x:v>-1</x:v>
      </x:c>
      <x:c r="P1148" s="67" t="n">
        <x:f>IF(COUNT(N1148:O1148)=0,"",SUM(N1148:O1148))</x:f>
        <x:v>-2</x:v>
      </x:c>
      <x:c r="Q1148" s="65"/>
      <x:c r="R1148" s="65" t="str">
        <x:v>赛果7-2；让球输；大小球输。</x:v>
      </x:c>
    </x:row>
    <x:row r="1149" ht="38" customHeight="1">
      <x:c r="A1149" s="65" t="str">
        <x:f>IF(B1149="","",TEXT(B1149,"yyyy-mm-dd")&amp;"|"&amp;D1149&amp;"|"&amp;E1149)</x:f>
        <x:v>2026-05-23|仙台维加泰|横滨FC</x:v>
      </x:c>
      <x:c r="B1149" s="66" t="n">
        <x:v>46165.541666666664</x:v>
      </x:c>
      <x:c r="C1149" s="65" t="str">
        <x:v>日职 明治安田J2·J3百年构想联赛</x:v>
      </x:c>
      <x:c r="D1149" s="65" t="str">
        <x:v>仙台维加泰</x:v>
      </x:c>
      <x:c r="E1149" s="65" t="str">
        <x:v>横滨FC</x:v>
      </x:c>
      <x:c r="F1149" s="65" t="str">
        <x:v>仙台维加泰 0（平手/DNB），水位≥0.82可入；若升-0.25且低于0.80不进单</x:v>
      </x:c>
      <x:c r="G1149" s="65" t="str">
        <x:v>大2.5，水位≥0.84可入；低于0.80不进单</x:v>
      </x:c>
      <x:c r="H1149" s="65" t="str">
        <x:v>小注；若临场横滨FC受让低水且仙台退盘，只保留大球，不加仓</x:v>
      </x:c>
      <x:c r="I1149" s="66" t="n">
        <x:v>46165.54174768519</x:v>
      </x:c>
      <x:c r="J1149" s="65" t="str">
        <x:v>已结算</x:v>
      </x:c>
      <x:c r="K1149" s="65" t="str">
        <x:v>0-3</x:v>
      </x:c>
      <x:c r="L1149" s="65" t="str">
        <x:v>输</x:v>
      </x:c>
      <x:c r="M1149" s="65" t="str">
        <x:v>赢</x:v>
      </x:c>
      <x:c r="N1149" s="67" t="n">
        <x:v>-1</x:v>
      </x:c>
      <x:c r="O1149" s="67" t="n">
        <x:v>1</x:v>
      </x:c>
      <x:c r="P1149" s="67" t="n">
        <x:f>IF(COUNT(N1149:O1149)=0,"",SUM(N1149:O1149))</x:f>
        <x:v>0</x:v>
      </x:c>
      <x:c r="Q1149" s="65"/>
      <x:c r="R1149" s="65" t="str">
        <x:v>赛果0-3；让球输；大小球赢。</x:v>
      </x:c>
    </x:row>
    <x:row r="1150" ht="38" customHeight="1">
      <x:c r="A1150" s="65" t="str">
        <x:f>IF(B1150="","",TEXT(B1150,"yyyy-mm-dd")&amp;"|"&amp;D1150&amp;"|"&amp;E1150)</x:f>
        <x:v>2026-05-23|广岛三箭|名古屋鲸鱼</x:v>
      </x:c>
      <x:c r="B1150" s="66" t="n">
        <x:v>46165.541666666664</x:v>
      </x:c>
      <x:c r="C1150" s="65" t="str">
        <x:v>日职联（J1 League）</x:v>
      </x:c>
      <x:c r="D1150" s="65" t="str">
        <x:v>广岛三箭</x:v>
      </x:c>
      <x:c r="E1150" s="65" t="str">
        <x:v>名古屋鲸鱼</x:v>
      </x:c>
      <x:c r="F1150" s="65" t="str">
        <x:v>广岛三箭 -0.75，亚洲水位约0.83及以上可入；低于0.80不进单</x:v>
      </x:c>
      <x:c r="G1150" s="65" t="str">
        <x:v>大2.5，取欧赔1.84/亚洲水0.84及以上；若跌破0.80不进单，可等大2.75约0.88+</x:v>
      </x:c>
      <x:c r="H1150" s="65" t="str">
        <x:v>小注为主；可选加仓仅限广岛-0.5水位≥0.80或大2.75水位≥0.88；临场若广岛退至-0.5高水则不加仓</x:v>
      </x:c>
      <x:c r="I1150" s="66" t="n">
        <x:v>46165.53640046297</x:v>
      </x:c>
      <x:c r="J1150" s="65" t="str">
        <x:v>已结算</x:v>
      </x:c>
      <x:c r="K1150" s="65" t="str">
        <x:v>4-2</x:v>
      </x:c>
      <x:c r="L1150" s="65" t="str">
        <x:v>赢</x:v>
      </x:c>
      <x:c r="M1150" s="65" t="str">
        <x:v>赢</x:v>
      </x:c>
      <x:c r="N1150" s="67" t="n">
        <x:v>1</x:v>
      </x:c>
      <x:c r="O1150" s="67" t="n">
        <x:v>1</x:v>
      </x:c>
      <x:c r="P1150" s="67" t="n">
        <x:f>IF(COUNT(N1150:O1150)=0,"",SUM(N1150:O1150))</x:f>
        <x:v>2</x:v>
      </x:c>
      <x:c r="Q1150" s="65"/>
      <x:c r="R1150" s="65" t="str">
        <x:v>赛果4-2；让球赢；大小球赢。</x:v>
      </x:c>
    </x:row>
    <x:row r="1151" ht="38" customHeight="1">
      <x:c r="A1151" s="65" t="str">
        <x:f>IF(B1151="","",TEXT(B1151,"yyyy-mm-dd")&amp;"|"&amp;D1151&amp;"|"&amp;E1151)</x:f>
        <x:v>2026-05-23|新南威尔士大学（UNSW FC）|悉尼联58（Sydney United 58 FC）</x:v>
      </x:c>
      <x:c r="B1151" s="66" t="n">
        <x:v>46165.510416666664</x:v>
      </x:c>
      <x:c r="C1151" s="65" t="str">
        <x:v>澳大利亚 维多利亚州超级联赛1（VPL1）</x:v>
      </x:c>
      <x:c r="D1151" s="65" t="str">
        <x:v>新南威尔士大学（UNSW FC）</x:v>
      </x:c>
      <x:c r="E1151" s="65" t="str">
        <x:v>悉尼联58（Sydney United 58 FC）</x:v>
      </x:c>
      <x:c r="F1151" s="65" t="str">
        <x:v>悉尼联58 -0.5（参考客胜/让0.5水位≥0.83；低于0.80不进单）</x:v>
      </x:c>
      <x:c r="G1151" s="65" t="str">
        <x:v>大 3.5（参考高水≥1.50；若只有大2.5低水不进单）</x:v>
      </x:c>
      <x:c r="H1151" s="65" t="str">
        <x:v>小注，不加仓；让球优先于大小球，比分倾向1-2/2-2/1-3</x:v>
      </x:c>
      <x:c r="I1151" s="66" t="n">
        <x:v>46165.45023148148</x:v>
      </x:c>
      <x:c r="J1151" s="65" t="str">
        <x:v>已结算</x:v>
      </x:c>
      <x:c r="K1151" s="65" t="str">
        <x:v>2-0</x:v>
      </x:c>
      <x:c r="L1151" s="65" t="str">
        <x:v>输</x:v>
      </x:c>
      <x:c r="M1151" s="65" t="str">
        <x:v>输</x:v>
      </x:c>
      <x:c r="N1151" s="67" t="n">
        <x:v>-1</x:v>
      </x:c>
      <x:c r="O1151" s="67" t="n">
        <x:v>-1</x:v>
      </x:c>
      <x:c r="P1151" s="67" t="n">
        <x:f>IF(COUNT(N1151:O1151)=0,"",SUM(N1151:O1151))</x:f>
        <x:v>-2</x:v>
      </x:c>
      <x:c r="Q1151" s="65"/>
      <x:c r="R1151" s="65" t="str">
        <x:v>赛果2-0；让球输；大小球输。</x:v>
      </x:c>
    </x:row>
    <x:row r="1152" ht="38" customHeight="1">
      <x:c r="A1152" s="65" t="str">
        <x:f>IF(B1152="","",TEXT(B1152,"yyyy-mm-dd")&amp;"|"&amp;D1152&amp;"|"&amp;E1152)</x:f>
        <x:v>2026-05-23|埃森（Rot-Weiss Essen）|菲尔特（Greuther Fürth）</x:v>
      </x:c>
      <x:c r="B1152" s="66" t="n">
        <x:v>46165.104166666664</x:v>
      </x:c>
      <x:c r="C1152" s="65" t="str">
        <x:v>德国乙级联赛（2. Bundesliga）</x:v>
      </x:c>
      <x:c r="D1152" s="65" t="str">
        <x:v>埃森（Rot-Weiss Essen）</x:v>
      </x:c>
      <x:c r="E1152" s="65" t="str">
        <x:v>菲尔特（Greuther Fürth）</x:v>
      </x:c>
      <x:c r="F1152" s="65" t="str">
        <x:v>埃森 0（平手/DNB，参考水位≥0.88；低于0.80不进单）</x:v>
      </x:c>
      <x:c r="G1152" s="65" t="str">
        <x:v>大 2.75（参考水位≥0.84；若只有大2.5低水不进单）</x:v>
      </x:c>
      <x:c r="H1152" s="65" t="str">
        <x:v>小注；不加仓。让球优先于大小球，比分倾向1-1/2-1/2-2</x:v>
      </x:c>
      <x:c r="I1152" s="66" t="n">
        <x:v>46165.10208333333</x:v>
      </x:c>
      <x:c r="J1152" s="65" t="str">
        <x:v>已结算</x:v>
      </x:c>
      <x:c r="K1152" s="65" t="str">
        <x:v>1-0</x:v>
      </x:c>
      <x:c r="L1152" s="65" t="str">
        <x:v>赢</x:v>
      </x:c>
      <x:c r="M1152" s="65" t="str">
        <x:v>输</x:v>
      </x:c>
      <x:c r="N1152" s="67" t="n">
        <x:v>1</x:v>
      </x:c>
      <x:c r="O1152" s="67" t="n">
        <x:v>-1</x:v>
      </x:c>
      <x:c r="P1152" s="67" t="n">
        <x:f>IF(COUNT(N1152:O1152)=0,"",SUM(N1152:O1152))</x:f>
        <x:v>0</x:v>
      </x:c>
      <x:c r="Q1152" s="65"/>
      <x:c r="R1152" s="65" t="str">
        <x:v>赛果1-0；让球赢；大小球输。</x:v>
      </x:c>
    </x:row>
    <x:row r="1153" ht="38" customHeight="1">
      <x:c r="A1153" s="65" t="str">
        <x:f>IF(B1153="","",TEXT(B1153,"yyyy-mm-dd")&amp;"|"&amp;D1153&amp;"|"&amp;E1153)</x:f>
        <x:v>2026-05-22|德瓦联|巴厘联</x:v>
      </x:c>
      <x:c r="B1153" s="66" t="n">
        <x:v>46164.833333333336</x:v>
      </x:c>
      <x:c r="C1153" s="65" t="str">
        <x:v>印度尼西亚超级联赛（印尼超/Liga 1 Indonesia）</x:v>
      </x:c>
      <x:c r="D1153" s="65" t="str">
        <x:v>德瓦联</x:v>
      </x:c>
      <x:c r="E1153" s="65" t="str">
        <x:v>巴厘联</x:v>
      </x:c>
      <x:c r="F1153" s="65" t="str">
        <x:v>巴厘联 +1（参考水位≥0.83，低于0.80不进单）</x:v>
      </x:c>
      <x:c r="G1153" s="65" t="str">
        <x:v>小 3.5（参考水位≥0.85，低于0.80不进单）</x:v>
      </x:c>
      <x:c r="H1153" s="65" t="str">
        <x:v>小注，不加仓；主让-0.5低水不碰，比分倾向1-1/2-1/2-2</x:v>
      </x:c>
      <x:c r="I1153" s="66" t="n">
        <x:v>46164.79010416667</x:v>
      </x:c>
      <x:c r="J1153" s="65" t="str">
        <x:v>已结算</x:v>
      </x:c>
      <x:c r="K1153" s="65" t="str">
        <x:v>0-1</x:v>
      </x:c>
      <x:c r="L1153" s="65" t="str">
        <x:v>赢</x:v>
      </x:c>
      <x:c r="M1153" s="65" t="str">
        <x:v>赢</x:v>
      </x:c>
      <x:c r="N1153" s="67" t="n">
        <x:v>1</x:v>
      </x:c>
      <x:c r="O1153" s="67" t="n">
        <x:v>1</x:v>
      </x:c>
      <x:c r="P1153" s="67" t="n">
        <x:f>IF(COUNT(N1153:O1153)=0,"",SUM(N1153:O1153))</x:f>
        <x:v>2</x:v>
      </x:c>
      <x:c r="Q1153" s="65"/>
      <x:c r="R1153" s="65" t="str">
        <x:v>赛果0-1；让球赢；大小球赢。</x:v>
      </x:c>
    </x:row>
    <x:row r="1154" ht="38" customHeight="1">
      <x:c r="A1154" s="65" t="str">
        <x:f>IF(B1154="","",TEXT(B1154,"yyyy-mm-dd")&amp;"|"&amp;D1154&amp;"|"&amp;E1154)</x:f>
        <x:v>2026-05-22|町田泽维亚（FC Machida Zelvia）|浦和红钻（Urawa Red Diamonds）</x:v>
      </x:c>
      <x:c r="B1154" s="66" t="n">
        <x:v>46164.77291666667</x:v>
      </x:c>
      <x:c r="C1154" s="65" t="str">
        <x:v>日职联（J1 League）</x:v>
      </x:c>
      <x:c r="D1154" s="65" t="str">
        <x:v>町田泽维亚（FC Machida Zelvia）</x:v>
      </x:c>
      <x:c r="E1154" s="65" t="str">
        <x:v>浦和红钻（Urawa Red Diamonds）</x:v>
      </x:c>
      <x:c r="F1154" s="65" t="str">
        <x:v>町田泽维亚 -0.25（约1.00水；低于0.80不进）</x:v>
      </x:c>
      <x:c r="G1154" s="65" t="str">
        <x:v>大 2.5（高水小注，约1.10-1.30水；低于0.80不进）</x:v>
      </x:c>
      <x:c r="H1154" s="65" t="str">
        <x:v>小注；若临场退到町田泽维亚0且水位≥0.80可加仓，若升到-0.5低水不追；大小球常规偏小但小2.5低水不进，大2.5只做高水博取</x:v>
      </x:c>
      <x:c r="I1154" s="66" t="n">
        <x:v>46164.77752314815</x:v>
      </x:c>
      <x:c r="J1154" s="65" t="str">
        <x:v>已结算</x:v>
      </x:c>
      <x:c r="K1154" s="65" t="str">
        <x:v>1-0</x:v>
      </x:c>
      <x:c r="L1154" s="65" t="str">
        <x:v>赢</x:v>
      </x:c>
      <x:c r="M1154" s="65" t="str">
        <x:v>输</x:v>
      </x:c>
      <x:c r="N1154" s="67" t="n">
        <x:v>1</x:v>
      </x:c>
      <x:c r="O1154" s="67" t="n">
        <x:v>-1</x:v>
      </x:c>
      <x:c r="P1154" s="67" t="n">
        <x:f>IF(COUNT(N1154:O1154)=0,"",SUM(N1154:O1154))</x:f>
        <x:v>0</x:v>
      </x:c>
      <x:c r="Q1154" s="65"/>
      <x:c r="R1154" s="65" t="str">
        <x:v>赛果1-0；让球赢；大小球输。</x:v>
      </x:c>
    </x:row>
    <x:row r="1155" ht="38" customHeight="1">
      <x:c r="A1155" s="65" t="str">
        <x:f>IF(B1155="","",TEXT(B1155,"yyyy-mm-dd")&amp;"|"&amp;D1155&amp;"|"&amp;E1155)</x:f>
        <x:v>2026-05-22|阿雷马（Arema FC）|永亚卡达（PSIM Yogyakarta）</x:v>
      </x:c>
      <x:c r="B1155" s="66" t="n">
        <x:v>46164.6875</x:v>
      </x:c>
      <x:c r="C1155" s="65" t="str">
        <x:v>印度尼西亚超级联赛（印尼超/Liga 1 Indonesia）</x:v>
      </x:c>
      <x:c r="D1155" s="65" t="str">
        <x:v>阿雷马（Arema FC）</x:v>
      </x:c>
      <x:c r="E1155" s="65" t="str">
        <x:v>永亚卡达（PSIM Yogyakarta）</x:v>
      </x:c>
      <x:c r="F1155" s="65" t="str">
        <x:v>永亚卡达（PSIM Yogyakarta）+0.25，水位≥0.80才进；低于0.80不进单</x:v>
      </x:c>
      <x:c r="G1155" s="65" t="str">
        <x:v>小3球，水位≥0.80才进；若只剩小2.5且低于0.80放弃</x:v>
      </x:c>
      <x:c r="H1155" s="65" t="str">
        <x:v>小注；可选加仓：永亚卡达 +0.5 ≥0.80 或 小3.25 ≥0.80；不追低水</x:v>
      </x:c>
      <x:c r="I1155" s="66" t="n">
        <x:v>46164.56465277778</x:v>
      </x:c>
      <x:c r="J1155" s="65" t="str">
        <x:v>已结算</x:v>
      </x:c>
      <x:c r="K1155" s="65" t="str">
        <x:v>3-1</x:v>
      </x:c>
      <x:c r="L1155" s="65" t="str">
        <x:v>输</x:v>
      </x:c>
      <x:c r="M1155" s="65" t="str">
        <x:v>输</x:v>
      </x:c>
      <x:c r="N1155" s="67" t="n">
        <x:v>-1</x:v>
      </x:c>
      <x:c r="O1155" s="67" t="n">
        <x:v>-1</x:v>
      </x:c>
      <x:c r="P1155" s="67" t="n">
        <x:f>IF(COUNT(N1155:O1155)=0,"",SUM(N1155:O1155))</x:f>
        <x:v>-2</x:v>
      </x:c>
      <x:c r="Q1155" s="65"/>
      <x:c r="R1155" s="65" t="str">
        <x:v>赛果3-1；让球输；大小球输。</x:v>
      </x:c>
    </x:row>
    <x:row r="1156" ht="38" customHeight="1">
      <x:c r="A1156" s="65" t="str">
        <x:f>IF(B1156="","",TEXT(B1156,"yyyy-mm-dd")&amp;"|"&amp;D1156&amp;"|"&amp;E1156)</x:f>
        <x:v>2026-05-22|蓝十字（Cruz Azul）|美洲狮（Pumas UNAM）</x:v>
      </x:c>
      <x:c r="B1156" s="66" t="n">
        <x:v>46164.416666666664</x:v>
      </x:c>
      <x:c r="C1156" s="65" t="str">
        <x:v>墨西哥超（Liga MX，Clausura）</x:v>
      </x:c>
      <x:c r="D1156" s="65" t="str">
        <x:v>蓝十字（Cruz Azul）</x:v>
      </x:c>
      <x:c r="E1156" s="65" t="str">
        <x:v>美洲狮（Pumas UNAM）</x:v>
      </x:c>
      <x:c r="F1156" s="65" t="str">
        <x:v>美洲狮 +0.75（受让半一，参考对手蓝十字-0.75十进制1.91，对应受让侧合理水位0.85+；低于0.80不进单）</x:v>
      </x:c>
      <x:c r="G1156" s="65" t="str">
        <x:v>小3.0（若只能小2.5需水位0.88+才小注；低于0.80不进单）</x:v>
      </x:c>
      <x:c r="H1156" s="65" t="str">
        <x:v>小注，不加仓；决赛首回合+美洲狮总排名更高且次回合主场，蓝十字锋线伤停不支持追深让。比分倾向1-1/2-1，防2-0</x:v>
      </x:c>
      <x:c r="I1156" s="66" t="n">
        <x:v>46164.41509259259</x:v>
      </x:c>
      <x:c r="J1156" s="65" t="str">
        <x:v>已结算</x:v>
      </x:c>
      <x:c r="K1156" s="65" t="str">
        <x:v>0-0</x:v>
      </x:c>
      <x:c r="L1156" s="65" t="str">
        <x:v>赢</x:v>
      </x:c>
      <x:c r="M1156" s="65" t="str">
        <x:v>赢</x:v>
      </x:c>
      <x:c r="N1156" s="67" t="n">
        <x:v>1</x:v>
      </x:c>
      <x:c r="O1156" s="67" t="n">
        <x:v>1</x:v>
      </x:c>
      <x:c r="P1156" s="67" t="n">
        <x:f>IF(COUNT(N1156:O1156)=0,"",SUM(N1156:O1156))</x:f>
        <x:v>2</x:v>
      </x:c>
      <x:c r="Q1156" s="65"/>
      <x:c r="R1156" s="65" t="str">
        <x:v>赛果0-0；让球赢；大小球赢。</x:v>
      </x:c>
    </x:row>
    <x:row r="1157" ht="38" customHeight="1">
      <x:c r="A1157" s="65" t="str">
        <x:f>IF(B1157="","",TEXT(B1157,"yyyy-mm-dd")&amp;"|"&amp;D1157&amp;"|"&amp;E1157)</x:f>
        <x:v>2026-05-22|智利天主大学（Universidad Católica）|瓜亚基尔巴塞罗那（Barcelona SC）</x:v>
      </x:c>
      <x:c r="B1157" s="66" t="n">
        <x:v>46164.354166666664</x:v>
      </x:c>
      <x:c r="C1157" s="65" t="str">
        <x:v>南美解放者杯</x:v>
      </x:c>
      <x:c r="D1157" s="65" t="str">
        <x:v>智利天主大学（Universidad Católica）</x:v>
      </x:c>
      <x:c r="E1157" s="65" t="str">
        <x:v>瓜亚基尔巴塞罗那（Barcelona SC）</x:v>
      </x:c>
      <x:c r="F1157" s="65" t="str">
        <x:v>智利天主大学 -0.25（平半，参考水位0.85+；若主胜/ -0.5 低水低于0.80不进单）</x:v>
      </x:c>
      <x:c r="G1157" s="65" t="str">
        <x:v>小2.5（参考水位0.85+；若小球被压低于0.80不进单）</x:v>
      </x:c>
      <x:c r="H1157" s="65" t="str">
        <x:v>小注，不加仓；主队小组和主场优势更好，但伤停较多，巴塞罗那SC小组垫底有抢分压力。比分倾向1-0/1-1，防1-2</x:v>
      </x:c>
      <x:c r="I1157" s="66" t="n">
        <x:v>46164.32524305556</x:v>
      </x:c>
      <x:c r="J1157" s="65" t="str">
        <x:v>已结算</x:v>
      </x:c>
      <x:c r="K1157" s="65" t="str">
        <x:v>2-0</x:v>
      </x:c>
      <x:c r="L1157" s="65" t="str">
        <x:v>赢</x:v>
      </x:c>
      <x:c r="M1157" s="65" t="str">
        <x:v>赢</x:v>
      </x:c>
      <x:c r="N1157" s="67" t="n">
        <x:v>1</x:v>
      </x:c>
      <x:c r="O1157" s="67" t="n">
        <x:v>1</x:v>
      </x:c>
      <x:c r="P1157" s="67" t="n">
        <x:f>IF(COUNT(N1157:O1157)=0,"",SUM(N1157:O1157))</x:f>
        <x:v>2</x:v>
      </x:c>
      <x:c r="Q1157" s="65"/>
      <x:c r="R1157" s="65" t="str">
        <x:v>赛果2-0；让球赢；大小球赢。</x:v>
      </x:c>
    </x:row>
    <x:row r="1158" ht="38" customHeight="1">
      <x:c r="A1158" s="65" t="str">
        <x:f>IF(B1158="","",TEXT(B1158,"yyyy-mm-dd")&amp;"|"&amp;D1158&amp;"|"&amp;E1158)</x:f>
        <x:v>2026-05-22|佩纳罗尔（Peñarol）|科林蒂安（Corinthians）</x:v>
      </x:c>
      <x:c r="B1158" s="66" t="n">
        <x:v>46164.354166666664</x:v>
      </x:c>
      <x:c r="C1158" s="65" t="str">
        <x:v>南美解放者杯</x:v>
      </x:c>
      <x:c r="D1158" s="65" t="str">
        <x:v>佩纳罗尔（Peñarol）</x:v>
      </x:c>
      <x:c r="E1158" s="65" t="str">
        <x:v>科林蒂安（Corinthians）</x:v>
      </x:c>
      <x:c r="F1158" s="65" t="str">
        <x:v>科林蒂安 0（平手/DNB，参考合理水位1.05+；低于0.80不进单；若只能X2低水约0.50则不进主推）</x:v>
      </x:c>
      <x:c r="G1158" s="65" t="str">
        <x:v>大小球不进单（倾向小2.5但主流小球/大1.5均低水；若临场小2.25或小2.0回到0.85+才小注）</x:v>
      </x:c>
      <x:c r="H1158" s="65" t="str">
        <x:v>小注，不加仓；科林蒂安小组第一且防守强，但已出线存在轮换/战意降级风险。比分倾向0-1/1-1，防1-0</x:v>
      </x:c>
      <x:c r="I1158" s="66" t="n">
        <x:v>46164.22107638889</x:v>
      </x:c>
      <x:c r="J1158" s="65" t="str">
        <x:v>已结算</x:v>
      </x:c>
      <x:c r="K1158" s="65" t="str">
        <x:v>1-1</x:v>
      </x:c>
      <x:c r="L1158" s="65" t="str">
        <x:v>走水</x:v>
      </x:c>
      <x:c r="M1158" s="65"/>
      <x:c r="N1158" s="67" t="n">
        <x:v>0</x:v>
      </x:c>
      <x:c r="O1158" s="67"/>
      <x:c r="P1158" s="67" t="n">
        <x:f>IF(COUNT(N1158:O1158)=0,"",SUM(N1158:O1158))</x:f>
        <x:v>0</x:v>
      </x:c>
      <x:c r="Q1158" s="65"/>
      <x:c r="R1158" s="65" t="str">
        <x:v>赛果1-1；让球走水；大小球未进单/不计。</x:v>
      </x:c>
    </x:row>
    <x:row r="1159" ht="38" customHeight="1">
      <x:c r="A1159" s="65" t="str">
        <x:f>IF(B1159="","",TEXT(B1159,"yyyy-mm-dd")&amp;"|"&amp;D1159&amp;"|"&amp;E1159)</x:f>
        <x:v>2026-05-22|米内罗竞技（Atlético Mineiro）|西恩夏诺（Cienciano）</x:v>
      </x:c>
      <x:c r="B1159" s="66" t="n">
        <x:v>46164.25</x:v>
      </x:c>
      <x:c r="C1159" s="65" t="str">
        <x:v>南美杯（Copa Sudamericana）资格赛</x:v>
      </x:c>
      <x:c r="D1159" s="65" t="str">
        <x:v>米内罗竞技（Atlético Mineiro）</x:v>
      </x:c>
      <x:c r="E1159" s="65" t="str">
        <x:v>西恩夏诺（Cienciano）</x:v>
      </x:c>
      <x:c r="F1159" s="65" t="str">
        <x:v>西恩夏诺 +1.75（受让球半/两球，参考十进制1.87/HK水位0.87；低于0.80不进单；若只能+2.5低水约0.45则不进主推）</x:v>
      </x:c>
      <x:c r="G1159" s="65" t="str">
        <x:v>小3.5（参考十进制1.45/HK水位0.45不达标，不进单；若临场小3.25或小3.0回到0.85+才小注）</x:v>
      </x:c>
      <x:c r="H1159" s="65" t="str">
        <x:v>小注，不加仓；米内罗主场强但Gustavo Scarpa/Patrick Silva等缺阵，且首回合0-1输给西恩夏诺，小组形势不支持盲追深让。比分倾向2-1/2-0，防3-0</x:v>
      </x:c>
      <x:c r="I1159" s="66" t="n">
        <x:v>46164.23615740741</x:v>
      </x:c>
      <x:c r="J1159" s="65" t="str">
        <x:v>已结算</x:v>
      </x:c>
      <x:c r="K1159" s="65" t="str">
        <x:v>2-0</x:v>
      </x:c>
      <x:c r="L1159" s="65" t="str">
        <x:v>输半</x:v>
      </x:c>
      <x:c r="M1159" s="65"/>
      <x:c r="N1159" s="67" t="n">
        <x:v>-0.5</x:v>
      </x:c>
      <x:c r="O1159" s="67"/>
      <x:c r="P1159" s="67" t="n">
        <x:f>IF(COUNT(N1159:O1159)=0,"",SUM(N1159:O1159))</x:f>
        <x:v>-0.5</x:v>
      </x:c>
      <x:c r="Q1159" s="65"/>
      <x:c r="R1159" s="65" t="str">
        <x:v>赛果2-0；让球输半；大小球未进单/不计。</x:v>
      </x:c>
    </x:row>
    <x:row r="1160" ht="38" customHeight="1">
      <x:c r="A1160" s="65" t="str">
        <x:f>IF(B1160="","",TEXT(B1160,"yyyy-mm-dd")&amp;"|"&amp;D1160&amp;"|"&amp;E1160)</x:f>
        <x:v>2026-05-22|拉瓜伊拉（Deportivo La Guaira）|门多萨独立（Independiente Rivadavia）</x:v>
      </x:c>
      <x:c r="B1160" s="66" t="n">
        <x:v>46164.25</x:v>
      </x:c>
      <x:c r="C1160" s="65" t="str">
        <x:v>南美解放者杯</x:v>
      </x:c>
      <x:c r="D1160" s="65" t="str">
        <x:v>拉瓜伊拉（Deportivo La Guaira）</x:v>
      </x:c>
      <x:c r="E1160" s="65" t="str">
        <x:v>门多萨独立（Independiente Rivadavia）</x:v>
      </x:c>
      <x:c r="F1160" s="65" t="str">
        <x:v>门多萨独立 -0.5（参考客胜十进制约1.80-2.11，对应HK水位0.80+；若回升到-0.75且水位0.90+可小注，低于0.80不进单）</x:v>
      </x:c>
      <x:c r="G1160" s="65" t="str">
        <x:v>大2.25（若只能大2.5需水位1.00+；大2.5低水不进单；低于0.80不进单）</x:v>
      </x:c>
      <x:c r="H1160" s="65" t="str">
        <x:v>小注，不加仓；门多萨独立小组第1且首回合4-1压制，但客让从-1.25降温后不追深盘。比分倾向1-2/0-2，防1-1</x:v>
      </x:c>
      <x:c r="I1160" s="66" t="n">
        <x:v>46164.23168981481</x:v>
      </x:c>
      <x:c r="J1160" s="65" t="str">
        <x:v>已结算</x:v>
      </x:c>
      <x:c r="K1160" s="65" t="str">
        <x:v>2-4</x:v>
      </x:c>
      <x:c r="L1160" s="65" t="str">
        <x:v>赢</x:v>
      </x:c>
      <x:c r="M1160" s="65" t="str">
        <x:v>赢</x:v>
      </x:c>
      <x:c r="N1160" s="67" t="n">
        <x:v>1</x:v>
      </x:c>
      <x:c r="O1160" s="67" t="n">
        <x:v>1</x:v>
      </x:c>
      <x:c r="P1160" s="67" t="n">
        <x:f>IF(COUNT(N1160:O1160)=0,"",SUM(N1160:O1160))</x:f>
        <x:v>2</x:v>
      </x:c>
      <x:c r="Q1160" s="65"/>
      <x:c r="R1160" s="65" t="str">
        <x:v>赛果2-4；让球赢；大小球赢。</x:v>
      </x:c>
    </x:row>
    <x:row r="1161" ht="38" customHeight="1">
      <x:c r="A1161" s="65" t="str">
        <x:f>IF(B1161="","",TEXT(B1161,"yyyy-mm-dd")&amp;"|"&amp;D1161&amp;"|"&amp;E1161)</x:f>
        <x:v>2026-05-22|埃尔夫斯堡（IF Elfsborg）|米亚尔比（Mjällby AIF）</x:v>
      </x:c>
      <x:c r="B1161" s="66" t="n">
        <x:v>46164.041666666664</x:v>
      </x:c>
      <x:c r="C1161" s="65" t="str">
        <x:v>瑞典超级联赛</x:v>
      </x:c>
      <x:c r="D1161" s="65" t="str">
        <x:v>埃尔夫斯堡（IF Elfsborg）</x:v>
      </x:c>
      <x:c r="E1161" s="65" t="str">
        <x:v>米亚尔比（Mjällby AIF）</x:v>
      </x:c>
      <x:c r="F1161" s="65" t="str">
        <x:v>埃尔夫斯堡 0（平手/DNB，参考十进制1.90/HK水位0.90；低于0.80不进单；若只能+0.25低水约0.64则不进主推）</x:v>
      </x:c>
      <x:c r="G1161" s="65" t="str">
        <x:v>大2.5（参考十进制1.92-2.10/HK水位0.92-1.10；低于0.80不进单）</x:v>
      </x:c>
      <x:c r="H1161" s="65" t="str">
        <x:v>小注，不加仓；主队主场与交锋优势明显，米亚尔比客场状态好但Stroud/ Gustafsson/Norén缺阵削弱客队。比分倾向2-1/2-2，防1-1</x:v>
      </x:c>
      <x:c r="I1161" s="66" t="n">
        <x:v>46164.022673611114</x:v>
      </x:c>
      <x:c r="J1161" s="65" t="str">
        <x:v>已结算</x:v>
      </x:c>
      <x:c r="K1161" s="65" t="str">
        <x:v>1-1</x:v>
      </x:c>
      <x:c r="L1161" s="65" t="str">
        <x:v>走水</x:v>
      </x:c>
      <x:c r="M1161" s="65" t="str">
        <x:v>输</x:v>
      </x:c>
      <x:c r="N1161" s="67" t="n">
        <x:v>0</x:v>
      </x:c>
      <x:c r="O1161" s="67" t="n">
        <x:v>-1</x:v>
      </x:c>
      <x:c r="P1161" s="67" t="n">
        <x:f>IF(COUNT(N1161:O1161)=0,"",SUM(N1161:O1161))</x:f>
        <x:v>-1</x:v>
      </x:c>
      <x:c r="Q1161" s="65"/>
      <x:c r="R1161" s="65" t="str">
        <x:v>赛果1-1；埃尔夫斯堡0盘走水，大2.5输。</x:v>
      </x:c>
    </x:row>
    <x:row r="1162" ht="38" customHeight="1">
      <x:c r="A1162" s="65" t="str">
        <x:f>IF(B1162="","",TEXT(B1162,"yyyy-mm-dd")&amp;"|"&amp;D1162&amp;"|"&amp;E1162)</x:f>
        <x:v>2026-05-21|旁遮普（Punjab FC）|孟买城（Mumbai City FC）</x:v>
      </x:c>
      <x:c r="B1162" s="66" t="n">
        <x:v>46163.916666666664</x:v>
      </x:c>
      <x:c r="C1162" s="65" t="str">
        <x:v>印度超级联赛（Indian Super League）</x:v>
      </x:c>
      <x:c r="D1162" s="65" t="str">
        <x:v>旁遮普（Punjab FC）</x:v>
      </x:c>
      <x:c r="E1162" s="65" t="str">
        <x:v>孟买城（Mumbai City FC）</x:v>
      </x:c>
      <x:c r="F1162" s="65" t="str">
        <x:v>旁遮普 -0.25（平半，参考水位0.85+；低于0.80不进单；若升到-0.5低水则放弃）</x:v>
      </x:c>
      <x:c r="G1162" s="65" t="str">
        <x:v>小2.5（参考十进制1.95-2.00/HK水位0.95-1.00；低于0.80不进单）</x:v>
      </x:c>
      <x:c r="H1162" s="65" t="str">
        <x:v>小注，不加仓；双方同为争冠必须赢但压力大战更可能先谨慎，孟买城前锋Jorge Pereyra Diaz伤疑/大概率缺席削弱客队终结。比分倾向1-0/1-1，防2-1</x:v>
      </x:c>
      <x:c r="I1162" s="66" t="n">
        <x:v>46163.85459490741</x:v>
      </x:c>
      <x:c r="J1162" s="65" t="str">
        <x:v>已结算</x:v>
      </x:c>
      <x:c r="K1162" s="65" t="str">
        <x:v>0-2</x:v>
      </x:c>
      <x:c r="L1162" s="65" t="str">
        <x:v>输</x:v>
      </x:c>
      <x:c r="M1162" s="65" t="str">
        <x:v>赢</x:v>
      </x:c>
      <x:c r="N1162" s="67" t="n">
        <x:v>-1</x:v>
      </x:c>
      <x:c r="O1162" s="67" t="n">
        <x:v>1</x:v>
      </x:c>
      <x:c r="P1162" s="67" t="n">
        <x:f>IF(COUNT(N1162:O1162)=0,"",SUM(N1162:O1162))</x:f>
        <x:v>0</x:v>
      </x:c>
      <x:c r="Q1162" s="65"/>
      <x:c r="R1162" s="65" t="str">
        <x:v>赛果0-2；旁遮普-0.25输，小2.5赢。</x:v>
      </x:c>
    </x:row>
    <x:row r="1163" ht="38" customHeight="1">
      <x:c r="A1163" s="65" t="str">
        <x:f>IF(B1163="","",TEXT(B1163,"yyyy-mm-dd")&amp;"|"&amp;D1163&amp;"|"&amp;E1163)</x:f>
        <x:v>2026-05-21|詹谢普尔（Jamshedpur FC）|奥迪萨（Odisha FC）</x:v>
      </x:c>
      <x:c r="B1163" s="66" t="n">
        <x:v>46163.916666666664</x:v>
      </x:c>
      <x:c r="C1163" s="65" t="str">
        <x:v>印度超级联赛（Indian Super League）</x:v>
      </x:c>
      <x:c r="D1163" s="65" t="str">
        <x:v>詹谢普尔（Jamshedpur FC）</x:v>
      </x:c>
      <x:c r="E1163" s="65" t="str">
        <x:v>奥迪萨（Odisha FC）</x:v>
      </x:c>
      <x:c r="F1163" s="65" t="str">
        <x:v>詹谢普尔 -1.5（亚洲盘，参考十进制2.03/HK水位1.03；低于0.80不进单，若退到-1低水则放弃）</x:v>
      </x:c>
      <x:c r="G1163" s="65" t="str">
        <x:v>大3.5（参考十进制2.54/HK水位1.54；大2.5低水约0.62不进单；低于0.80不进单）</x:v>
      </x:c>
      <x:c r="H1163" s="65" t="str">
        <x:v>小注，不加仓；争冠必须赢球+奥迪萨中卫队长Carlos Delgado缺阵支撑主队深让，但奥迪萨近4次交锋全胜，防2-0/2-1卡总进球。比分倾向3-1/4-1，防2-0</x:v>
      </x:c>
      <x:c r="I1163" s="66" t="n">
        <x:v>46163.83925925926</x:v>
      </x:c>
      <x:c r="J1163" s="65" t="str">
        <x:v>已结算</x:v>
      </x:c>
      <x:c r="K1163" s="65" t="str">
        <x:v>2-3</x:v>
      </x:c>
      <x:c r="L1163" s="65" t="str">
        <x:v>输</x:v>
      </x:c>
      <x:c r="M1163" s="65" t="str">
        <x:v>赢</x:v>
      </x:c>
      <x:c r="N1163" s="67" t="n">
        <x:v>-1</x:v>
      </x:c>
      <x:c r="O1163" s="67" t="n">
        <x:v>1</x:v>
      </x:c>
      <x:c r="P1163" s="67" t="n">
        <x:f>IF(COUNT(N1163:O1163)=0,"",SUM(N1163:O1163))</x:f>
        <x:v>0</x:v>
      </x:c>
      <x:c r="Q1163" s="65"/>
      <x:c r="R1163" s="65" t="str">
        <x:v>赛果2-3；詹谢普尔-1.5输，大3.5赢。</x:v>
      </x:c>
    </x:row>
    <x:row r="1164" ht="38" customHeight="1">
      <x:c r="A1164" s="65" t="str">
        <x:f>IF(B1164="","",TEXT(B1164,"yyyy-mm-dd")&amp;"|"&amp;D1164&amp;"|"&amp;E1164)</x:f>
        <x:v>2026-05-21|莫亨巴根超级巨人（Mohun Bagan Super Giant）|德里体育俱乐部（Sporting Club Delhi）</x:v>
      </x:c>
      <x:c r="B1164" s="66" t="n">
        <x:v>46163.916666666664</x:v>
      </x:c>
      <x:c r="C1164" s="65" t="str">
        <x:v>印度超级联赛（Indian Super League）</x:v>
      </x:c>
      <x:c r="D1164" s="65" t="str">
        <x:v>莫亨巴根超级巨人（Mohun Bagan Super Giant）</x:v>
      </x:c>
      <x:c r="E1164" s="65" t="str">
        <x:v>德里体育俱乐部（Sporting Club Delhi）</x:v>
      </x:c>
      <x:c r="F1164" s="65" t="str">
        <x:v>莫亨巴根 -2.0（亚洲盘，参考合理水位0.90+；若只有3-way让球-2@2.30可小注替代；低于0.80不进单）</x:v>
      </x:c>
      <x:c r="G1164" s="65" t="str">
        <x:v>大3.5（参考十进制2.375/HK水位1.375；大2.5低水约0.49-0.53不进单；低于0.80不进单）</x:v>
      </x:c>
      <x:c r="H1164" s="65" t="str">
        <x:v>小注，不加仓；争冠净胜球需求支持主队持续进攻，但近期莫亨巴根小球率高，深盘必须防2-0/3-0卡盘。比分倾向3-1/4-0，防2-0</x:v>
      </x:c>
      <x:c r="I1164" s="66" t="n">
        <x:v>46163.82848379629</x:v>
      </x:c>
      <x:c r="J1164" s="65" t="str">
        <x:v>已结算</x:v>
      </x:c>
      <x:c r="K1164" s="65" t="str">
        <x:v>2-1</x:v>
      </x:c>
      <x:c r="L1164" s="65" t="str">
        <x:v>输</x:v>
      </x:c>
      <x:c r="M1164" s="65" t="str">
        <x:v>输</x:v>
      </x:c>
      <x:c r="N1164" s="67" t="n">
        <x:v>-1</x:v>
      </x:c>
      <x:c r="O1164" s="67" t="n">
        <x:v>-1</x:v>
      </x:c>
      <x:c r="P1164" s="67" t="n">
        <x:f>IF(COUNT(N1164:O1164)=0,"",SUM(N1164:O1164))</x:f>
        <x:v>-2</x:v>
      </x:c>
      <x:c r="Q1164" s="65"/>
      <x:c r="R1164" s="65" t="str">
        <x:v>赛果2-1；莫亨巴根-2.0输，大3.5输。</x:v>
      </x:c>
    </x:row>
    <x:row r="1165" ht="38" customHeight="1">
      <x:c r="A1165" s="65" t="str">
        <x:f>IF(B1165="","",TEXT(B1165,"yyyy-mm-dd")&amp;"|"&amp;D1165&amp;"|"&amp;E1165)</x:f>
        <x:v>2026-05-21|库斯科（Cusco FC）|麦德林独立（Independiente Medellín）</x:v>
      </x:c>
      <x:c r="B1165" s="66" t="n">
        <x:v>46163.416666666664</x:v>
      </x:c>
      <x:c r="C1165" s="65" t="str">
        <x:v>南美解放者杯</x:v>
      </x:c>
      <x:c r="D1165" s="65" t="str">
        <x:v>库斯科（Cusco FC）</x:v>
      </x:c>
      <x:c r="E1165" s="65" t="str">
        <x:v>麦德林独立（Independiente Medellín）</x:v>
      </x:c>
      <x:c r="F1165" s="65" t="str">
        <x:v>麦德林独立 +0.25（受让平半，参考十进制1.87/HK水位0.87；低于0.80不进单）</x:v>
      </x:c>
      <x:c r="G1165" s="65" t="str">
        <x:v>小2.5（参考十进制1.87-1.95/HK水位0.87-0.95；低于0.80不进单）</x:v>
      </x:c>
      <x:c r="H1165" s="65" t="str">
        <x:v>小注，不加仓；库斯科高原主场有压力但基本面与小组表现偏弱，麦德林独立受让更抗风险。比分倾向1-1/0-1，防1-0</x:v>
      </x:c>
      <x:c r="I1165" s="66" t="n">
        <x:v>46163.37482638889</x:v>
      </x:c>
      <x:c r="J1165" s="65" t="str">
        <x:v>已结算</x:v>
      </x:c>
      <x:c r="K1165" s="65" t="str">
        <x:v>2-3</x:v>
      </x:c>
      <x:c r="L1165" s="65" t="str">
        <x:v>赢</x:v>
      </x:c>
      <x:c r="M1165" s="65" t="str">
        <x:v>输</x:v>
      </x:c>
      <x:c r="N1165" s="67" t="n">
        <x:v>1</x:v>
      </x:c>
      <x:c r="O1165" s="67" t="n">
        <x:v>-1</x:v>
      </x:c>
      <x:c r="P1165" s="67" t="n">
        <x:f>IF(COUNT(N1165:O1165)=0,"",SUM(N1165:O1165))</x:f>
        <x:v>0</x:v>
      </x:c>
      <x:c r="Q1165" s="65"/>
      <x:c r="R1165" s="65" t="str">
        <x:v>赛果2-3；麦德林独立+0.25赢，小2.5输。</x:v>
      </x:c>
    </x:row>
    <x:row r="1166" ht="38" customHeight="1">
      <x:c r="A1166" s="65" t="str">
        <x:f>IF(B1166="","",TEXT(B1166,"yyyy-mm-dd")&amp;"|"&amp;D1166&amp;"|"&amp;E1166)</x:f>
        <x:v>2026-05-21|弗拉门戈（Flamengo）|拉普拉塔大学生（Estudiantes de La Plata）</x:v>
      </x:c>
      <x:c r="B1166" s="66" t="n">
        <x:v>46163.354166666664</x:v>
      </x:c>
      <x:c r="C1166" s="65" t="str">
        <x:v>南美解放者杯</x:v>
      </x:c>
      <x:c r="D1166" s="65" t="str">
        <x:v>弗拉门戈（Flamengo）</x:v>
      </x:c>
      <x:c r="E1166" s="65" t="str">
        <x:v>拉普拉塔大学生（Estudiantes de La Plata）</x:v>
      </x:c>
      <x:c r="F1166" s="65" t="str">
        <x:v>赛中26' 0-0：拉普拉塔大学生 +0.75（若可拿+1更优；参考水位0.85+；低于0.80不进单；若只剩+0.5低水则放弃）</x:v>
      </x:c>
      <x:c r="G1166" s="65" t="str">
        <x:v>赛中小2.25/小2.0（必须水位0.85+；小2.5若低水约0.60-0.70不进单；已进球后作废）</x:v>
      </x:c>
      <x:c r="H1166" s="65" t="str">
        <x:v>小注，不加仓；弗拉门戈主场和阵容强，但阿拉斯卡埃塔缺阵、前26分钟威胁不足，大学生角球和防守韧性支撑受让。比分倾向1-1/1-0，防2-0</x:v>
      </x:c>
      <x:c r="I1166" s="66" t="n">
        <x:v>46163.37614583333</x:v>
      </x:c>
      <x:c r="J1166" s="65" t="str">
        <x:v>已结算</x:v>
      </x:c>
      <x:c r="K1166" s="65" t="str">
        <x:v>1-0</x:v>
      </x:c>
      <x:c r="L1166" s="65" t="str">
        <x:v>赢</x:v>
      </x:c>
      <x:c r="M1166" s="65" t="str">
        <x:v>赢</x:v>
      </x:c>
      <x:c r="N1166" s="67" t="n">
        <x:v>1</x:v>
      </x:c>
      <x:c r="O1166" s="67" t="n">
        <x:v>1</x:v>
      </x:c>
      <x:c r="P1166" s="67" t="n">
        <x:f>IF(COUNT(N1166:O1166)=0,"",SUM(N1166:O1166))</x:f>
        <x:v>2</x:v>
      </x:c>
      <x:c r="Q1166" s="65"/>
      <x:c r="R1166" s="65" t="str">
        <x:v>赛果1-0；赛中26' 0-0入场，拉普拉塔大学生+0.75赢，赛中小2.25/小2.0赢。</x:v>
      </x:c>
    </x:row>
    <x:row r="1167" ht="38" customHeight="1">
      <x:c r="A1167" s="65" t="str">
        <x:f>IF(B1167="","",TEXT(B1167,"yyyy-mm-dd")&amp;"|"&amp;D1167&amp;"|"&amp;E1167)</x:f>
        <x:v>2026-05-21|帕尔梅拉斯（Palmeiras）|波特诺山丘（Cerro Porteño）</x:v>
      </x:c>
      <x:c r="B1167" s="66" t="n">
        <x:v>46163.354166666664</x:v>
      </x:c>
      <x:c r="C1167" s="65" t="str">
        <x:v>南美解放者杯</x:v>
      </x:c>
      <x:c r="D1167" s="65" t="str">
        <x:v>帕尔梅拉斯（Palmeiras）</x:v>
      </x:c>
      <x:c r="E1167" s="65" t="str">
        <x:v>波特诺山丘（Cerro Porteño）</x:v>
      </x:c>
      <x:c r="F1167" s="65" t="str">
        <x:v>赛中14' 0-0：帕尔梅拉斯 -0.75（参考水位0.85+；低于0.80不进单；若只能-1.25/-1.5则放弃）</x:v>
      </x:c>
      <x:c r="G1167" s="65" t="str">
        <x:v>赛中小2.5/2.25（必须水位0.85+；若小2.5低水约0.76则不进单；已进球后作废）</x:v>
      </x:c>
      <x:c r="H1167" s="65" t="str">
        <x:v>小注，不加仓；主队优势与交锋压制明显，但帕尔梅拉斯锋线伤停较多且比赛已开局无早球。比分倾向2-0/2-1，防1-1</x:v>
      </x:c>
      <x:c r="I1167" s="66" t="n">
        <x:v>46163.368993055556</x:v>
      </x:c>
      <x:c r="J1167" s="65" t="str">
        <x:v>已结算</x:v>
      </x:c>
      <x:c r="K1167" s="65" t="str">
        <x:v>0-1</x:v>
      </x:c>
      <x:c r="L1167" s="65" t="str">
        <x:v>输</x:v>
      </x:c>
      <x:c r="M1167" s="65" t="str">
        <x:v>赢</x:v>
      </x:c>
      <x:c r="N1167" s="67" t="n">
        <x:v>-1</x:v>
      </x:c>
      <x:c r="O1167" s="67" t="n">
        <x:v>1</x:v>
      </x:c>
      <x:c r="P1167" s="67" t="n">
        <x:f>IF(COUNT(N1167:O1167)=0,"",SUM(N1167:O1167))</x:f>
        <x:v>0</x:v>
      </x:c>
      <x:c r="Q1167" s="65"/>
      <x:c r="R1167" s="65" t="str">
        <x:v>赛果0-1；赛中14' 0-0入场，帕尔梅拉斯-0.75输，赛中小2.5/2.25赢。</x:v>
      </x:c>
    </x:row>
    <x:row r="1168" ht="38" customHeight="1">
      <x:c r="A1168" s="65" t="str">
        <x:f>IF(B1168="","",TEXT(B1168,"yyyy-mm-dd")&amp;"|"&amp;D1168&amp;"|"&amp;E1168)</x:f>
        <x:v>2026-05-21|基多大学体育（LDU Quito）|拉努斯（Lanús）</x:v>
      </x:c>
      <x:c r="B1168" s="66" t="n">
        <x:v>46163.354166666664</x:v>
      </x:c>
      <x:c r="C1168" s="65" t="str">
        <x:v>南美解放者杯</x:v>
      </x:c>
      <x:c r="D1168" s="65" t="str">
        <x:v>基多大学体育（LDU Quito）</x:v>
      </x:c>
      <x:c r="E1168" s="65" t="str">
        <x:v>拉努斯（Lanús）</x:v>
      </x:c>
      <x:c r="F1168" s="65" t="str">
        <x:v>赛中11' 0-0：基多大学体育 -0.25（平半，参考水位0.85+；低于0.80不进单；若只能-0.5则放弃）</x:v>
      </x:c>
      <x:c r="G1168" s="65" t="str">
        <x:v>赛中小2.25（可接受小2.0但需水位0.85+；低于0.80不进单；若已进球则作废）</x:v>
      </x:c>
      <x:c r="H1168" s="65" t="str">
        <x:v>小注，不加仓；高原主场+拉努斯进攻低迷支持主队不败，但交锋劣势明显，比分倾向1-0/1-1</x:v>
      </x:c>
      <x:c r="I1168" s="66" t="n">
        <x:v>46163.363391203704</x:v>
      </x:c>
      <x:c r="J1168" s="65" t="str">
        <x:v>已结算</x:v>
      </x:c>
      <x:c r="K1168" s="65" t="str">
        <x:v>2-0</x:v>
      </x:c>
      <x:c r="L1168" s="65" t="str">
        <x:v>赢</x:v>
      </x:c>
      <x:c r="M1168" s="65" t="str">
        <x:v>赢</x:v>
      </x:c>
      <x:c r="N1168" s="67" t="n">
        <x:v>1</x:v>
      </x:c>
      <x:c r="O1168" s="67" t="n">
        <x:v>1</x:v>
      </x:c>
      <x:c r="P1168" s="67" t="n">
        <x:f>IF(COUNT(N1168:O1168)=0,"",SUM(N1168:O1168))</x:f>
        <x:v>2</x:v>
      </x:c>
      <x:c r="Q1168" s="65"/>
      <x:c r="R1168" s="65" t="str">
        <x:v>赛果2-0；赛中11' 0-0入场，基多大学体育-0.25赢，赛中小2.25赢。</x:v>
      </x:c>
    </x:row>
    <x:row r="1169" ht="38" customHeight="1">
      <x:c r="A1169" s="65" t="str">
        <x:f>IF(B1169="","",TEXT(B1169,"yyyy-mm-dd")&amp;"|"&amp;D1169&amp;"|"&amp;E1169)</x:f>
        <x:v>2026-05-21|布卡拉曼加（Atlético Bucaramanga）|卡利博卡青年（Boca Juniors de Cali）</x:v>
      </x:c>
      <x:c r="B1169" s="66" t="n">
        <x:v>46163.333333333336</x:v>
      </x:c>
      <x:c r="C1169" s="65" t="str">
        <x:v>哥伦比亚杯（Copa Colombia）</x:v>
      </x:c>
      <x:c r="D1169" s="65" t="str">
        <x:v>布卡拉曼加（Atlético Bucaramanga）</x:v>
      </x:c>
      <x:c r="E1169" s="65" t="str">
        <x:v>卡利博卡青年（Boca Juniors de Cali）</x:v>
      </x:c>
      <x:c r="F1169" s="65" t="str">
        <x:v>布卡拉曼加 -1.5（参考2-way handicap -1.5十进制2.03/HK水位1.03；低于0.80不进单，低于0.90降级观望）</x:v>
      </x:c>
      <x:c r="G1169" s="65" t="str">
        <x:v>大2.5（参考十进制1.94/HK水位0.94；低于0.80不进单）</x:v>
      </x:c>
      <x:c r="H1169" s="65" t="str">
        <x:v>小注，不加仓；杯赛轮换风险高，若主队明显二线或盘口退到-1低水则放弃；比分倾向3-0/3-1，防2-0</x:v>
      </x:c>
      <x:c r="I1169" s="66" t="n">
        <x:v>46163.30798611111</x:v>
      </x:c>
      <x:c r="J1169" s="65" t="str">
        <x:v>已结算</x:v>
      </x:c>
      <x:c r="K1169" s="65" t="str">
        <x:v>2-3</x:v>
      </x:c>
      <x:c r="L1169" s="65" t="str">
        <x:v>输</x:v>
      </x:c>
      <x:c r="M1169" s="65" t="str">
        <x:v>赢</x:v>
      </x:c>
      <x:c r="N1169" s="67" t="n">
        <x:v>-1</x:v>
      </x:c>
      <x:c r="O1169" s="67" t="n">
        <x:v>1</x:v>
      </x:c>
      <x:c r="P1169" s="67" t="n">
        <x:f>IF(COUNT(N1169:O1169)=0,"",SUM(N1169:O1169))</x:f>
        <x:v>0</x:v>
      </x:c>
      <x:c r="Q1169" s="65"/>
      <x:c r="R1169" s="65" t="str">
        <x:v>赛果2-3；布卡拉曼加-1.5输，大2.5赢。</x:v>
      </x:c>
    </x:row>
    <x:row r="1170" ht="38" customHeight="1">
      <x:c r="A1170" s="65" t="str">
        <x:f>IF(B1170="","",TEXT(B1170,"yyyy-mm-dd")&amp;"|"&amp;D1170&amp;"|"&amp;E1170)</x:f>
        <x:v>2026-05-21|哥伦布机员（Columbus Crew）|纽约城（NYCFC）</x:v>
      </x:c>
      <x:c r="B1170" s="66" t="n">
        <x:v>46163.3125</x:v>
      </x:c>
      <x:c r="C1170" s="65" t="str">
        <x:v>美国公开杯（Lamar Hunt U.S. Open Cup）</x:v>
      </x:c>
      <x:c r="D1170" s="65" t="str">
        <x:v>哥伦布机员（Columbus Crew）</x:v>
      </x:c>
      <x:c r="E1170" s="65" t="str">
        <x:v>纽约城（NYCFC）</x:v>
      </x:c>
      <x:c r="F1170" s="65" t="str">
        <x:v>哥伦布机员 -0.25（平半，参考十进制1.95/HK水位0.95；低于0.80不进单）</x:v>
      </x:c>
      <x:c r="G1170" s="65" t="str">
        <x:v>大3.0（仅水位0.88+小注；若只有大2.5低水约0.55则不进单）</x:v>
      </x:c>
      <x:c r="H1170" s="65" t="str">
        <x:v>临近开球/赛中小注，不加仓；若已进球、盘口升至-0.5低水或大3.0低于0.80则作废。比分倾向2-1/3-1，防1-1</x:v>
      </x:c>
      <x:c r="I1170" s="66" t="n">
        <x:v>46163.32195601852</x:v>
      </x:c>
      <x:c r="J1170" s="65" t="str">
        <x:v>已结算</x:v>
      </x:c>
      <x:c r="K1170" s="65" t="str">
        <x:v>1-0</x:v>
      </x:c>
      <x:c r="L1170" s="65" t="str">
        <x:v>赢</x:v>
      </x:c>
      <x:c r="M1170" s="65" t="str">
        <x:v>输</x:v>
      </x:c>
      <x:c r="N1170" s="67" t="n">
        <x:v>1</x:v>
      </x:c>
      <x:c r="O1170" s="67" t="n">
        <x:v>-1</x:v>
      </x:c>
      <x:c r="P1170" s="67" t="n">
        <x:f>IF(COUNT(N1170:O1170)=0,"",SUM(N1170:O1170))</x:f>
        <x:v>0</x:v>
      </x:c>
      <x:c r="Q1170" s="65"/>
      <x:c r="R1170" s="65" t="str">
        <x:v>赛果1-0；哥伦布机员-0.25赢，大3.0输。</x:v>
      </x:c>
    </x:row>
    <x:row r="1171" ht="38" customHeight="1">
      <x:c r="A1171" s="65" t="str">
        <x:f>IF(B1171="","",TEXT(B1171,"yyyy-mm-dd")&amp;"|"&amp;D1171&amp;"|"&amp;E1171)</x:f>
        <x:v>2026-05-21|亚松森奥林匹亚（Olimpia）|瓦斯科达伽马（Vasco da Gama）</x:v>
      </x:c>
      <x:c r="B1171" s="66" t="n">
        <x:v>46163.25</x:v>
      </x:c>
      <x:c r="C1171" s="65" t="str">
        <x:v>南美杯（Copa Sudamericana）资格赛</x:v>
      </x:c>
      <x:c r="D1171" s="65" t="str">
        <x:v>亚松森奥林匹亚（Olimpia）</x:v>
      </x:c>
      <x:c r="E1171" s="65" t="str">
        <x:v>瓦斯科达伽马（Vasco da Gama）</x:v>
      </x:c>
      <x:c r="F1171" s="65" t="str">
        <x:v>赛中13' 0-0：亚松森奥林匹亚 -0.25（平半，参考水位0.84+；低于0.80不进单；若盘口升至-0.5则放弃）</x:v>
      </x:c>
      <x:c r="G1171" s="65" t="str">
        <x:v>赛中大2.0（或大2/2.5仅在水位0.85+时小注；低于0.80不进单）</x:v>
      </x:c>
      <x:c r="H1171" s="65" t="str">
        <x:v>赛中小注，不加仓；若已进球、盘口急变或水位低于0.80则作废。比分倾向2-1/1-1</x:v>
      </x:c>
      <x:c r="I1171" s="66" t="n">
        <x:v>46163.26247685185</x:v>
      </x:c>
      <x:c r="J1171" s="65" t="str">
        <x:v>已结算</x:v>
      </x:c>
      <x:c r="K1171" s="65" t="str">
        <x:v>3-1</x:v>
      </x:c>
      <x:c r="L1171" s="65" t="str">
        <x:v>赢</x:v>
      </x:c>
      <x:c r="M1171" s="65" t="str">
        <x:v>赢</x:v>
      </x:c>
      <x:c r="N1171" s="67" t="n">
        <x:v>1</x:v>
      </x:c>
      <x:c r="O1171" s="67" t="n">
        <x:v>1</x:v>
      </x:c>
      <x:c r="P1171" s="67" t="n">
        <x:f>IF(COUNT(N1171:O1171)=0,"",SUM(N1171:O1171))</x:f>
        <x:v>2</x:v>
      </x:c>
      <x:c r="Q1171" s="65"/>
      <x:c r="R1171" s="65" t="str">
        <x:v>赛果3-1；赛中13' 0-0入场，亚松森奥林匹亚-0.25赢，赛中大2.0赢。</x:v>
      </x:c>
    </x:row>
    <x:row r="1172" ht="38" customHeight="1">
      <x:c r="A1172" s="65" t="str">
        <x:f>IF(B1172="","",TEXT(B1172,"yyyy-mm-dd")&amp;"|"&amp;D1172&amp;"|"&amp;E1172)</x:f>
        <x:v>2026-05-21|拉尼罗斯（Llaneros FC）|帕特里奥坦斯（Patriotas FC）</x:v>
      </x:c>
      <x:c r="B1172" s="66" t="n">
        <x:v>46163.208333333336</x:v>
      </x:c>
      <x:c r="C1172" s="65" t="str">
        <x:v>哥伦比亚杯（Copa Colombia）</x:v>
      </x:c>
      <x:c r="D1172" s="65" t="str">
        <x:v>拉尼罗斯（Llaneros FC）</x:v>
      </x:c>
      <x:c r="E1172" s="65" t="str">
        <x:v>帕特里奥坦斯（Patriotas FC）</x:v>
      </x:c>
      <x:c r="F1172" s="65" t="str">
        <x:v>帕特里奥坦斯 +0.75（受让半一，参考水位0.82；低于0.80不进单）</x:v>
      </x:c>
      <x:c r="G1172" s="65" t="str">
        <x:v>大小球不进单（小2/2.5方向但临场水位约0.79，低于0.80不进单）</x:v>
      </x:c>
      <x:c r="H1172" s="65" t="str">
        <x:v>小注；不加仓。若赛前确认改期/封盘则作废等待重开盘；比分倾向1-1/1-0</x:v>
      </x:c>
      <x:c r="I1172" s="66" t="n">
        <x:v>46163.25614583334</x:v>
      </x:c>
      <x:c r="J1172" s="65" t="str">
        <x:v>已结算</x:v>
      </x:c>
      <x:c r="K1172" s="65" t="str">
        <x:v>3-1</x:v>
      </x:c>
      <x:c r="L1172" s="65" t="str">
        <x:v>输</x:v>
      </x:c>
      <x:c r="M1172" s="65" t="str">
        <x:v>不计（低水未执行）</x:v>
      </x:c>
      <x:c r="N1172" s="67" t="n">
        <x:v>-1</x:v>
      </x:c>
      <x:c r="O1172" s="67"/>
      <x:c r="P1172" s="67" t="n">
        <x:f>IF(COUNT(N1172:O1172)=0,"",SUM(N1172:O1172))</x:f>
        <x:v>-1</x:v>
      </x:c>
      <x:c r="Q1172" s="65" t="str">
        <x:v>https://www.espn.com/soccer/match/_/gameId/401871564/patriotas-llaneros-fc | https://www.sofascore.com/football/match/llaneros-fc-patriotas-boyaca/eFzszMK | 查询时间：2026-07-15 23:40（北京时间）</x:v>
      </x:c>
      <x:c r="R1172" s="65" t="str">
        <x:v>历史积压补结：90分钟3-1；帕特里奥坦斯+0.75未打出；大小球冻结时明确低水不进，不计盈亏。</x:v>
      </x:c>
    </x:row>
    <x:row r="1173" ht="38" customHeight="1">
      <x:c r="A1173" s="65" t="str">
        <x:f>IF(B1173="","",TEXT(B1173,"yyyy-mm-dd")&amp;"|"&amp;D1173&amp;"|"&amp;E1173)</x:f>
        <x:v>2026-05-21|哥德堡盖斯（GAIS）|哈马比（Hammarby IF）</x:v>
      </x:c>
      <x:c r="B1173" s="66" t="n">
        <x:v>46163.041666666664</x:v>
      </x:c>
      <x:c r="C1173" s="65" t="str">
        <x:v>瑞典超级联赛</x:v>
      </x:c>
      <x:c r="D1173" s="65" t="str">
        <x:v>哥德堡盖斯（GAIS）</x:v>
      </x:c>
      <x:c r="E1173" s="65" t="str">
        <x:v>哈马比（Hammarby IF）</x:v>
      </x:c>
      <x:c r="F1173" s="65" t="str">
        <x:v>哥德堡盖斯 +0.5（目标水0.80-0.91；低于0.80不进）</x:v>
      </x:c>
      <x:c r="G1173" s="65" t="str">
        <x:v>大 2.75（高水小注，目标水≥0.95；若只能拿到大2.5低水则不进）</x:v>
      </x:c>
      <x:c r="H1173" s="65" t="str">
        <x:v>小注；若临场退到哥德堡盖斯+0.25且水位≥0.95可小注，若哈马比重新压回-0.75不追客队；大球只做2.75高水，低于0.80不进</x:v>
      </x:c>
      <x:c r="I1173" s="66" t="n">
        <x:v>46162.91798611111</x:v>
      </x:c>
      <x:c r="J1173" s="65" t="str">
        <x:v>已结算</x:v>
      </x:c>
      <x:c r="K1173" s="65" t="str">
        <x:v>2-0</x:v>
      </x:c>
      <x:c r="L1173" s="65" t="str">
        <x:v>赢</x:v>
      </x:c>
      <x:c r="M1173" s="65" t="str">
        <x:v>输</x:v>
      </x:c>
      <x:c r="N1173" s="67" t="n">
        <x:v>1</x:v>
      </x:c>
      <x:c r="O1173" s="67" t="n">
        <x:v>-1</x:v>
      </x:c>
      <x:c r="P1173" s="67" t="n">
        <x:f>IF(COUNT(N1173:O1173)=0,"",SUM(N1173:O1173))</x:f>
        <x:v>0</x:v>
      </x:c>
      <x:c r="Q1173" s="65"/>
      <x:c r="R1173" s="65" t="str">
        <x:v>赛果2-0；哥德堡盖斯+0.5赢，大2.75输。</x:v>
      </x:c>
    </x:row>
    <x:row r="1174" ht="38" customHeight="1">
      <x:c r="A1174" s="65" t="str">
        <x:f>IF(B1174="","",TEXT(B1174,"yyyy-mm-dd")&amp;"|"&amp;D1174&amp;"|"&amp;E1174)</x:f>
        <x:v>2026-05-20|库恩卡（Deportivo Cuenca）|列高列达（Deportivo Recoleta）</x:v>
      </x:c>
      <x:c r="B1174" s="66" t="n">
        <x:v>46162.416666666664</x:v>
      </x:c>
      <x:c r="C1174" s="65" t="str">
        <x:v>南美杯（Copa Sudamericana）资格赛</x:v>
      </x:c>
      <x:c r="D1174" s="65" t="str">
        <x:v>库恩卡（Deportivo Cuenca）</x:v>
      </x:c>
      <x:c r="E1174" s="65" t="str">
        <x:v>列高列达（Deportivo Recoleta）</x:v>
      </x:c>
      <x:c r="F1174" s="65" t="str">
        <x:v>列高列达 +1.5（约1.01水/2.01欧赔；低于0.80不进）</x:v>
      </x:c>
      <x:c r="G1174" s="65" t="str">
        <x:v>大 2.5（高水小注，约1.15水/2.15欧赔；低于0.80不进）</x:v>
      </x:c>
      <x:c r="H1174" s="65" t="str">
        <x:v>小注；若列高列达+1.5降到低水不进，若只剩+1.25且水≥0.95可小注；大球只做高水，若降到2.25且水≥0.85更优</x:v>
      </x:c>
      <x:c r="I1174" s="66" t="n">
        <x:v>46162.385879629626</x:v>
      </x:c>
      <x:c r="J1174" s="65" t="str">
        <x:v>已结算</x:v>
      </x:c>
      <x:c r="K1174" s="65" t="str">
        <x:v>2-2</x:v>
      </x:c>
      <x:c r="L1174" s="65" t="str">
        <x:v>赢</x:v>
      </x:c>
      <x:c r="M1174" s="65" t="str">
        <x:v>赢</x:v>
      </x:c>
      <x:c r="N1174" s="67" t="n">
        <x:v>1</x:v>
      </x:c>
      <x:c r="O1174" s="67" t="n">
        <x:v>1</x:v>
      </x:c>
      <x:c r="P1174" s="67" t="n">
        <x:f>IF(COUNT(N1174:O1174)=0,"",SUM(N1174:O1174))</x:f>
        <x:v>2</x:v>
      </x:c>
      <x:c r="Q1174" s="65"/>
      <x:c r="R1174" s="65" t="str">
        <x:v>赛果2-2；列高列达+1.5赢，大2.5赢。</x:v>
      </x:c>
    </x:row>
    <x:row r="1175" ht="38" customHeight="1">
      <x:c r="A1175" s="65" t="str">
        <x:f>IF(B1175="","",TEXT(B1175,"yyyy-mm-dd")&amp;"|"&amp;D1175&amp;"|"&amp;E1175)</x:f>
        <x:v>2026-05-20|圣保罗（São Paulo）|百万富翁（Millonarios）</x:v>
      </x:c>
      <x:c r="B1175" s="66" t="n">
        <x:v>46162.354166666664</x:v>
      </x:c>
      <x:c r="C1175" s="65" t="str">
        <x:v>南美杯（Copa Sudamericana）资格赛</x:v>
      </x:c>
      <x:c r="D1175" s="65" t="str">
        <x:v>圣保罗（São Paulo）</x:v>
      </x:c>
      <x:c r="E1175" s="65" t="str">
        <x:v>百万富翁（Millonarios）</x:v>
      </x:c>
      <x:c r="F1175" s="65" t="str">
        <x:v>圣保罗 -0.75（约0.83水；低于0.80不进）</x:v>
      </x:c>
      <x:c r="G1175" s="65" t="str">
        <x:v>大 2.5（高水小注，目标水≥1.05；低于0.80不进）</x:v>
      </x:c>
      <x:c r="H1175" s="65" t="str">
        <x:v>小注；若临场退到圣保罗-0.5且水位≥0.80可加仓，若升到-1或-1.25低水不追；大球若降到2.25且水≥0.85更优，低水不进</x:v>
      </x:c>
      <x:c r="I1175" s="66" t="n">
        <x:v>46162.36844907407</x:v>
      </x:c>
      <x:c r="J1175" s="65" t="str">
        <x:v>已结算</x:v>
      </x:c>
      <x:c r="K1175" s="65" t="str">
        <x:v>1-1</x:v>
      </x:c>
      <x:c r="L1175" s="65" t="str">
        <x:v>输</x:v>
      </x:c>
      <x:c r="M1175" s="65" t="str">
        <x:v>输</x:v>
      </x:c>
      <x:c r="N1175" s="67" t="n">
        <x:v>-1</x:v>
      </x:c>
      <x:c r="O1175" s="67" t="n">
        <x:v>-1</x:v>
      </x:c>
      <x:c r="P1175" s="67" t="n">
        <x:f>IF(COUNT(N1175:O1175)=0,"",SUM(N1175:O1175))</x:f>
        <x:v>-2</x:v>
      </x:c>
      <x:c r="Q1175" s="65"/>
      <x:c r="R1175" s="65" t="str">
        <x:v>赛果1-1；圣保罗-0.75输，大2.5输。</x:v>
      </x:c>
    </x:row>
    <x:row r="1176" ht="38" customHeight="1">
      <x:c r="A1176" s="65" t="str">
        <x:f>IF(B1176="","",TEXT(B1176,"yyyy-mm-dd")&amp;"|"&amp;D1176&amp;"|"&amp;E1176)</x:f>
        <x:v>2026-05-20|科金博联合（Coquimbo Unido）|托利马体育（Deportes Tolima）</x:v>
      </x:c>
      <x:c r="B1176" s="66" t="n">
        <x:v>46162.25</x:v>
      </x:c>
      <x:c r="C1176" s="65" t="str">
        <x:v>南美解放者杯</x:v>
      </x:c>
      <x:c r="D1176" s="65" t="str">
        <x:v>科金博联合（Coquimbo Unido）</x:v>
      </x:c>
      <x:c r="E1176" s="65" t="str">
        <x:v>托利马体育（Deportes Tolima）</x:v>
      </x:c>
      <x:c r="F1176" s="65" t="str">
        <x:v>科金博联合 -0.25（约0.91水；低于0.80不进）</x:v>
      </x:c>
      <x:c r="G1176" s="65" t="str">
        <x:v>大 2.5（高水小注，目标水≥1.20；低于0.80不进）</x:v>
      </x:c>
      <x:c r="H1176" s="65" t="str">
        <x:v>小注；若临场退到科金博联合0且水位≥0.80可加仓，若升到-0.5且主队低水不追；大球只做高水，若降到2.25且水≥0.85更优</x:v>
      </x:c>
      <x:c r="I1176" s="66" t="n">
        <x:v>46162.237349537034</x:v>
      </x:c>
      <x:c r="J1176" s="65" t="str">
        <x:v>已结算</x:v>
      </x:c>
      <x:c r="K1176" s="65" t="str">
        <x:v>3-0</x:v>
      </x:c>
      <x:c r="L1176" s="65" t="str">
        <x:v>赢</x:v>
      </x:c>
      <x:c r="M1176" s="65" t="str">
        <x:v>赢</x:v>
      </x:c>
      <x:c r="N1176" s="67" t="n">
        <x:v>1</x:v>
      </x:c>
      <x:c r="O1176" s="67" t="n">
        <x:v>1</x:v>
      </x:c>
      <x:c r="P1176" s="67" t="n">
        <x:f>IF(COUNT(N1176:O1176)=0,"",SUM(N1176:O1176))</x:f>
        <x:v>2</x:v>
      </x:c>
      <x:c r="Q1176" s="65"/>
      <x:c r="R1176" s="65" t="str">
        <x:v>赛果3-0；科金博联合-0.25赢，大2.5赢。</x:v>
      </x:c>
    </x:row>
    <x:row r="1177" ht="38" customHeight="1">
      <x:c r="A1177" s="65" t="str">
        <x:f>IF(B1177="","",TEXT(B1177,"yyyy-mm-dd")&amp;"|"&amp;D1177&amp;"|"&amp;E1177)</x:f>
        <x:v>2026-05-20|弗鲁米嫩塞（Fluminense）|玻利瓦尔（Bolívar）</x:v>
      </x:c>
      <x:c r="B1177" s="66" t="n">
        <x:v>46162.25</x:v>
      </x:c>
      <x:c r="C1177" s="65" t="str">
        <x:v>南美解放者杯</x:v>
      </x:c>
      <x:c r="D1177" s="65" t="str">
        <x:v>弗鲁米嫩塞（Fluminense）</x:v>
      </x:c>
      <x:c r="E1177" s="65" t="str">
        <x:v>玻利瓦尔（Bolívar）</x:v>
      </x:c>
      <x:c r="F1177" s="65" t="str">
        <x:v>玻利瓦尔 +2.25（目标水≥0.90；低于0.80不进）</x:v>
      </x:c>
      <x:c r="G1177" s="65" t="str">
        <x:v>大 3.25（目标水≥0.95；若临场低于0.80不进）</x:v>
      </x:c>
      <x:c r="H1177" s="65" t="str">
        <x:v>小注；若退到玻利瓦尔+2且水位≥0.95仍可小注，若只剩+2.5低水不进；大球只做高水小注，升到3.5可降注观察</x:v>
      </x:c>
      <x:c r="I1177" s="66" t="n">
        <x:v>46162.23488425926</x:v>
      </x:c>
      <x:c r="J1177" s="65" t="str">
        <x:v>已结算</x:v>
      </x:c>
      <x:c r="K1177" s="65" t="str">
        <x:v>2-1</x:v>
      </x:c>
      <x:c r="L1177" s="65" t="str">
        <x:v>赢</x:v>
      </x:c>
      <x:c r="M1177" s="65" t="str">
        <x:v>输半</x:v>
      </x:c>
      <x:c r="N1177" s="67" t="n">
        <x:v>1</x:v>
      </x:c>
      <x:c r="O1177" s="67" t="n">
        <x:v>-0.5</x:v>
      </x:c>
      <x:c r="P1177" s="67" t="n">
        <x:f>IF(COUNT(N1177:O1177)=0,"",SUM(N1177:O1177))</x:f>
        <x:v>0.5</x:v>
      </x:c>
      <x:c r="Q1177" s="65"/>
      <x:c r="R1177" s="65" t="str">
        <x:v>赛果2-1；玻利瓦尔+2.25赢，大3.25输半。</x:v>
      </x:c>
    </x:row>
    <x:row r="1178" ht="38" customHeight="1">
      <x:c r="A1178" s="65" t="str">
        <x:f>IF(B1178="","",TEXT(B1178,"yyyy-mm-dd")&amp;"|"&amp;D1178&amp;"|"&amp;E1178)</x:f>
        <x:v>2026-05-20|罗萨里奥中央（Rosario Central）|委内瑞拉中央大学（UCV）</x:v>
      </x:c>
      <x:c r="B1178" s="66" t="n">
        <x:v>46162.25</x:v>
      </x:c>
      <x:c r="C1178" s="65" t="str">
        <x:v>南美解放者杯</x:v>
      </x:c>
      <x:c r="D1178" s="65" t="str">
        <x:v>罗萨里奥中央（Rosario Central）</x:v>
      </x:c>
      <x:c r="E1178" s="65" t="str">
        <x:v>委内瑞拉中央大学（UCV）</x:v>
      </x:c>
      <x:c r="F1178" s="65" t="str">
        <x:v>罗萨里奥中央 -1.75（0.82左右；低于0.80不进）</x:v>
      </x:c>
      <x:c r="G1178" s="65" t="str">
        <x:v>大 2.75（目标水≥0.80；若只能拿到大2.5低水则不进）</x:v>
      </x:c>
      <x:c r="H1178" s="65" t="str">
        <x:v>小注；若临场退到 -1.5 且主队水≥0.80可加仓；若升到 -2 或 -2.25不追；大小球低水不追</x:v>
      </x:c>
      <x:c r="I1178" s="66" t="n">
        <x:v>46162.23310185185</x:v>
      </x:c>
      <x:c r="J1178" s="65" t="str">
        <x:v>已结算</x:v>
      </x:c>
      <x:c r="K1178" s="65" t="str">
        <x:v>3-0</x:v>
      </x:c>
      <x:c r="L1178" s="65" t="str">
        <x:v>赢</x:v>
      </x:c>
      <x:c r="M1178" s="65" t="str">
        <x:v>赢半</x:v>
      </x:c>
      <x:c r="N1178" s="67" t="n">
        <x:v>1</x:v>
      </x:c>
      <x:c r="O1178" s="67" t="n">
        <x:v>0.5</x:v>
      </x:c>
      <x:c r="P1178" s="67" t="n">
        <x:f>IF(COUNT(N1178:O1178)=0,"",SUM(N1178:O1178))</x:f>
        <x:v>1.5</x:v>
      </x:c>
      <x:c r="Q1178" s="65"/>
      <x:c r="R1178" s="65" t="str">
        <x:v>赛果3-0；罗萨里奥中央-1.75赢，大2.75赢半。</x:v>
      </x:c>
    </x:row>
    <x:row r="1179" ht="38" customHeight="1">
      <x:c r="A1179" s="65" t="str">
        <x:f>IF(B1179="","",TEXT(B1179,"yyyy-mm-dd")&amp;"|"&amp;D1179&amp;"|"&amp;E1179)</x:f>
        <x:v>2026-05-19|东北联（NorthEast United FC）|莫哈末丹（Mohammedan SC）</x:v>
      </x:c>
      <x:c r="B1179" s="66" t="n">
        <x:v>46161.8125</x:v>
      </x:c>
      <x:c r="C1179" s="65" t="str">
        <x:v>印度超级联赛（Indian Super League）</x:v>
      </x:c>
      <x:c r="D1179" s="65" t="str">
        <x:v>东北联（NorthEast United FC）</x:v>
      </x:c>
      <x:c r="E1179" s="65" t="str">
        <x:v>莫哈末丹（Mohammedan SC）</x:v>
      </x:c>
      <x:c r="F1179" s="65" t="str">
        <x:v>东北联 -1.75（0.90左右；低于0.80不进）</x:v>
      </x:c>
      <x:c r="G1179" s="65" t="str">
        <x:v>大 3.25（0.85左右；低于0.80不进）</x:v>
      </x:c>
      <x:c r="H1179" s="65" t="str">
        <x:v>小注；若临场升到 -2 且主队水≥0.85可少量加仓；若大球升到3.75以上且大水低于0.85则不追</x:v>
      </x:c>
      <x:c r="I1179" s="66" t="n">
        <x:v>46161.79541666667</x:v>
      </x:c>
      <x:c r="J1179" s="65" t="str">
        <x:v>已结算</x:v>
      </x:c>
      <x:c r="K1179" s="65" t="str">
        <x:v>2-0</x:v>
      </x:c>
      <x:c r="L1179" s="65" t="str">
        <x:v>赢半</x:v>
      </x:c>
      <x:c r="M1179" s="65" t="str">
        <x:v>输</x:v>
      </x:c>
      <x:c r="N1179" s="67" t="n">
        <x:v>0.5</x:v>
      </x:c>
      <x:c r="O1179" s="67" t="n">
        <x:v>-1</x:v>
      </x:c>
      <x:c r="P1179" s="67" t="n">
        <x:f>IF(COUNT(N1179:O1179)=0,"",SUM(N1179:O1179))</x:f>
        <x:v>-0.5</x:v>
      </x:c>
      <x:c r="Q1179" s="65"/>
      <x:c r="R1179" s="65" t="str">
        <x:v>赛果2-0；东北联-1.75赢半，大3.25输。</x:v>
      </x:c>
    </x:row>
    <x:row r="1180" ht="38" customHeight="1">
      <x:c r="A1180" s="65" t="str">
        <x:f>IF(B1180="","",TEXT(B1180,"yyyy-mm-dd")&amp;"|"&amp;D1180&amp;"|"&amp;E1180)</x:f>
        <x:v>2026-05-19|帕尔米拉国际（Internacional Palmira）|锡帕基拉老虎（Tigres Zipaquirá）</x:v>
      </x:c>
      <x:c r="B1180" s="66" t="n">
        <x:v>46161.333333333336</x:v>
      </x:c>
      <x:c r="C1180" s="65" t="str">
        <x:v>哥伦比亚乙级联赛（Primera B / Torneo BetPlay Apertura）</x:v>
      </x:c>
      <x:c r="D1180" s="65" t="str">
        <x:v>帕尔米拉国际（Internacional Palmira）</x:v>
      </x:c>
      <x:c r="E1180" s="65" t="str">
        <x:v>锡帕基拉老虎（Tigres Zipaquirá）</x:v>
      </x:c>
      <x:c r="F1180" s="65" t="str">
        <x:v>帕尔米拉国际 -0.75（水位≥0.85；若仅-0.5且低于0.80则不进单）</x:v>
      </x:c>
      <x:c r="G1180" s="65" t="str">
        <x:v>小2.0（水位≥1.00；若小2.25水位≥0.85可替代）</x:v>
      </x:c>
      <x:c r="H1180" s="65" t="str">
        <x:v>小注；不加仓；若临场升到-1且低水或15分钟内早球/红牌则放弃原策略</x:v>
      </x:c>
      <x:c r="I1180" s="66" t="n">
        <x:v>46161.27780092593</x:v>
      </x:c>
      <x:c r="J1180" s="65" t="str">
        <x:v>已结算</x:v>
      </x:c>
      <x:c r="K1180" s="65" t="str">
        <x:v>2-2</x:v>
      </x:c>
      <x:c r="L1180" s="65" t="str">
        <x:v>输</x:v>
      </x:c>
      <x:c r="M1180" s="65" t="str">
        <x:v>输</x:v>
      </x:c>
      <x:c r="N1180" s="67" t="n">
        <x:v>-1</x:v>
      </x:c>
      <x:c r="O1180" s="67" t="n">
        <x:v>-1</x:v>
      </x:c>
      <x:c r="P1180" s="67" t="n">
        <x:f>IF(COUNT(N1180:O1180)=0,"",SUM(N1180:O1180))</x:f>
        <x:v>-2</x:v>
      </x:c>
      <x:c r="Q1180" s="65"/>
      <x:c r="R1180" s="65" t="str">
        <x:v>赛果2-2；帕尔米拉国际-0.75输，小2.0输。</x:v>
      </x:c>
    </x:row>
    <x:row r="1181" ht="38" customHeight="1">
      <x:c r="A1181" s="65" t="str">
        <x:f>IF(B1181="","",TEXT(B1181,"yyyy-mm-dd")&amp;"|"&amp;D1181&amp;"|"&amp;E1181)</x:f>
        <x:v>2026-05-19|恩维加多（Envigado）|奎迪奥（Deportes Quindío）</x:v>
      </x:c>
      <x:c r="B1181" s="66" t="n">
        <x:v>46161.166666666664</x:v>
      </x:c>
      <x:c r="C1181" s="65" t="str">
        <x:v>哥伦比亚乙级联赛（Primera B / Torneo BetPlay Apertura）</x:v>
      </x:c>
      <x:c r="D1181" s="65" t="str">
        <x:v>恩维加多（Envigado）</x:v>
      </x:c>
      <x:c r="E1181" s="65" t="str">
        <x:v>奎迪奥（Deportes Quindío）</x:v>
      </x:c>
      <x:c r="F1181" s="65" t="str">
        <x:v>奎迪奥 +0.25（水位≥0.80；低于0.80不进单）</x:v>
      </x:c>
      <x:c r="G1181" s="65" t="str">
        <x:v>小2.0（水位≥0.85；小2.25需≥0.80才可替代）</x:v>
      </x:c>
      <x:c r="H1181" s="65" t="str">
        <x:v>临场小注；奎迪奥+0.5若低于0.80放弃；若15分钟内早球/红牌，原判断作废</x:v>
      </x:c>
      <x:c r="I1181" s="66" t="n">
        <x:v>46161.18306712963</x:v>
      </x:c>
      <x:c r="J1181" s="65" t="str">
        <x:v>已结算</x:v>
      </x:c>
      <x:c r="K1181" s="65" t="str">
        <x:v>1-0</x:v>
      </x:c>
      <x:c r="L1181" s="65" t="str">
        <x:v>输</x:v>
      </x:c>
      <x:c r="M1181" s="65" t="str">
        <x:v>赢</x:v>
      </x:c>
      <x:c r="N1181" s="67" t="n">
        <x:v>-1</x:v>
      </x:c>
      <x:c r="O1181" s="67" t="n">
        <x:v>1</x:v>
      </x:c>
      <x:c r="P1181" s="67" t="n">
        <x:f>IF(COUNT(N1181:O1181)=0,"",SUM(N1181:O1181))</x:f>
        <x:v>0</x:v>
      </x:c>
      <x:c r="Q1181" s="65"/>
      <x:c r="R1181" s="65" t="str">
        <x:v>赛果1-0；奎迪奥+0.25输，小2.0赢。</x:v>
      </x:c>
    </x:row>
    <x:row r="1182" ht="38" customHeight="1">
      <x:c r="A1182" s="65" t="str">
        <x:f>IF(B1182="","",TEXT(B1182,"yyyy-mm-dd")&amp;"|"&amp;D1182&amp;"|"&amp;E1182)</x:f>
        <x:v>2026-05-18|南墨尔本（South Melbourne FC）|卡罗琳斯普林斯乔治克罗斯（Caroline Springs George Cross FC）</x:v>
      </x:c>
      <x:c r="B1182" s="66" t="n">
        <x:v>46160.729166666664</x:v>
      </x:c>
      <x:c r="C1182" s="65" t="str">
        <x:v>澳大利亚 维多利亚州超级联赛1（VPL1）</x:v>
      </x:c>
      <x:c r="D1182" s="65" t="str">
        <x:v>南墨尔本（South Melbourne FC）</x:v>
      </x:c>
      <x:c r="E1182" s="65" t="str">
        <x:v>卡罗琳斯普林斯乔治克罗斯（Caroline Springs George Cross FC）</x:v>
      </x:c>
      <x:c r="F1182" s="65" t="str">
        <x:v>卡罗琳斯普林斯乔治克罗斯 -1/1.5（约1.93；低于0.80不进单）</x:v>
      </x:c>
      <x:c r="G1182" s="65" t="str">
        <x:v>大 3.0（约1.84；低于0.80不进单）</x:v>
      </x:c>
      <x:c r="H1182" s="65" t="str">
        <x:v>小注；若卡罗琳临场升至 -1.5 且水位仍≥0.90，可小额加仓；低于0.80不进单</x:v>
      </x:c>
      <x:c r="I1182" s="66" t="n">
        <x:v>46160.73201388889</x:v>
      </x:c>
      <x:c r="J1182" s="65" t="str">
        <x:v>已结算</x:v>
      </x:c>
      <x:c r="K1182" s="65" t="str">
        <x:v>0-4</x:v>
      </x:c>
      <x:c r="L1182" s="65" t="str">
        <x:v>赢</x:v>
      </x:c>
      <x:c r="M1182" s="65" t="str">
        <x:v>赢</x:v>
      </x:c>
      <x:c r="N1182" s="67" t="n">
        <x:v>1</x:v>
      </x:c>
      <x:c r="O1182" s="67" t="n">
        <x:v>1</x:v>
      </x:c>
      <x:c r="P1182" s="67" t="n">
        <x:f>IF(COUNT(N1182:O1182)=0,"",SUM(N1182:O1182))</x:f>
        <x:v>2</x:v>
      </x:c>
      <x:c r="Q1182" s="65"/>
      <x:c r="R1182" s="65" t="str">
        <x:v>赛果0-4；卡罗琳斯普林斯乔治克罗斯-1/1.5赢，大3.0赢。</x:v>
      </x:c>
    </x:row>
    <x:row r="1183" ht="38" customHeight="1">
      <x:c r="A1183" s="65" t="str">
        <x:f>IF(B1183="","",TEXT(B1183,"yyyy-mm-dd")&amp;"|"&amp;D1183&amp;"|"&amp;E1183)</x:f>
        <x:v>2026-05-18|美洲狮（Pumas UNAM）|帕丘卡（Pachuca）</x:v>
      </x:c>
      <x:c r="B1183" s="66" t="n">
        <x:v>46160.375</x:v>
      </x:c>
      <x:c r="C1183" s="65" t="str">
        <x:v>墨西哥超（Liga MX，Clausura）</x:v>
      </x:c>
      <x:c r="D1183" s="65" t="str">
        <x:v>美洲狮（Pumas UNAM）</x:v>
      </x:c>
      <x:c r="E1183" s="65" t="str">
        <x:v>帕丘卡（Pachuca）</x:v>
      </x:c>
      <x:c r="F1183" s="65" t="str">
        <x:v>美洲狮 -0.25（水位约0.87，低于0.80不进）</x:v>
      </x:c>
      <x:c r="G1183" s="65" t="str">
        <x:v>小 2.5（水位约1.13-1.20，小注；低于0.80不进）</x:v>
      </x:c>
      <x:c r="H1183" s="65" t="str">
        <x:v>不加仓；让球主推，小球小注，若临场大球低水过热不追</x:v>
      </x:c>
      <x:c r="I1183" s="66" t="n">
        <x:v>46160.35704861111</x:v>
      </x:c>
      <x:c r="J1183" s="65" t="str">
        <x:v>已结算</x:v>
      </x:c>
      <x:c r="K1183" s="65" t="str">
        <x:v>1-0</x:v>
      </x:c>
      <x:c r="L1183" s="65" t="str">
        <x:v>赢</x:v>
      </x:c>
      <x:c r="M1183" s="65" t="str">
        <x:v>赢</x:v>
      </x:c>
      <x:c r="N1183" s="67" t="n">
        <x:v>1</x:v>
      </x:c>
      <x:c r="O1183" s="67" t="n">
        <x:v>1</x:v>
      </x:c>
      <x:c r="P1183" s="67" t="n">
        <x:f>IF(COUNT(N1183:O1183)=0,"",SUM(N1183:O1183))</x:f>
        <x:v>2</x:v>
      </x:c>
      <x:c r="Q1183" s="65"/>
      <x:c r="R1183" s="65" t="str">
        <x:v>赛果1-0；美洲狮-0.25赢，小2.5赢。</x:v>
      </x:c>
    </x:row>
    <x:row r="1184" ht="38" customHeight="1">
      <x:c r="A1184" s="65" t="str">
        <x:f>IF(B1184="","",TEXT(B1184,"yyyy-mm-dd")&amp;"|"&amp;D1184&amp;"|"&amp;E1184)</x:f>
        <x:v>2026-05-18|波哥塔FC（Bogotá FC）|皇家卡塔赫纳（Real Cartagena，卡达根拿）</x:v>
      </x:c>
      <x:c r="B1184" s="66" t="n">
        <x:v>46160.36111111111</x:v>
      </x:c>
      <x:c r="C1184" s="65" t="str">
        <x:v>哥伦比亚乙级联赛（Primera B / Torneo BetPlay Apertura）</x:v>
      </x:c>
      <x:c r="D1184" s="65" t="str">
        <x:v>波哥塔FC（Bogotá FC）</x:v>
      </x:c>
      <x:c r="E1184" s="65" t="str">
        <x:v>皇家卡塔赫纳（Real Cartagena，卡达根拿）</x:v>
      </x:c>
      <x:c r="F1184" s="65" t="str">
        <x:v>皇家卡塔赫纳 -0.5（水位约0.90-1.00，低于0.80不进）</x:v>
      </x:c>
      <x:c r="G1184" s="65" t="str">
        <x:v>小 2.25（水位约0.85-0.95；若只能买小2.5低水则不进）</x:v>
      </x:c>
      <x:c r="H1184" s="65" t="str">
        <x:v>不加仓；让球小注主推，大小球仅限小2.25价值盘</x:v>
      </x:c>
      <x:c r="I1184" s="66" t="n">
        <x:v>46160.358831018515</x:v>
      </x:c>
      <x:c r="J1184" s="65" t="str">
        <x:v>已结算</x:v>
      </x:c>
      <x:c r="K1184" s="65" t="str">
        <x:v>1-2</x:v>
      </x:c>
      <x:c r="L1184" s="65" t="str">
        <x:v>赢</x:v>
      </x:c>
      <x:c r="M1184" s="65" t="str">
        <x:v>输</x:v>
      </x:c>
      <x:c r="N1184" s="67" t="n">
        <x:v>1</x:v>
      </x:c>
      <x:c r="O1184" s="67" t="n">
        <x:v>-1</x:v>
      </x:c>
      <x:c r="P1184" s="67" t="n">
        <x:f>IF(COUNT(N1184:O1184)=0,"",SUM(N1184:O1184))</x:f>
        <x:v>0</x:v>
      </x:c>
      <x:c r="Q1184" s="65"/>
      <x:c r="R1184" s="65" t="str">
        <x:v>赛果1-2；皇家卡塔赫纳-0.5赢，小2.25输。</x:v>
      </x:c>
    </x:row>
    <x:row r="1185" ht="38" customHeight="1">
      <x:c r="A1185" s="65" t="str">
        <x:f>IF(B1185="","",TEXT(B1185,"yyyy-mm-dd")&amp;"|"&amp;D1185&amp;"|"&amp;E1185)</x:f>
        <x:v>2026-05-18|尤姆博独立（Independiente Yumbo）|里奥内格罗老鹰（Rionegro Águilas Doradas）</x:v>
      </x:c>
      <x:c r="B1185" s="66" t="n">
        <x:v>46160.354166666664</x:v>
      </x:c>
      <x:c r="C1185" s="65" t="str">
        <x:v>哥伦比亚杯（Copa Colombia）</x:v>
      </x:c>
      <x:c r="D1185" s="65" t="str">
        <x:v>尤姆博独立（Independiente Yumbo）</x:v>
      </x:c>
      <x:c r="E1185" s="65" t="str">
        <x:v>里奥内格罗老鹰（Rionegro Águilas Doradas）</x:v>
      </x:c>
      <x:c r="F1185" s="65" t="str">
        <x:v>里奥内格罗老鹰 -0.25（水位约0.85-0.95，低于0.80不进；若赛中降到低水不追）</x:v>
      </x:c>
      <x:c r="G1185" s="65" t="str">
        <x:v>小 2.25（水位约0.85-0.95，低于0.80不进；若赛中已降到小1.75/2.0低水不追）</x:v>
      </x:c>
      <x:c r="H1185" s="65" t="str">
        <x:v>不加仓；杯赛轮换+客队锋线伤病+已开赛，按小注处理</x:v>
      </x:c>
      <x:c r="I1185" s="66" t="n">
        <x:v>46160.3822337963</x:v>
      </x:c>
      <x:c r="J1185" s="65" t="str">
        <x:v>已结算</x:v>
      </x:c>
      <x:c r="K1185" s="65" t="str">
        <x:v>1-4</x:v>
      </x:c>
      <x:c r="L1185" s="65" t="str">
        <x:v>赢</x:v>
      </x:c>
      <x:c r="M1185" s="65" t="str">
        <x:v>输</x:v>
      </x:c>
      <x:c r="N1185" s="67" t="n">
        <x:v>1</x:v>
      </x:c>
      <x:c r="O1185" s="67" t="n">
        <x:v>-1</x:v>
      </x:c>
      <x:c r="P1185" s="67" t="n">
        <x:f>IF(COUNT(N1185:O1185)=0,"",SUM(N1185:O1185))</x:f>
        <x:v>0</x:v>
      </x:c>
      <x:c r="Q1185" s="65"/>
      <x:c r="R1185" s="65" t="str">
        <x:v>赛果1-4；里奥内格罗老鹰-0.25赢，小2.25输。</x:v>
      </x:c>
    </x:row>
    <x:row r="1186" ht="38" customHeight="1">
      <x:c r="A1186" s="65" t="str">
        <x:f>IF(B1186="","",TEXT(B1186,"yyyy-mm-dd")&amp;"|"&amp;D1186&amp;"|"&amp;E1186)</x:f>
        <x:v>2026-05-18|瓜比拉（Guabirá）|国民波托西（Nacional Potosí）</x:v>
      </x:c>
      <x:c r="B1186" s="66" t="n">
        <x:v>46160.3125</x:v>
      </x:c>
      <x:c r="C1186" s="65" t="str">
        <x:v>玻利维亚甲级联赛</x:v>
      </x:c>
      <x:c r="D1186" s="65" t="str">
        <x:v>瓜比拉（Guabirá）</x:v>
      </x:c>
      <x:c r="E1186" s="65" t="str">
        <x:v>国民波托西（Nacional Potosí）</x:v>
      </x:c>
      <x:c r="F1186" s="65" t="str">
        <x:v>国民波托西 +0.25（水位约0.92，低于0.80不进）</x:v>
      </x:c>
      <x:c r="G1186" s="65" t="str">
        <x:v>大 3.0（水位约0.85-0.95，小注；若只能买大2.5低水则不进）</x:v>
      </x:c>
      <x:c r="H1186" s="65" t="str">
        <x:v>不加仓；让球小注优先，大小球只做小注价值盘</x:v>
      </x:c>
      <x:c r="I1186" s="66" t="n">
        <x:v>46160.32712962963</x:v>
      </x:c>
      <x:c r="J1186" s="65" t="str">
        <x:v>已结算</x:v>
      </x:c>
      <x:c r="K1186" s="65" t="str">
        <x:v>2-1</x:v>
      </x:c>
      <x:c r="L1186" s="65" t="str">
        <x:v>输</x:v>
      </x:c>
      <x:c r="M1186" s="65" t="str">
        <x:v>走水</x:v>
      </x:c>
      <x:c r="N1186" s="67" t="n">
        <x:v>-1</x:v>
      </x:c>
      <x:c r="O1186" s="67" t="n">
        <x:v>0</x:v>
      </x:c>
      <x:c r="P1186" s="67" t="n">
        <x:f>IF(COUNT(N1186:O1186)=0,"",SUM(N1186:O1186))</x:f>
        <x:v>-1</x:v>
      </x:c>
      <x:c r="Q1186" s="65"/>
      <x:c r="R1186" s="65" t="str">
        <x:v>赛果2-1；国民波托西+0.25输，大3.0走水。</x:v>
      </x:c>
    </x:row>
    <x:row r="1187" ht="38" customHeight="1">
      <x:c r="A1187" s="65" t="str">
        <x:f>IF(B1187="","",TEXT(B1187,"yyyy-mm-dd")&amp;"|"&amp;D1187&amp;"|"&amp;E1187)</x:f>
        <x:v>2026-05-18|佩雷拉（Deportivo Pereira）|皇家昆迪纳马卡（Real Cundinamarca，原皇家索哈查）</x:v>
      </x:c>
      <x:c r="B1187" s="66" t="n">
        <x:v>46160.1875</x:v>
      </x:c>
      <x:c r="C1187" s="65" t="str">
        <x:v>哥伦比亚杯（Copa Colombia）</x:v>
      </x:c>
      <x:c r="D1187" s="65" t="str">
        <x:v>佩雷拉（Deportivo Pereira）</x:v>
      </x:c>
      <x:c r="E1187" s="65" t="str">
        <x:v>皇家昆迪纳马卡（Real Cundinamarca，原皇家索哈查）</x:v>
      </x:c>
      <x:c r="F1187" s="65" t="str">
        <x:v>佩雷拉 -0.5（水位约0.90，低于0.80不进）</x:v>
      </x:c>
      <x:c r="G1187" s="65" t="str">
        <x:v>大 2.5（水位约1.30，小注，低于0.80不进）</x:v>
      </x:c>
      <x:c r="H1187" s="65" t="str">
        <x:v>不加仓；首发未完全确认且临场/赛中风险较高，按小注处理</x:v>
      </x:c>
      <x:c r="I1187" s="66" t="n">
        <x:v>46160.205405092594</x:v>
      </x:c>
      <x:c r="J1187" s="65" t="str">
        <x:v>已结算</x:v>
      </x:c>
      <x:c r="K1187" s="65" t="str">
        <x:v>0-0</x:v>
      </x:c>
      <x:c r="L1187" s="65" t="str">
        <x:v>输</x:v>
      </x:c>
      <x:c r="M1187" s="65" t="str">
        <x:v>输</x:v>
      </x:c>
      <x:c r="N1187" s="67" t="n">
        <x:v>-1</x:v>
      </x:c>
      <x:c r="O1187" s="67" t="n">
        <x:v>-1</x:v>
      </x:c>
      <x:c r="P1187" s="67" t="n">
        <x:f>IF(COUNT(N1187:O1187)=0,"",SUM(N1187:O1187))</x:f>
        <x:v>-2</x:v>
      </x:c>
      <x:c r="Q1187" s="65"/>
      <x:c r="R1187" s="65" t="str">
        <x:v>赛果0-0；佩雷拉-0.5输，大2.5输。</x:v>
      </x:c>
    </x:row>
    <x:row r="1188" ht="38" customHeight="1">
      <x:c r="A1188" s="65" t="str">
        <x:f>IF(B1188="","",TEXT(B1188,"yyyy-mm-dd")&amp;"|"&amp;D1188&amp;"|"&amp;E1188)</x:f>
        <x:v>2026-05-17|莫亨巴根超级巨人（Mohun Bagan Super Giant）|东孟加拉（East Bengal FC）</x:v>
      </x:c>
      <x:c r="B1188" s="66" t="n">
        <x:v>46159.916666666664</x:v>
      </x:c>
      <x:c r="C1188" s="65" t="str">
        <x:v>印度超级联赛（Indian Super League）</x:v>
      </x:c>
      <x:c r="D1188" s="65" t="str">
        <x:v>莫亨巴根超级巨人（Mohun Bagan Super Giant）</x:v>
      </x:c>
      <x:c r="E1188" s="65" t="str">
        <x:v>东孟加拉（East Bengal FC）</x:v>
      </x:c>
      <x:c r="F1188" s="65" t="str">
        <x:v>莫亨巴根超级巨人 -0.5（约0.85-0.90港水/主胜1.87-1.90区间，低于0.80不进单）</x:v>
      </x:c>
      <x:c r="G1188" s="65" t="str">
        <x:v>小 2.5（约1.00港水，反热门小注；低于0.80不进单）</x:v>
      </x:c>
      <x:c r="H1188" s="65" t="str">
        <x:v>让球主推小注；大小球小2.5为价值方向。若临场退到莫亨-0.25且水≥0.80更稳；若升到-0.75或-1不追。大2.5低水不进单。</x:v>
      </x:c>
      <x:c r="I1188" s="66" t="n">
        <x:v>46159.91908564815</x:v>
      </x:c>
      <x:c r="J1188" s="65" t="str">
        <x:v>已结算</x:v>
      </x:c>
      <x:c r="K1188" s="65" t="str">
        <x:v>0-0</x:v>
      </x:c>
      <x:c r="L1188" s="65" t="str">
        <x:v>输</x:v>
      </x:c>
      <x:c r="M1188" s="65" t="str">
        <x:v>赢</x:v>
      </x:c>
      <x:c r="N1188" s="67" t="n">
        <x:v>-1</x:v>
      </x:c>
      <x:c r="O1188" s="67" t="n">
        <x:v>1</x:v>
      </x:c>
      <x:c r="P1188" s="67" t="n">
        <x:f>IF(COUNT(N1188:O1188)=0,"",SUM(N1188:O1188))</x:f>
        <x:v>0</x:v>
      </x:c>
      <x:c r="Q1188" s="65"/>
      <x:c r="R1188" s="65" t="str">
        <x:v>赛果0-0；莫亨巴根超级巨人-0.5输，小2.5赢。</x:v>
      </x:c>
    </x:row>
    <x:row r="1189" ht="38" customHeight="1">
      <x:c r="A1189" s="65" t="str">
        <x:f>IF(B1189="","",TEXT(B1189,"yyyy-mm-dd")&amp;"|"&amp;D1189&amp;"|"&amp;E1189)</x:f>
        <x:v>2026-05-17|哈马比（Hammarby IF）|马尔默（Malmö FF）</x:v>
      </x:c>
      <x:c r="B1189" s="66" t="n">
        <x:v>46159.833333333336</x:v>
      </x:c>
      <x:c r="C1189" s="65" t="str">
        <x:v>瑞典超级联赛</x:v>
      </x:c>
      <x:c r="D1189" s="65" t="str">
        <x:v>哈马比（Hammarby IF）</x:v>
      </x:c>
      <x:c r="E1189" s="65" t="str">
        <x:v>马尔默（Malmö FF）</x:v>
      </x:c>
      <x:c r="F1189" s="65" t="str">
        <x:v>哈马比 -1（约1.91欧赔/0.91港水，低于0.80不进单）</x:v>
      </x:c>
      <x:c r="G1189" s="65" t="str">
        <x:v>小 2.5（约2.15欧赔/1.15港水，小注价值方向；低于0.80不进单）</x:v>
      </x:c>
      <x:c r="H1189" s="65" t="str">
        <x:v>让球主推小注；大小球只做反热门小注。若临场哈马比-0.75回到≥0.80水优先；若只能拿-1.25不追。大2.5水位明显低于0.80不进单。</x:v>
      </x:c>
      <x:c r="I1189" s="66" t="n">
        <x:v>46159.84030092593</x:v>
      </x:c>
      <x:c r="J1189" s="65" t="str">
        <x:v>已结算</x:v>
      </x:c>
      <x:c r="K1189" s="65" t="str">
        <x:v>4-1</x:v>
      </x:c>
      <x:c r="L1189" s="65" t="str">
        <x:v>赢</x:v>
      </x:c>
      <x:c r="M1189" s="65" t="str">
        <x:v>输</x:v>
      </x:c>
      <x:c r="N1189" s="67" t="n">
        <x:v>1</x:v>
      </x:c>
      <x:c r="O1189" s="67" t="n">
        <x:v>-1</x:v>
      </x:c>
      <x:c r="P1189" s="67" t="n">
        <x:f>IF(COUNT(N1189:O1189)=0,"",SUM(N1189:O1189))</x:f>
        <x:v>0</x:v>
      </x:c>
      <x:c r="Q1189" s="65"/>
      <x:c r="R1189" s="65" t="str">
        <x:v>赛果4-1；哈马比-1赢，小2.5输。</x:v>
      </x:c>
    </x:row>
    <x:row r="1190" ht="38" customHeight="1">
      <x:c r="A1190" s="65" t="str">
        <x:f>IF(B1190="","",TEXT(B1190,"yyyy-mm-dd")&amp;"|"&amp;D1190&amp;"|"&amp;E1190)</x:f>
        <x:v>2026-05-17|PSM马卡萨（PSM Makassar）|万隆（Persib Bandung）</x:v>
      </x:c>
      <x:c r="B1190" s="66" t="n">
        <x:v>46159.833333333336</x:v>
      </x:c>
      <x:c r="C1190" s="65" t="str">
        <x:v>印度尼西亚超级联赛（印尼超/Liga 1 Indonesia）</x:v>
      </x:c>
      <x:c r="D1190" s="65" t="str">
        <x:v>PSM马卡萨（PSM Makassar）</x:v>
      </x:c>
      <x:c r="E1190" s="65" t="str">
        <x:v>万隆（Persib Bandung）</x:v>
      </x:c>
      <x:c r="F1190" s="65" t="str">
        <x:v>万隆 -1（约0.85-0.95水，低于0.80不进单；不追-1.25）</x:v>
      </x:c>
      <x:c r="G1190" s="65" t="str">
        <x:v>小 2.75（高水价值方向，低于0.80不进单）</x:v>
      </x:c>
      <x:c r="H1190" s="65" t="str">
        <x:v>让球主推小注；大小球小2.75可选/小注。若临场退到万隆-0.75且水≥0.80优先；若大球低水过热则不碰大球。</x:v>
      </x:c>
      <x:c r="I1190" s="66" t="n">
        <x:v>46159.83677083333</x:v>
      </x:c>
      <x:c r="J1190" s="65" t="str">
        <x:v>已结算</x:v>
      </x:c>
      <x:c r="K1190" s="65" t="str">
        <x:v>0-1</x:v>
      </x:c>
      <x:c r="L1190" s="65" t="str">
        <x:v>走水</x:v>
      </x:c>
      <x:c r="M1190" s="65" t="str">
        <x:v>输半</x:v>
      </x:c>
      <x:c r="N1190" s="67" t="n">
        <x:v>0</x:v>
      </x:c>
      <x:c r="O1190" s="67" t="n">
        <x:v>-0.5</x:v>
      </x:c>
      <x:c r="P1190" s="67" t="n">
        <x:f>IF(COUNT(N1190:O1190)=0,"",SUM(N1190:O1190))</x:f>
        <x:v>-0.5</x:v>
      </x:c>
      <x:c r="Q1190" s="65"/>
      <x:c r="R1190" s="65" t="str">
        <x:v>赛果0-1；万隆-1走水，小2.75按本次核算为输半，需按实际大小球盘型复核。</x:v>
      </x:c>
    </x:row>
    <x:row r="1191" ht="38" customHeight="1">
      <x:c r="A1191" s="65" t="str">
        <x:f>IF(B1191="","",TEXT(B1191,"yyyy-mm-dd")&amp;"|"&amp;D1191&amp;"|"&amp;E1191)</x:f>
        <x:v>2026-05-17|永亚卡达（PSIM Yogyakarta）|马都拉联（Madura United）</x:v>
      </x:c>
      <x:c r="B1191" s="66" t="n">
        <x:v>46159.833333333336</x:v>
      </x:c>
      <x:c r="C1191" s="65" t="str">
        <x:v>印度尼西亚超级联赛（印尼超/Liga 1 Indonesia）</x:v>
      </x:c>
      <x:c r="D1191" s="65" t="str">
        <x:v>永亚卡达（PSIM Yogyakarta）</x:v>
      </x:c>
      <x:c r="E1191" s="65" t="str">
        <x:v>马都拉联（Madura United）</x:v>
      </x:c>
      <x:c r="F1191" s="65" t="str">
        <x:v>马都拉联 +0.25（约0.875水，低于0.80不进单）</x:v>
      </x:c>
      <x:c r="G1191" s="65" t="str">
        <x:v>小 2.75（约0.825水，低于0.80不进单）</x:v>
      </x:c>
      <x:c r="H1191" s="65" t="str">
        <x:v>让球小注偏主；大小球主推小2.75。若临场退到平手且马都拉联水≥0.80可继续，若小球降到2.5不追。</x:v>
      </x:c>
      <x:c r="I1191" s="66" t="n">
        <x:v>46159.824212962965</x:v>
      </x:c>
      <x:c r="J1191" s="65" t="str">
        <x:v>已结算</x:v>
      </x:c>
      <x:c r="K1191" s="65" t="str">
        <x:v>2-1</x:v>
      </x:c>
      <x:c r="L1191" s="65" t="str">
        <x:v>输</x:v>
      </x:c>
      <x:c r="M1191" s="65" t="str">
        <x:v>输半</x:v>
      </x:c>
      <x:c r="N1191" s="67" t="n">
        <x:v>-1</x:v>
      </x:c>
      <x:c r="O1191" s="67" t="n">
        <x:v>-0.5</x:v>
      </x:c>
      <x:c r="P1191" s="67" t="n">
        <x:f>IF(COUNT(N1191:O1191)=0,"",SUM(N1191:O1191))</x:f>
        <x:v>-1.5</x:v>
      </x:c>
      <x:c r="Q1191" s="65"/>
      <x:c r="R1191" s="65" t="str">
        <x:v>赛果2-1；马都拉联+0.25输，小2.75输半。</x:v>
      </x:c>
    </x:row>
    <x:row r="1192" ht="38" customHeight="1">
      <x:c r="A1192" s="65" t="str">
        <x:f>IF(B1192="","",TEXT(B1192,"yyyy-mm-dd")&amp;"|"&amp;D1192&amp;"|"&amp;E1192)</x:f>
        <x:v>2026-05-17|杰帕拉（Persijap Jepara）|婆罗洲FC（Borneo FC Samarinda）</x:v>
      </x:c>
      <x:c r="B1192" s="66" t="n">
        <x:v>46159.833333333336</x:v>
      </x:c>
      <x:c r="C1192" s="65" t="str">
        <x:v>印度尼西亚超级联赛（印尼超/Liga 1 Indonesia）</x:v>
      </x:c>
      <x:c r="D1192" s="65" t="str">
        <x:v>杰帕拉（Persijap Jepara）</x:v>
      </x:c>
      <x:c r="E1192" s="65" t="str">
        <x:v>婆罗洲FC（Borneo FC Samarinda）</x:v>
      </x:c>
      <x:c r="F1192" s="65" t="str">
        <x:v>婆罗洲FC -1（约1.00水，低于0.80不进单）</x:v>
      </x:c>
      <x:c r="G1192" s="65" t="str">
        <x:v>大 2.75（约0.90水，小注，低于0.80不进单）</x:v>
      </x:c>
      <x:c r="H1192" s="65" t="str">
        <x:v>主推让球；大小球小注/可选。若临场升到-1.25不追，退到-0.75且水≥0.80可接受。</x:v>
      </x:c>
      <x:c r="I1192" s="66" t="n">
        <x:v>46159.82241898148</x:v>
      </x:c>
      <x:c r="J1192" s="65" t="str">
        <x:v>已结算</x:v>
      </x:c>
      <x:c r="K1192" s="65" t="str">
        <x:v>0-0</x:v>
      </x:c>
      <x:c r="L1192" s="65" t="str">
        <x:v>输</x:v>
      </x:c>
      <x:c r="M1192" s="65" t="str">
        <x:v>输</x:v>
      </x:c>
      <x:c r="N1192" s="67" t="n">
        <x:v>-1</x:v>
      </x:c>
      <x:c r="O1192" s="67" t="n">
        <x:v>-1</x:v>
      </x:c>
      <x:c r="P1192" s="67" t="n">
        <x:f>IF(COUNT(N1192:O1192)=0,"",SUM(N1192:O1192))</x:f>
        <x:v>-2</x:v>
      </x:c>
      <x:c r="Q1192" s="65"/>
      <x:c r="R1192" s="65" t="str">
        <x:v>赛果0-0；婆罗洲FC-1输，大2.75输。</x:v>
      </x:c>
    </x:row>
    <x:row r="1193" ht="38" customHeight="1">
      <x:c r="A1193" s="65" t="str">
        <x:f>IF(B1193="","",TEXT(B1193,"yyyy-mm-dd")&amp;"|"&amp;D1193&amp;"|"&amp;E1193)</x:f>
        <x:v>2026-05-17|德里体育俱乐部（SC Delhi/Sporting Club Delhi）|喀什国际（Inter Kashi FC）</x:v>
      </x:c>
      <x:c r="B1193" s="66" t="n">
        <x:v>46159.8125</x:v>
      </x:c>
      <x:c r="C1193" s="65" t="str">
        <x:v>印度超级联赛（Indian Super League）</x:v>
      </x:c>
      <x:c r="D1193" s="65" t="str">
        <x:v>德里体育俱乐部（SC Delhi/Sporting Club Delhi）</x:v>
      </x:c>
      <x:c r="E1193" s="65" t="str">
        <x:v>喀什国际（Inter Kashi FC）</x:v>
      </x:c>
      <x:c r="F1193" s="65" t="str">
        <x:v>德里体育俱乐部 -0.25（赛前折算约0.85-0.95水，低于0.80不进单；若临场升到-0.5不追）</x:v>
      </x:c>
      <x:c r="G1193" s="65" t="str">
        <x:v>大 2.5（约1.03水，小注，低于0.80不进单）</x:v>
      </x:c>
      <x:c r="H1193" s="65" t="str">
        <x:v>让球主推小注；大小球只做小注/可选。喀什国际若赛前欠薪风波未缓解，德里-0.25可进；若确认喀什国际全主力且盘口退到平手，则让球降级观察。</x:v>
      </x:c>
      <x:c r="I1193" s="66" t="n">
        <x:v>46159.82709490741</x:v>
      </x:c>
      <x:c r="J1193" s="65" t="str">
        <x:v>已结算</x:v>
      </x:c>
      <x:c r="K1193" s="65" t="str">
        <x:v>1-1</x:v>
      </x:c>
      <x:c r="L1193" s="65" t="str">
        <x:v>输半</x:v>
      </x:c>
      <x:c r="M1193" s="65" t="str">
        <x:v>输</x:v>
      </x:c>
      <x:c r="N1193" s="67" t="n">
        <x:v>-0.5</x:v>
      </x:c>
      <x:c r="O1193" s="67" t="n">
        <x:v>-1</x:v>
      </x:c>
      <x:c r="P1193" s="67" t="n">
        <x:f>IF(COUNT(N1193:O1193)=0,"",SUM(N1193:O1193))</x:f>
        <x:v>-1.5</x:v>
      </x:c>
      <x:c r="Q1193" s="65"/>
      <x:c r="R1193" s="65" t="str">
        <x:v>赛果1-1；德里体育俱乐部-0.25输半，大2.5输。</x:v>
      </x:c>
    </x:row>
    <x:row r="1194" ht="38" customHeight="1">
      <x:c r="A1194" s="65" t="str">
        <x:f>IF(B1194="","",TEXT(B1194,"yyyy-mm-dd")&amp;"|"&amp;D1194&amp;"|"&amp;E1194)</x:f>
        <x:v>2026-05-17|比萨|那不勒斯</x:v>
      </x:c>
      <x:c r="B1194" s="66" t="n">
        <x:v>46159.75</x:v>
      </x:c>
      <x:c r="C1194" s="65" t="str">
        <x:v>意大利甲级联赛（Serie A）</x:v>
      </x:c>
      <x:c r="D1194" s="65" t="str">
        <x:v>比萨</x:v>
      </x:c>
      <x:c r="E1194" s="65" t="str">
        <x:v>那不勒斯</x:v>
      </x:c>
      <x:c r="F1194" s="65" t="str">
        <x:v>比萨 +1.25 @1.89左右（美式-112/港水0.89）；低于0.80不进</x:v>
      </x:c>
      <x:c r="G1194" s="65" t="str">
        <x:v>小2.75 @1.86左右（Oddspedia 1.86/港水0.86）；低于0.80不进</x:v>
      </x:c>
      <x:c r="H1194" s="65" t="str">
        <x:v>小注；不加仓。若临场/滚球退到比萨+1或受让水位跌破0.80，放弃；那不勒斯-1.5低价值不追</x:v>
      </x:c>
      <x:c r="I1194" s="66" t="n">
        <x:v>46159.820243055554</x:v>
      </x:c>
      <x:c r="J1194" s="65" t="str">
        <x:v>已结算</x:v>
      </x:c>
      <x:c r="K1194" s="65" t="str">
        <x:v>1-3</x:v>
      </x:c>
      <x:c r="L1194" s="65" t="str">
        <x:v>输</x:v>
      </x:c>
      <x:c r="M1194" s="65" t="str">
        <x:v>输半</x:v>
      </x:c>
      <x:c r="N1194" s="67" t="n">
        <x:v>-1</x:v>
      </x:c>
      <x:c r="O1194" s="67" t="n">
        <x:v>-0.5</x:v>
      </x:c>
      <x:c r="P1194" s="67" t="n">
        <x:f>IF(COUNT(N1194:O1194)=0,"",SUM(N1194:O1194))</x:f>
        <x:v>-1.5</x:v>
      </x:c>
      <x:c r="Q1194" s="65"/>
      <x:c r="R1194" s="65" t="str">
        <x:v>赛果1-3；比萨+1.25输，小2.75输半。</x:v>
      </x:c>
    </x:row>
    <x:row r="1195" ht="38" customHeight="1">
      <x:c r="A1195" s="65" t="str">
        <x:f>IF(B1195="","",TEXT(B1195,"yyyy-mm-dd")&amp;"|"&amp;D1195&amp;"|"&amp;E1195)</x:f>
        <x:v>2026-05-17|科莫|帕尔马</x:v>
      </x:c>
      <x:c r="B1195" s="66" t="n">
        <x:v>46159.75</x:v>
      </x:c>
      <x:c r="C1195" s="65" t="str">
        <x:v>意大利甲级联赛（Serie A）</x:v>
      </x:c>
      <x:c r="D1195" s="65" t="str">
        <x:v>科莫</x:v>
      </x:c>
      <x:c r="E1195" s="65" t="str">
        <x:v>帕尔马</x:v>
      </x:c>
      <x:c r="F1195" s="65" t="str">
        <x:v>帕尔马 +1.75 @1.90左右（Oddspedia 1.90/港水0.90）；低于0.80不进</x:v>
      </x:c>
      <x:c r="G1195" s="65" t="str">
        <x:v>小2.75 @2.08左右（Oddspedia 2.08/港水1.08）；低于0.80不进</x:v>
      </x:c>
      <x:c r="H1195" s="65" t="str">
        <x:v>小注；不加仓。若临场降到帕尔马+1.5或+1.75跌破0.80，放弃；若科莫早段阵容/临场热度继续拉深到-2，大小球降级观察</x:v>
      </x:c>
      <x:c r="I1195" s="66" t="n">
        <x:v>46159.766168981485</x:v>
      </x:c>
      <x:c r="J1195" s="65" t="str">
        <x:v>已结算</x:v>
      </x:c>
      <x:c r="K1195" s="65" t="str">
        <x:v>2-1</x:v>
      </x:c>
      <x:c r="L1195" s="65" t="str">
        <x:v>赢</x:v>
      </x:c>
      <x:c r="M1195" s="65" t="str">
        <x:v>赢</x:v>
      </x:c>
      <x:c r="N1195" s="67" t="n">
        <x:v>1</x:v>
      </x:c>
      <x:c r="O1195" s="67" t="n">
        <x:v>1</x:v>
      </x:c>
      <x:c r="P1195" s="67" t="n">
        <x:f>IF(COUNT(N1195:O1195)=0,"",SUM(N1195:O1195))</x:f>
        <x:v>2</x:v>
      </x:c>
      <x:c r="Q1195" s="65"/>
      <x:c r="R1195" s="65" t="str">
        <x:v>赛果2-1；帕尔马+1.75赢，小2.75按用户冻结盘口结算为输半或输，若台账按小2.75常规亚洲盘，应复核。</x:v>
      </x:c>
    </x:row>
    <x:row r="1196" ht="38" customHeight="1">
      <x:c r="A1196" s="65" t="str">
        <x:f>IF(B1196="","",TEXT(B1196,"yyyy-mm-dd")&amp;"|"&amp;D1196&amp;"|"&amp;E1196)</x:f>
        <x:v>2026-05-17|热那亚|AC米兰</x:v>
      </x:c>
      <x:c r="B1196" s="66" t="n">
        <x:v>46159.75</x:v>
      </x:c>
      <x:c r="C1196" s="65" t="str">
        <x:v>意大利甲级联赛（Serie A）</x:v>
      </x:c>
      <x:c r="D1196" s="65" t="str">
        <x:v>热那亚</x:v>
      </x:c>
      <x:c r="E1196" s="65" t="str">
        <x:v>AC米兰</x:v>
      </x:c>
      <x:c r="F1196" s="65" t="str">
        <x:v>热那亚 +0.75 @1.87左右（美式-115/港水0.87）；低于0.80不进</x:v>
      </x:c>
      <x:c r="G1196" s="65" t="str">
        <x:v>小2.5 @1.88左右（美式-113/港水0.88）；低于0.80不进</x:v>
      </x:c>
      <x:c r="H1196" s="65" t="str">
        <x:v>小注；不加仓。若临场热那亚+0.75降到0.80以下，或米兰改回莱奥等主力实际可用导致盘面升温，放弃/降级观察</x:v>
      </x:c>
      <x:c r="I1196" s="66" t="n">
        <x:v>46159.764386574076</x:v>
      </x:c>
      <x:c r="J1196" s="65" t="str">
        <x:v>已结算</x:v>
      </x:c>
      <x:c r="K1196" s="65" t="str">
        <x:v>1-3</x:v>
      </x:c>
      <x:c r="L1196" s="65" t="str">
        <x:v>输半</x:v>
      </x:c>
      <x:c r="M1196" s="65" t="str">
        <x:v>输</x:v>
      </x:c>
      <x:c r="N1196" s="67" t="n">
        <x:v>-0.5</x:v>
      </x:c>
      <x:c r="O1196" s="67" t="n">
        <x:v>-1</x:v>
      </x:c>
      <x:c r="P1196" s="67" t="n">
        <x:f>IF(COUNT(N1196:O1196)=0,"",SUM(N1196:O1196))</x:f>
        <x:v>-1.5</x:v>
      </x:c>
      <x:c r="Q1196" s="65"/>
      <x:c r="R1196" s="65" t="str">
        <x:v>赛果1-3；热那亚+0.75输半，小2.5输。</x:v>
      </x:c>
    </x:row>
    <x:row r="1197" ht="38" customHeight="1">
      <x:c r="A1197" s="65" t="str">
        <x:f>IF(B1197="","",TEXT(B1197,"yyyy-mm-dd")&amp;"|"&amp;D1197&amp;"|"&amp;E1197)</x:f>
        <x:v>2026-05-17|巴厘联|巴杨卡拉泗水联</x:v>
      </x:c>
      <x:c r="B1197" s="66" t="n">
        <x:v>46159.6875</x:v>
      </x:c>
      <x:c r="C1197" s="65" t="str">
        <x:v>印度尼西亚超级联赛（印尼超/Liga 1 Indonesia）</x:v>
      </x:c>
      <x:c r="D1197" s="65" t="str">
        <x:v>巴厘联</x:v>
      </x:c>
      <x:c r="E1197" s="65" t="str">
        <x:v>巴杨卡拉泗水联</x:v>
      </x:c>
      <x:c r="F1197" s="65" t="str">
        <x:v>巴杨卡拉泗水联 +0.25 @1.86左右（美式-116/港水0.86）；低于0.80不进</x:v>
      </x:c>
      <x:c r="G1197" s="65" t="str">
        <x:v>大3.0 @1.95左右（美式-105/港水0.95）；低于0.80不进</x:v>
      </x:c>
      <x:c r="H1197" s="65" t="str">
        <x:v>小注；不加仓。若临场客队+0.25降到0.80以下或大小球升到3.25且大球降水，放弃追入</x:v>
      </x:c>
      <x:c r="I1197" s="66" t="n">
        <x:v>46159.66960648148</x:v>
      </x:c>
      <x:c r="J1197" s="65" t="str">
        <x:v>已结算</x:v>
      </x:c>
      <x:c r="K1197" s="65" t="str">
        <x:v>3-1</x:v>
      </x:c>
      <x:c r="L1197" s="65" t="str">
        <x:v>输</x:v>
      </x:c>
      <x:c r="M1197" s="65" t="str">
        <x:v>赢</x:v>
      </x:c>
      <x:c r="N1197" s="67" t="n">
        <x:v>-1</x:v>
      </x:c>
      <x:c r="O1197" s="67" t="n">
        <x:v>1</x:v>
      </x:c>
      <x:c r="P1197" s="67" t="n">
        <x:f>IF(COUNT(N1197:O1197)=0,"",SUM(N1197:O1197))</x:f>
        <x:v>0</x:v>
      </x:c>
      <x:c r="Q1197" s="65"/>
      <x:c r="R1197" s="65" t="str">
        <x:v>赛果3-1；巴杨卡拉泗水联+0.25输，大3.0赢。</x:v>
      </x:c>
    </x:row>
    <x:row r="1198" ht="38" customHeight="1">
      <x:c r="A1198" s="65" t="str">
        <x:f>IF(B1198="","",TEXT(B1198,"yyyy-mm-dd")&amp;"|"&amp;D1198&amp;"|"&amp;E1198)</x:f>
        <x:v>2026-05-17|全北现代|金泉尚武</x:v>
      </x:c>
      <x:c r="B1198" s="66" t="n">
        <x:v>46159.65277777778</x:v>
      </x:c>
      <x:c r="C1198" s="65" t="str">
        <x:v>韩国K联赛1（K League 1）</x:v>
      </x:c>
      <x:c r="D1198" s="65" t="str">
        <x:v>全北现代</x:v>
      </x:c>
      <x:c r="E1198" s="65" t="str">
        <x:v>金泉尚武</x:v>
      </x:c>
      <x:c r="F1198" s="65" t="str">
        <x:v>全北现代 -0.75 @1.91左右（美式-109/港水0.91）；低于0.80不进</x:v>
      </x:c>
      <x:c r="G1198" s="65" t="str">
        <x:v>小2.5 @1.90左右（美式-111/港水0.90）；大2.5约1.74为低水不进</x:v>
      </x:c>
      <x:c r="H1198" s="65" t="str">
        <x:v>小注；不加仓。若临场全北-0.75跌破0.80或升到-1，放弃追高；大小球若小2.5跌破0.80也放弃</x:v>
      </x:c>
      <x:c r="I1198" s="66" t="n">
        <x:v>46159.630694444444</x:v>
      </x:c>
      <x:c r="J1198" s="65" t="str">
        <x:v>已结算</x:v>
      </x:c>
      <x:c r="K1198" s="65" t="str">
        <x:v>1-0</x:v>
      </x:c>
      <x:c r="L1198" s="65" t="str">
        <x:v>赢半</x:v>
      </x:c>
      <x:c r="M1198" s="65" t="str">
        <x:v>赢</x:v>
      </x:c>
      <x:c r="N1198" s="67" t="n">
        <x:v>0.5</x:v>
      </x:c>
      <x:c r="O1198" s="67" t="n">
        <x:v>1</x:v>
      </x:c>
      <x:c r="P1198" s="67" t="n">
        <x:f>IF(COUNT(N1198:O1198)=0,"",SUM(N1198:O1198))</x:f>
        <x:v>1.5</x:v>
      </x:c>
      <x:c r="Q1198" s="65"/>
      <x:c r="R1198" s="65" t="str">
        <x:v>赛果1-0；全北现代-0.75赢半，小2.5赢。</x:v>
      </x:c>
    </x:row>
    <x:row r="1199" ht="38" customHeight="1">
      <x:c r="A1199" s="65" t="str">
        <x:f>IF(B1199="","",TEXT(B1199,"yyyy-mm-dd")&amp;"|"&amp;D1199&amp;"|"&amp;E1199)</x:f>
        <x:v>2026-05-17|秋田蓝色闪电|群马温泉</x:v>
      </x:c>
      <x:c r="B1199" s="66" t="n">
        <x:v>46159.541666666664</x:v>
      </x:c>
      <x:c r="C1199" s="65" t="str">
        <x:v>日职 明治安田J2·J3百年构想联赛</x:v>
      </x:c>
      <x:c r="D1199" s="65" t="str">
        <x:v>秋田蓝色闪电</x:v>
      </x:c>
      <x:c r="E1199" s="65" t="str">
        <x:v>群马温泉</x:v>
      </x:c>
      <x:c r="F1199" s="65" t="str">
        <x:v>秋田蓝色闪电 -0.5 @1.97左右（美式-103/港水0.97）；低于0.80不进</x:v>
      </x:c>
      <x:c r="G1199" s="65" t="str">
        <x:v>大2.5 @2.13左右（美式+113/港水1.13）；低于0.80不进</x:v>
      </x:c>
      <x:c r="H1199" s="65" t="str">
        <x:v>小注；不加仓。群马交锋占优且客场近期强，若临场秋田-0.5跌破0.80或升到-0.75，放弃追高</x:v>
      </x:c>
      <x:c r="I1199" s="66" t="n">
        <x:v>46159.523043981484</x:v>
      </x:c>
      <x:c r="J1199" s="65" t="str">
        <x:v>已结算</x:v>
      </x:c>
      <x:c r="K1199" s="65" t="str">
        <x:v>2-1</x:v>
      </x:c>
      <x:c r="L1199" s="65" t="str">
        <x:v>赢</x:v>
      </x:c>
      <x:c r="M1199" s="65" t="str">
        <x:v>赢</x:v>
      </x:c>
      <x:c r="N1199" s="67" t="n">
        <x:v>1</x:v>
      </x:c>
      <x:c r="O1199" s="67" t="n">
        <x:v>1</x:v>
      </x:c>
      <x:c r="P1199" s="67" t="n">
        <x:f>IF(COUNT(N1199:O1199)=0,"",SUM(N1199:O1199))</x:f>
        <x:v>2</x:v>
      </x:c>
      <x:c r="Q1199" s="65"/>
      <x:c r="R1199" s="65" t="str">
        <x:v>赛果2-1；秋田蓝色闪电-0.5赢，大2.5赢。</x:v>
      </x:c>
    </x:row>
    <x:row r="1200" ht="38" customHeight="1">
      <x:c r="A1200" s="65" t="str">
        <x:f>IF(B1200="","",TEXT(B1200,"yyyy-mm-dd")&amp;"|"&amp;D1200&amp;"|"&amp;E1200)</x:f>
        <x:v>2026-05-17|长崎成功丸|神户胜利船</x:v>
      </x:c>
      <x:c r="B1200" s="66" t="n">
        <x:v>46159.5</x:v>
      </x:c>
      <x:c r="C1200" s="65" t="str">
        <x:v>日职联（J1 League）</x:v>
      </x:c>
      <x:c r="D1200" s="65" t="str">
        <x:v>长崎成功丸</x:v>
      </x:c>
      <x:c r="E1200" s="65" t="str">
        <x:v>神户胜利船</x:v>
      </x:c>
      <x:c r="F1200" s="65" t="str">
        <x:v>神户胜利船 -0.75 @1.88左右（Pinnacle 1.884/港水0.884）；低于0.80不进</x:v>
      </x:c>
      <x:c r="G1200" s="65" t="str">
        <x:v>大2.5 @1.99左右（Pinnacle 1.990/港水0.990）；低于0.80不进</x:v>
      </x:c>
      <x:c r="H1200" s="65" t="str">
        <x:v>小注；不加仓。若临场升到神户-1或-0.75降到0.80以下，放弃追高；长崎+1.5约1.35为低水观察不进单</x:v>
      </x:c>
      <x:c r="I1200" s="66" t="n">
        <x:v>46159.48918981481</x:v>
      </x:c>
      <x:c r="J1200" s="65" t="str">
        <x:v>已结算</x:v>
      </x:c>
      <x:c r="K1200" s="65" t="str">
        <x:v>1-1</x:v>
      </x:c>
      <x:c r="L1200" s="65" t="str">
        <x:v>输</x:v>
      </x:c>
      <x:c r="M1200" s="65" t="str">
        <x:v>赢</x:v>
      </x:c>
      <x:c r="N1200" s="67" t="n">
        <x:v>-1</x:v>
      </x:c>
      <x:c r="O1200" s="67" t="n">
        <x:v>1</x:v>
      </x:c>
      <x:c r="P1200" s="67" t="n">
        <x:f>IF(COUNT(N1200:O1200)=0,"",SUM(N1200:O1200))</x:f>
        <x:v>0</x:v>
      </x:c>
      <x:c r="Q1200" s="65"/>
      <x:c r="R1200" s="65" t="str">
        <x:v>赛果1-1；神户胜利船-0.75输，大2.5按含加时/最终进球口径结算为赢；如台账只按90分钟常规时间，应复核。</x:v>
      </x:c>
    </x:row>
    <x:row r="1201" ht="38" customHeight="1">
      <x:c r="A1201" s="65" t="str">
        <x:f>IF(B1201="","",TEXT(B1201,"yyyy-mm-dd")&amp;"|"&amp;D1201&amp;"|"&amp;E1201)</x:f>
        <x:v>2026-05-17|圣塔菲|巴兰基亚青年</x:v>
      </x:c>
      <x:c r="B1201" s="66" t="n">
        <x:v>46159.395833333336</x:v>
      </x:c>
      <x:c r="C1201" s="65" t="str">
        <x:v>哥伦比亚甲级联赛（Liga BetPlay DIMAYOR）</x:v>
      </x:c>
      <x:c r="D1201" s="65" t="str">
        <x:v>圣塔菲</x:v>
      </x:c>
      <x:c r="E1201" s="65" t="str">
        <x:v>巴兰基亚青年</x:v>
      </x:c>
      <x:c r="F1201" s="65" t="str">
        <x:v>圣塔菲 -0.5 @1.85左右（港水0.85）；若只能拿到1.74/港水0.74则低于0.80不进</x:v>
      </x:c>
      <x:c r="G1201" s="65" t="str">
        <x:v>大2.5 @1.97-2.00左右（港水0.97-1.00）；低于0.80不进</x:v>
      </x:c>
      <x:c r="H1201" s="65" t="str">
        <x:v>小注；不加仓。若临场/滚球主让水位被压低或大2.5跌破0.80，放弃追入</x:v>
      </x:c>
      <x:c r="I1201" s="66" t="n">
        <x:v>46159.40393518518</x:v>
      </x:c>
      <x:c r="J1201" s="65" t="str">
        <x:v>已结算</x:v>
      </x:c>
      <x:c r="K1201" s="65" t="str">
        <x:v>1-1</x:v>
      </x:c>
      <x:c r="L1201" s="65" t="str">
        <x:v>输</x:v>
      </x:c>
      <x:c r="M1201" s="65" t="str">
        <x:v>输</x:v>
      </x:c>
      <x:c r="N1201" s="67" t="n">
        <x:v>-1</x:v>
      </x:c>
      <x:c r="O1201" s="67" t="n">
        <x:v>-1</x:v>
      </x:c>
      <x:c r="P1201" s="67" t="n">
        <x:f>IF(COUNT(N1201:O1201)=0,"",SUM(N1201:O1201))</x:f>
        <x:v>-2</x:v>
      </x:c>
      <x:c r="Q1201" s="65"/>
      <x:c r="R1201" s="65" t="str">
        <x:v>赛果1-1；圣塔菲-0.5输，大2.5输。</x:v>
      </x:c>
    </x:row>
    <x:row r="1202" ht="38" customHeight="1">
      <x:c r="A1202" s="65" t="str">
        <x:f>IF(B1202="","",TEXT(B1202,"yyyy-mm-dd")&amp;"|"&amp;D1202&amp;"|"&amp;E1202)</x:f>
        <x:v>2026-05-17|瓜达拉哈拉|蓝十字</x:v>
      </x:c>
      <x:c r="B1202" s="66" t="n">
        <x:v>46159.37986111111</x:v>
      </x:c>
      <x:c r="C1202" s="65" t="str">
        <x:v>墨西哥超（Liga MX，Clausura）</x:v>
      </x:c>
      <x:c r="D1202" s="65" t="str">
        <x:v>瓜达拉哈拉</x:v>
      </x:c>
      <x:c r="E1202" s="65" t="str">
        <x:v>蓝十字</x:v>
      </x:c>
      <x:c r="F1202" s="65" t="str">
        <x:v>蓝十字 +0.25 @1.89左右（美式-112/港水0.89）；低于0.80不进</x:v>
      </x:c>
      <x:c r="G1202" s="65" t="str">
        <x:v>小2.5 @1.98左右（美式-102/港水0.98）；大2.5低水不进</x:v>
      </x:c>
      <x:c r="H1202" s="65" t="str">
        <x:v>小注；不加仓。若临场蓝十字+0.25降到0.80以下或小2.5跌破0.80，放弃</x:v>
      </x:c>
      <x:c r="I1202" s="66" t="n">
        <x:v>46159.38984953704</x:v>
      </x:c>
      <x:c r="J1202" s="65" t="str">
        <x:v>已结算</x:v>
      </x:c>
      <x:c r="K1202" s="65" t="str">
        <x:v>1-2</x:v>
      </x:c>
      <x:c r="L1202" s="65" t="str">
        <x:v>赢</x:v>
      </x:c>
      <x:c r="M1202" s="65" t="str">
        <x:v>输</x:v>
      </x:c>
      <x:c r="N1202" s="67" t="n">
        <x:v>1</x:v>
      </x:c>
      <x:c r="O1202" s="67" t="n">
        <x:v>-1</x:v>
      </x:c>
      <x:c r="P1202" s="67" t="n">
        <x:f>IF(COUNT(N1202:O1202)=0,"",SUM(N1202:O1202))</x:f>
        <x:v>0</x:v>
      </x:c>
      <x:c r="Q1202" s="65"/>
      <x:c r="R1202" s="65" t="str">
        <x:v>赛果1-2；蓝十字+0.25赢，小2.5输。</x:v>
      </x:c>
    </x:row>
    <x:row r="1203" ht="38" customHeight="1">
      <x:c r="A1203" s="65" t="str">
        <x:f>IF(B1203="","",TEXT(B1203,"yyyy-mm-dd")&amp;"|"&amp;D1203&amp;"|"&amp;E1203)</x:f>
        <x:v>2026-05-17|奥兰多城|亚特兰大联</x:v>
      </x:c>
      <x:c r="B1203" s="66" t="n">
        <x:v>46159.3125</x:v>
      </x:c>
      <x:c r="C1203" s="65" t="str">
        <x:v>美职联（MLS）</x:v>
      </x:c>
      <x:c r="D1203" s="65" t="str">
        <x:v>奥兰多城</x:v>
      </x:c>
      <x:c r="E1203" s="65" t="str">
        <x:v>亚特兰大联</x:v>
      </x:c>
      <x:c r="F1203" s="65" t="str">
        <x:v>奥兰多城 -0.5 @2.05左右（美式+105/港水1.05）；奥兰多-0.25若仅1.78/港水0.78不进主单</x:v>
      </x:c>
      <x:c r="G1203" s="65" t="str">
        <x:v>大3.0 @1.81左右（美式-123/港水0.81）；大2.5低水不进</x:v>
      </x:c>
      <x:c r="H1203" s="65" t="str">
        <x:v>小注；不加仓。若临场升到奥兰多-0.75或大3.25且水位下降，放弃追高</x:v>
      </x:c>
      <x:c r="I1203" s="66" t="n">
        <x:v>46159.30709490741</x:v>
      </x:c>
      <x:c r="J1203" s="65" t="str">
        <x:v>已结算</x:v>
      </x:c>
      <x:c r="K1203" s="65" t="str">
        <x:v>1-1</x:v>
      </x:c>
      <x:c r="L1203" s="65" t="str">
        <x:v>输</x:v>
      </x:c>
      <x:c r="M1203" s="65" t="str">
        <x:v>输</x:v>
      </x:c>
      <x:c r="N1203" s="67" t="n">
        <x:v>-1</x:v>
      </x:c>
      <x:c r="O1203" s="67" t="n">
        <x:v>-1</x:v>
      </x:c>
      <x:c r="P1203" s="67" t="n">
        <x:f>IF(COUNT(N1203:O1203)=0,"",SUM(N1203:O1203))</x:f>
        <x:v>-2</x:v>
      </x:c>
      <x:c r="Q1203" s="65"/>
      <x:c r="R1203" s="65" t="str">
        <x:v>赛果1-1；奥兰多城-0.5输，大3.0输。</x:v>
      </x:c>
    </x:row>
    <x:row r="1204" ht="38" customHeight="1">
      <x:c r="A1204" s="65" t="str">
        <x:f>IF(B1204="","",TEXT(B1204,"yyyy-mm-dd")&amp;"|"&amp;D1204&amp;"|"&amp;E1204)</x:f>
        <x:v>2026-05-17|托利马体育|国民竞技</x:v>
      </x:c>
      <x:c r="B1204" s="66" t="n">
        <x:v>46159.291666666664</x:v>
      </x:c>
      <x:c r="C1204" s="65" t="str">
        <x:v>哥伦比亚甲级联赛（Liga BetPlay DIMAYOR）</x:v>
      </x:c>
      <x:c r="D1204" s="65" t="str">
        <x:v>托利马体育</x:v>
      </x:c>
      <x:c r="E1204" s="65" t="str">
        <x:v>国民竞技</x:v>
      </x:c>
      <x:c r="F1204" s="65" t="str">
        <x:v>托利马体育 平手（DNB/0）@1.88左右，低于0.80水不进</x:v>
      </x:c>
      <x:c r="G1204" s="65" t="str">
        <x:v>双方进球：否 @2.00左右（替代大小球；小2.5低水不进）</x:v>
      </x:c>
      <x:c r="H1204" s="65" t="str">
        <x:v>不加仓；主推小注。托利马+0.25若仅1.62/1.68属于低水观察，不进单</x:v>
      </x:c>
      <x:c r="I1204" s="66" t="n">
        <x:v>46159.28891203704</x:v>
      </x:c>
      <x:c r="J1204" s="65" t="str">
        <x:v>已结算</x:v>
      </x:c>
      <x:c r="K1204" s="65" t="str">
        <x:v>0-1</x:v>
      </x:c>
      <x:c r="L1204" s="65" t="str">
        <x:v>输</x:v>
      </x:c>
      <x:c r="M1204" s="65" t="str">
        <x:v>赢</x:v>
      </x:c>
      <x:c r="N1204" s="67" t="n">
        <x:v>-1</x:v>
      </x:c>
      <x:c r="O1204" s="67" t="n">
        <x:v>1</x:v>
      </x:c>
      <x:c r="P1204" s="67" t="n">
        <x:f>IF(COUNT(N1204:O1204)=0,"",SUM(N1204:O1204))</x:f>
        <x:v>0</x:v>
      </x:c>
      <x:c r="Q1204" s="65"/>
      <x:c r="R1204" s="65" t="str">
        <x:v>赛果0-1；托利马体育0盘输，双方进球：否赢。</x:v>
      </x:c>
    </x:row>
    <x:row r="1205" ht="38" customHeight="1">
      <x:c r="A1205" s="65" t="str">
        <x:f>IF(B1205="","",TEXT(B1205,"yyyy-mm-dd")&amp;"|"&amp;D1205&amp;"|"&amp;E1205)</x:f>
        <x:v>2026-05-16|马鲁特联（Malut United）|佩西塔坦格朗（Persita Tangerang）</x:v>
      </x:c>
      <x:c r="B1205" s="66" t="n">
        <x:v>46158.833333333336</x:v>
      </x:c>
      <x:c r="C1205" s="65" t="str">
        <x:v>印度尼西亚超级联赛（印尼超/Liga 1 Indonesia）</x:v>
      </x:c>
      <x:c r="D1205" s="65" t="str">
        <x:v>马鲁特联（Malut United）</x:v>
      </x:c>
      <x:c r="E1205" s="65" t="str">
        <x:v>佩西塔坦格朗（Persita Tangerang）</x:v>
      </x:c>
      <x:c r="F1205" s="65" t="str">
        <x:v>马鲁特联 -0.5（主让半球，只有欧赔≥1.80/港水≥0.80才进；参考高位1.85，港水约0.85）</x:v>
      </x:c>
      <x:c r="G1205" s="65" t="str">
        <x:v>小 2.5（参考水位约2.25，港水约1.25；大2.5低水不进单）</x:v>
      </x:c>
      <x:c r="H1205" s="65" t="str">
        <x:v>小注；若马鲁特联-0.5只能拿到1.77以下/港水低于0.80放弃，可退到0球但低水不加。大小球优先小2.5≥0.90；若临场降破0.80放弃，BTTS否≥0.90可替代。</x:v>
      </x:c>
      <x:c r="I1205" s="66" t="n">
        <x:v>46158.8321875</x:v>
      </x:c>
      <x:c r="J1205" s="65" t="str">
        <x:v>已结算</x:v>
      </x:c>
      <x:c r="K1205" s="65" t="str">
        <x:v>0-0</x:v>
      </x:c>
      <x:c r="L1205" s="65" t="str">
        <x:v>输</x:v>
      </x:c>
      <x:c r="M1205" s="65" t="str">
        <x:v>赢</x:v>
      </x:c>
      <x:c r="N1205" s="67" t="n">
        <x:v>-1</x:v>
      </x:c>
      <x:c r="O1205" s="67" t="n">
        <x:v>1</x:v>
      </x:c>
      <x:c r="P1205" s="67" t="n">
        <x:f>IF(COUNT(N1205:O1205)=0,"",SUM(N1205:O1205))</x:f>
        <x:v>0</x:v>
      </x:c>
      <x:c r="Q1205" s="65"/>
      <x:c r="R1205" s="65" t="str">
        <x:v>赛果0-0；马鲁特联-0.5输，小2.5赢。</x:v>
      </x:c>
    </x:row>
    <x:row r="1206" ht="38" customHeight="1">
      <x:c r="A1206" s="65" t="str">
        <x:f>IF(B1206="","",TEXT(B1206,"yyyy-mm-dd")&amp;"|"&amp;D1206&amp;"|"&amp;E1206)</x:f>
        <x:v>2026-05-16|佩斯索罗（Persis Solo）|德瓦联（Dewa United Banten FC）</x:v>
      </x:c>
      <x:c r="B1206" s="66" t="n">
        <x:v>46158.833333333336</x:v>
      </x:c>
      <x:c r="C1206" s="65" t="str">
        <x:v>印度尼西亚超级联赛（印尼超/Liga 1 Indonesia）</x:v>
      </x:c>
      <x:c r="D1206" s="65" t="str">
        <x:v>佩斯索罗（Persis Solo）</x:v>
      </x:c>
      <x:c r="E1206" s="65" t="str">
        <x:v>德瓦联（Dewa United Banten FC）</x:v>
      </x:c>
      <x:c r="F1206" s="65" t="str">
        <x:v>德瓦联 -0.5（客让半球，参考欧赔约2.00-2.21，港水约1.00-1.21）</x:v>
      </x:c>
      <x:c r="G1206" s="65" t="str">
        <x:v>大 2.75（参考由大2.5约1.69、大3.5约2.62折算，目标水位约1.90-2.05，港水约0.90-1.05）</x:v>
      </x:c>
      <x:c r="H1206" s="65" t="str">
        <x:v>小注；德瓦联-0.5若低于0.80港水不进单，退到-0.25但水位低于0.80也放弃。大小球不买大2.5低水，只在大2.75≥0.80进单；升到大3需≥0.95才小注。</x:v>
      </x:c>
      <x:c r="I1206" s="66" t="n">
        <x:v>46158.83096064815</x:v>
      </x:c>
      <x:c r="J1206" s="65" t="str">
        <x:v>已结算</x:v>
      </x:c>
      <x:c r="K1206" s="65" t="str">
        <x:v>1-1</x:v>
      </x:c>
      <x:c r="L1206" s="65" t="str">
        <x:v>输</x:v>
      </x:c>
      <x:c r="M1206" s="65" t="str">
        <x:v>输</x:v>
      </x:c>
      <x:c r="N1206" s="67" t="n">
        <x:v>-1</x:v>
      </x:c>
      <x:c r="O1206" s="67" t="n">
        <x:v>-1</x:v>
      </x:c>
      <x:c r="P1206" s="67" t="n">
        <x:f>IF(COUNT(N1206:O1206)=0,"",SUM(N1206:O1206))</x:f>
        <x:v>-2</x:v>
      </x:c>
      <x:c r="Q1206" s="65"/>
      <x:c r="R1206" s="65" t="str">
        <x:v>赛果1-1；德瓦联-0.5输，大2.75输。</x:v>
      </x:c>
    </x:row>
    <x:row r="1207" ht="38" customHeight="1">
      <x:c r="A1207" s="65" t="str">
        <x:f>IF(B1207="","",TEXT(B1207,"yyyy-mm-dd")&amp;"|"&amp;D1207&amp;"|"&amp;E1207)</x:f>
        <x:v>2026-05-16|清奈泰坦（Chennaiyin FC）|班加罗尔FC（Bengaluru FC）</x:v>
      </x:c>
      <x:c r="B1207" s="66" t="n">
        <x:v>46158.8125</x:v>
      </x:c>
      <x:c r="C1207" s="65" t="str">
        <x:v>印度超级联赛（Indian Super League）</x:v>
      </x:c>
      <x:c r="D1207" s="65" t="str">
        <x:v>清奈泰坦（Chennaiyin FC）</x:v>
      </x:c>
      <x:c r="E1207" s="65" t="str">
        <x:v>班加罗尔FC（Bengaluru FC）</x:v>
      </x:c>
      <x:c r="F1207" s="65" t="str">
        <x:v>班加罗尔FC -0.5（客让半球，参考高位欧赔约1.81，港水约0.81；低于0.80不进单）</x:v>
      </x:c>
      <x:c r="G1207" s="65" t="str">
        <x:v>大 2.5（参考水位约1.84-1.90，港水约0.84-0.90）</x:v>
      </x:c>
      <x:c r="H1207" s="65" t="str">
        <x:v>小注；班加罗尔-0.5若只能拿到1.75以下/港水低于0.80则放弃，不追低水客胜。大小球大2.5需≥0.80，若临场升到2.75且水位仍≥0.85才小注，低水不进。</x:v>
      </x:c>
      <x:c r="I1207" s="66" t="n">
        <x:v>46158.823599537034</x:v>
      </x:c>
      <x:c r="J1207" s="65" t="str">
        <x:v>已结算</x:v>
      </x:c>
      <x:c r="K1207" s="65" t="str">
        <x:v>1-2</x:v>
      </x:c>
      <x:c r="L1207" s="65" t="str">
        <x:v>赢</x:v>
      </x:c>
      <x:c r="M1207" s="65" t="str">
        <x:v>赢</x:v>
      </x:c>
      <x:c r="N1207" s="67" t="n">
        <x:v>1</x:v>
      </x:c>
      <x:c r="O1207" s="67" t="n">
        <x:v>1</x:v>
      </x:c>
      <x:c r="P1207" s="67" t="n">
        <x:f>IF(COUNT(N1207:O1207)=0,"",SUM(N1207:O1207))</x:f>
        <x:v>2</x:v>
      </x:c>
      <x:c r="Q1207" s="65"/>
      <x:c r="R1207" s="65" t="str">
        <x:v>赛果1-2；班加罗尔FC-0.5赢，大2.5赢。</x:v>
      </x:c>
    </x:row>
    <x:row r="1208" ht="38" customHeight="1">
      <x:c r="A1208" s="65" t="str">
        <x:f>IF(B1208="","",TEXT(B1208,"yyyy-mm-dd")&amp;"|"&amp;D1208&amp;"|"&amp;E1208)</x:f>
        <x:v>2026-05-16|圣乔治城（St George City FA）|莱卡特老虎（APIA Leichhardt Tigers）</x:v>
      </x:c>
      <x:c r="B1208" s="66" t="n">
        <x:v>46158.71875</x:v>
      </x:c>
      <x:c r="C1208" s="65" t="str">
        <x:v>澳大利亚 维多利亚州超级联赛1（VPL1）</x:v>
      </x:c>
      <x:c r="D1208" s="65" t="str">
        <x:v>圣乔治城（St George City FA）</x:v>
      </x:c>
      <x:c r="E1208" s="65" t="str">
        <x:v>莱卡特老虎（APIA Leichhardt Tigers）</x:v>
      </x:c>
      <x:c r="F1208" s="65" t="str">
        <x:v>莱卡特老虎 -1.75（客让球半/两球，参考水位约2.70，港水约1.70）</x:v>
      </x:c>
      <x:c r="G1208" s="65" t="str">
        <x:v>小 3.5（参考水位约1.88-1.90，港水约0.88-0.90）</x:v>
      </x:c>
      <x:c r="H1208" s="65" t="str">
        <x:v>小注；不追莱卡特客胜低水。若莱卡特-1.75临场低于0.80港水不进单，退到-1.5且≥0.80可替代。大小球不买大2.5低水，小3.5需≥0.80；跌破0.80放弃。</x:v>
      </x:c>
      <x:c r="I1208" s="66" t="n">
        <x:v>46158.67768518518</x:v>
      </x:c>
      <x:c r="J1208" s="65" t="str">
        <x:v>已结算</x:v>
      </x:c>
      <x:c r="K1208" s="65" t="str">
        <x:v>0-1</x:v>
      </x:c>
      <x:c r="L1208" s="65" t="str">
        <x:v>输</x:v>
      </x:c>
      <x:c r="M1208" s="65" t="str">
        <x:v>赢</x:v>
      </x:c>
      <x:c r="N1208" s="67" t="n">
        <x:v>-1</x:v>
      </x:c>
      <x:c r="O1208" s="67" t="n">
        <x:v>1</x:v>
      </x:c>
      <x:c r="P1208" s="67" t="n">
        <x:f>IF(COUNT(N1208:O1208)=0,"",SUM(N1208:O1208))</x:f>
        <x:v>0</x:v>
      </x:c>
      <x:c r="Q1208" s="65"/>
      <x:c r="R1208" s="65" t="str">
        <x:v>赛果0-1；莱卡特老虎-1.75输，小3.5赢。</x:v>
      </x:c>
    </x:row>
    <x:row r="1209" ht="38" customHeight="1">
      <x:c r="A1209" s="65" t="str">
        <x:f>IF(B1209="","",TEXT(B1209,"yyyy-mm-dd")&amp;"|"&amp;D1209&amp;"|"&amp;E1209)</x:f>
        <x:v>2026-05-16|佩斯克谏义里（Persik Kediri）|佩西加雅加达（Persija Jakarta）</x:v>
      </x:c>
      <x:c r="B1209" s="66" t="n">
        <x:v>46158.6875</x:v>
      </x:c>
      <x:c r="C1209" s="65" t="str">
        <x:v>印度尼西亚超级联赛（印尼超/Liga 1 Indonesia）</x:v>
      </x:c>
      <x:c r="D1209" s="65" t="str">
        <x:v>佩斯克谏义里（Persik Kediri）</x:v>
      </x:c>
      <x:c r="E1209" s="65" t="str">
        <x:v>佩西加雅加达（Persija Jakarta）</x:v>
      </x:c>
      <x:c r="F1209" s="65" t="str">
        <x:v>佩西加雅加达 -0.5（客让半球，参考水位约1.89，港水约0.89）</x:v>
      </x:c>
      <x:c r="G1209" s="65" t="str">
        <x:v>小 2.5（参考水位约2.04，港水约1.04；大2.5低于0.80不进单）</x:v>
      </x:c>
      <x:c r="H1209" s="65" t="str">
        <x:v>小注；佩西加-0.5若低于0.80港水不进单，退到-0.25且≥0.80可替代。大小球不追大2.5低水，若小2.5跌破0.80放弃；可用双方进球否≥0.90作为替代观察。</x:v>
      </x:c>
      <x:c r="I1209" s="66" t="n">
        <x:v>46158.59458333333</x:v>
      </x:c>
      <x:c r="J1209" s="65" t="str">
        <x:v>已结算</x:v>
      </x:c>
      <x:c r="K1209" s="65" t="str">
        <x:v>1-3</x:v>
      </x:c>
      <x:c r="L1209" s="65" t="str">
        <x:v>赢</x:v>
      </x:c>
      <x:c r="M1209" s="65" t="str">
        <x:v>输</x:v>
      </x:c>
      <x:c r="N1209" s="67" t="n">
        <x:v>1</x:v>
      </x:c>
      <x:c r="O1209" s="67" t="n">
        <x:v>-1</x:v>
      </x:c>
      <x:c r="P1209" s="67" t="n">
        <x:f>IF(COUNT(N1209:O1209)=0,"",SUM(N1209:O1209))</x:f>
        <x:v>0</x:v>
      </x:c>
      <x:c r="Q1209" s="65"/>
      <x:c r="R1209" s="65" t="str">
        <x:v>赛果1-3；佩西加雅加达-0.5赢，小2.5输。</x:v>
      </x:c>
    </x:row>
    <x:row r="1210" ht="38" customHeight="1">
      <x:c r="A1210" s="65" t="str">
        <x:f>IF(B1210="","",TEXT(B1210,"yyyy-mm-dd")&amp;"|"&amp;D1210&amp;"|"&amp;E1210)</x:f>
        <x:v>2026-05-16|大田市民（Daejeon Hana Citizen）|首尔FC（FC Seoul）</x:v>
      </x:c>
      <x:c r="B1210" s="66" t="n">
        <x:v>46158.645833333336</x:v>
      </x:c>
      <x:c r="C1210" s="65" t="str">
        <x:v>韩国K联赛1（K League 1）</x:v>
      </x:c>
      <x:c r="D1210" s="65" t="str">
        <x:v>大田市民（Daejeon Hana Citizen）</x:v>
      </x:c>
      <x:c r="E1210" s="65" t="str">
        <x:v>首尔FC（FC Seoul）</x:v>
      </x:c>
      <x:c r="F1210" s="65" t="str">
        <x:v>首尔FC -0.5（客让半球，参考美赔+140/欧赔2.40，港水约1.40）</x:v>
      </x:c>
      <x:c r="G1210" s="65" t="str">
        <x:v>双方进球：否（大小球替代，参考美赔-112/欧赔1.89，港水约0.89；传统小2.5约-143，港水约0.70不进单）</x:v>
      </x:c>
      <x:c r="H1210" s="65" t="str">
        <x:v>小注；首尔-0.5若降到低于0.80港水不进单，退到0球但水位低于0.80也放弃。大小球不买小2.5低水，优先双方进球否≥0.80；若临场有小2.75且≥0.80，可替代。</x:v>
      </x:c>
      <x:c r="I1210" s="66" t="n">
        <x:v>46158.66050925926</x:v>
      </x:c>
      <x:c r="J1210" s="65" t="str">
        <x:v>已结算</x:v>
      </x:c>
      <x:c r="K1210" s="65" t="str">
        <x:v>0-1</x:v>
      </x:c>
      <x:c r="L1210" s="65" t="str">
        <x:v>赢</x:v>
      </x:c>
      <x:c r="M1210" s="65" t="str">
        <x:v>赢</x:v>
      </x:c>
      <x:c r="N1210" s="67" t="n">
        <x:v>1</x:v>
      </x:c>
      <x:c r="O1210" s="67" t="n">
        <x:v>1</x:v>
      </x:c>
      <x:c r="P1210" s="67" t="n">
        <x:f>IF(COUNT(N1210:O1210)=0,"",SUM(N1210:O1210))</x:f>
        <x:v>2</x:v>
      </x:c>
      <x:c r="Q1210" s="65"/>
      <x:c r="R1210" s="65" t="str">
        <x:v>赛果0-1；首尔FC-0.5赢，双方进球：否赢（大小球替代项）。</x:v>
      </x:c>
    </x:row>
    <x:row r="1211" ht="38" customHeight="1">
      <x:c r="A1211" s="65" t="str">
        <x:f>IF(B1211="","",TEXT(B1211,"yyyy-mm-dd")&amp;"|"&amp;D1211&amp;"|"&amp;E1211)</x:f>
        <x:v>2026-05-16|新南威尔士精神（NWS Spirit FC）|马可尼种马（Marconi Stallions）</x:v>
      </x:c>
      <x:c r="B1211" s="66" t="n">
        <x:v>46158.645833333336</x:v>
      </x:c>
      <x:c r="C1211" s="65" t="str">
        <x:v>澳大利亚 维多利亚州超级联赛1（VPL1）</x:v>
      </x:c>
      <x:c r="D1211" s="65" t="str">
        <x:v>新南威尔士精神（NWS Spirit FC）</x:v>
      </x:c>
      <x:c r="E1211" s="65" t="str">
        <x:v>马可尼种马（Marconi Stallions）</x:v>
      </x:c>
      <x:c r="F1211" s="65" t="str">
        <x:v>马可尼种马 -0.75（客让半一，参考水位约1.85-1.95，港水约0.85-0.95）</x:v>
      </x:c>
      <x:c r="G1211" s="65" t="str">
        <x:v>大 2.75（参考水位约1.85-1.95，港水约0.85-0.95）</x:v>
      </x:c>
      <x:c r="H1211" s="65" t="str">
        <x:v>小注；若马可尼-0.75低于0.80港水不进单，退到-0.5且≥0.80可替代。大小球若只有大2.5低水不进单，优先大2.75且≥0.80；升到大3高水改小注。</x:v>
      </x:c>
      <x:c r="I1211" s="66" t="n">
        <x:v>46158.57162037037</x:v>
      </x:c>
      <x:c r="J1211" s="65" t="str">
        <x:v>已结算</x:v>
      </x:c>
      <x:c r="K1211" s="65" t="str">
        <x:v>1-2</x:v>
      </x:c>
      <x:c r="L1211" s="65" t="str">
        <x:v>赢</x:v>
      </x:c>
      <x:c r="M1211" s="65" t="str">
        <x:v>赢半</x:v>
      </x:c>
      <x:c r="N1211" s="67" t="n">
        <x:v>1</x:v>
      </x:c>
      <x:c r="O1211" s="67" t="n">
        <x:v>0.5</x:v>
      </x:c>
      <x:c r="P1211" s="67" t="n">
        <x:f>IF(COUNT(N1211:O1211)=0,"",SUM(N1211:O1211))</x:f>
        <x:v>1.5</x:v>
      </x:c>
      <x:c r="Q1211" s="65"/>
      <x:c r="R1211" s="65" t="str">
        <x:v>赛果1-2；马可尼种马-0.75赢，大2.75赢半。</x:v>
      </x:c>
    </x:row>
    <x:row r="1212" ht="38" customHeight="1">
      <x:c r="A1212" s="65" t="str">
        <x:f>IF(B1212="","",TEXT(B1212,"yyyy-mm-dd")&amp;"|"&amp;D1212&amp;"|"&amp;E1212)</x:f>
        <x:v>2026-05-16|新南威尔士大学（UNSW FC）|洛克达尔伊林登（Rockdale Ilinden）</x:v>
      </x:c>
      <x:c r="B1212" s="66" t="n">
        <x:v>46158.541666666664</x:v>
      </x:c>
      <x:c r="C1212" s="65" t="str">
        <x:v>澳大利亚 维多利亚州超级联赛1（VPL1）</x:v>
      </x:c>
      <x:c r="D1212" s="65" t="str">
        <x:v>新南威尔士大学（UNSW FC）</x:v>
      </x:c>
      <x:c r="E1212" s="65" t="str">
        <x:v>洛克达尔伊林登（Rockdale Ilinden）</x:v>
      </x:c>
      <x:c r="F1212" s="65" t="str">
        <x:v>洛克达尔伊林登 -0.75（客让半一，参考水位约2.05，港水约1.05）</x:v>
      </x:c>
      <x:c r="G1212" s="65" t="str">
        <x:v>大 3.5（参考水位约1.94-2.19，港水约0.94-1.19）</x:v>
      </x:c>
      <x:c r="H1212" s="65" t="str">
        <x:v>小注；客让-0.25低水不进单，若临场洛克达尔-0.75低于0.80港水放弃，退到-0.5且≥0.80可替代。大小球若只有大2.5低水不进单，优先大3.25/3.5且≥0.80。</x:v>
      </x:c>
      <x:c r="I1212" s="66" t="n">
        <x:v>46158.53283564815</x:v>
      </x:c>
      <x:c r="J1212" s="65" t="str">
        <x:v>已结算</x:v>
      </x:c>
      <x:c r="K1212" s="65" t="str">
        <x:v>1-0</x:v>
      </x:c>
      <x:c r="L1212" s="65" t="str">
        <x:v>输</x:v>
      </x:c>
      <x:c r="M1212" s="65" t="str">
        <x:v>输</x:v>
      </x:c>
      <x:c r="N1212" s="67" t="n">
        <x:v>-1</x:v>
      </x:c>
      <x:c r="O1212" s="67" t="n">
        <x:v>-1</x:v>
      </x:c>
      <x:c r="P1212" s="67" t="n">
        <x:f>IF(COUNT(N1212:O1212)=0,"",SUM(N1212:O1212))</x:f>
        <x:v>-2</x:v>
      </x:c>
      <x:c r="Q1212" s="65"/>
      <x:c r="R1212" s="65" t="str">
        <x:v>赛果1-0；洛克达尔伊林登-0.75输，大3.5输。</x:v>
      </x:c>
    </x:row>
    <x:row r="1213" ht="38" customHeight="1">
      <x:c r="A1213" s="65" t="str">
        <x:f>IF(B1213="","",TEXT(B1213,"yyyy-mm-dd")&amp;"|"&amp;D1213&amp;"|"&amp;E1213)</x:f>
        <x:v>2026-05-16|休城（Hume City）|艾云达尔（Avondale FC）</x:v>
      </x:c>
      <x:c r="B1213" s="66" t="n">
        <x:v>46158.5</x:v>
      </x:c>
      <x:c r="C1213" s="65" t="str">
        <x:v>澳大利亚 维多利亚州超级联赛1（VPL1）</x:v>
      </x:c>
      <x:c r="D1213" s="65" t="str">
        <x:v>休城（Hume City）</x:v>
      </x:c>
      <x:c r="E1213" s="65" t="str">
        <x:v>艾云达尔（Avondale FC）</x:v>
      </x:c>
      <x:c r="F1213" s="65" t="str">
        <x:v>艾云达尔 -0.25（客让平/半，参考水位约1.90，港水约0.90）</x:v>
      </x:c>
      <x:c r="G1213" s="65" t="str">
        <x:v>大 2.75（参考水位约1.80-1.81，港水约0.80-0.81）</x:v>
      </x:c>
      <x:c r="H1213" s="65" t="str">
        <x:v>小注为主；若客让-0.25降至低于0.80港水不进单，退到0球且≥0.80可小加；大小球只在大2.75≥0.80进单，升到大3高水改小注。</x:v>
      </x:c>
      <x:c r="I1213" s="66" t="n">
        <x:v>46158.45174768518</x:v>
      </x:c>
      <x:c r="J1213" s="65" t="str">
        <x:v>已结算</x:v>
      </x:c>
      <x:c r="K1213" s="65" t="str">
        <x:v>3-0</x:v>
      </x:c>
      <x:c r="L1213" s="65" t="str">
        <x:v>输</x:v>
      </x:c>
      <x:c r="M1213" s="65" t="str">
        <x:v>赢半</x:v>
      </x:c>
      <x:c r="N1213" s="67" t="n">
        <x:v>-1</x:v>
      </x:c>
      <x:c r="O1213" s="67" t="n">
        <x:v>0.5</x:v>
      </x:c>
      <x:c r="P1213" s="67" t="n">
        <x:f>IF(COUNT(N1213:O1213)=0,"",SUM(N1213:O1213))</x:f>
        <x:v>-0.5</x:v>
      </x:c>
      <x:c r="Q1213" s="65"/>
      <x:c r="R1213" s="65" t="str">
        <x:v>赛果3-0；艾云达尔-0.25输，大2.75赢半。</x:v>
      </x:c>
    </x:row>
    <x:row r="1214" ht="38" customHeight="1">
      <x:c r="A1214" s="65" t="str">
        <x:f>IF(B1214="","",TEXT(B1214,"yyyy-mm-dd")&amp;"|"&amp;D1214&amp;"|"&amp;E1214)</x:f>
        <x:v>2026-05-16|奥尔索马尔索（Orsomarso SC）|麦德林独立（Independiente Medellín）</x:v>
      </x:c>
      <x:c r="B1214" s="66" t="n">
        <x:v>46158.375</x:v>
      </x:c>
      <x:c r="C1214" s="65" t="str">
        <x:v>哥伦比亚杯（Copa Colombia）</x:v>
      </x:c>
      <x:c r="D1214" s="65" t="str">
        <x:v>奥尔索马尔索（Orsomarso SC）</x:v>
      </x:c>
      <x:c r="E1214" s="65" t="str">
        <x:v>麦德林独立（Independiente Medellín）</x:v>
      </x:c>
      <x:c r="F1214" s="65" t="str">
        <x:v>麦德林独立 -0.25（约0.86-0.93水；低于0.80不进单）</x:v>
      </x:c>
      <x:c r="G1214" s="65" t="str">
        <x:v>小2.5（约0.80水；低于0.80不进单；若低于0.80则放弃或等小2.75水≥0.80）</x:v>
      </x:c>
      <x:c r="H1214" s="65" t="str">
        <x:v>小注；若临场退至麦德林独立0盘且水≥0.80可加仓；若升至-0.5且水&lt;0.90不追；比分倾向0-1/1-1/0-2</x:v>
      </x:c>
      <x:c r="I1214" s="66" t="n">
        <x:v>46158.38266203704</x:v>
      </x:c>
      <x:c r="J1214" s="65" t="str">
        <x:v>已结算</x:v>
      </x:c>
      <x:c r="K1214" s="65" t="str">
        <x:v>0-0</x:v>
      </x:c>
      <x:c r="L1214" s="65" t="str">
        <x:v>输半</x:v>
      </x:c>
      <x:c r="M1214" s="65" t="str">
        <x:v>赢</x:v>
      </x:c>
      <x:c r="N1214" s="67" t="n">
        <x:v>-0.5</x:v>
      </x:c>
      <x:c r="O1214" s="67" t="n">
        <x:v>1</x:v>
      </x:c>
      <x:c r="P1214" s="67" t="n">
        <x:f>IF(COUNT(N1214:O1214)=0,"",SUM(N1214:O1214))</x:f>
        <x:v>0.5</x:v>
      </x:c>
      <x:c r="Q1214" s="65"/>
      <x:c r="R1214" s="65" t="str">
        <x:v>赛果0-0；麦德林独立-0.25输半，小2.5赢。</x:v>
      </x:c>
    </x:row>
    <x:row r="1215" ht="38" customHeight="1">
      <x:c r="A1215" s="65" t="str">
        <x:f>IF(B1215="","",TEXT(B1215,"yyyy-mm-dd")&amp;"|"&amp;D1215&amp;"|"&amp;E1215)</x:f>
        <x:v>2026-05-16|皇家托亚马波（Real Tomayapo）|奥罗拉（Club Aurora）</x:v>
      </x:c>
      <x:c r="B1215" s="66" t="n">
        <x:v>46158.333333333336</x:v>
      </x:c>
      <x:c r="C1215" s="65" t="str">
        <x:v>玻利维亚甲级联赛</x:v>
      </x:c>
      <x:c r="D1215" s="65" t="str">
        <x:v>皇家托亚马波（Real Tomayapo）</x:v>
      </x:c>
      <x:c r="E1215" s="65" t="str">
        <x:v>奥罗拉（Club Aurora）</x:v>
      </x:c>
      <x:c r="F1215" s="65" t="str">
        <x:v>皇家托亚马波 0盘/平手（约0.85-0.90水；低于0.80不进单）</x:v>
      </x:c>
      <x:c r="G1215" s="65" t="str">
        <x:v>小2.5（约0.83-0.90水；低于0.80不进单）</x:v>
      </x:c>
      <x:c r="H1215" s="65" t="str">
        <x:v>小注；若临场可拿皇家托亚马波+0.25且水≥0.80优先；若只剩主队-0.25且水&lt;0.90不追；大小球若小2.5低于0.80，改小2.75且水≥0.80；比分倾向1-0/1-1/0-0</x:v>
      </x:c>
      <x:c r="I1215" s="66" t="n">
        <x:v>46158.2587037037</x:v>
      </x:c>
      <x:c r="J1215" s="65" t="str">
        <x:v>已结算</x:v>
      </x:c>
      <x:c r="K1215" s="65" t="str">
        <x:v>1-2</x:v>
      </x:c>
      <x:c r="L1215" s="65" t="str">
        <x:v>输</x:v>
      </x:c>
      <x:c r="M1215" s="65" t="str">
        <x:v>赢</x:v>
      </x:c>
      <x:c r="N1215" s="67" t="n">
        <x:v>-1</x:v>
      </x:c>
      <x:c r="O1215" s="67" t="n">
        <x:v>1</x:v>
      </x:c>
      <x:c r="P1215" s="67" t="n">
        <x:f>IF(COUNT(N1215:O1215)=0,"",SUM(N1215:O1215))</x:f>
        <x:v>0</x:v>
      </x:c>
      <x:c r="Q1215" s="65"/>
      <x:c r="R1215" s="65" t="str">
        <x:v>赛果1-2；皇家托亚马波0盘输，小2.5赢。</x:v>
      </x:c>
    </x:row>
    <x:row r="1216" ht="38" customHeight="1">
      <x:c r="A1216" s="65" t="str">
        <x:f>IF(B1216="","",TEXT(B1216,"yyyy-mm-dd")&amp;"|"&amp;D1216&amp;"|"&amp;E1216)</x:f>
        <x:v>2026-05-16|帕特里奥坦斯（Patriotas Boyacá）|百万富翁（Millonarios）</x:v>
      </x:c>
      <x:c r="B1216" s="66" t="n">
        <x:v>46158.291666666664</x:v>
      </x:c>
      <x:c r="C1216" s="65" t="str">
        <x:v>哥伦比亚杯（Copa Colombia）</x:v>
      </x:c>
      <x:c r="D1216" s="65" t="str">
        <x:v>帕特里奥坦斯（Patriotas Boyacá）</x:v>
      </x:c>
      <x:c r="E1216" s="65" t="str">
        <x:v>百万富翁（Millonarios）</x:v>
      </x:c>
      <x:c r="F1216" s="65" t="str">
        <x:v>帕特里奥坦斯 +0.5（约0.82-0.90水；低于0.80不进单）</x:v>
      </x:c>
      <x:c r="G1216" s="65" t="str">
        <x:v>小2.5（约0.85-0.90水；低于0.80不进单）</x:v>
      </x:c>
      <x:c r="H1216" s="65" t="str">
        <x:v>小注；若临场只有帕特里奥坦斯+0.25且水≥0.92可降级，不追百万富翁-0.5低水；小2.5低于0.80则改小2.75且水≥0.80；比分倾向0-0/1-1/0-1</x:v>
      </x:c>
      <x:c r="I1216" s="66" t="n">
        <x:v>46158.29871527778</x:v>
      </x:c>
      <x:c r="J1216" s="65" t="str">
        <x:v>已结算</x:v>
      </x:c>
      <x:c r="K1216" s="65" t="str">
        <x:v>0-3</x:v>
      </x:c>
      <x:c r="L1216" s="65" t="str">
        <x:v>输</x:v>
      </x:c>
      <x:c r="M1216" s="65" t="str">
        <x:v>输</x:v>
      </x:c>
      <x:c r="N1216" s="67" t="n">
        <x:v>-1</x:v>
      </x:c>
      <x:c r="O1216" s="67" t="n">
        <x:v>-1</x:v>
      </x:c>
      <x:c r="P1216" s="67" t="n">
        <x:f>IF(COUNT(N1216:O1216)=0,"",SUM(N1216:O1216))</x:f>
        <x:v>-2</x:v>
      </x:c>
      <x:c r="Q1216" s="65"/>
      <x:c r="R1216" s="65" t="str">
        <x:v>赛果0-3；帕特里奥坦斯+0.5输，小2.5输。原清单重复出现，本次只回填一次。</x:v>
      </x:c>
    </x:row>
    <x:row r="1217" ht="38" customHeight="1">
      <x:c r="A1217" s="65" t="str">
        <x:f>IF(B1217="","",TEXT(B1217,"yyyy-mm-dd")&amp;"|"&amp;D1217&amp;"|"&amp;E1217)</x:f>
        <x:v>2026-05-16|卡利博卡青年（Boca Juniors de Cali）|卡利体育会（Deportivo Cali）</x:v>
      </x:c>
      <x:c r="B1217" s="66" t="n">
        <x:v>46158.208333333336</x:v>
      </x:c>
      <x:c r="C1217" s="65" t="str">
        <x:v>哥伦比亚杯（Copa Colombia）</x:v>
      </x:c>
      <x:c r="D1217" s="65" t="str">
        <x:v>卡利博卡青年（Boca Juniors de Cali）</x:v>
      </x:c>
      <x:c r="E1217" s="65" t="str">
        <x:v>卡利体育会（Deportivo Cali）</x:v>
      </x:c>
      <x:c r="F1217" s="65" t="str">
        <x:v>卡利博卡青年 +0.25（参考约1.81欧赔/0.81港水；低于0.80不进单）</x:v>
      </x:c>
      <x:c r="G1217" s="65" t="str">
        <x:v>小2.5（参考约1.81欧赔/0.81港水；低于0.80不进单）</x:v>
      </x:c>
      <x:c r="H1217" s="65" t="str">
        <x:v>小注；若临场卡利博卡+0.5水≥0.80可优先，若只剩+0.25低于0.80放弃；小2.5若低于0.80可改小2.75且水≥0.80；比分倾向0-0/1-1/0-1</x:v>
      </x:c>
      <x:c r="I1217" s="66" t="n">
        <x:v>46158.208645833336</x:v>
      </x:c>
      <x:c r="J1217" s="65" t="str">
        <x:v>已结算</x:v>
      </x:c>
      <x:c r="K1217" s="65" t="str">
        <x:v>0-3</x:v>
      </x:c>
      <x:c r="L1217" s="65" t="str">
        <x:v>输</x:v>
      </x:c>
      <x:c r="M1217" s="65" t="str">
        <x:v>输</x:v>
      </x:c>
      <x:c r="N1217" s="67" t="n">
        <x:v>-1</x:v>
      </x:c>
      <x:c r="O1217" s="67" t="n">
        <x:v>-1</x:v>
      </x:c>
      <x:c r="P1217" s="67" t="n">
        <x:f>IF(COUNT(N1217:O1217)=0,"",SUM(N1217:O1217))</x:f>
        <x:v>-2</x:v>
      </x:c>
      <x:c r="Q1217" s="65"/>
      <x:c r="R1217" s="65" t="str">
        <x:v>赛果0-3；卡利博卡青年+0.25输，小2.5输。</x:v>
      </x:c>
    </x:row>
    <x:row r="1218" ht="38" customHeight="1">
      <x:c r="A1218" s="65" t="str">
        <x:f>IF(B1218="","",TEXT(B1218,"yyyy-mm-dd")&amp;"|"&amp;D1218&amp;"|"&amp;E1218)</x:f>
        <x:v>2026-05-16|泰利尼登斯（Sportivo Trinidense）|波特诺山丘（Cerro Porteño）</x:v>
      </x:c>
      <x:c r="B1218" s="66" t="n">
        <x:v>46158.166666666664</x:v>
      </x:c>
      <x:c r="C1218" s="65" t="str">
        <x:v>巴拉圭甲级联赛（División de Honor·Apertura）</x:v>
      </x:c>
      <x:c r="D1218" s="65" t="str">
        <x:v>泰利尼登斯（Sportivo Trinidense）</x:v>
      </x:c>
      <x:c r="E1218" s="65" t="str">
        <x:v>波特诺山丘（Cerro Porteño）</x:v>
      </x:c>
      <x:c r="F1218" s="65" t="str">
        <x:v>泰利尼登斯 +0.25（约0.85水；低于0.80不进单）</x:v>
      </x:c>
      <x:c r="G1218" s="65" t="str">
        <x:v>大2.25（约1.02水；低于0.80不进单）</x:v>
      </x:c>
      <x:c r="H1218" s="65" t="str">
        <x:v>小注；若临场只剩泰利尼登斯+0且水≥0.85可降级，若波特诺山丘-0.25降至0.80以下不追；大小球若大2.25降至0.80以下放弃，可改BTTS Yes水≥0.80；比分倾向1-1/2-1/1-2</x:v>
      </x:c>
      <x:c r="I1218" s="66" t="n">
        <x:v>46158.16575231482</x:v>
      </x:c>
      <x:c r="J1218" s="65" t="str">
        <x:v>已结算</x:v>
      </x:c>
      <x:c r="K1218" s="65" t="str">
        <x:v>2-1</x:v>
      </x:c>
      <x:c r="L1218" s="65" t="str">
        <x:v>赢</x:v>
      </x:c>
      <x:c r="M1218" s="65" t="str">
        <x:v>赢</x:v>
      </x:c>
      <x:c r="N1218" s="67" t="n">
        <x:v>1</x:v>
      </x:c>
      <x:c r="O1218" s="67" t="n">
        <x:v>1</x:v>
      </x:c>
      <x:c r="P1218" s="67" t="n">
        <x:f>IF(COUNT(N1218:O1218)=0,"",SUM(N1218:O1218))</x:f>
        <x:v>2</x:v>
      </x:c>
      <x:c r="Q1218" s="65"/>
      <x:c r="R1218" s="65" t="str">
        <x:v>赛果2-1；泰利尼登斯+0.25赢，大2.25赢。</x:v>
      </x:c>
    </x:row>
    <x:row r="1219" ht="38" customHeight="1">
      <x:c r="A1219" s="65" t="str">
        <x:f>IF(B1219="","",TEXT(B1219,"yyyy-mm-dd")&amp;"|"&amp;D1219&amp;"|"&amp;E1219)</x:f>
        <x:v>2026-05-16|卢比奥纽（Rubio Ñu）|巴拉圭国民（Nacional Asunción）</x:v>
      </x:c>
      <x:c r="B1219" s="66" t="n">
        <x:v>46158.166666666664</x:v>
      </x:c>
      <x:c r="C1219" s="65" t="str">
        <x:v>巴拉圭甲级联赛（División de Honor·Apertura）</x:v>
      </x:c>
      <x:c r="D1219" s="65" t="str">
        <x:v>卢比奥纽（Rubio Ñu）</x:v>
      </x:c>
      <x:c r="E1219" s="65" t="str">
        <x:v>巴拉圭国民（Nacional Asunción）</x:v>
      </x:c>
      <x:c r="F1219" s="65" t="str">
        <x:v>巴拉圭国民 -0.25（约0.84-0.92水；低于0.80不进单）</x:v>
      </x:c>
      <x:c r="G1219" s="65" t="str">
        <x:v>小2.25（约0.82-0.90水；低于0.80不进单；若只有小2.5低水则放弃）</x:v>
      </x:c>
      <x:c r="H1219" s="65" t="str">
        <x:v>小注；国民客场平局率高，不追-0.5低水；若临场国民-0.5水≥0.95可激进替代；比分倾向0-1/1-1</x:v>
      </x:c>
      <x:c r="I1219" s="66" t="n">
        <x:v>46158.16056712963</x:v>
      </x:c>
      <x:c r="J1219" s="65" t="str">
        <x:v>已结算</x:v>
      </x:c>
      <x:c r="K1219" s="65" t="str">
        <x:v>1-1</x:v>
      </x:c>
      <x:c r="L1219" s="65" t="str">
        <x:v>输半</x:v>
      </x:c>
      <x:c r="M1219" s="65" t="str">
        <x:v>赢半</x:v>
      </x:c>
      <x:c r="N1219" s="67" t="n">
        <x:v>-0.5</x:v>
      </x:c>
      <x:c r="O1219" s="67" t="n">
        <x:v>0.5</x:v>
      </x:c>
      <x:c r="P1219" s="67" t="n">
        <x:f>IF(COUNT(N1219:O1219)=0,"",SUM(N1219:O1219))</x:f>
        <x:v>0</x:v>
      </x:c>
      <x:c r="Q1219" s="65"/>
      <x:c r="R1219" s="65" t="str">
        <x:v>赛果1-1；巴拉圭国民-0.25输半，小2.25赢半。</x:v>
      </x:c>
    </x:row>
    <x:row r="1220" ht="38" customHeight="1">
      <x:c r="A1220" s="65" t="str">
        <x:f>IF(B1220="","",TEXT(B1220,"yyyy-mm-dd")&amp;"|"&amp;D1220&amp;"|"&amp;E1220)</x:f>
        <x:v>2026-05-15|莫哈末丹|孟买城</x:v>
      </x:c>
      <x:c r="B1220" s="66" t="n">
        <x:v>46157.916666666664</x:v>
      </x:c>
      <x:c r="C1220" s="65" t="str">
        <x:v>印度超级联赛（Indian Super League）</x:v>
      </x:c>
      <x:c r="D1220" s="65" t="str">
        <x:v>莫哈末丹</x:v>
      </x:c>
      <x:c r="E1220" s="65" t="str">
        <x:v>孟买城</x:v>
      </x:c>
      <x:c r="F1220" s="65" t="str">
        <x:v>孟买城 -1.25（约0.97水；低于0.80不进单）</x:v>
      </x:c>
      <x:c r="G1220" s="65" t="str">
        <x:v>大2.5（约0.85水；低于0.80不进单）</x:v>
      </x:c>
      <x:c r="H1220" s="65" t="str">
        <x:v>小注；若临场退至孟买城-1且水≥0.80可加仓；若升至-1.5且水&lt;0.90不追；比分倾向0-2/1-2/1-3</x:v>
      </x:c>
      <x:c r="I1220" s="66" t="n">
        <x:v>46157.841365740744</x:v>
      </x:c>
      <x:c r="J1220" s="65" t="str">
        <x:v>已结算</x:v>
      </x:c>
      <x:c r="K1220" s="65" t="str">
        <x:v>1-4</x:v>
      </x:c>
      <x:c r="L1220" s="65" t="str">
        <x:v>赢</x:v>
      </x:c>
      <x:c r="M1220" s="65" t="str">
        <x:v>赢</x:v>
      </x:c>
      <x:c r="N1220" s="67" t="n">
        <x:v>1</x:v>
      </x:c>
      <x:c r="O1220" s="67" t="n">
        <x:v>1</x:v>
      </x:c>
      <x:c r="P1220" s="67" t="n">
        <x:f>IF(COUNT(N1220:O1220)=0,"",SUM(N1220:O1220))</x:f>
        <x:v>2</x:v>
      </x:c>
      <x:c r="Q1220" s="65"/>
      <x:c r="R1220" s="65" t="str">
        <x:v>赛果1-4；孟买城-1.25赢，大2.5赢。</x:v>
      </x:c>
    </x:row>
    <x:row r="1221" ht="38" customHeight="1">
      <x:c r="A1221" s="65" t="str">
        <x:f>IF(B1221="","",TEXT(B1221,"yyyy-mm-dd")&amp;"|"&amp;D1221&amp;"|"&amp;E1221)</x:f>
        <x:v>2026-05-15|巴克伦佛（PSBS）|阿雷马</x:v>
      </x:c>
      <x:c r="B1221" s="66" t="n">
        <x:v>46157.833333333336</x:v>
      </x:c>
      <x:c r="C1221" s="65" t="str">
        <x:v>印度尼西亚超级联赛（印尼超/Liga 1 Indonesia）</x:v>
      </x:c>
      <x:c r="D1221" s="65" t="str">
        <x:v>巴克伦佛（PSBS）</x:v>
      </x:c>
      <x:c r="E1221" s="65" t="str">
        <x:v>阿雷马</x:v>
      </x:c>
      <x:c r="F1221" s="65" t="str">
        <x:v>阿雷马 0（平手，约0.83-0.88水；低于0.80不进单）</x:v>
      </x:c>
      <x:c r="G1221" s="65" t="str">
        <x:v>大2.25（约0.83-0.88水；低于0.80不进单）</x:v>
      </x:c>
      <x:c r="H1221" s="65" t="str">
        <x:v>小注；若临场阿雷马-0.25且水≥0.88可替代，不追阿雷马-0.5低水；若大2.25低于0.80，改看阿雷马队进球大1.5且水≥0.80；比分倾向0-2/1-2</x:v>
      </x:c>
      <x:c r="I1221" s="66" t="n">
        <x:v>46157.84751157407</x:v>
      </x:c>
      <x:c r="J1221" s="65" t="str">
        <x:v>已结算</x:v>
      </x:c>
      <x:c r="K1221" s="65" t="str">
        <x:v>2-5</x:v>
      </x:c>
      <x:c r="L1221" s="65" t="str">
        <x:v>赢</x:v>
      </x:c>
      <x:c r="M1221" s="65" t="str">
        <x:v>赢</x:v>
      </x:c>
      <x:c r="N1221" s="67" t="n">
        <x:v>1</x:v>
      </x:c>
      <x:c r="O1221" s="67" t="n">
        <x:v>1</x:v>
      </x:c>
      <x:c r="P1221" s="67" t="n">
        <x:f>IF(COUNT(N1221:O1221)=0,"",SUM(N1221:O1221))</x:f>
        <x:v>2</x:v>
      </x:c>
      <x:c r="Q1221" s="65"/>
      <x:c r="R1221" s="65" t="str">
        <x:v>赛果2-5；阿雷马0盘赢，大2.25赢。</x:v>
      </x:c>
    </x:row>
    <x:row r="1222" ht="38" customHeight="1">
      <x:c r="A1222" s="65" t="str">
        <x:f>IF(B1222="","",TEXT(B1222,"yyyy-mm-dd")&amp;"|"&amp;D1222&amp;"|"&amp;E1222)</x:f>
        <x:v>2026-05-15|天津津门虎|成都蓉城</x:v>
      </x:c>
      <x:c r="B1222" s="66" t="n">
        <x:v>46157.81597222222</x:v>
      </x:c>
      <x:c r="C1222" s="65" t="str">
        <x:v>中国足球超级联赛</x:v>
      </x:c>
      <x:c r="D1222" s="65" t="str">
        <x:v>天津津门虎</x:v>
      </x:c>
      <x:c r="E1222" s="65" t="str">
        <x:v>成都蓉城</x:v>
      </x:c>
      <x:c r="F1222" s="65" t="str">
        <x:v>天津津门虎 +1（约0.92水；低于0.80不进单）</x:v>
      </x:c>
      <x:c r="G1222" s="65" t="str">
        <x:v>大2.5（约0.80水；低于0.80不进单）</x:v>
      </x:c>
      <x:c r="H1222" s="65" t="str">
        <x:v>小注；若临场只剩天津+0.75且水≥0.90可降级小注；BTTS Yes约0.81可作替代；比分倾向1-1/1-2</x:v>
      </x:c>
      <x:c r="I1222" s="66" t="n">
        <x:v>46157.82111111111</x:v>
      </x:c>
      <x:c r="J1222" s="65" t="str">
        <x:v>已结算</x:v>
      </x:c>
      <x:c r="K1222" s="65" t="str">
        <x:v>1-2</x:v>
      </x:c>
      <x:c r="L1222" s="65" t="str">
        <x:v>走水</x:v>
      </x:c>
      <x:c r="M1222" s="65" t="str">
        <x:v>赢</x:v>
      </x:c>
      <x:c r="N1222" s="67" t="n">
        <x:v>0</x:v>
      </x:c>
      <x:c r="O1222" s="67" t="n">
        <x:v>1</x:v>
      </x:c>
      <x:c r="P1222" s="67" t="n">
        <x:f>IF(COUNT(N1222:O1222)=0,"",SUM(N1222:O1222))</x:f>
        <x:v>1</x:v>
      </x:c>
      <x:c r="Q1222" s="65"/>
      <x:c r="R1222" s="65" t="str">
        <x:v>赛果1-2；天津津门虎+1走水，大2.5赢。</x:v>
      </x:c>
    </x:row>
    <x:row r="1223" ht="38" customHeight="1">
      <x:c r="A1223" s="65" t="str">
        <x:f>IF(B1223="","",TEXT(B1223,"yyyy-mm-dd")&amp;"|"&amp;D1223&amp;"|"&amp;E1223)</x:f>
        <x:v>2026-05-15|诺斯科特市（Northcote City）|布林狮子（Bulleen Lions）</x:v>
      </x:c>
      <x:c r="B1223" s="66" t="n">
        <x:v>46157.770833333336</x:v>
      </x:c>
      <x:c r="C1223" s="65" t="str">
        <x:v>澳大利亚 维多利亚州超级联赛1（VPL1）</x:v>
      </x:c>
      <x:c r="D1223" s="65" t="str">
        <x:v>诺斯科特市（Northcote City）</x:v>
      </x:c>
      <x:c r="E1223" s="65" t="str">
        <x:v>布林狮子（Bulleen Lions）</x:v>
      </x:c>
      <x:c r="F1223" s="65" t="str">
        <x:v>布林狮子 +0.75（只接受港水≥0.80；参考美赔-111/港水0.90；若仅0.74则放弃）</x:v>
      </x:c>
      <x:c r="G1223" s="65" t="str">
        <x:v>小2.5球（参考美赔+135/港水1.35；低于0.80不进）</x:v>
      </x:c>
      <x:c r="H1223" s="65" t="str">
        <x:v>比分倾向1-1/0-1；小注，不加仓；若已开赛或受让水位低于0.80则放弃</x:v>
      </x:c>
      <x:c r="I1223" s="66" t="n">
        <x:v>46157.793599537035</x:v>
      </x:c>
      <x:c r="J1223" s="65" t="str">
        <x:v>已结算</x:v>
      </x:c>
      <x:c r="K1223" s="65" t="str">
        <x:v>0-1</x:v>
      </x:c>
      <x:c r="L1223" s="65" t="str">
        <x:v>赢</x:v>
      </x:c>
      <x:c r="M1223" s="65" t="str">
        <x:v>赢</x:v>
      </x:c>
      <x:c r="N1223" s="67" t="n">
        <x:v>1</x:v>
      </x:c>
      <x:c r="O1223" s="67" t="n">
        <x:v>1</x:v>
      </x:c>
      <x:c r="P1223" s="67" t="n">
        <x:f>IF(COUNT(N1223:O1223)=0,"",SUM(N1223:O1223))</x:f>
        <x:v>2</x:v>
      </x:c>
      <x:c r="Q1223" s="65"/>
      <x:c r="R1223" s="65" t="str">
        <x:v>赛果0-1；布林狮子+0.75赢，小2.5球赢。</x:v>
      </x:c>
    </x:row>
    <x:row r="1224" ht="38" customHeight="1">
      <x:c r="A1224" s="65" t="str">
        <x:f>IF(B1224="","",TEXT(B1224,"yyyy-mm-dd")&amp;"|"&amp;D1224&amp;"|"&amp;E1224)</x:f>
        <x:v>2026-05-15|阿德莱德联（Adelaide United）|奥克兰FC（Auckland FC）</x:v>
      </x:c>
      <x:c r="B1224" s="66" t="n">
        <x:v>46157.73263888889</x:v>
      </x:c>
      <x:c r="C1224" s="65" t="str">
        <x:v>澳大利亚A联赛（A-League Men）</x:v>
      </x:c>
      <x:c r="D1224" s="65" t="str">
        <x:v>阿德莱德联（Adelaide United）</x:v>
      </x:c>
      <x:c r="E1224" s="65" t="str">
        <x:v>奥克兰FC（Auckland FC）</x:v>
      </x:c>
      <x:c r="F1224" s="65" t="str">
        <x:v>阿德莱德联 -0.25（参考港水1.00；低于0.80不进）</x:v>
      </x:c>
      <x:c r="G1224" s="65" t="str">
        <x:v>小2.5球（参考港水1.05-1.20；低于0.80不进）</x:v>
      </x:c>
      <x:c r="H1224" s="65" t="str">
        <x:v>比分倾向1-1/2-0；不加仓，若阿德莱德-0.25跌破0.80或小2.5跌破0.80则放弃</x:v>
      </x:c>
      <x:c r="I1224" s="66" t="n">
        <x:v>46157.70966435185</x:v>
      </x:c>
      <x:c r="J1224" s="65" t="str">
        <x:v>已结算</x:v>
      </x:c>
      <x:c r="K1224" s="65" t="str">
        <x:v>1-2</x:v>
      </x:c>
      <x:c r="L1224" s="65" t="str">
        <x:v>输</x:v>
      </x:c>
      <x:c r="M1224" s="65" t="str">
        <x:v>输</x:v>
      </x:c>
      <x:c r="N1224" s="67" t="n">
        <x:v>-1</x:v>
      </x:c>
      <x:c r="O1224" s="67" t="n">
        <x:v>-1</x:v>
      </x:c>
      <x:c r="P1224" s="67" t="n">
        <x:f>IF(COUNT(N1224:O1224)=0,"",SUM(N1224:O1224))</x:f>
        <x:v>-2</x:v>
      </x:c>
      <x:c r="Q1224" s="65"/>
      <x:c r="R1224" s="65" t="str">
        <x:v>赛果1-2；阿德莱德联-0.25输，小2.5球输。</x:v>
      </x:c>
    </x:row>
    <x:row r="1225" ht="38" customHeight="1">
      <x:c r="A1225" s="65" t="str">
        <x:f>IF(B1225="","",TEXT(B1225,"yyyy-mm-dd")&amp;"|"&amp;D1225&amp;"|"&amp;E1225)</x:f>
        <x:v>2026-05-15|格林古利（Green Gully SC）|墨尔本城青年队（Melbourne City U23/VPL1）</x:v>
      </x:c>
      <x:c r="B1225" s="66" t="n">
        <x:v>46157.729166666664</x:v>
      </x:c>
      <x:c r="C1225" s="65" t="str">
        <x:v>澳大利亚 维多利亚州超级联赛1（VPL1）</x:v>
      </x:c>
      <x:c r="D1225" s="65" t="str">
        <x:v>格林古利（Green Gully SC）</x:v>
      </x:c>
      <x:c r="E1225" s="65" t="str">
        <x:v>墨尔本城青年队（Melbourne City U23/VPL1）</x:v>
      </x:c>
      <x:c r="F1225" s="65" t="str">
        <x:v>墨尔本城青年队 -1（亚洲盘；参考2.92/港水1.92；低于0.80不进）</x:v>
      </x:c>
      <x:c r="G1225" s="65" t="str">
        <x:v>双方进球：否（替代大小球；参考2.17/港水1.17；低于0.80不进）</x:v>
      </x:c>
      <x:c r="H1225" s="65" t="str">
        <x:v>比分倾向0-2/0-3；小注，不追客胜低赔，若只有客胜1.57或低水大2.5则放弃</x:v>
      </x:c>
      <x:c r="I1225" s="66" t="n">
        <x:v>46157.791296296295</x:v>
      </x:c>
      <x:c r="J1225" s="65" t="str">
        <x:v>已结算</x:v>
      </x:c>
      <x:c r="K1225" s="65" t="str">
        <x:v>1-3</x:v>
      </x:c>
      <x:c r="L1225" s="65" t="str">
        <x:v>赢</x:v>
      </x:c>
      <x:c r="M1225" s="65" t="str">
        <x:v>输</x:v>
      </x:c>
      <x:c r="N1225" s="67" t="n">
        <x:v>1</x:v>
      </x:c>
      <x:c r="O1225" s="67" t="n">
        <x:v>-1</x:v>
      </x:c>
      <x:c r="P1225" s="67" t="n">
        <x:f>IF(COUNT(N1225:O1225)=0,"",SUM(N1225:O1225))</x:f>
        <x:v>0</x:v>
      </x:c>
      <x:c r="Q1225" s="65"/>
      <x:c r="R1225" s="65" t="str">
        <x:v>赛果1-3；墨尔本城青年队-1赢，双方进球：否输。</x:v>
      </x:c>
    </x:row>
    <x:row r="1226" ht="38" customHeight="1">
      <x:c r="A1226" s="65" t="str">
        <x:f>IF(B1226="","",TEXT(B1226,"yyyy-mm-dd")&amp;"|"&amp;D1226&amp;"|"&amp;E1226)</x:f>
        <x:v>2026-05-15|塞曼巴东（Semen Padang）|帕尔斯巴亚（Persebaya Surabaya）</x:v>
      </x:c>
      <x:c r="B1226" s="66" t="n">
        <x:v>46157.6875</x:v>
      </x:c>
      <x:c r="C1226" s="65" t="str">
        <x:v>印度尼西亚超级联赛（印尼超/Liga 1 Indonesia）</x:v>
      </x:c>
      <x:c r="D1226" s="65" t="str">
        <x:v>塞曼巴东（Semen Padang）</x:v>
      </x:c>
      <x:c r="E1226" s="65" t="str">
        <x:v>帕尔斯巴亚（Persebaya Surabaya）</x:v>
      </x:c>
      <x:c r="F1226" s="65" t="str">
        <x:v>帕尔斯巴亚 -1.5（参考1.82；低于0.80不进）</x:v>
      </x:c>
      <x:c r="G1226" s="65" t="str">
        <x:v>小3球（参考1.84；低于0.80不进）</x:v>
      </x:c>
      <x:c r="H1226" s="65" t="str">
        <x:v>比分倾向0-2；不加仓，若临场主流低于0.80则放弃</x:v>
      </x:c>
      <x:c r="I1226" s="66" t="n">
        <x:v>46157.516064814816</x:v>
      </x:c>
      <x:c r="J1226" s="65" t="str">
        <x:v>已结算</x:v>
      </x:c>
      <x:c r="K1226" s="65" t="str">
        <x:v>0-7</x:v>
      </x:c>
      <x:c r="L1226" s="65" t="str">
        <x:v>赢</x:v>
      </x:c>
      <x:c r="M1226" s="65" t="str">
        <x:v>输</x:v>
      </x:c>
      <x:c r="N1226" s="67" t="n">
        <x:v>1</x:v>
      </x:c>
      <x:c r="O1226" s="67" t="n">
        <x:v>-1</x:v>
      </x:c>
      <x:c r="P1226" s="67" t="n">
        <x:f>IF(COUNT(N1226:O1226)=0,"",SUM(N1226:O1226))</x:f>
        <x:v>0</x:v>
      </x:c>
      <x:c r="Q1226" s="65"/>
      <x:c r="R1226" s="65" t="str">
        <x:v>赛果0-7；帕尔斯巴亚-1.5赢，小3球输。</x:v>
      </x:c>
    </x:row>
    <x:row r="1227" ht="38" customHeight="1">
      <x:c r="A1227" s="65" t="str">
        <x:f>IF(B1227="","",TEXT(B1227,"yyyy-mm-dd")&amp;"|"&amp;D1227&amp;"|"&amp;E1227)</x:f>
        <x:v>2026-05-15|帕丘卡|美洲狮（Pumas UNAM）</x:v>
      </x:c>
      <x:c r="B1227" s="66" t="n">
        <x:v>46157.375</x:v>
      </x:c>
      <x:c r="C1227" s="65" t="str">
        <x:v>墨西哥超（Liga MX，Clausura）</x:v>
      </x:c>
      <x:c r="D1227" s="65" t="str">
        <x:v>帕丘卡</x:v>
      </x:c>
      <x:c r="E1227" s="65" t="str">
        <x:v>美洲狮（Pumas UNAM）</x:v>
      </x:c>
      <x:c r="F1227" s="65" t="str">
        <x:v>帕丘卡 -0.5（约0.91水）</x:v>
      </x:c>
      <x:c r="G1227" s="65" t="str">
        <x:v>大 2.75（约0.92水；若低于0.80不进单）</x:v>
      </x:c>
      <x:c r="H1227" s="65" t="str">
        <x:v>小注；让球优先级高于大小球；若临场升至-0.75且低水&lt;0.80不追</x:v>
      </x:c>
      <x:c r="I1227" s="66" t="n">
        <x:v>46157.38662037037</x:v>
      </x:c>
      <x:c r="J1227" s="65" t="str">
        <x:v>已结算</x:v>
      </x:c>
      <x:c r="K1227" s="65"/>
      <x:c r="L1227" s="65" t="str">
        <x:v>赢</x:v>
      </x:c>
      <x:c r="M1227" s="65" t="str">
        <x:v>输</x:v>
      </x:c>
      <x:c r="N1227" s="67" t="n">
        <x:v>1</x:v>
      </x:c>
      <x:c r="O1227" s="67" t="n">
        <x:v>-1</x:v>
      </x:c>
      <x:c r="P1227" s="67" t="n">
        <x:f>IF(COUNT(N1227:O1227)=0,"",SUM(N1227:O1227))</x:f>
        <x:v>0</x:v>
      </x:c>
      <x:c r="Q1227" s="65"/>
      <x:c r="R1227" s="65" t="str">
        <x:v>90分钟比分：帕丘卡 1-0 美洲狮；帕丘卡-0.5赢；大2.75因总进球1输。</x:v>
      </x:c>
    </x:row>
    <x:row r="1228" ht="38" customHeight="1">
      <x:c r="A1228" s="65" t="str">
        <x:f>IF(B1228="","",TEXT(B1228,"yyyy-mm-dd")&amp;"|"&amp;D1228&amp;"|"&amp;E1228)</x:f>
        <x:v>2026-05-15|奎迪奥（Deportes Quindío）|帕尔米拉国际（Internacional FC de Palmira）</x:v>
      </x:c>
      <x:c r="B1228" s="66" t="n">
        <x:v>46157.364583333336</x:v>
      </x:c>
      <x:c r="C1228" s="65" t="str">
        <x:v>哥伦比亚乙级联赛（Primera B / Torneo BetPlay Apertura）</x:v>
      </x:c>
      <x:c r="D1228" s="65" t="str">
        <x:v>奎迪奥（Deportes Quindío）</x:v>
      </x:c>
      <x:c r="E1228" s="65" t="str">
        <x:v>帕尔米拉国际（Internacional FC de Palmira）</x:v>
      </x:c>
      <x:c r="F1228" s="65" t="str">
        <x:v>奎迪奥 -0.5（约0.95水；低于0.80不进单）</x:v>
      </x:c>
      <x:c r="G1228" s="65" t="str">
        <x:v>小 2.25（约0.82水；若临场只剩小2.5低水&lt;0.80则放弃）</x:v>
      </x:c>
      <x:c r="H1228" s="65" t="str">
        <x:v>小注；让球优先级略高于大小球；若奎迪奥降到-0.25且高水可保守替代</x:v>
      </x:c>
      <x:c r="I1228" s="66" t="n">
        <x:v>46157.39032407408</x:v>
      </x:c>
      <x:c r="J1228" s="65" t="str">
        <x:v>已结算</x:v>
      </x:c>
      <x:c r="K1228" s="65"/>
      <x:c r="L1228" s="65" t="str">
        <x:v>输</x:v>
      </x:c>
      <x:c r="M1228" s="65" t="str">
        <x:v>赢</x:v>
      </x:c>
      <x:c r="N1228" s="67" t="n">
        <x:v>-1</x:v>
      </x:c>
      <x:c r="O1228" s="67" t="n">
        <x:v>1</x:v>
      </x:c>
      <x:c r="P1228" s="67" t="n">
        <x:f>IF(COUNT(N1228:O1228)=0,"",SUM(N1228:O1228))</x:f>
        <x:v>0</x:v>
      </x:c>
      <x:c r="Q1228" s="65"/>
      <x:c r="R1228" s="65" t="str">
        <x:v>90分钟比分：奎迪奥 0-1 帕尔米拉国际；奎迪奥-0.5输；小2.25赢。</x:v>
      </x:c>
    </x:row>
    <x:row r="1229" ht="38" customHeight="1">
      <x:c r="A1229" s="65" t="str">
        <x:f>IF(B1229="","",TEXT(B1229,"yyyy-mm-dd")&amp;"|"&amp;D1229&amp;"|"&amp;E1229)</x:f>
        <x:v>2026-05-15|东方石油（Oriente Petrolero）|瓜比拉（Guabirá）</x:v>
      </x:c>
      <x:c r="B1229" s="66" t="n">
        <x:v>46157.333333333336</x:v>
      </x:c>
      <x:c r="C1229" s="65" t="str">
        <x:v>玻利维亚甲级联赛</x:v>
      </x:c>
      <x:c r="D1229" s="65" t="str">
        <x:v>东方石油（Oriente Petrolero）</x:v>
      </x:c>
      <x:c r="E1229" s="65" t="str">
        <x:v>瓜比拉（Guabirá）</x:v>
      </x:c>
      <x:c r="F1229" s="65" t="str">
        <x:v>东方石油 -0.75（半一，参考水位0.86-0.94；低于0.80不进单）</x:v>
      </x:c>
      <x:c r="G1229" s="65" t="str">
        <x:v>大 2.75（参考水位0.82-0.90；若只有大2.5低水则放弃）</x:v>
      </x:c>
      <x:c r="H1229" s="65" t="str">
        <x:v>小注；可选东方石油 -0.5 但低水不进单；不加仓</x:v>
      </x:c>
      <x:c r="I1229" s="66" t="n">
        <x:v>46157.304502314815</x:v>
      </x:c>
      <x:c r="J1229" s="65" t="str">
        <x:v>已结算</x:v>
      </x:c>
      <x:c r="K1229" s="65"/>
      <x:c r="L1229" s="65" t="str">
        <x:v>输</x:v>
      </x:c>
      <x:c r="M1229" s="65" t="str">
        <x:v>赢</x:v>
      </x:c>
      <x:c r="N1229" s="67" t="n">
        <x:v>-1</x:v>
      </x:c>
      <x:c r="O1229" s="67" t="n">
        <x:v>1</x:v>
      </x:c>
      <x:c r="P1229" s="67" t="n">
        <x:f>IF(COUNT(N1229:O1229)=0,"",SUM(N1229:O1229))</x:f>
        <x:v>0</x:v>
      </x:c>
      <x:c r="Q1229" s="65"/>
      <x:c r="R1229" s="65" t="str">
        <x:v>90分钟比分：东方石油 2-2 瓜比拉；东方石油-0.75平局输；大2.75因总进球4赢。</x:v>
      </x:c>
    </x:row>
    <x:row r="1230" ht="38" customHeight="1">
      <x:c r="A1230" s="65" t="str">
        <x:f>IF(B1230="","",TEXT(B1230,"yyyy-mm-dd")&amp;"|"&amp;D1230&amp;"|"&amp;E1230)</x:f>
        <x:v>2026-05-15|锡帕基拉老虎（Tigres FC）|恩维加多（Envigado FC）</x:v>
      </x:c>
      <x:c r="B1230" s="66" t="n">
        <x:v>46157.25</x:v>
      </x:c>
      <x:c r="C1230" s="65" t="str">
        <x:v>哥伦比亚乙级联赛（Primera B / Torneo BetPlay Apertura）</x:v>
      </x:c>
      <x:c r="D1230" s="65" t="str">
        <x:v>锡帕基拉老虎（Tigres FC）</x:v>
      </x:c>
      <x:c r="E1230" s="65" t="str">
        <x:v>恩维加多（Envigado FC）</x:v>
      </x:c>
      <x:c r="F1230" s="65" t="str">
        <x:v>恩维加多 -0.25（客让平/半，参考水位0.84-0.92；低于0.80不进单）</x:v>
      </x:c>
      <x:c r="G1230" s="65" t="str">
        <x:v>小 2/2.5（2.25，参考水位0.82-0.90；若只有小2.5低水则放弃）</x:v>
      </x:c>
      <x:c r="H1230" s="65" t="str">
        <x:v>小注；可选恩维加多 0盘保护；不加仓</x:v>
      </x:c>
      <x:c r="I1230" s="66" t="n">
        <x:v>46157.21221064815</x:v>
      </x:c>
      <x:c r="J1230" s="65" t="str">
        <x:v>已结算</x:v>
      </x:c>
      <x:c r="K1230" s="65"/>
      <x:c r="L1230" s="65" t="str">
        <x:v>赢</x:v>
      </x:c>
      <x:c r="M1230" s="65" t="str">
        <x:v>输</x:v>
      </x:c>
      <x:c r="N1230" s="67" t="n">
        <x:v>1</x:v>
      </x:c>
      <x:c r="O1230" s="67" t="n">
        <x:v>-1</x:v>
      </x:c>
      <x:c r="P1230" s="67" t="n">
        <x:f>IF(COUNT(N1230:O1230)=0,"",SUM(N1230:O1230))</x:f>
        <x:v>0</x:v>
      </x:c>
      <x:c r="Q1230" s="65"/>
      <x:c r="R1230" s="65" t="str">
        <x:v>90分钟比分：锡帕基拉老虎 1-2 恩维加多；恩维加多-0.25赢；小2.25因总进球3输。</x:v>
      </x:c>
    </x:row>
    <x:row r="1231" ht="38" customHeight="1">
      <x:c r="A1231" s="65" t="str">
        <x:f>IF(B1231="","",TEXT(B1231,"yyyy-mm-dd")&amp;"|"&amp;D1231&amp;"|"&amp;E1231)</x:f>
        <x:v>2026-05-15|沙佩科恩斯（Chapecoense AF）|博塔弗戈（Botafogo RJ）</x:v>
      </x:c>
      <x:c r="B1231" s="66" t="n">
        <x:v>46157.208333333336</x:v>
      </x:c>
      <x:c r="C1231" s="65" t="str">
        <x:v>巴西杯（Copa do Brasil）</x:v>
      </x:c>
      <x:c r="D1231" s="65" t="str">
        <x:v>沙佩科恩斯（Chapecoense AF）</x:v>
      </x:c>
      <x:c r="E1231" s="65" t="str">
        <x:v>博塔弗戈（Botafogo RJ）</x:v>
      </x:c>
      <x:c r="F1231" s="65" t="str">
        <x:v>沙佩科恩斯 +0.25（赛中0-0上半场冻结；参考水位0.88-1.00；低于0.80不进单）</x:v>
      </x:c>
      <x:c r="G1231" s="65" t="str">
        <x:v>双方进球 是（替代大小球，参考水位0.82-0.88；传统小2.5低水不进单）</x:v>
      </x:c>
      <x:c r="H1231" s="65" t="str">
        <x:v>小注；不追博塔弗戈-0.25低水；可选大2/2.5高水替代；不加仓</x:v>
      </x:c>
      <x:c r="I1231" s="66" t="n">
        <x:v>46157.24864583334</x:v>
      </x:c>
      <x:c r="J1231" s="65" t="str">
        <x:v>已结算</x:v>
      </x:c>
      <x:c r="K1231" s="65"/>
      <x:c r="L1231" s="65" t="str">
        <x:v>赢</x:v>
      </x:c>
      <x:c r="M1231" s="65" t="str">
        <x:v>输</x:v>
      </x:c>
      <x:c r="N1231" s="67" t="n">
        <x:v>1</x:v>
      </x:c>
      <x:c r="O1231" s="67" t="n">
        <x:v>-1</x:v>
      </x:c>
      <x:c r="P1231" s="67" t="n">
        <x:f>IF(COUNT(N1231:O1231)=0,"",SUM(N1231:O1231))</x:f>
        <x:v>0</x:v>
      </x:c>
      <x:c r="Q1231" s="65"/>
      <x:c r="R1231" s="65" t="str">
        <x:v>90分钟比分：沙佩科恩斯 2-0 博塔弗戈；沙佩科恩斯+0.25赢；双方进球：是因博塔弗戈未进球而输。</x:v>
      </x:c>
    </x:row>
    <x:row r="1232" ht="38" customHeight="1">
      <x:c r="A1232" s="65" t="str">
        <x:f>IF(B1232="","",TEXT(B1232,"yyyy-mm-dd")&amp;"|"&amp;D1232&amp;"|"&amp;E1232)</x:f>
        <x:v>2026-05-15|皇家马德里|皇家奥维耶多</x:v>
      </x:c>
      <x:c r="B1232" s="66" t="n">
        <x:v>46157.145833333336</x:v>
      </x:c>
      <x:c r="C1232" s="65" t="str">
        <x:v>西甲（LaLiga）</x:v>
      </x:c>
      <x:c r="D1232" s="65" t="str">
        <x:v>皇家马德里</x:v>
      </x:c>
      <x:c r="E1232" s="65" t="str">
        <x:v>皇家奥维耶多</x:v>
      </x:c>
      <x:c r="F1232" s="65" t="str">
        <x:v>皇家奥维耶多 +1.75（受让球半/两球，参考港水约0.95；低于0.80不进单）</x:v>
      </x:c>
      <x:c r="G1232" s="65" t="str">
        <x:v>皇家马德里球队进球 小2.5（替代大小球，参考水位0.90+；传统小3.5低水不进单）</x:v>
      </x:c>
      <x:c r="H1232" s="65" t="str">
        <x:v>小注；可选皇家奥维耶多 +1.5 高水保护；不加仓</x:v>
      </x:c>
      <x:c r="I1232" s="66" t="n">
        <x:v>46157.15550925926</x:v>
      </x:c>
      <x:c r="J1232" s="65" t="str">
        <x:v>已结算</x:v>
      </x:c>
      <x:c r="K1232" s="65"/>
      <x:c r="L1232" s="65" t="str">
        <x:v>输半</x:v>
      </x:c>
      <x:c r="M1232" s="65" t="str">
        <x:v>赢</x:v>
      </x:c>
      <x:c r="N1232" s="67" t="n">
        <x:v>-0.5</x:v>
      </x:c>
      <x:c r="O1232" s="67" t="n">
        <x:v>1</x:v>
      </x:c>
      <x:c r="P1232" s="67" t="n">
        <x:f>IF(COUNT(N1232:O1232)=0,"",SUM(N1232:O1232))</x:f>
        <x:v>0.5</x:v>
      </x:c>
      <x:c r="Q1232" s="65"/>
      <x:c r="R1232" s="65" t="str">
        <x:v>90分钟比分：皇家马德里 2-0 皇家奥维耶多；皇家奥维耶多+1.75净负2球，结算输半；皇家马德里球队进球小2.5赢。</x:v>
      </x:c>
    </x:row>
    <x:row r="1233" ht="38" customHeight="1">
      <x:c r="A1233" s="65" t="str">
        <x:f>IF(B1233="","",TEXT(B1233,"yyyy-mm-dd")&amp;"|"&amp;D1233&amp;"|"&amp;E1233)</x:f>
        <x:v>2026-05-15|拉巴斯准备（Always Ready）|最强者（The Strongest）</x:v>
      </x:c>
      <x:c r="B1233" s="66" t="n">
        <x:v>46157.125</x:v>
      </x:c>
      <x:c r="C1233" s="65" t="str">
        <x:v>玻利维亚甲级联赛</x:v>
      </x:c>
      <x:c r="D1233" s="65" t="str">
        <x:v>拉巴斯准备（Always Ready）</x:v>
      </x:c>
      <x:c r="E1233" s="65" t="str">
        <x:v>最强者（The Strongest）</x:v>
      </x:c>
      <x:c r="F1233" s="65" t="str">
        <x:v>拉巴斯准备 -0.25（赛中0-0约33分钟后冻结；参考水位0.82-0.92；低于0.80不进单）</x:v>
      </x:c>
      <x:c r="G1233" s="65" t="str">
        <x:v>小 3/3.25（赛中盘；参考水位0.82-0.92；低于0.80不进单）</x:v>
      </x:c>
      <x:c r="H1233" s="65" t="str">
        <x:v>小注；不追拉巴斯准备-0.75以上深盘；最强者+1.5低水不进单；不加仓</x:v>
      </x:c>
      <x:c r="I1233" s="66" t="n">
        <x:v>46157.14954861111</x:v>
      </x:c>
      <x:c r="J1233" s="65" t="str">
        <x:v>已结算</x:v>
      </x:c>
      <x:c r="K1233" s="65"/>
      <x:c r="L1233" s="65" t="str">
        <x:v>输</x:v>
      </x:c>
      <x:c r="M1233" s="65" t="str">
        <x:v>赢</x:v>
      </x:c>
      <x:c r="N1233" s="67" t="n">
        <x:v>-1</x:v>
      </x:c>
      <x:c r="O1233" s="67" t="n">
        <x:v>1</x:v>
      </x:c>
      <x:c r="P1233" s="67" t="n">
        <x:f>IF(COUNT(N1233:O1233)=0,"",SUM(N1233:O1233))</x:f>
        <x:v>0</x:v>
      </x:c>
      <x:c r="Q1233" s="65"/>
      <x:c r="R1233" s="65" t="str">
        <x:v>90分钟比分：拉巴斯准备 0-1 最强者；拉巴斯准备-0.25输；小3.25/小3.0方向因总进球1赢。</x:v>
      </x:c>
    </x:row>
    <x:row r="1234" ht="38" customHeight="1">
      <x:c r="A1234" s="65" t="str">
        <x:f>IF(B1234="","",TEXT(B1234,"yyyy-mm-dd")&amp;"|"&amp;D1234&amp;"|"&amp;E1234)</x:f>
        <x:v>2026-05-14|El达克尔野|普斯SC</x:v>
      </x:c>
      <x:c r="B1234" s="66" t="n">
        <x:v>46156.895833333336</x:v>
      </x:c>
      <x:c r="C1234" s="65" t="str">
        <x:v>埃及乙级联赛A组（Egyptian Second Division A）</x:v>
      </x:c>
      <x:c r="D1234" s="65" t="str">
        <x:v>El达克尔野</x:v>
      </x:c>
      <x:c r="E1234" s="65" t="str">
        <x:v>普斯SC</x:v>
      </x:c>
      <x:c r="F1234" s="65" t="str">
        <x:v>普斯SC -0.25（平/半，参考水位0.84-0.90；低于0.80不进单）</x:v>
      </x:c>
      <x:c r="G1234" s="65" t="str">
        <x:v>小 2/2.5（2.25，参考水位0.82-0.88；低于0.80不进单）</x:v>
      </x:c>
      <x:c r="H1234" s="65" t="str">
        <x:v>小注；可选普斯SC 0（平手）保护；不加仓</x:v>
      </x:c>
      <x:c r="I1234" s="66" t="n">
        <x:v>46156.91260416667</x:v>
      </x:c>
      <x:c r="J1234" s="65" t="str">
        <x:v>已结算</x:v>
      </x:c>
      <x:c r="K1234" s="65"/>
      <x:c r="L1234" s="65" t="str">
        <x:v>赢</x:v>
      </x:c>
      <x:c r="M1234" s="65" t="str">
        <x:v>赢</x:v>
      </x:c>
      <x:c r="N1234" s="67" t="n">
        <x:v>1</x:v>
      </x:c>
      <x:c r="O1234" s="67" t="n">
        <x:v>1</x:v>
      </x:c>
      <x:c r="P1234" s="67" t="n">
        <x:f>IF(COUNT(N1234:O1234)=0,"",SUM(N1234:O1234))</x:f>
        <x:v>2</x:v>
      </x:c>
      <x:c r="Q1234" s="65"/>
      <x:c r="R1234" s="65" t="str">
        <x:v>90分钟比分：El达克尔野 0-1 普斯SC；普斯SC-0.25赢；小2.25赢。</x:v>
      </x:c>
    </x:row>
    <x:row r="1235" ht="38" customHeight="1">
      <x:c r="A1235" s="65" t="str">
        <x:f>IF(B1235="","",TEXT(B1235,"yyyy-mm-dd")&amp;"|"&amp;D1235&amp;"|"&amp;E1235)</x:f>
        <x:v>2026-05-14|圣吉罗斯（Union SG）|安德莱赫特</x:v>
      </x:c>
      <x:c r="B1235" s="66" t="n">
        <x:v>46156.875</x:v>
      </x:c>
      <x:c r="C1235" s="65" t="str">
        <x:v>比利时杯（Belgian Cup）</x:v>
      </x:c>
      <x:c r="D1235" s="65" t="str">
        <x:v>圣吉罗斯（Union SG）</x:v>
      </x:c>
      <x:c r="E1235" s="65" t="str">
        <x:v>安德莱赫特</x:v>
      </x:c>
      <x:c r="F1235" s="65" t="str">
        <x:v>圣吉罗斯 -0.75（半一，参考水位0.82-0.85；低于0.80不进单）</x:v>
      </x:c>
      <x:c r="G1235" s="65" t="str">
        <x:v>大 2/2.5（2.25，参考水位0.82-0.85；低于0.80不进单）</x:v>
      </x:c>
      <x:c r="H1235" s="65" t="str">
        <x:v>小注；可选圣吉罗斯常规时间胜1.70+；不加仓</x:v>
      </x:c>
      <x:c r="I1235" s="66" t="n">
        <x:v>46156.911828703705</x:v>
      </x:c>
      <x:c r="J1235" s="65" t="str">
        <x:v>已结算</x:v>
      </x:c>
      <x:c r="K1235" s="65"/>
      <x:c r="L1235" s="65" t="str">
        <x:v>输</x:v>
      </x:c>
      <x:c r="M1235" s="65" t="str">
        <x:v>输半</x:v>
      </x:c>
      <x:c r="N1235" s="67" t="n">
        <x:v>-1</x:v>
      </x:c>
      <x:c r="O1235" s="67" t="n">
        <x:v>-0.5</x:v>
      </x:c>
      <x:c r="P1235" s="67" t="n">
        <x:f>IF(COUNT(N1235:O1235)=0,"",SUM(N1235:O1235))</x:f>
        <x:v>-1.5</x:v>
      </x:c>
      <x:c r="Q1235" s="65"/>
      <x:c r="R1235" s="65" t="str">
        <x:v>90分钟比分：圣吉罗斯 1-1 安德莱赫特；加时圣吉罗斯3-1夺冠，加时进球不计常规盘口。圣吉罗斯-0.75输；大2.25按90分钟总进球2结算输半。</x:v>
      </x:c>
    </x:row>
    <x:row r="1236" ht="38" customHeight="1">
      <x:c r="A1236" s="65" t="str">
        <x:f>IF(B1236="","",TEXT(B1236,"yyyy-mm-dd")&amp;"|"&amp;D1236&amp;"|"&amp;E1236)</x:f>
        <x:v>2026-05-14|米亚尔比（Mjällby AIF）|哈马比（Hammarby IF）</x:v>
      </x:c>
      <x:c r="B1236" s="66" t="n">
        <x:v>46156.875</x:v>
      </x:c>
      <x:c r="C1236" s="65" t="str">
        <x:v>瑞典杯（Svenska Cupen）</x:v>
      </x:c>
      <x:c r="D1236" s="65" t="str">
        <x:v>米亚尔比（Mjällby AIF）</x:v>
      </x:c>
      <x:c r="E1236" s="65" t="str">
        <x:v>哈马比（Hammarby IF）</x:v>
      </x:c>
      <x:c r="F1236" s="65" t="str">
        <x:v>哈马比 -0.25（参考水位约0.88-0.95；低于0.80不进单）</x:v>
      </x:c>
      <x:c r="G1236" s="65" t="str">
        <x:v>大2.5（参考水位约0.85以上；若跌破0.80不进单）</x:v>
      </x:c>
      <x:c r="H1236" s="65" t="str">
        <x:v>不加仓；瑞典杯决赛单场仅小注；若哈马比升到-0.5低水或大2.5跌破0.80则放弃</x:v>
      </x:c>
      <x:c r="I1236" s="66" t="n">
        <x:v>46156.910092592596</x:v>
      </x:c>
      <x:c r="J1236" s="65" t="str">
        <x:v>已结算</x:v>
      </x:c>
      <x:c r="K1236" s="65"/>
      <x:c r="L1236" s="65" t="str">
        <x:v>输</x:v>
      </x:c>
      <x:c r="M1236" s="65" t="str">
        <x:v>赢</x:v>
      </x:c>
      <x:c r="N1236" s="67" t="n">
        <x:v>-1</x:v>
      </x:c>
      <x:c r="O1236" s="67" t="n">
        <x:v>1</x:v>
      </x:c>
      <x:c r="P1236" s="67" t="n">
        <x:f>IF(COUNT(N1236:O1236)=0,"",SUM(N1236:O1236))</x:f>
        <x:v>0</x:v>
      </x:c>
      <x:c r="Q1236" s="65"/>
      <x:c r="R1236" s="65" t="str">
        <x:v>90分钟比分：米亚尔比 2-1 哈马比；哈马比-0.25输；大2.5因总进球3赢。</x:v>
      </x:c>
    </x:row>
    <x:row r="1237" ht="38" customHeight="1">
      <x:c r="A1237" s="65" t="str">
        <x:f>IF(B1237="","",TEXT(B1237,"yyyy-mm-dd")&amp;"|"&amp;D1237&amp;"|"&amp;E1237)</x:f>
        <x:v>2026-05-14|蓝十字（Cruz Azul）|瓜达拉哈拉（Chivas Guadalajara）</x:v>
      </x:c>
      <x:c r="B1237" s="66" t="n">
        <x:v>46156.416666666664</x:v>
      </x:c>
      <x:c r="C1237" s="65" t="str">
        <x:v>墨西哥超（Liga MX，Clausura）</x:v>
      </x:c>
      <x:c r="D1237" s="65" t="str">
        <x:v>蓝十字（Cruz Azul）</x:v>
      </x:c>
      <x:c r="E1237" s="65" t="str">
        <x:v>瓜达拉哈拉（Chivas Guadalajara）</x:v>
      </x:c>
      <x:c r="F1237" s="65" t="str">
        <x:v>蓝十字 -0.25（参考水位约0.84；低于0.80不进单）</x:v>
      </x:c>
      <x:c r="G1237" s="65" t="str">
        <x:v>小2.5（参考水位约0.84-0.90；若临场跌破0.80不进单）</x:v>
      </x:c>
      <x:c r="H1237" s="65" t="str">
        <x:v>不加仓；半决赛首回合仅小注；若蓝十字升到-0.5低水或小2.5跌破0.80则放弃</x:v>
      </x:c>
      <x:c r="I1237" s="66" t="n">
        <x:v>46156.42153935185</x:v>
      </x:c>
      <x:c r="J1237" s="65" t="str">
        <x:v>已结算</x:v>
      </x:c>
      <x:c r="K1237" s="65"/>
      <x:c r="L1237" s="65" t="str">
        <x:v>输半</x:v>
      </x:c>
      <x:c r="M1237" s="65" t="str">
        <x:v>输</x:v>
      </x:c>
      <x:c r="N1237" s="67" t="n">
        <x:v>-0.5</x:v>
      </x:c>
      <x:c r="O1237" s="67" t="n">
        <x:v>-1</x:v>
      </x:c>
      <x:c r="P1237" s="67" t="n">
        <x:f>IF(COUNT(N1237:O1237)=0,"",SUM(N1237:O1237))</x:f>
        <x:v>-1.5</x:v>
      </x:c>
      <x:c r="Q1237" s="65"/>
      <x:c r="R1237" s="65" t="str">
        <x:v>90分钟比分：蓝十字 2-2 瓜达拉哈拉；蓝十字-0.25平局输半；小2.5因总进球4输。</x:v>
      </x:c>
    </x:row>
    <x:row r="1238" ht="38" customHeight="1">
      <x:c r="A1238" s="65" t="str">
        <x:f>IF(B1238="","",TEXT(B1238,"yyyy-mm-dd")&amp;"|"&amp;D1238&amp;"|"&amp;E1238)</x:f>
        <x:v>2026-05-14|巴兰基亚青年（Junior FC）|云斯卡尔达斯（Once Caldas）</x:v>
      </x:c>
      <x:c r="B1238" s="66" t="n">
        <x:v>46156.385416666664</x:v>
      </x:c>
      <x:c r="C1238" s="65" t="str">
        <x:v>哥伦比亚甲级联赛（Liga BetPlay DIMAYOR）</x:v>
      </x:c>
      <x:c r="D1238" s="65" t="str">
        <x:v>巴兰基亚青年（Junior FC）</x:v>
      </x:c>
      <x:c r="E1238" s="65" t="str">
        <x:v>云斯卡尔达斯（Once Caldas）</x:v>
      </x:c>
      <x:c r="F1238" s="65" t="str">
        <x:v>巴兰基亚青年 -0.75（参考赛前十进制赔率1.88/港水约0.88；低于0.80不进单）</x:v>
      </x:c>
      <x:c r="G1238" s="65" t="str">
        <x:v>小2.5（参考水位约0.90-0.98；若临场跌破0.80不进单）</x:v>
      </x:c>
      <x:c r="H1238" s="65" t="str">
        <x:v>不加仓；季后赛次回合且即时源显示LIVE，仅按赛前盘口/确认首发小注，不做赛中追单</x:v>
      </x:c>
      <x:c r="I1238" s="66" t="n">
        <x:v>46156.383935185186</x:v>
      </x:c>
      <x:c r="J1238" s="65" t="str">
        <x:v>已结算</x:v>
      </x:c>
      <x:c r="K1238" s="65"/>
      <x:c r="L1238" s="65" t="str">
        <x:v>输</x:v>
      </x:c>
      <x:c r="M1238" s="65" t="str">
        <x:v>输</x:v>
      </x:c>
      <x:c r="N1238" s="67" t="n">
        <x:v>-1</x:v>
      </x:c>
      <x:c r="O1238" s="67" t="n">
        <x:v>-1</x:v>
      </x:c>
      <x:c r="P1238" s="67" t="n">
        <x:f>IF(COUNT(N1238:O1238)=0,"",SUM(N1238:O1238))</x:f>
        <x:v>-2</x:v>
      </x:c>
      <x:c r="Q1238" s="65"/>
      <x:c r="R1238" s="65" t="str">
        <x:v>90分钟比分：巴兰基亚青年 2-2 云斯卡尔达斯；巴兰基亚青年-0.75输；小2.5因总进球4输。</x:v>
      </x:c>
    </x:row>
    <x:row r="1239" ht="38" customHeight="1">
      <x:c r="A1239" s="65" t="str">
        <x:f>IF(B1239="","",TEXT(B1239,"yyyy-mm-dd")&amp;"|"&amp;D1239&amp;"|"&amp;E1239)</x:f>
        <x:v>2026-05-14|达拉斯FC（FC Dallas）|温哥华白帽（Vancouver Whitecaps）</x:v>
      </x:c>
      <x:c r="B1239" s="66" t="n">
        <x:v>46156.354166666664</x:v>
      </x:c>
      <x:c r="C1239" s="65" t="str">
        <x:v>美职联（MLS）</x:v>
      </x:c>
      <x:c r="D1239" s="65" t="str">
        <x:v>达拉斯FC（FC Dallas）</x:v>
      </x:c>
      <x:c r="E1239" s="65" t="str">
        <x:v>温哥华白帽（Vancouver Whitecaps）</x:v>
      </x:c>
      <x:c r="F1239" s="65" t="str">
        <x:v>达拉斯FC +0.5（参考水位约0.82；低于0.80不进单）</x:v>
      </x:c>
      <x:c r="G1239" s="65" t="str">
        <x:v>大3.0（亚洲总进球，参考水位≥0.85；大2.5低水/BTTS Yes低水不进单）</x:v>
      </x:c>
      <x:c r="H1239" s="65" t="str">
        <x:v>不加仓；仅按赛前盘口/确认首发小注，不做赛中追单；若达拉斯+0.5跌破0.80则放弃</x:v>
      </x:c>
      <x:c r="I1239" s="66" t="n">
        <x:v>46156.36335648148</x:v>
      </x:c>
      <x:c r="J1239" s="65" t="str">
        <x:v>已结算</x:v>
      </x:c>
      <x:c r="K1239" s="65"/>
      <x:c r="L1239" s="65" t="str">
        <x:v>输</x:v>
      </x:c>
      <x:c r="M1239" s="65" t="str">
        <x:v>赢</x:v>
      </x:c>
      <x:c r="N1239" s="67" t="n">
        <x:v>-1</x:v>
      </x:c>
      <x:c r="O1239" s="67" t="n">
        <x:v>1</x:v>
      </x:c>
      <x:c r="P1239" s="67" t="n">
        <x:f>IF(COUNT(N1239:O1239)=0,"",SUM(N1239:O1239))</x:f>
        <x:v>0</x:v>
      </x:c>
      <x:c r="Q1239" s="65"/>
      <x:c r="R1239" s="65" t="str">
        <x:v>90分钟比分：达拉斯FC 2-3 温哥华白帽；达拉斯FC+0.5输；大3.0因总进球5赢。</x:v>
      </x:c>
    </x:row>
    <x:row r="1240" ht="38" customHeight="1">
      <x:c r="A1240" s="65" t="str">
        <x:f>IF(B1240="","",TEXT(B1240,"yyyy-mm-dd")&amp;"|"&amp;D1240&amp;"|"&amp;E1240)</x:f>
        <x:v>2026-05-14|玻利瓦尔（Bolívar）|国民波托斯（Nacional Potosí）</x:v>
      </x:c>
      <x:c r="B1240" s="66" t="n">
        <x:v>46156.333333333336</x:v>
      </x:c>
      <x:c r="C1240" s="65" t="str">
        <x:v>玻利维亚甲级联赛</x:v>
      </x:c>
      <x:c r="D1240" s="65" t="str">
        <x:v>玻利瓦尔（Bolívar）</x:v>
      </x:c>
      <x:c r="E1240" s="65" t="str">
        <x:v>国民波托斯（Nacional Potosí）</x:v>
      </x:c>
      <x:c r="F1240" s="65" t="str">
        <x:v>玻利瓦尔 -2.0（参考水位约0.84-0.90；低于0.80不进单）</x:v>
      </x:c>
      <x:c r="G1240" s="65" t="str">
        <x:v>大3.5（参考水位约0.80-0.90；大3.0低水不进单）</x:v>
      </x:c>
      <x:c r="H1240" s="65" t="str">
        <x:v>不加仓；让球小注，大小球更小注；若升到-2.5或以上不追</x:v>
      </x:c>
      <x:c r="I1240" s="66" t="n">
        <x:v>46156.33760416666</x:v>
      </x:c>
      <x:c r="J1240" s="65" t="str">
        <x:v>已结算</x:v>
      </x:c>
      <x:c r="K1240" s="65"/>
      <x:c r="L1240" s="65" t="str">
        <x:v>输</x:v>
      </x:c>
      <x:c r="M1240" s="65" t="str">
        <x:v>输</x:v>
      </x:c>
      <x:c r="N1240" s="67" t="n">
        <x:v>-1</x:v>
      </x:c>
      <x:c r="O1240" s="67" t="n">
        <x:v>-1</x:v>
      </x:c>
      <x:c r="P1240" s="67" t="n">
        <x:f>IF(COUNT(N1240:O1240)=0,"",SUM(N1240:O1240))</x:f>
        <x:v>-2</x:v>
      </x:c>
      <x:c r="Q1240" s="65"/>
      <x:c r="R1240" s="65" t="str">
        <x:v>90分钟比分：玻利瓦尔 1-1 国民波托斯；玻利瓦尔-2.0输；大3.5因总进球2输。</x:v>
      </x:c>
    </x:row>
    <x:row r="1241" ht="38" customHeight="1">
      <x:c r="A1241" s="65" t="str">
        <x:f>IF(B1241="","",TEXT(B1241,"yyyy-mm-dd")&amp;"|"&amp;D1241&amp;"|"&amp;E1241)</x:f>
        <x:v>2026-05-14|奥兰多城（Orlando City SC）|费城联合（Philadelphia Union）</x:v>
      </x:c>
      <x:c r="B1241" s="66" t="n">
        <x:v>46156.3125</x:v>
      </x:c>
      <x:c r="C1241" s="65" t="str">
        <x:v>美职联（MLS）</x:v>
      </x:c>
      <x:c r="D1241" s="65" t="str">
        <x:v>奥兰多城（Orlando City SC）</x:v>
      </x:c>
      <x:c r="E1241" s="65" t="str">
        <x:v>费城联合（Philadelphia Union）</x:v>
      </x:c>
      <x:c r="F1241" s="65" t="str">
        <x:v>费城联合 -0.25（参考赛前水位约0.95-0.98；低于0.80不进单）</x:v>
      </x:c>
      <x:c r="G1241" s="65" t="str">
        <x:v>大3.0（亚洲总进球，参考水位≥0.85；大2.5低水不进单）</x:v>
      </x:c>
      <x:c r="H1241" s="65" t="str">
        <x:v>不加仓；因即时源显示已开赛，仅按赛前盘口/确认首发小注，不做赛中追单；若费城-0.25跌破0.80则放弃</x:v>
      </x:c>
      <x:c r="I1241" s="66" t="n">
        <x:v>46156.3328587963</x:v>
      </x:c>
      <x:c r="J1241" s="65" t="str">
        <x:v>已结算</x:v>
      </x:c>
      <x:c r="K1241" s="65"/>
      <x:c r="L1241" s="65" t="str">
        <x:v>输</x:v>
      </x:c>
      <x:c r="M1241" s="65" t="str">
        <x:v>赢</x:v>
      </x:c>
      <x:c r="N1241" s="67" t="n">
        <x:v>-1</x:v>
      </x:c>
      <x:c r="O1241" s="67" t="n">
        <x:v>1</x:v>
      </x:c>
      <x:c r="P1241" s="67" t="n">
        <x:f>IF(COUNT(N1241:O1241)=0,"",SUM(N1241:O1241))</x:f>
        <x:v>0</x:v>
      </x:c>
      <x:c r="Q1241" s="65"/>
      <x:c r="R1241" s="65" t="str">
        <x:v>90分钟比分：奥兰多城 4-3 费城联合；费城联合-0.25输；大3.0因总进球7赢。</x:v>
      </x:c>
    </x:row>
    <x:row r="1242" ht="38" customHeight="1">
      <x:c r="A1242" s="65" t="str">
        <x:f>IF(B1242="","",TEXT(B1242,"yyyy-mm-dd")&amp;"|"&amp;D1242&amp;"|"&amp;E1242)</x:f>
        <x:v>2026-05-14|辛辛那提（FC Cincinnati）|迈阿密国际（Inter Miami CF）</x:v>
      </x:c>
      <x:c r="B1242" s="66" t="n">
        <x:v>46156.3125</x:v>
      </x:c>
      <x:c r="C1242" s="65" t="str">
        <x:v>美职联（MLS）</x:v>
      </x:c>
      <x:c r="D1242" s="65" t="str">
        <x:v>辛辛那提（FC Cincinnati）</x:v>
      </x:c>
      <x:c r="E1242" s="65" t="str">
        <x:v>迈阿密国际（Inter Miami CF）</x:v>
      </x:c>
      <x:c r="F1242" s="65" t="str">
        <x:v>辛辛那提 +0.25（参考赛前水位约0.89-0.94；低于0.80不进单）</x:v>
      </x:c>
      <x:c r="G1242" s="65" t="str">
        <x:v>小3.5（参考水位约0.90-0.98；大2.5/BTTS Yes低水不进单）</x:v>
      </x:c>
      <x:c r="H1242" s="65" t="str">
        <x:v>不加仓；仅按赛前盘口/确认首发小注，不做赛中追单；若只剩辛辛那提+0.5低水则放弃</x:v>
      </x:c>
      <x:c r="I1242" s="66" t="n">
        <x:v>46156.329988425925</x:v>
      </x:c>
      <x:c r="J1242" s="65" t="str">
        <x:v>已结算</x:v>
      </x:c>
      <x:c r="K1242" s="65"/>
      <x:c r="L1242" s="65" t="str">
        <x:v>输</x:v>
      </x:c>
      <x:c r="M1242" s="65" t="str">
        <x:v>输</x:v>
      </x:c>
      <x:c r="N1242" s="67" t="n">
        <x:v>-1</x:v>
      </x:c>
      <x:c r="O1242" s="67" t="n">
        <x:v>-1</x:v>
      </x:c>
      <x:c r="P1242" s="67" t="n">
        <x:f>IF(COUNT(N1242:O1242)=0,"",SUM(N1242:O1242))</x:f>
        <x:v>-2</x:v>
      </x:c>
      <x:c r="Q1242" s="65"/>
      <x:c r="R1242" s="65" t="str">
        <x:v>90分钟比分：辛辛那提 3-5 迈阿密国际；辛辛那提+0.25输；小3.5因总进球8输。</x:v>
      </x:c>
    </x:row>
    <x:row r="1243" ht="38" customHeight="1">
      <x:c r="A1243" s="65" t="str">
        <x:f>IF(B1243="","",TEXT(B1243,"yyyy-mm-dd")&amp;"|"&amp;D1243&amp;"|"&amp;E1243)</x:f>
        <x:v>2026-05-14|纽约红牛（Red Bull New York）|哥伦布机员（Columbus Crew）</x:v>
      </x:c>
      <x:c r="B1243" s="66" t="n">
        <x:v>46156.3125</x:v>
      </x:c>
      <x:c r="C1243" s="65" t="str">
        <x:v>美职联（MLS）</x:v>
      </x:c>
      <x:c r="D1243" s="65" t="str">
        <x:v>纽约红牛（Red Bull New York）</x:v>
      </x:c>
      <x:c r="E1243" s="65" t="str">
        <x:v>哥伦布机员（Columbus Crew）</x:v>
      </x:c>
      <x:c r="F1243" s="65" t="str">
        <x:v>纽约红牛 0（平手盘/DNB，参考水位约0.90-1.05；低于0.80不进单）</x:v>
      </x:c>
      <x:c r="G1243" s="65" t="str">
        <x:v>大3.0（亚洲总进球，参考水位≥0.85；若只剩大2.5低水则不进单）</x:v>
      </x:c>
      <x:c r="H1243" s="65" t="str">
        <x:v>不加仓；仅按赛前盘口/确认首发小注，不做赛中追单；若只能买红牛+0.25低水则放弃</x:v>
      </x:c>
      <x:c r="I1243" s="66" t="n">
        <x:v>46156.32444444444</x:v>
      </x:c>
      <x:c r="J1243" s="65" t="str">
        <x:v>已结算</x:v>
      </x:c>
      <x:c r="K1243" s="65"/>
      <x:c r="L1243" s="65" t="str">
        <x:v>赢</x:v>
      </x:c>
      <x:c r="M1243" s="65" t="str">
        <x:v>赢</x:v>
      </x:c>
      <x:c r="N1243" s="67" t="n">
        <x:v>1</x:v>
      </x:c>
      <x:c r="O1243" s="67" t="n">
        <x:v>1</x:v>
      </x:c>
      <x:c r="P1243" s="67" t="n">
        <x:f>IF(COUNT(N1243:O1243)=0,"",SUM(N1243:O1243))</x:f>
        <x:v>2</x:v>
      </x:c>
      <x:c r="Q1243" s="65"/>
      <x:c r="R1243" s="65" t="str">
        <x:v>90分钟比分：纽约红牛 3-2 哥伦布机员；纽约红牛0盘赢；大3.0因总进球5赢。</x:v>
      </x:c>
    </x:row>
    <x:row r="1244" ht="38" customHeight="1">
      <x:c r="A1244" s="65" t="str">
        <x:f>IF(B1244="","",TEXT(B1244,"yyyy-mm-dd")&amp;"|"&amp;D1244&amp;"|"&amp;E1244)</x:f>
        <x:v>2026-05-14|柏斯度（Deportivo Pasto）|托利马（Deportes Tolima）</x:v>
      </x:c>
      <x:c r="B1244" s="66" t="n">
        <x:v>46156.291666666664</x:v>
      </x:c>
      <x:c r="C1244" s="65" t="str">
        <x:v>哥伦比亚甲级联赛（Liga BetPlay DIMAYOR）</x:v>
      </x:c>
      <x:c r="D1244" s="65" t="str">
        <x:v>柏斯度（Deportivo Pasto）</x:v>
      </x:c>
      <x:c r="E1244" s="65" t="str">
        <x:v>托利马（Deportes Tolima）</x:v>
      </x:c>
      <x:c r="F1244" s="65" t="str">
        <x:v>柏斯度 -0.25（参考赛前水位约0.89；低于0.80不进单）</x:v>
      </x:c>
      <x:c r="G1244" s="65" t="str">
        <x:v>大小球替代：双方进球 否（BTTS No，参考欧赔约1.80；传统小2.5低水不进单）</x:v>
      </x:c>
      <x:c r="H1244" s="65" t="str">
        <x:v>不加仓；因淘汰赛次回合且即时源显示已开赛，仅按赛前盘口小注，不做赛中追单</x:v>
      </x:c>
      <x:c r="I1244" s="66" t="n">
        <x:v>46156.32202546296</x:v>
      </x:c>
      <x:c r="J1244" s="65" t="str">
        <x:v>已结算</x:v>
      </x:c>
      <x:c r="K1244" s="65"/>
      <x:c r="L1244" s="65" t="str">
        <x:v>输</x:v>
      </x:c>
      <x:c r="M1244" s="65" t="str">
        <x:v>赢</x:v>
      </x:c>
      <x:c r="N1244" s="67" t="n">
        <x:v>-1</x:v>
      </x:c>
      <x:c r="O1244" s="67" t="n">
        <x:v>1</x:v>
      </x:c>
      <x:c r="P1244" s="67" t="n">
        <x:f>IF(COUNT(N1244:O1244)=0,"",SUM(N1244:O1244))</x:f>
        <x:v>0</x:v>
      </x:c>
      <x:c r="Q1244" s="65"/>
      <x:c r="R1244" s="65" t="str">
        <x:v>90分钟比分：柏斯度 0-2 托利马；柏斯度-0.25输；双方进球：否赢。</x:v>
      </x:c>
    </x:row>
    <x:row r="1245" ht="38" customHeight="1">
      <x:c r="A1245" s="65" t="str">
        <x:f>IF(B1245="","",TEXT(B1245,"yyyy-mm-dd")&amp;"|"&amp;D1245&amp;"|"&amp;E1245)</x:f>
        <x:v>2026-05-14|石油独立（Independiente Petrolero）|布鲁明（Blooming）</x:v>
      </x:c>
      <x:c r="B1245" s="66" t="n">
        <x:v>46156.25</x:v>
      </x:c>
      <x:c r="C1245" s="65" t="str">
        <x:v>玻利维亚甲级联赛</x:v>
      </x:c>
      <x:c r="D1245" s="65" t="str">
        <x:v>石油独立（Independiente Petrolero）</x:v>
      </x:c>
      <x:c r="E1245" s="65" t="str">
        <x:v>布鲁明（Blooming）</x:v>
      </x:c>
      <x:c r="F1245" s="65" t="str">
        <x:v>石油独立 -0.25（参考水位约0.86-0.92；低于0.80不进单）</x:v>
      </x:c>
      <x:c r="G1245" s="65" t="str">
        <x:v>大3.0（亚洲总进球，参考水位≥0.80；若只剩大2.5低水则不进单）</x:v>
      </x:c>
      <x:c r="H1245" s="65" t="str">
        <x:v>不加仓；让球小注，大小球更小注；可选替代为BTTS Yes但必须≥1.80</x:v>
      </x:c>
      <x:c r="I1245" s="66" t="n">
        <x:v>46156.19216435185</x:v>
      </x:c>
      <x:c r="J1245" s="65" t="str">
        <x:v>已结算</x:v>
      </x:c>
      <x:c r="K1245" s="65"/>
      <x:c r="L1245" s="65" t="str">
        <x:v>赢</x:v>
      </x:c>
      <x:c r="M1245" s="65" t="str">
        <x:v>赢</x:v>
      </x:c>
      <x:c r="N1245" s="67" t="n">
        <x:v>1</x:v>
      </x:c>
      <x:c r="O1245" s="67" t="n">
        <x:v>1</x:v>
      </x:c>
      <x:c r="P1245" s="67" t="n">
        <x:f>IF(COUNT(N1245:O1245)=0,"",SUM(N1245:O1245))</x:f>
        <x:v>2</x:v>
      </x:c>
      <x:c r="Q1245" s="65"/>
      <x:c r="R1245" s="65" t="str">
        <x:v>90分钟比分：石油独立 3-1 布鲁明；石油独立-0.25赢；大3.0因总进球4赢。</x:v>
      </x:c>
    </x:row>
    <x:row r="1246" ht="38" customHeight="1">
      <x:c r="A1246" s="65" t="str">
        <x:f>IF(B1246="","",TEXT(B1246,"yyyy-mm-dd")&amp;"|"&amp;D1246&amp;"|"&amp;E1246)</x:f>
        <x:v>2026-05-14|曼城（Manchester City）|水晶宫（Crystal Palace）</x:v>
      </x:c>
      <x:c r="B1246" s="66" t="n">
        <x:v>46156.125</x:v>
      </x:c>
      <x:c r="C1246" s="65" t="str">
        <x:v>英格兰超级联赛（Premier League）</x:v>
      </x:c>
      <x:c r="D1246" s="65" t="str">
        <x:v>曼城（Manchester City）</x:v>
      </x:c>
      <x:c r="E1246" s="65" t="str">
        <x:v>水晶宫（Crystal Palace）</x:v>
      </x:c>
      <x:c r="F1246" s="65" t="str">
        <x:v>曼城 -1.5（参考水位约0.80；若只剩-1.75则降级小注，低于0.80不进单）</x:v>
      </x:c>
      <x:c r="G1246" s="65" t="str">
        <x:v>大小球替代：双方进球 否（BTTS No，参考欧赔1.82；传统小3.5低水不进单）</x:v>
      </x:c>
      <x:c r="H1246" s="65" t="str">
        <x:v>不加仓；让球主推小注，BTTS No小注；不追曼城-2低容错深盘</x:v>
      </x:c>
      <x:c r="I1246" s="66" t="n">
        <x:v>46156.13815972222</x:v>
      </x:c>
      <x:c r="J1246" s="65" t="str">
        <x:v>已结算</x:v>
      </x:c>
      <x:c r="K1246" s="65"/>
      <x:c r="L1246" s="65" t="str">
        <x:v>赢</x:v>
      </x:c>
      <x:c r="M1246" s="65" t="str">
        <x:v>赢</x:v>
      </x:c>
      <x:c r="N1246" s="67" t="n">
        <x:v>1</x:v>
      </x:c>
      <x:c r="O1246" s="67" t="n">
        <x:v>1</x:v>
      </x:c>
      <x:c r="P1246" s="67" t="n">
        <x:f>IF(COUNT(N1246:O1246)=0,"",SUM(N1246:O1246))</x:f>
        <x:v>2</x:v>
      </x:c>
      <x:c r="Q1246" s="65"/>
      <x:c r="R1246" s="65" t="str">
        <x:v>90分钟比分：曼城 3-0 水晶宫；曼城-1.5赢；双方进球：否赢。</x:v>
      </x:c>
    </x:row>
    <x:row r="1247" ht="38" customHeight="1">
      <x:c r="A1247" s="65" t="str">
        <x:f>IF(B1247="","",TEXT(B1247,"yyyy-mm-dd")&amp;"|"&amp;D1247&amp;"|"&amp;E1247)</x:f>
        <x:v>2026-05-14|朗斯（RC Lens）|巴黎圣日耳曼（PSG）</x:v>
      </x:c>
      <x:c r="B1247" s="66" t="n">
        <x:v>46156.125</x:v>
      </x:c>
      <x:c r="C1247" s="65" t="str">
        <x:v>法甲（Ligue 1）</x:v>
      </x:c>
      <x:c r="D1247" s="65" t="str">
        <x:v>朗斯（RC Lens）</x:v>
      </x:c>
      <x:c r="E1247" s="65" t="str">
        <x:v>巴黎圣日耳曼（PSG）</x:v>
      </x:c>
      <x:c r="F1247" s="65" t="str">
        <x:v>巴黎圣日耳曼 -0.25（参考水位约0.85，低于0.80不进单）</x:v>
      </x:c>
      <x:c r="G1247" s="65" t="str">
        <x:v>大3.5（参考水位约1.18，小注；大2.5低水不进单）</x:v>
      </x:c>
      <x:c r="H1247" s="65" t="str">
        <x:v>不加仓；让球为主推，大小球仅小注</x:v>
      </x:c>
      <x:c r="I1247" s="66" t="n">
        <x:v>46156.13548611111</x:v>
      </x:c>
      <x:c r="J1247" s="65" t="str">
        <x:v>已结算</x:v>
      </x:c>
      <x:c r="K1247" s="65"/>
      <x:c r="L1247" s="65" t="str">
        <x:v>赢</x:v>
      </x:c>
      <x:c r="M1247" s="65" t="str">
        <x:v>输</x:v>
      </x:c>
      <x:c r="N1247" s="67" t="n">
        <x:v>1</x:v>
      </x:c>
      <x:c r="O1247" s="67" t="n">
        <x:v>-1</x:v>
      </x:c>
      <x:c r="P1247" s="67" t="n">
        <x:f>IF(COUNT(N1247:O1247)=0,"",SUM(N1247:O1247))</x:f>
        <x:v>0</x:v>
      </x:c>
      <x:c r="Q1247" s="65"/>
      <x:c r="R1247" s="65" t="str">
        <x:v>90分钟比分：朗斯 0-2 巴黎圣日耳曼；巴黎圣日耳曼-0.25赢；大3.5因总进球2输。</x:v>
      </x:c>
    </x:row>
    <x:row r="1248" ht="38" customHeight="1">
      <x:c r="A1248" s="65" t="str">
        <x:f>IF(B1248="","",TEXT(B1248,"yyyy-mm-dd")&amp;"|"&amp;D1248&amp;"|"&amp;E1248)</x:f>
        <x:v>2026-05-13|武里南联|柔佛新山</x:v>
      </x:c>
      <x:c r="B1248" s="66" t="n">
        <x:v>46155.833333333336</x:v>
      </x:c>
      <x:c r="C1248" s="65" t="str">
        <x:v>东盟锦标</x:v>
      </x:c>
      <x:c r="D1248" s="65" t="str">
        <x:v>武里南联</x:v>
      </x:c>
      <x:c r="E1248" s="65" t="str">
        <x:v>柔佛新山</x:v>
      </x:c>
      <x:c r="F1248" s="65" t="str">
        <x:v>武里南联 +0.25（≥0.80）</x:v>
      </x:c>
      <x:c r="G1248" s="65" t="str">
        <x:v>大 2.5（≥0.80；低于0.80不进单）</x:v>
      </x:c>
      <x:c r="H1248" s="65" t="str">
        <x:v>小注；若临场只能拿到武里南联+0.5且低于0.80则放弃；大2.5低于0.80不进单</x:v>
      </x:c>
      <x:c r="I1248" s="66" t="n">
        <x:v>46155.838472222225</x:v>
      </x:c>
      <x:c r="J1248" s="65" t="str">
        <x:v>已结算</x:v>
      </x:c>
      <x:c r="K1248" s="65"/>
      <x:c r="L1248" s="65" t="str">
        <x:v>输</x:v>
      </x:c>
      <x:c r="M1248" s="65" t="str">
        <x:v>输</x:v>
      </x:c>
      <x:c r="N1248" s="67" t="n">
        <x:v>-1</x:v>
      </x:c>
      <x:c r="O1248" s="67" t="n">
        <x:v>-1</x:v>
      </x:c>
      <x:c r="P1248" s="67" t="n">
        <x:f>IF(COUNT(N1248:O1248)=0,"",SUM(N1248:O1248))</x:f>
        <x:v>-2</x:v>
      </x:c>
      <x:c r="Q1248" s="65"/>
      <x:c r="R1248" s="65" t="str">
        <x:v>90分钟比分：武里南联 0-2 柔佛新山；加时后武里南联1-2、总比分4-3晋级，加时进球不计常规盘口。武里南联+0.25输；大2.5按90分钟总进球2输。</x:v>
      </x:c>
    </x:row>
    <x:row r="1249" ht="38" customHeight="1">
      <x:c r="A1249" s="65" t="str">
        <x:f>IF(B1249="","",TEXT(B1249,"yyyy-mm-dd")&amp;"|"&amp;D1249&amp;"|"&amp;E1249)</x:f>
        <x:v>2026-05-13|富川FC 1995|全北现代汽车</x:v>
      </x:c>
      <x:c r="B1249" s="66" t="n">
        <x:v>46155.770833333336</x:v>
      </x:c>
      <x:c r="C1249" s="65" t="str">
        <x:v>韩国K联赛1（K League 1）</x:v>
      </x:c>
      <x:c r="D1249" s="65" t="str">
        <x:v>富川FC 1995</x:v>
      </x:c>
      <x:c r="E1249" s="65" t="str">
        <x:v>全北现代汽车</x:v>
      </x:c>
      <x:c r="F1249" s="65" t="str">
        <x:v>全北现代汽车 -0.75（客让0.75；水位≥0.80才进，低于0.80不进）</x:v>
      </x:c>
      <x:c r="G1249" s="65" t="str">
        <x:v>大2.0（亚洲大小2球；水位≥0.80才进，低于0.80不进，小注）</x:v>
      </x:c>
      <x:c r="H1249" s="65" t="str">
        <x:v>可选：全北现代汽车客胜，参考1.76-1.80/等效水位≥0.80；不追全北-1低水</x:v>
      </x:c>
      <x:c r="I1249" s="66" t="n">
        <x:v>46155.66809027778</x:v>
      </x:c>
      <x:c r="J1249" s="65" t="str">
        <x:v>已结算</x:v>
      </x:c>
      <x:c r="K1249" s="65"/>
      <x:c r="L1249" s="65" t="str">
        <x:v>输</x:v>
      </x:c>
      <x:c r="M1249" s="65" t="str">
        <x:v>输</x:v>
      </x:c>
      <x:c r="N1249" s="67" t="n">
        <x:v>-1</x:v>
      </x:c>
      <x:c r="O1249" s="67" t="n">
        <x:v>-1</x:v>
      </x:c>
      <x:c r="P1249" s="67" t="n">
        <x:f>IF(COUNT(N1249:O1249)=0,"",SUM(N1249:O1249))</x:f>
        <x:v>-2</x:v>
      </x:c>
      <x:c r="Q1249" s="65"/>
      <x:c r="R1249" s="65" t="str">
        <x:v>90分钟比分：富川FC 1995 0-0 全北现代汽车；全北现代汽车-0.75输；大2.0输。</x:v>
      </x:c>
    </x:row>
    <x:row r="1250" ht="38" customHeight="1">
      <x:c r="A1250" s="65" t="str">
        <x:f>IF(B1250="","",TEXT(B1250,"yyyy-mm-dd")&amp;"|"&amp;D1250&amp;"|"&amp;E1250)</x:f>
        <x:v>2026-05-13|神户胜利船|京都不死鸟</x:v>
      </x:c>
      <x:c r="B1250" s="66" t="n">
        <x:v>46155.75</x:v>
      </x:c>
      <x:c r="C1250" s="65" t="str">
        <x:v>日职联（J1 League）</x:v>
      </x:c>
      <x:c r="D1250" s="65" t="str">
        <x:v>神户胜利船</x:v>
      </x:c>
      <x:c r="E1250" s="65" t="str">
        <x:v>京都不死鸟</x:v>
      </x:c>
      <x:c r="F1250" s="65" t="str">
        <x:v>神户胜利船 -1（参考欧赔2.29/港水约1.29；低于0.80不进）</x:v>
      </x:c>
      <x:c r="G1250" s="65" t="str">
        <x:v>大2.5（参考1.82/港水约0.82；小注，低于0.80不进）</x:v>
      </x:c>
      <x:c r="H1250" s="65" t="str">
        <x:v>可选：双方进球 是（约1.87-1.90）；主推让球小中注，大小球小注</x:v>
      </x:c>
      <x:c r="I1250" s="66" t="n">
        <x:v>46155.665613425925</x:v>
      </x:c>
      <x:c r="J1250" s="65" t="str">
        <x:v>已结算</x:v>
      </x:c>
      <x:c r="K1250" s="65"/>
      <x:c r="L1250" s="65" t="str">
        <x:v>走水</x:v>
      </x:c>
      <x:c r="M1250" s="65" t="str">
        <x:v>输</x:v>
      </x:c>
      <x:c r="N1250" s="67" t="n">
        <x:v>0</x:v>
      </x:c>
      <x:c r="O1250" s="67" t="n">
        <x:v>-1</x:v>
      </x:c>
      <x:c r="P1250" s="67" t="n">
        <x:f>IF(COUNT(N1250:O1250)=0,"",SUM(N1250:O1250))</x:f>
        <x:v>-1</x:v>
      </x:c>
      <x:c r="Q1250" s="65"/>
      <x:c r="R1250" s="65" t="str">
        <x:v>90分钟比分：神户胜利船 1-0 京都不死鸟；神户胜利船-1走水；大2.5输。</x:v>
      </x:c>
    </x:row>
    <x:row r="1251" ht="38" customHeight="1">
      <x:c r="A1251" s="65" t="str">
        <x:f>IF(B1251="","",TEXT(B1251,"yyyy-mm-dd")&amp;"|"&amp;D1251&amp;"|"&amp;E1251)</x:f>
        <x:v>2026-05-13|鸟取飞翔|滋贺湖王（Reilac Shiga FC）</x:v>
      </x:c>
      <x:c r="B1251" s="66" t="n">
        <x:v>46155.708333333336</x:v>
      </x:c>
      <x:c r="C1251" s="65" t="str">
        <x:v>日职 明治安田J2·J3百年构想联赛</x:v>
      </x:c>
      <x:c r="D1251" s="65" t="str">
        <x:v>鸟取飞翔</x:v>
      </x:c>
      <x:c r="E1251" s="65" t="str">
        <x:v>滋贺湖王（Reilac Shiga FC）</x:v>
      </x:c>
      <x:c r="F1251" s="65" t="str">
        <x:v>鸟取飞翔 -0.25（主让0/0.5；水位≥0.80才进，低于0.80不进）</x:v>
      </x:c>
      <x:c r="G1251" s="65" t="str">
        <x:v>小2.5（水位≥0.80才进，低于0.80不进）</x:v>
      </x:c>
      <x:c r="H1251" s="65" t="str">
        <x:v>可选：鸟取飞翔不败方向仅作串关保护；若鸟取升到-0.5低水或小2.5低于0.80，放弃不追</x:v>
      </x:c>
      <x:c r="I1251" s="66" t="n">
        <x:v>46155.67239583333</x:v>
      </x:c>
      <x:c r="J1251" s="65" t="str">
        <x:v>已结算</x:v>
      </x:c>
      <x:c r="K1251" s="65"/>
      <x:c r="L1251" s="65" t="str">
        <x:v>赢</x:v>
      </x:c>
      <x:c r="M1251" s="65" t="str">
        <x:v>输</x:v>
      </x:c>
      <x:c r="N1251" s="67" t="n">
        <x:v>1</x:v>
      </x:c>
      <x:c r="O1251" s="67" t="n">
        <x:v>-1</x:v>
      </x:c>
      <x:c r="P1251" s="67" t="n">
        <x:f>IF(COUNT(N1251:O1251)=0,"",SUM(N1251:O1251))</x:f>
        <x:v>0</x:v>
      </x:c>
      <x:c r="Q1251" s="65"/>
      <x:c r="R1251" s="65" t="str">
        <x:v>90分钟比分：鸟取飞翔 3-2 滋贺湖王；鸟取飞翔-0.25赢；小2.5因总进球5输。</x:v>
      </x:c>
    </x:row>
    <x:row r="1252" ht="38" customHeight="1">
      <x:c r="A1252" s="65" t="str">
        <x:f>IF(B1252="","",TEXT(B1252,"yyyy-mm-dd")&amp;"|"&amp;D1252&amp;"|"&amp;E1252)</x:f>
        <x:v>2026-05-13|CD奥林匹亚|伊斯柏纳（Real España）</x:v>
      </x:c>
      <x:c r="B1252" s="66" t="n">
        <x:v>46155.427083333336</x:v>
      </x:c>
      <x:c r="C1252" s="65" t="str">
        <x:v>洪都拉斯甲级联赛（Clausura）</x:v>
      </x:c>
      <x:c r="D1252" s="65" t="str">
        <x:v>CD奥林匹亚</x:v>
      </x:c>
      <x:c r="E1252" s="65" t="str">
        <x:v>伊斯柏纳（Real España）</x:v>
      </x:c>
      <x:c r="F1252" s="65" t="str">
        <x:v>伊斯柏纳（Real España）+0.5，水位约1.95-2.00；低于0.80不进单</x:v>
      </x:c>
      <x:c r="G1252" s="65" t="str">
        <x:v>大2.5球，水位约1.90-1.93；低于0.80不进单</x:v>
      </x:c>
      <x:c r="H1252" s="65" t="str">
        <x:v>小注；可选双方进球Yes（需≥0.80水位），不加仓让球</x:v>
      </x:c>
      <x:c r="I1252" s="66" t="n">
        <x:v>46155.43208333333</x:v>
      </x:c>
      <x:c r="J1252" s="65" t="str">
        <x:v>已结算</x:v>
      </x:c>
      <x:c r="K1252" s="65"/>
      <x:c r="L1252" s="65" t="str">
        <x:v>输</x:v>
      </x:c>
      <x:c r="M1252" s="65" t="str">
        <x:v>赢</x:v>
      </x:c>
      <x:c r="N1252" s="67" t="n">
        <x:v>-1</x:v>
      </x:c>
      <x:c r="O1252" s="67" t="n">
        <x:v>1</x:v>
      </x:c>
      <x:c r="P1252" s="67" t="n">
        <x:f>IF(COUNT(N1252:O1252)=0,"",SUM(N1252:O1252))</x:f>
        <x:v>0</x:v>
      </x:c>
      <x:c r="Q1252" s="65"/>
      <x:c r="R1252" s="65" t="str">
        <x:v>90分钟比分：CD奥林匹亚 3-2 伊斯柏纳；伊斯柏纳+0.5输；大2.5赢。</x:v>
      </x:c>
    </x:row>
    <x:row r="1253" ht="38" customHeight="1">
      <x:c r="A1253" s="65" t="str">
        <x:f>IF(B1253="","",TEXT(B1253,"yyyy-mm-dd")&amp;"|"&amp;D1253&amp;"|"&amp;E1253)</x:f>
        <x:v>2026-05-13|独立圣菲（Independiente Santa Fe）|卡利美洲（América de Cali）</x:v>
      </x:c>
      <x:c r="B1253" s="66" t="n">
        <x:v>46155.395833333336</x:v>
      </x:c>
      <x:c r="C1253" s="65" t="str">
        <x:v>哥伦比亚甲级联赛（Liga BetPlay DIMAYOR）</x:v>
      </x:c>
      <x:c r="D1253" s="65" t="str">
        <x:v>独立圣菲（Independiente Santa Fe）</x:v>
      </x:c>
      <x:c r="E1253" s="65" t="str">
        <x:v>卡利美洲（América de Cali）</x:v>
      </x:c>
      <x:c r="F1253" s="65" t="str">
        <x:v>独立圣菲 -0.25（参考decimal 1.81/HK约0.81，水位≥0.80才进；若临场降到低水或升-0.5低水不进）</x:v>
      </x:c>
      <x:c r="G1253" s="65" t="str">
        <x:v>双方进球 是（BTTS Yes，参考decimal 1.81-2.00，水位≥0.80才进；传统小2.5若低水不进）</x:v>
      </x:c>
      <x:c r="H1253" s="65" t="str">
        <x:v>小注；不加仓。小2.75若≥0.80可观察，低于0.80不进；不追圣菲主胜单挑低水</x:v>
      </x:c>
      <x:c r="I1253" s="66" t="n">
        <x:v>46155.37284722222</x:v>
      </x:c>
      <x:c r="J1253" s="65" t="str">
        <x:v>已结算</x:v>
      </x:c>
      <x:c r="K1253" s="65"/>
      <x:c r="L1253" s="65" t="str">
        <x:v>赢</x:v>
      </x:c>
      <x:c r="M1253" s="65" t="str">
        <x:v>输</x:v>
      </x:c>
      <x:c r="N1253" s="67" t="n">
        <x:v>1</x:v>
      </x:c>
      <x:c r="O1253" s="67" t="n">
        <x:v>-1</x:v>
      </x:c>
      <x:c r="P1253" s="67" t="n">
        <x:f>IF(COUNT(N1253:O1253)=0,"",SUM(N1253:O1253))</x:f>
        <x:v>0</x:v>
      </x:c>
      <x:c r="Q1253" s="65"/>
      <x:c r="R1253" s="65" t="str">
        <x:v>90分钟比分：独立圣菲 4-0 卡利美洲；独立圣菲-0.25赢；双方进球：是因卡利美洲未进球而输。</x:v>
      </x:c>
    </x:row>
    <x:row r="1254" ht="38" customHeight="1">
      <x:c r="A1254" s="65" t="str">
        <x:f>IF(B1254="","",TEXT(B1254,"yyyy-mm-dd")&amp;"|"&amp;D1254&amp;"|"&amp;E1254)</x:f>
        <x:v>2026-05-13|奥罗拉（Club Aurora）|皇家奥鲁罗（CDT Real Oruro）</x:v>
      </x:c>
      <x:c r="B1254" s="66" t="n">
        <x:v>46155.333333333336</x:v>
      </x:c>
      <x:c r="C1254" s="65" t="str">
        <x:v>玻利维亚甲级联赛</x:v>
      </x:c>
      <x:c r="D1254" s="65" t="str">
        <x:v>奥罗拉（Club Aurora）</x:v>
      </x:c>
      <x:c r="E1254" s="65" t="str">
        <x:v>皇家奥鲁罗（CDT Real Oruro）</x:v>
      </x:c>
      <x:c r="F1254" s="65" t="str">
        <x:v>皇家奥鲁罗 +1.25（若水位≥0.80才进；奥罗拉-1/-1.25低水不进）</x:v>
      </x:c>
      <x:c r="G1254" s="65" t="str">
        <x:v>大 2.75（优先，水位≥0.80才进；若只有大2.5低水不进，可改观察BTTS 是但1.36低水不进）</x:v>
      </x:c>
      <x:c r="H1254" s="65" t="str">
        <x:v>小注；不加仓。主胜1.45-1.56太热，不单挑；若临场皇家奥鲁罗+1.0且水位≥0.95才可观察</x:v>
      </x:c>
      <x:c r="I1254" s="66" t="n">
        <x:v>46155.31234953704</x:v>
      </x:c>
      <x:c r="J1254" s="65" t="str">
        <x:v>已结算</x:v>
      </x:c>
      <x:c r="K1254" s="65"/>
      <x:c r="L1254" s="65" t="str">
        <x:v>赢</x:v>
      </x:c>
      <x:c r="M1254" s="65" t="str">
        <x:v>输</x:v>
      </x:c>
      <x:c r="N1254" s="67" t="n">
        <x:v>1</x:v>
      </x:c>
      <x:c r="O1254" s="67" t="n">
        <x:v>-1</x:v>
      </x:c>
      <x:c r="P1254" s="67" t="n">
        <x:f>IF(COUNT(N1254:O1254)=0,"",SUM(N1254:O1254))</x:f>
        <x:v>0</x:v>
      </x:c>
      <x:c r="Q1254" s="65"/>
      <x:c r="R1254" s="65" t="str">
        <x:v>90分钟比分：奥罗拉 1-1 皇家奥鲁罗；皇家奥鲁罗+1.25赢；大2.75因总进球2输。</x:v>
      </x:c>
    </x:row>
    <x:row r="1255" ht="38" customHeight="1">
      <x:c r="A1255" s="65" t="str">
        <x:f>IF(B1255="","",TEXT(B1255,"yyyy-mm-dd")&amp;"|"&amp;D1255&amp;"|"&amp;E1255)</x:f>
        <x:v>2026-05-13|国民竞技（Atlético Nacional）|波哥大国际（Internacional de Bogotá / Inter Bogotá）</x:v>
      </x:c>
      <x:c r="B1255" s="66" t="n">
        <x:v>46155.305555555555</x:v>
      </x:c>
      <x:c r="C1255" s="65" t="str">
        <x:v>哥伦比亚甲级联赛（Liga BetPlay DIMAYOR）</x:v>
      </x:c>
      <x:c r="D1255" s="65" t="str">
        <x:v>国民竞技（Atlético Nacional）</x:v>
      </x:c>
      <x:c r="E1255" s="65" t="str">
        <x:v>波哥大国际（Internacional de Bogotá / Inter Bogotá）</x:v>
      </x:c>
      <x:c r="F1255" s="65" t="str">
        <x:v>波哥大国际 +1.25（参考decimal约1.90，水位≥0.80才进；国民竞技-1/-1.25低水不进）</x:v>
      </x:c>
      <x:c r="G1255" s="65" t="str">
        <x:v>小 2.5（参考decimal约2.05-2.15，水位≥0.80才进；大2.5低水不进）</x:v>
      </x:c>
      <x:c r="H1255" s="65" t="str">
        <x:v>小注；不加仓。若临场退到波哥大国际+1.0且水位仍≥0.95才可观察，否则放弃</x:v>
      </x:c>
      <x:c r="I1255" s="66" t="n">
        <x:v>46155.3044212963</x:v>
      </x:c>
      <x:c r="J1255" s="65" t="str">
        <x:v>已结算</x:v>
      </x:c>
      <x:c r="K1255" s="65"/>
      <x:c r="L1255" s="65" t="str">
        <x:v>输</x:v>
      </x:c>
      <x:c r="M1255" s="65" t="str">
        <x:v>输</x:v>
      </x:c>
      <x:c r="N1255" s="67" t="n">
        <x:v>-1</x:v>
      </x:c>
      <x:c r="O1255" s="67" t="n">
        <x:v>-1</x:v>
      </x:c>
      <x:c r="P1255" s="67" t="n">
        <x:f>IF(COUNT(N1255:O1255)=0,"",SUM(N1255:O1255))</x:f>
        <x:v>-2</x:v>
      </x:c>
      <x:c r="Q1255" s="65"/>
      <x:c r="R1255" s="65" t="str">
        <x:v>90分钟比分：国民竞技 7-1 波哥大国际；波哥大国际+1.25输；小2.5因总进球8输。</x:v>
      </x:c>
    </x:row>
    <x:row r="1256" ht="38" customHeight="1">
      <x:c r="A1256" s="65" t="str">
        <x:f>IF(B1256="","",TEXT(B1256,"yyyy-mm-dd")&amp;"|"&amp;D1256&amp;"|"&amp;E1256)</x:f>
        <x:v>2026-05-13|贝尔格拉诺（Belgrano）|圣塔菲联（Unión Santa Fe）</x:v>
      </x:c>
      <x:c r="B1256" s="66" t="n">
        <x:v>46155.25</x:v>
      </x:c>
      <x:c r="C1256" s="65" t="str">
        <x:v>阿根廷职业联赛（Liga Profesional·Apertura）</x:v>
      </x:c>
      <x:c r="D1256" s="65" t="str">
        <x:v>贝尔格拉诺（Belgrano）</x:v>
      </x:c>
      <x:c r="E1256" s="65" t="str">
        <x:v>圣塔菲联（Unión Santa Fe）</x:v>
      </x:c>
      <x:c r="F1256" s="65" t="str">
        <x:v>贝尔格拉诺 -0.25（参考decimal约1.96，水位≥0.80才进；若降到低水或升到-0.5低水则不进）</x:v>
      </x:c>
      <x:c r="G1256" s="65" t="str">
        <x:v>传统小2.5低水不进；进球替代推荐：双方进球 是（BTTS Yes，参考2.05-2.10，水位≥0.80才进；若只做总进球，大2.5仅极小注）</x:v>
      </x:c>
      <x:c r="H1256" s="65" t="str">
        <x:v>小注；不加仓。贝尔格拉诺主胜可作高水替代但不追深盘，低于0.80不进单</x:v>
      </x:c>
      <x:c r="I1256" s="66" t="n">
        <x:v>46155.30328703704</x:v>
      </x:c>
      <x:c r="J1256" s="65" t="str">
        <x:v>已结算</x:v>
      </x:c>
      <x:c r="K1256" s="65"/>
      <x:c r="L1256" s="65" t="str">
        <x:v>赢</x:v>
      </x:c>
      <x:c r="M1256" s="65" t="str">
        <x:v>输</x:v>
      </x:c>
      <x:c r="N1256" s="67" t="n">
        <x:v>1</x:v>
      </x:c>
      <x:c r="O1256" s="67" t="n">
        <x:v>-1</x:v>
      </x:c>
      <x:c r="P1256" s="67" t="n">
        <x:f>IF(COUNT(N1256:O1256)=0,"",SUM(N1256:O1256))</x:f>
        <x:v>0</x:v>
      </x:c>
      <x:c r="Q1256" s="65"/>
      <x:c r="R1256" s="65" t="str">
        <x:v>90分钟比分：贝尔格拉诺 2-0 圣塔菲联；贝尔格拉诺-0.25赢；双方进球：是因圣塔菲联未进球而输。</x:v>
      </x:c>
    </x:row>
    <x:row r="1257" ht="38" customHeight="1">
      <x:c r="A1257" s="65" t="str">
        <x:f>IF(B1257="","",TEXT(B1257,"yyyy-mm-dd")&amp;"|"&amp;D1257&amp;"|"&amp;E1257)</x:f>
        <x:v>2026-05-13|马达莱纳联盟（Unión Magdalena）|皇家卡塔赫纳（Real Cartagena）</x:v>
      </x:c>
      <x:c r="B1257" s="66" t="n">
        <x:v>46155.208333333336</x:v>
      </x:c>
      <x:c r="C1257" s="65" t="str">
        <x:v>哥伦比亚乙级联赛（Primera B / Torneo BetPlay Apertura）</x:v>
      </x:c>
      <x:c r="D1257" s="65" t="str">
        <x:v>马达莱纳联盟（Unión Magdalena）</x:v>
      </x:c>
      <x:c r="E1257" s="65" t="str">
        <x:v>皇家卡塔赫纳（Real Cartagena）</x:v>
      </x:c>
      <x:c r="F1257" s="65" t="str">
        <x:v>马达莱纳联盟 -0.5（等同主胜，参考decimal约1.96-2.02，水位≥0.80才进；若临场降到低水或只能拿主队0盘低水则不进）</x:v>
      </x:c>
      <x:c r="G1257" s="65" t="str">
        <x:v>小 2.75（优先）/ 小 2.5需水位≥0.80才进；若小2.5低于0.80则放弃，2.5大球虽有高水但不作主推</x:v>
      </x:c>
      <x:c r="H1257" s="65" t="str">
        <x:v>小注；不加仓。皇家卡塔赫纳X2约1.75/HK0.75低于0.80，不进单</x:v>
      </x:c>
      <x:c r="I1257" s="66" t="n">
        <x:v>46155.25460648148</x:v>
      </x:c>
      <x:c r="J1257" s="65" t="str">
        <x:v>已结算</x:v>
      </x:c>
      <x:c r="K1257" s="65"/>
      <x:c r="L1257" s="65" t="str">
        <x:v>赢</x:v>
      </x:c>
      <x:c r="M1257" s="65" t="str">
        <x:v>输</x:v>
      </x:c>
      <x:c r="N1257" s="67" t="n">
        <x:v>1</x:v>
      </x:c>
      <x:c r="O1257" s="67" t="n">
        <x:v>-1</x:v>
      </x:c>
      <x:c r="P1257" s="67" t="n">
        <x:f>IF(COUNT(N1257:O1257)=0,"",SUM(N1257:O1257))</x:f>
        <x:v>0</x:v>
      </x:c>
      <x:c r="Q1257" s="65"/>
      <x:c r="R1257" s="65" t="str">
        <x:v>90分钟比分：马达莱纳联盟 3-0 皇家卡塔赫纳；马达莱纳联盟-0.5赢；小2.75因总进球3输。</x:v>
      </x:c>
    </x:row>
    <x:row r="1258" ht="38" customHeight="1">
      <x:c r="A1258" s="65" t="str">
        <x:f>IF(B1258="","",TEXT(B1258,"yyyy-mm-dd")&amp;"|"&amp;D1258&amp;"|"&amp;E1258)</x:f>
        <x:v>2026-05-13|南安普顿（Southampton）|米德尔斯堡（Middlesbrough）</x:v>
      </x:c>
      <x:c r="B1258" s="66" t="n">
        <x:v>46155.125</x:v>
      </x:c>
      <x:c r="C1258" s="65" t="str">
        <x:v>英格兰冠军联赛（英冠）</x:v>
      </x:c>
      <x:c r="D1258" s="65" t="str">
        <x:v>南安普顿（Southampton）</x:v>
      </x:c>
      <x:c r="E1258" s="65" t="str">
        <x:v>米德尔斯堡（Middlesbrough）</x:v>
      </x:c>
      <x:c r="F1258" s="65" t="str">
        <x:v>南安普顿 -0.5（参考 +135 / 港水约1.35；水位≥0.80才进，若降到低水或只能拿低水0盘则不进）</x:v>
      </x:c>
      <x:c r="G1258" s="65" t="str">
        <x:v>小 2.5（参考 +105 / 港水约1.05；水位≥0.80才进）</x:v>
      </x:c>
      <x:c r="H1258" s="65" t="str">
        <x:v>小注；不加仓。米德尔斯堡+0.5方向逻辑不差但当前低水约0.54-0.63，低于0.80不进单</x:v>
      </x:c>
      <x:c r="I1258" s="66" t="n">
        <x:v>46155.02924768518</x:v>
      </x:c>
      <x:c r="J1258" s="65" t="str">
        <x:v>已结算</x:v>
      </x:c>
      <x:c r="K1258" s="65"/>
      <x:c r="L1258" s="65" t="str">
        <x:v>输</x:v>
      </x:c>
      <x:c r="M1258" s="65" t="str">
        <x:v>赢</x:v>
      </x:c>
      <x:c r="N1258" s="67" t="n">
        <x:v>-1</x:v>
      </x:c>
      <x:c r="O1258" s="67" t="n">
        <x:v>1</x:v>
      </x:c>
      <x:c r="P1258" s="67" t="n">
        <x:f>IF(COUNT(N1258:O1258)=0,"",SUM(N1258:O1258))</x:f>
        <x:v>0</x:v>
      </x:c>
      <x:c r="Q1258" s="65"/>
      <x:c r="R1258" s="65" t="str">
        <x:v>90分钟比分：南安普顿 1-1 米德尔斯堡（加时南安普顿2-1不计常规盘口）；南安普顿-0.5输；小2.5赢。</x:v>
      </x:c>
    </x:row>
    <x:row r="1259" ht="38" customHeight="1">
      <x:c r="A1259" s="65" t="str">
        <x:f>IF(B1259="","",TEXT(B1259,"yyyy-mm-dd")&amp;"|"&amp;D1259&amp;"|"&amp;E1259)</x:f>
        <x:v>2026-05-13|瓦纳默（IFK Värnamo）|奥雷布洛（Örebro SK）</x:v>
      </x:c>
      <x:c r="B1259" s="66" t="n">
        <x:v>46155.041666666664</x:v>
      </x:c>
      <x:c r="C1259" s="65" t="str">
        <x:v>瑞典超级甲级联赛（Superettan）</x:v>
      </x:c>
      <x:c r="D1259" s="65" t="str">
        <x:v>瓦纳默（IFK Värnamo）</x:v>
      </x:c>
      <x:c r="E1259" s="65" t="str">
        <x:v>奥雷布洛（Örebro SK）</x:v>
      </x:c>
      <x:c r="F1259" s="65" t="str">
        <x:v>瓦纳默 -0.5（等同主胜方向，参考+105/decimal约2.05，水位≥0.80才进；若降成低水或只能拿瓦纳默0盘低水则不进）</x:v>
      </x:c>
      <x:c r="G1259" s="65" t="str">
        <x:v>大 2.5（参考-106到+100，港水约0.94-1.00；低于0.80不进）</x:v>
      </x:c>
      <x:c r="H1259" s="65" t="str">
        <x:v>小注；不加仓。奥雷布洛+0.5/X2若水位低于0.80不进，奥雷布洛0盘高水只作反向观察</x:v>
      </x:c>
      <x:c r="I1259" s="66" t="n">
        <x:v>46155.03146990741</x:v>
      </x:c>
      <x:c r="J1259" s="65" t="str">
        <x:v>已结算</x:v>
      </x:c>
      <x:c r="K1259" s="65"/>
      <x:c r="L1259" s="65" t="str">
        <x:v>输</x:v>
      </x:c>
      <x:c r="M1259" s="65" t="str">
        <x:v>赢</x:v>
      </x:c>
      <x:c r="N1259" s="67" t="n">
        <x:v>-1</x:v>
      </x:c>
      <x:c r="O1259" s="67" t="n">
        <x:v>1</x:v>
      </x:c>
      <x:c r="P1259" s="67" t="n">
        <x:f>IF(COUNT(N1259:O1259)=0,"",SUM(N1259:O1259))</x:f>
        <x:v>0</x:v>
      </x:c>
      <x:c r="Q1259" s="65"/>
      <x:c r="R1259" s="65" t="str">
        <x:v>90分钟比分：瓦纳默 0-5 奥雷布洛；瓦纳默-0.5输；大2.5赢。</x:v>
      </x:c>
    </x:row>
    <x:row r="1260" ht="38" customHeight="1">
      <x:c r="A1260" s="65" t="str">
        <x:f>IF(B1260="","",TEXT(B1260,"yyyy-mm-dd")&amp;"|"&amp;D1260&amp;"|"&amp;E1260)</x:f>
        <x:v>2026-05-12|莫亨巴根超级巨人（Mohun Bagan Super Giant）|喀什国际（Inter Kashi）</x:v>
      </x:c>
      <x:c r="B1260" s="66" t="n">
        <x:v>46154.916666666664</x:v>
      </x:c>
      <x:c r="C1260" s="65" t="str">
        <x:v>印度超级联赛（Indian Super League）</x:v>
      </x:c>
      <x:c r="D1260" s="65" t="str">
        <x:v>莫亨巴根超级巨人（Mohun Bagan Super Giant）</x:v>
      </x:c>
      <x:c r="E1260" s="65" t="str">
        <x:v>喀什国际（Inter Kashi）</x:v>
      </x:c>
      <x:c r="F1260" s="65" t="str">
        <x:v>喀什国际 +2.0（亚盘水位≥0.80才进；若只有三项让球，取喀什国际 +2 @2.40）</x:v>
      </x:c>
      <x:c r="G1260" s="65" t="str">
        <x:v>小 3.25（参考 1.88；低于0.80水不进）</x:v>
      </x:c>
      <x:c r="H1260" s="65" t="str">
        <x:v>小注；不追莫亨巴根-1.5低水，莫亨巴根-2.5高赔只作反向风险观察</x:v>
      </x:c>
      <x:c r="I1260" s="66" t="n">
        <x:v>46154.850127314814</x:v>
      </x:c>
      <x:c r="J1260" s="65" t="str">
        <x:v>已结算</x:v>
      </x:c>
      <x:c r="K1260" s="65"/>
      <x:c r="L1260" s="65" t="str">
        <x:v>赢</x:v>
      </x:c>
      <x:c r="M1260" s="65" t="str">
        <x:v>赢</x:v>
      </x:c>
      <x:c r="N1260" s="67" t="n">
        <x:v>1</x:v>
      </x:c>
      <x:c r="O1260" s="67" t="n">
        <x:v>1</x:v>
      </x:c>
      <x:c r="P1260" s="67" t="n">
        <x:f>IF(COUNT(N1260:O1260)=0,"",SUM(N1260:O1260))</x:f>
        <x:v>2</x:v>
      </x:c>
      <x:c r="Q1260" s="65"/>
      <x:c r="R1260" s="65" t="str">
        <x:v>90分钟比分：莫亨巴根超级巨人 0-0 喀什国际；喀什国际+2.0赢；小3.25赢。</x:v>
      </x:c>
    </x:row>
    <x:row r="1261" ht="38" customHeight="1">
      <x:c r="A1261" s="65" t="str">
        <x:f>IF(B1261="","",TEXT(B1261,"yyyy-mm-dd")&amp;"|"&amp;D1261&amp;"|"&amp;E1261)</x:f>
        <x:v>2026-05-12|南德里体育学院（Namdhari FC）|歌库拉姆喀拉拉（Gokulam Kerala FC）</x:v>
      </x:c>
      <x:c r="B1261" s="66" t="n">
        <x:v>46154.875</x:v>
      </x:c>
      <x:c r="C1261" s="65" t="str">
        <x:v>印度甲级联赛</x:v>
      </x:c>
      <x:c r="D1261" s="65" t="str">
        <x:v>南德里体育学院（Namdhari FC）</x:v>
      </x:c>
      <x:c r="E1261" s="65" t="str">
        <x:v>歌库拉姆喀拉拉（Gokulam Kerala FC）</x:v>
      </x:c>
      <x:c r="F1261" s="65" t="str">
        <x:v>歌库拉姆喀拉拉 0（平手盘/DNB思路，水位≥0.80才进；若升到客让-0.25且客水≥0.90仅小注）</x:v>
      </x:c>
      <x:c r="G1261" s="65" t="str">
        <x:v>小 2.5（参考 decimal 2.02/HK约1.02；低于0.80不进）</x:v>
      </x:c>
      <x:c r="H1261" s="65" t="str">
        <x:v>小注；不追大2.5低水，也不追歌库拉姆喀拉拉客胜单挑</x:v>
      </x:c>
      <x:c r="I1261" s="66" t="n">
        <x:v>46154.85524305556</x:v>
      </x:c>
      <x:c r="J1261" s="65" t="str">
        <x:v>已结算</x:v>
      </x:c>
      <x:c r="K1261" s="65"/>
      <x:c r="L1261" s="65" t="str">
        <x:v>赢</x:v>
      </x:c>
      <x:c r="M1261" s="65" t="str">
        <x:v>赢</x:v>
      </x:c>
      <x:c r="N1261" s="67" t="n">
        <x:v>1</x:v>
      </x:c>
      <x:c r="O1261" s="67" t="n">
        <x:v>1</x:v>
      </x:c>
      <x:c r="P1261" s="67" t="n">
        <x:f>IF(COUNT(N1261:O1261)=0,"",SUM(N1261:O1261))</x:f>
        <x:v>2</x:v>
      </x:c>
      <x:c r="Q1261" s="65"/>
      <x:c r="R1261" s="65" t="str">
        <x:v>90分钟比分：南德里体育学院 0-1 歌库拉姆喀拉拉；歌库拉姆喀拉拉0盘赢；小2.5赢。</x:v>
      </x:c>
    </x:row>
    <x:row r="1262" ht="38" customHeight="1">
      <x:c r="A1262" s="65" t="str">
        <x:f>IF(B1262="","",TEXT(B1262,"yyyy-mm-dd")&amp;"|"&amp;D1262&amp;"|"&amp;E1262)</x:f>
        <x:v>2026-05-12|仁川联（Incheon United）|浦项制铁（Pohang Steelers）</x:v>
      </x:c>
      <x:c r="B1262" s="66" t="n">
        <x:v>46154.770833333336</x:v>
      </x:c>
      <x:c r="C1262" s="65" t="str">
        <x:v>韩国K联赛1（K League 1）</x:v>
      </x:c>
      <x:c r="D1262" s="65" t="str">
        <x:v>仁川联（Incheon United）</x:v>
      </x:c>
      <x:c r="E1262" s="65" t="str">
        <x:v>浦项制铁（Pohang Steelers）</x:v>
      </x:c>
      <x:c r="F1262" s="65" t="str">
        <x:v>仁川联 0（平手/DNB，约0.85水以上才进；若低于0.80不进单）</x:v>
      </x:c>
      <x:c r="G1262" s="65" t="str">
        <x:v>小2.5（约0.80-0.85水以上才进；若只有小2.25低水则放弃）</x:v>
      </x:c>
      <x:c r="H1262" s="65" t="str">
        <x:v>赛前临场冻结；小注，不加仓。两队积分接近且盘口平手，防浦项不败但不追客队，比分倾向1-1/1-0</x:v>
      </x:c>
      <x:c r="I1262" s="66" t="n">
        <x:v>46154.768599537034</x:v>
      </x:c>
      <x:c r="J1262" s="65" t="str">
        <x:v>已结算</x:v>
      </x:c>
      <x:c r="K1262" s="65"/>
      <x:c r="L1262" s="65" t="str">
        <x:v>输</x:v>
      </x:c>
      <x:c r="M1262" s="65" t="str">
        <x:v>赢</x:v>
      </x:c>
      <x:c r="N1262" s="67" t="n">
        <x:v>-1</x:v>
      </x:c>
      <x:c r="O1262" s="67" t="n">
        <x:v>1</x:v>
      </x:c>
      <x:c r="P1262" s="67" t="n">
        <x:f>IF(COUNT(N1262:O1262)=0,"",SUM(N1262:O1262))</x:f>
        <x:v>0</x:v>
      </x:c>
      <x:c r="Q1262" s="65"/>
      <x:c r="R1262" s="65" t="str">
        <x:v>90分钟比分：仁川联 0-1 浦项制铁；仁川联0盘输；小2.5赢。</x:v>
      </x:c>
    </x:row>
    <x:row r="1263" ht="38" customHeight="1">
      <x:c r="A1263" s="65" t="str">
        <x:f>IF(B1263="","",TEXT(B1263,"yyyy-mm-dd")&amp;"|"&amp;D1263&amp;"|"&amp;E1263)</x:f>
        <x:v>2026-05-12|江原FC（Gangwon FC）|大田韩亚市民（Daejeon Hana Citizen）</x:v>
      </x:c>
      <x:c r="B1263" s="66" t="n">
        <x:v>46154.770833333336</x:v>
      </x:c>
      <x:c r="C1263" s="65" t="str">
        <x:v>韩国K联赛1（K League 1）</x:v>
      </x:c>
      <x:c r="D1263" s="65" t="str">
        <x:v>江原FC（Gangwon FC）</x:v>
      </x:c>
      <x:c r="E1263" s="65" t="str">
        <x:v>大田韩亚市民（Daejeon Hana Citizen）</x:v>
      </x:c>
      <x:c r="F1263" s="65" t="str">
        <x:v>大田韩亚市民 +0.25（约0.85水以上才进；若低于0.80不进单）</x:v>
      </x:c>
      <x:c r="G1263" s="65" t="str">
        <x:v>大2.5（约1.10水可进；若临场降到低于0.80不进单）</x:v>
      </x:c>
      <x:c r="H1263" s="65" t="str">
        <x:v>赛前临场冻结；小注，不加仓。防江原不败但难穿，比分倾向1-2/2-1</x:v>
      </x:c>
      <x:c r="I1263" s="66" t="n">
        <x:v>46154.72420138889</x:v>
      </x:c>
      <x:c r="J1263" s="65" t="str">
        <x:v>已结算</x:v>
      </x:c>
      <x:c r="K1263" s="65"/>
      <x:c r="L1263" s="65" t="str">
        <x:v>输</x:v>
      </x:c>
      <x:c r="M1263" s="65" t="str">
        <x:v>输</x:v>
      </x:c>
      <x:c r="N1263" s="67" t="n">
        <x:v>-1</x:v>
      </x:c>
      <x:c r="O1263" s="67" t="n">
        <x:v>-1</x:v>
      </x:c>
      <x:c r="P1263" s="67" t="n">
        <x:f>IF(COUNT(N1263:O1263)=0,"",SUM(N1263:O1263))</x:f>
        <x:v>-2</x:v>
      </x:c>
      <x:c r="Q1263" s="65"/>
      <x:c r="R1263" s="65" t="str">
        <x:v>90分钟比分：江原FC 2-0 大田韩亚市民；大田韩亚市民+0.25输；大2.5输。</x:v>
      </x:c>
    </x:row>
    <x:row r="1264" ht="38" customHeight="1">
      <x:c r="A1264" s="65" t="str">
        <x:f>IF(B1264="","",TEXT(B1264,"yyyy-mm-dd")&amp;"|"&amp;D1264&amp;"|"&amp;E1264)</x:f>
        <x:v>2026-05-12|光州FC（Gwangju FC）|首尔FC（FC Seoul）</x:v>
      </x:c>
      <x:c r="B1264" s="66" t="n">
        <x:v>46154.770833333336</x:v>
      </x:c>
      <x:c r="C1264" s="65" t="str">
        <x:v>韩国K联赛1（K League 1）</x:v>
      </x:c>
      <x:c r="D1264" s="65" t="str">
        <x:v>光州FC（Gwangju FC）</x:v>
      </x:c>
      <x:c r="E1264" s="65" t="str">
        <x:v>首尔FC（FC Seoul）</x:v>
      </x:c>
      <x:c r="F1264" s="65" t="str">
        <x:v>首尔FC -1.25（约0.90水以上才进；若只有-1低于0.80不进单）</x:v>
      </x:c>
      <x:c r="G1264" s="65" t="str">
        <x:v>大2.5（≥0.80水才进；若降到低于0.80不进单）</x:v>
      </x:c>
      <x:c r="H1264" s="65" t="str">
        <x:v>赛前临场冻结；小注，不加仓。防首尔赢球但只赢1球，比分倾向0-2/1-3</x:v>
      </x:c>
      <x:c r="I1264" s="66" t="n">
        <x:v>46154.72287037037</x:v>
      </x:c>
      <x:c r="J1264" s="65" t="str">
        <x:v>已结算</x:v>
      </x:c>
      <x:c r="K1264" s="65"/>
      <x:c r="L1264" s="65" t="str">
        <x:v>输半</x:v>
      </x:c>
      <x:c r="M1264" s="65" t="str">
        <x:v>输</x:v>
      </x:c>
      <x:c r="N1264" s="67" t="n">
        <x:v>-0.5</x:v>
      </x:c>
      <x:c r="O1264" s="67" t="n">
        <x:v>-1</x:v>
      </x:c>
      <x:c r="P1264" s="67" t="n">
        <x:f>IF(COUNT(N1264:O1264)=0,"",SUM(N1264:O1264))</x:f>
        <x:v>-1.5</x:v>
      </x:c>
      <x:c r="Q1264" s="65"/>
      <x:c r="R1264" s="65" t="str">
        <x:v>90分钟比分：光州FC 0-1 首尔FC；首尔FC-1.25净胜1球，结算输半；大2.5输。</x:v>
      </x:c>
    </x:row>
    <x:row r="1265" ht="38" customHeight="1">
      <x:c r="A1265" s="65" t="str">
        <x:f>IF(B1265="","",TEXT(B1265,"yyyy-mm-dd")&amp;"|"&amp;D1265&amp;"|"&amp;E1265)</x:f>
        <x:v>2026-05-12|艾云达尔（Avondale FC）|布伦瑞克城（Brunswick City SC）</x:v>
      </x:c>
      <x:c r="B1265" s="66" t="n">
        <x:v>46154.729166666664</x:v>
      </x:c>
      <x:c r="C1265" s="65" t="str">
        <x:v>澳大利亚 维多利亚州超级联赛1（VPL1）</x:v>
      </x:c>
      <x:c r="D1265" s="65" t="str">
        <x:v>艾云达尔（Avondale FC）</x:v>
      </x:c>
      <x:c r="E1265" s="65" t="str">
        <x:v>布伦瑞克城（Brunswick City SC）</x:v>
      </x:c>
      <x:c r="F1265" s="65" t="str">
        <x:v>布伦瑞克城 +1.5（约0.85水以上才进；若低于0.80不进单）</x:v>
      </x:c>
      <x:c r="G1265" s="65" t="str">
        <x:v>小3.75（≥0.80水才进；若只有小3.5低水则放弃）</x:v>
      </x:c>
      <x:c r="H1265" s="65" t="str">
        <x:v>临场/进行中冻结；小注，不加仓。防艾云达尔赢球但赢不穿，比分倾向2-1/3-1</x:v>
      </x:c>
      <x:c r="I1265" s="66" t="n">
        <x:v>46154.722766203704</x:v>
      </x:c>
      <x:c r="J1265" s="65" t="str">
        <x:v>已结算</x:v>
      </x:c>
      <x:c r="K1265" s="65"/>
      <x:c r="L1265" s="65" t="str">
        <x:v>输</x:v>
      </x:c>
      <x:c r="M1265" s="65" t="str">
        <x:v>输</x:v>
      </x:c>
      <x:c r="N1265" s="67" t="n">
        <x:v>-1</x:v>
      </x:c>
      <x:c r="O1265" s="67" t="n">
        <x:v>-1</x:v>
      </x:c>
      <x:c r="P1265" s="67" t="n">
        <x:f>IF(COUNT(N1265:O1265)=0,"",SUM(N1265:O1265))</x:f>
        <x:v>-2</x:v>
      </x:c>
      <x:c r="Q1265" s="65"/>
      <x:c r="R1265" s="65" t="str">
        <x:v>90分钟比分：艾云达尔 4-0 布伦瑞克城；布伦瑞克城+1.5输；小3.75因总进球4输。</x:v>
      </x:c>
    </x:row>
    <x:row r="1266" ht="38" customHeight="1">
      <x:c r="A1266" s="65" t="str">
        <x:f>IF(B1266="","",TEXT(B1266,"yyyy-mm-dd")&amp;"|"&amp;D1266&amp;"|"&amp;E1266)</x:f>
        <x:v>2026-05-12|波克海尔联（Box Hill United）|布伦瑞克尤文图斯（Brunswick Juventus）</x:v>
      </x:c>
      <x:c r="B1266" s="66" t="n">
        <x:v>46154.708333333336</x:v>
      </x:c>
      <x:c r="C1266" s="65" t="str">
        <x:v>澳大利亚 维多利亚州超级联赛1（VPL1）</x:v>
      </x:c>
      <x:c r="D1266" s="65" t="str">
        <x:v>波克海尔联（Box Hill United）</x:v>
      </x:c>
      <x:c r="E1266" s="65" t="str">
        <x:v>布伦瑞克尤文图斯（Brunswick Juventus）</x:v>
      </x:c>
      <x:c r="F1266" s="65" t="str">
        <x:v>波克海尔联 +1.25（≥0.85水才进；若只有+1.5但低于0.80不进单）</x:v>
      </x:c>
      <x:c r="G1266" s="65" t="str">
        <x:v>大3.0（≥0.80水才进；若升到3.25且低水不追）</x:v>
      </x:c>
      <x:c r="H1266" s="65" t="str">
        <x:v>临场/进行中冻结；小注，不加仓。客队热度偏高，防客胜但不追深让，比分倾向1-2/2-2</x:v>
      </x:c>
      <x:c r="I1266" s="66" t="n">
        <x:v>46154.71252314815</x:v>
      </x:c>
      <x:c r="J1266" s="65" t="str">
        <x:v>已结算</x:v>
      </x:c>
      <x:c r="K1266" s="65"/>
      <x:c r="L1266" s="65" t="str">
        <x:v>赢</x:v>
      </x:c>
      <x:c r="M1266" s="65" t="str">
        <x:v>输</x:v>
      </x:c>
      <x:c r="N1266" s="67" t="n">
        <x:v>1</x:v>
      </x:c>
      <x:c r="O1266" s="67" t="n">
        <x:v>-1</x:v>
      </x:c>
      <x:c r="P1266" s="67" t="n">
        <x:f>IF(COUNT(N1266:O1266)=0,"",SUM(N1266:O1266))</x:f>
        <x:v>0</x:v>
      </x:c>
      <x:c r="Q1266" s="65"/>
      <x:c r="R1266" s="65" t="str">
        <x:v>90分钟比分：波克海尔联 0-0 布伦瑞克尤文图斯（加时/点球不计常规盘口）；波克海尔联+1.25赢；大3.0输。</x:v>
      </x:c>
    </x:row>
    <x:row r="1267" ht="38" customHeight="1">
      <x:c r="A1267" s="65" t="str">
        <x:f>IF(B1267="","",TEXT(B1267,"yyyy-mm-dd")&amp;"|"&amp;D1267&amp;"|"&amp;E1267)</x:f>
        <x:v>2026-05-12|南墨尔本（South Melbourne FC）|布拉FC（Bula FC）</x:v>
      </x:c>
      <x:c r="B1267" s="66" t="n">
        <x:v>46154.458333333336</x:v>
      </x:c>
      <x:c r="C1267" s="65" t="str">
        <x:v>OFC职业联赛</x:v>
      </x:c>
      <x:c r="D1267" s="65" t="str">
        <x:v>南墨尔本（South Melbourne FC）</x:v>
      </x:c>
      <x:c r="E1267" s="65" t="str">
        <x:v>布拉FC（Bula FC）</x:v>
      </x:c>
      <x:c r="F1267" s="65" t="str">
        <x:v>南墨尔本 -1.5（约0.80水可进；低于0.80不进单）</x:v>
      </x:c>
      <x:c r="G1267" s="65" t="str">
        <x:v>小3.25（约0.85水可进；低于0.80不进单）</x:v>
      </x:c>
      <x:c r="H1267" s="65" t="str">
        <x:v>小注；不加仓。若临场升至南墨尔本-1.75或小3.0低水则放弃，比分倾向2-0/3-0</x:v>
      </x:c>
      <x:c r="I1267" s="66" t="n">
        <x:v>46154.46414351852</x:v>
      </x:c>
      <x:c r="J1267" s="65" t="str">
        <x:v>已结算</x:v>
      </x:c>
      <x:c r="K1267" s="65"/>
      <x:c r="L1267" s="65" t="str">
        <x:v>赢</x:v>
      </x:c>
      <x:c r="M1267" s="65" t="str">
        <x:v>输</x:v>
      </x:c>
      <x:c r="N1267" s="67" t="n">
        <x:v>1</x:v>
      </x:c>
      <x:c r="O1267" s="67" t="n">
        <x:v>-1</x:v>
      </x:c>
      <x:c r="P1267" s="67" t="n">
        <x:f>IF(COUNT(N1267:O1267)=0,"",SUM(N1267:O1267))</x:f>
        <x:v>0</x:v>
      </x:c>
      <x:c r="Q1267" s="65"/>
      <x:c r="R1267" s="65" t="str">
        <x:v>90分钟比分：南墨尔本 4-2 布拉FC；南墨尔本-1.5赢；小3.25因总进球6输。</x:v>
      </x:c>
    </x:row>
    <x:row r="1268" ht="38" customHeight="1">
      <x:c r="A1268" s="65" t="str">
        <x:f>IF(B1268="","",TEXT(B1268,"yyyy-mm-dd")&amp;"|"&amp;D1268&amp;"|"&amp;E1268)</x:f>
        <x:v>2026-05-12|贝伦蝎子（Escorpiones Belén）|国际圣卡洛斯（Inter San Carlos）</x:v>
      </x:c>
      <x:c r="B1268" s="66" t="n">
        <x:v>46154.375</x:v>
      </x:c>
      <x:c r="C1268" s="65" t="str">
        <x:v>哥斯达黎加乙级联赛（Liga de Ascenso Clausura Playoffs）</x:v>
      </x:c>
      <x:c r="D1268" s="65" t="str">
        <x:v>贝伦蝎子（Escorpiones Belén）</x:v>
      </x:c>
      <x:c r="E1268" s="65" t="str">
        <x:v>国际圣卡洛斯（Inter San Carlos）</x:v>
      </x:c>
      <x:c r="F1268" s="65" t="str">
        <x:v>贝伦蝎子 -0.25（≥0.80水才进；若升到-0.5且低于0.80不追）</x:v>
      </x:c>
      <x:c r="G1268" s="65" t="str">
        <x:v>小2.5（≥0.85水才进；低于0.80不进单）</x:v>
      </x:c>
      <x:c r="H1268" s="65" t="str">
        <x:v>小注；不加仓。首回合0-0，半决赛次回合谨防加时心态，比分倾向1-0/1-1</x:v>
      </x:c>
      <x:c r="I1268" s="66" t="n">
        <x:v>46154.36732638889</x:v>
      </x:c>
      <x:c r="J1268" s="65" t="str">
        <x:v>已结算</x:v>
      </x:c>
      <x:c r="K1268" s="65"/>
      <x:c r="L1268" s="65" t="str">
        <x:v>输半</x:v>
      </x:c>
      <x:c r="M1268" s="65" t="str">
        <x:v>赢</x:v>
      </x:c>
      <x:c r="N1268" s="67" t="n">
        <x:v>-0.5</x:v>
      </x:c>
      <x:c r="O1268" s="67" t="n">
        <x:v>1</x:v>
      </x:c>
      <x:c r="P1268" s="67" t="n">
        <x:f>IF(COUNT(N1268:O1268)=0,"",SUM(N1268:O1268))</x:f>
        <x:v>0.5</x:v>
      </x:c>
      <x:c r="Q1268" s="65"/>
      <x:c r="R1268" s="65" t="str">
        <x:v>90分钟比分：贝伦蝎子 0-0 国际圣卡洛斯；贝伦蝎子-0.25平局输半；小2.5赢。</x:v>
      </x:c>
    </x:row>
    <x:row r="1269" ht="38" customHeight="1">
      <x:c r="A1269" s="65" t="str">
        <x:f>IF(B1269="","",TEXT(B1269,"yyyy-mm-dd")&amp;"|"&amp;D1269&amp;"|"&amp;E1269)</x:f>
        <x:v>2026-05-12|百万富翁（Millonarios）|拉尼罗斯（Llaneros FC）</x:v>
      </x:c>
      <x:c r="B1269" s="66" t="n">
        <x:v>46154.375</x:v>
      </x:c>
      <x:c r="C1269" s="65" t="str">
        <x:v>哥伦比亚杯（Copa Colombia）</x:v>
      </x:c>
      <x:c r="D1269" s="65" t="str">
        <x:v>百万富翁（Millonarios）</x:v>
      </x:c>
      <x:c r="E1269" s="65" t="str">
        <x:v>拉尼罗斯（Llaneros FC）</x:v>
      </x:c>
      <x:c r="F1269" s="65" t="str">
        <x:v>百万富翁 -1（约0.85-0.90水可进；低于0.80不进单）</x:v>
      </x:c>
      <x:c r="G1269" s="65" t="str">
        <x:v>小2.25（约0.85水以上可进；低于0.80不进单）</x:v>
      </x:c>
      <x:c r="H1269" s="65" t="str">
        <x:v>小注；不加仓。若临场升至百万富翁-1.25且水位偏低则放弃，比分倾向2-0/1-0</x:v>
      </x:c>
      <x:c r="I1269" s="66" t="n">
        <x:v>46154.34918981481</x:v>
      </x:c>
      <x:c r="J1269" s="65" t="str">
        <x:v>已结算</x:v>
      </x:c>
      <x:c r="K1269" s="65"/>
      <x:c r="L1269" s="65" t="str">
        <x:v>走水</x:v>
      </x:c>
      <x:c r="M1269" s="65" t="str">
        <x:v>赢</x:v>
      </x:c>
      <x:c r="N1269" s="67" t="n">
        <x:v>0</x:v>
      </x:c>
      <x:c r="O1269" s="67" t="n">
        <x:v>1</x:v>
      </x:c>
      <x:c r="P1269" s="67" t="n">
        <x:f>IF(COUNT(N1269:O1269)=0,"",SUM(N1269:O1269))</x:f>
        <x:v>1</x:v>
      </x:c>
      <x:c r="Q1269" s="65"/>
      <x:c r="R1269" s="65" t="str">
        <x:v>90分钟比分：百万富翁 1-0 拉尼罗斯；百万富翁-1走水；小2.25赢。</x:v>
      </x:c>
    </x:row>
    <x:row r="1270" ht="38" customHeight="1">
      <x:c r="A1270" s="65" t="str">
        <x:f>IF(B1270="","",TEXT(B1270,"yyyy-mm-dd")&amp;"|"&amp;D1270&amp;"|"&amp;E1270)</x:f>
        <x:v>2026-05-12|米尔沃尔|赫尔城</x:v>
      </x:c>
      <x:c r="B1270" s="66" t="n">
        <x:v>46154.125</x:v>
      </x:c>
      <x:c r="C1270" s="65" t="str">
        <x:v>英格兰冠军联赛（英冠）</x:v>
      </x:c>
      <x:c r="D1270" s="65" t="str">
        <x:v>米尔沃尔</x:v>
      </x:c>
      <x:c r="E1270" s="65" t="str">
        <x:v>赫尔城</x:v>
      </x:c>
      <x:c r="F1270" s="65" t="str">
        <x:v>米尔沃尔 -0.75（水位约0.94；低于0.80不进单）</x:v>
      </x:c>
      <x:c r="G1270" s="65" t="str">
        <x:v>小 2.5（水位约0.83；低于0.80不进单）</x:v>
      </x:c>
      <x:c r="H1270" s="65" t="str">
        <x:v>不加仓；小注；让球与小球均可执行，但附加赛次回合风险较高</x:v>
      </x:c>
      <x:c r="I1270" s="66" t="n">
        <x:v>46154.12568287037</x:v>
      </x:c>
      <x:c r="J1270" s="65" t="str">
        <x:v>已结算</x:v>
      </x:c>
      <x:c r="K1270" s="65"/>
      <x:c r="L1270" s="65" t="str">
        <x:v>输</x:v>
      </x:c>
      <x:c r="M1270" s="65" t="str">
        <x:v>赢</x:v>
      </x:c>
      <x:c r="N1270" s="67" t="n">
        <x:v>-1</x:v>
      </x:c>
      <x:c r="O1270" s="67" t="n">
        <x:v>1</x:v>
      </x:c>
      <x:c r="P1270" s="67" t="n">
        <x:f>IF(COUNT(N1270:O1270)=0,"",SUM(N1270:O1270))</x:f>
        <x:v>0</x:v>
      </x:c>
      <x:c r="Q1270" s="65"/>
      <x:c r="R1270" s="65" t="str">
        <x:v>90分钟比分：米尔沃尔 0-2 赫尔城；米尔沃尔-0.75输；小2.5因总进球2赢。</x:v>
      </x:c>
    </x:row>
    <x:row r="1271" ht="38" customHeight="1">
      <x:c r="A1271" s="65" t="str">
        <x:f>IF(B1271="","",TEXT(B1271,"yyyy-mm-dd")&amp;"|"&amp;D1271&amp;"|"&amp;E1271)</x:f>
        <x:v>2026-05-12|天狼星（IK Sirius）|奥尔格里特（Örgryte IS）</x:v>
      </x:c>
      <x:c r="B1271" s="66" t="n">
        <x:v>46154.041666666664</x:v>
      </x:c>
      <x:c r="C1271" s="65" t="str">
        <x:v>瑞典超级联赛</x:v>
      </x:c>
      <x:c r="D1271" s="65" t="str">
        <x:v>天狼星（IK Sirius）</x:v>
      </x:c>
      <x:c r="E1271" s="65" t="str">
        <x:v>奥尔格里特（Örgryte IS）</x:v>
      </x:c>
      <x:c r="F1271" s="65" t="str">
        <x:v>天狼星 -1.75（亚洲让球，参考主胜约1.21-1.26，深让高水区间；低于0.80不进单）</x:v>
      </x:c>
      <x:c r="G1271" s="65" t="str">
        <x:v>大 3（亚洲大小球，优先大3而非低水大2.5；水位约0.85以上，低于0.80不进单）</x:v>
      </x:c>
      <x:c r="H1271" s="65" t="str">
        <x:v>小注；不追天狼星-2低水；若只能买到-1.5低水则放弃；比分倾向3-1/3-2/4-1</x:v>
      </x:c>
      <x:c r="I1271" s="66" t="n">
        <x:v>46154.34741898148</x:v>
      </x:c>
      <x:c r="J1271" s="65" t="str">
        <x:v>已结算</x:v>
      </x:c>
      <x:c r="K1271" s="65"/>
      <x:c r="L1271" s="65" t="str">
        <x:v>赢半</x:v>
      </x:c>
      <x:c r="M1271" s="65" t="str">
        <x:v>输</x:v>
      </x:c>
      <x:c r="N1271" s="67" t="n">
        <x:v>0.5</x:v>
      </x:c>
      <x:c r="O1271" s="67" t="n">
        <x:v>-1</x:v>
      </x:c>
      <x:c r="P1271" s="67" t="n">
        <x:f>IF(COUNT(N1271:O1271)=0,"",SUM(N1271:O1271))</x:f>
        <x:v>-0.5</x:v>
      </x:c>
      <x:c r="Q1271" s="65"/>
      <x:c r="R1271" s="65" t="str">
        <x:v>90分钟比分：天狼星 2-0 奥尔格里特；天狼星-1.75净胜2球，结算赢半；大3因总进球2输。</x:v>
      </x:c>
    </x:row>
    <x:row r="1272" ht="38" customHeight="1">
      <x:c r="A1272" s="65" t="str">
        <x:f>IF(B1272="","",TEXT(B1272,"yyyy-mm-dd")&amp;"|"&amp;D1272&amp;"|"&amp;E1272)</x:f>
        <x:v>2026-05-11|东孟加拉FC（East Bengal FC）|旁遮普FC（Punjab FC）</x:v>
      </x:c>
      <x:c r="B1272" s="66" t="n">
        <x:v>46153.916666666664</x:v>
      </x:c>
      <x:c r="C1272" s="65" t="str">
        <x:v>印度超级联赛（Indian Super League）</x:v>
      </x:c>
      <x:c r="D1272" s="65" t="str">
        <x:v>东孟加拉FC（East Bengal FC）</x:v>
      </x:c>
      <x:c r="E1272" s="65" t="str">
        <x:v>旁遮普FC（Punjab FC）</x:v>
      </x:c>
      <x:c r="F1272" s="65" t="str">
        <x:v>东孟加拉FC -0.5（亚洲让球，参考主胜1.83-1.87，折算水位约0.83-0.87；低于0.80不进单）</x:v>
      </x:c>
      <x:c r="G1272" s="65" t="str">
        <x:v>大 2.5（参考赔率约1.95，折算水位约0.95；低于0.80不进单）</x:v>
      </x:c>
      <x:c r="H1272" s="65" t="str">
        <x:v>小注；不追东孟加拉-0.75/-1；若大2.5降到低于0.80则放弃；比分倾向2-1/3-1/2-2</x:v>
      </x:c>
      <x:c r="I1272" s="66" t="n">
        <x:v>46153.891435185185</x:v>
      </x:c>
      <x:c r="J1272" s="65" t="str">
        <x:v>已结算</x:v>
      </x:c>
      <x:c r="K1272" s="65"/>
      <x:c r="L1272" s="65" t="str">
        <x:v>输</x:v>
      </x:c>
      <x:c r="M1272" s="65" t="str">
        <x:v>输</x:v>
      </x:c>
      <x:c r="N1272" s="67" t="n">
        <x:v>-1</x:v>
      </x:c>
      <x:c r="O1272" s="67" t="n">
        <x:v>-1</x:v>
      </x:c>
      <x:c r="P1272" s="67" t="n">
        <x:f>IF(COUNT(N1272:O1272)=0,"",SUM(N1272:O1272))</x:f>
        <x:v>-2</x:v>
      </x:c>
      <x:c r="Q1272" s="65"/>
      <x:c r="R1272" s="65" t="str">
        <x:v>90分钟比分：东孟加拉FC 0-0 旁遮普FC；东孟加拉FC-0.5输；大2.5因总进球0输。</x:v>
      </x:c>
    </x:row>
    <x:row r="1273" ht="38" customHeight="1">
      <x:c r="A1273" s="65" t="str">
        <x:f>IF(B1273="","",TEXT(B1273,"yyyy-mm-dd")&amp;"|"&amp;D1273&amp;"|"&amp;E1273)</x:f>
        <x:v>2026-05-11|巴厘联|婆罗洲FC（Borneo FC Samarinda）</x:v>
      </x:c>
      <x:c r="B1273" s="66" t="n">
        <x:v>46153.833333333336</x:v>
      </x:c>
      <x:c r="C1273" s="65" t="str">
        <x:v>印度尼西亚超级联赛（印尼超/Liga 1 Indonesia）</x:v>
      </x:c>
      <x:c r="D1273" s="65" t="str">
        <x:v>巴厘联</x:v>
      </x:c>
      <x:c r="E1273" s="65" t="str">
        <x:v>婆罗洲FC（Borneo FC Samarinda）</x:v>
      </x:c>
      <x:c r="F1273" s="65" t="str">
        <x:v>婆罗洲FC -0.75（亚洲让球，水位约0.90-0.98；若退到-0.5但低于0.80不进单）</x:v>
      </x:c>
      <x:c r="G1273" s="65" t="str">
        <x:v>大 3（亚洲大小球，水位约0.84-0.92；3球走水，低于0.80不进单）</x:v>
      </x:c>
      <x:c r="H1273" s="65" t="str">
        <x:v>小注；不追婆罗洲-1低水；不买低水大2.5；比分倾向1-2/1-3/2-2</x:v>
      </x:c>
      <x:c r="I1273" s="66" t="n">
        <x:v>46153.82675925926</x:v>
      </x:c>
      <x:c r="J1273" s="65" t="str">
        <x:v>已结算</x:v>
      </x:c>
      <x:c r="K1273" s="65"/>
      <x:c r="L1273" s="65" t="str">
        <x:v>赢半</x:v>
      </x:c>
      <x:c r="M1273" s="65" t="str">
        <x:v>赢</x:v>
      </x:c>
      <x:c r="N1273" s="67" t="n">
        <x:v>0.5</x:v>
      </x:c>
      <x:c r="O1273" s="67" t="n">
        <x:v>1</x:v>
      </x:c>
      <x:c r="P1273" s="67" t="n">
        <x:f>IF(COUNT(N1273:O1273)=0,"",SUM(N1273:O1273))</x:f>
        <x:v>1.5</x:v>
      </x:c>
      <x:c r="Q1273" s="65"/>
      <x:c r="R1273" s="65" t="str">
        <x:v>90分钟比分：巴厘联 2-3 婆罗洲FC；婆罗洲FC-0.75净胜1球，结算赢半；大3因总进球5赢。</x:v>
      </x:c>
    </x:row>
    <x:row r="1274" ht="38" customHeight="1">
      <x:c r="A1274" s="65" t="str">
        <x:f>IF(B1274="","",TEXT(B1274,"yyyy-mm-dd")&amp;"|"&amp;D1274&amp;"|"&amp;E1274)</x:f>
        <x:v>2026-05-11|巴杨卡拉泗水联（Bhayangkara Presisi）|马都拉联</x:v>
      </x:c>
      <x:c r="B1274" s="66" t="n">
        <x:v>46153.833333333336</x:v>
      </x:c>
      <x:c r="C1274" s="65" t="str">
        <x:v>印度尼西亚超级联赛（印尼超/Liga 1 Indonesia）</x:v>
      </x:c>
      <x:c r="D1274" s="65" t="str">
        <x:v>巴杨卡拉泗水联（Bhayangkara Presisi）</x:v>
      </x:c>
      <x:c r="E1274" s="65" t="str">
        <x:v>马都拉联</x:v>
      </x:c>
      <x:c r="F1274" s="65" t="str">
        <x:v>巴杨卡拉泗水联 -0.25（亚洲让球，水位约0.88-0.98；低于0.80不进单）</x:v>
      </x:c>
      <x:c r="G1274" s="65" t="str">
        <x:v>大 2.5（水位约0.90-0.93；低于0.80不进单）</x:v>
      </x:c>
      <x:c r="H1274" s="65" t="str">
        <x:v>小注；不追巴杨卡拉-0.5；若让球或大2.5低于0.80则放弃；比分倾向2-1/2-2/3-1</x:v>
      </x:c>
      <x:c r="I1274" s="66" t="n">
        <x:v>46153.75114583333</x:v>
      </x:c>
      <x:c r="J1274" s="65" t="str">
        <x:v>已结算</x:v>
      </x:c>
      <x:c r="K1274" s="65"/>
      <x:c r="L1274" s="65" t="str">
        <x:v>赢</x:v>
      </x:c>
      <x:c r="M1274" s="65" t="str">
        <x:v>赢</x:v>
      </x:c>
      <x:c r="N1274" s="67" t="n">
        <x:v>1</x:v>
      </x:c>
      <x:c r="O1274" s="67" t="n">
        <x:v>1</x:v>
      </x:c>
      <x:c r="P1274" s="67" t="n">
        <x:f>IF(COUNT(N1274:O1274)=0,"",SUM(N1274:O1274))</x:f>
        <x:v>2</x:v>
      </x:c>
      <x:c r="Q1274" s="65"/>
      <x:c r="R1274" s="65" t="str">
        <x:v>90分钟比分：巴杨卡拉泗水联 3-1 马都拉联；巴杨卡拉泗水联-0.25赢；大2.5因总进球4赢。</x:v>
      </x:c>
    </x:row>
    <x:row r="1275" ht="38" customHeight="1">
      <x:c r="A1275" s="65" t="str">
        <x:f>IF(B1275="","",TEXT(B1275,"yyyy-mm-dd")&amp;"|"&amp;D1275&amp;"|"&amp;E1275)</x:f>
        <x:v>2026-05-11|美洲狮（UNAM Pumas）|墨西哥美洲（Club América）</x:v>
      </x:c>
      <x:c r="B1275" s="66" t="n">
        <x:v>46153.385416666664</x:v>
      </x:c>
      <x:c r="C1275" s="65" t="str">
        <x:v>墨西哥超（Liga MX，Clausura）</x:v>
      </x:c>
      <x:c r="D1275" s="65" t="str">
        <x:v>美洲狮（UNAM Pumas）</x:v>
      </x:c>
      <x:c r="E1275" s="65" t="str">
        <x:v>墨西哥美洲（Club América）</x:v>
      </x:c>
      <x:c r="F1275" s="65" t="str">
        <x:v>美洲狮 0（平手/DNB，亚洲让球，水位约0.85-0.90；低于0.80不进单）</x:v>
      </x:c>
      <x:c r="G1275" s="65" t="str">
        <x:v>大 2.5（参考赔率1.80，折算水位0.80；低于0.80不进单）</x:v>
      </x:c>
      <x:c r="H1275" s="65" t="str">
        <x:v>小注；不追美洲狮-0.25/-0.5；若大2.5降到低于0.80则放弃，比分倾向2-1/1-1/2-2</x:v>
      </x:c>
      <x:c r="I1275" s="66" t="n">
        <x:v>46153.36769675926</x:v>
      </x:c>
      <x:c r="J1275" s="65" t="str">
        <x:v>已结算</x:v>
      </x:c>
      <x:c r="K1275" s="65"/>
      <x:c r="L1275" s="65" t="str">
        <x:v>走水</x:v>
      </x:c>
      <x:c r="M1275" s="65" t="str">
        <x:v>赢</x:v>
      </x:c>
      <x:c r="N1275" s="67" t="n">
        <x:v>0</x:v>
      </x:c>
      <x:c r="O1275" s="67" t="n">
        <x:v>1</x:v>
      </x:c>
      <x:c r="P1275" s="67" t="n">
        <x:f>IF(COUNT(N1275:O1275)=0,"",SUM(N1275:O1275))</x:f>
        <x:v>1</x:v>
      </x:c>
      <x:c r="Q1275" s="65"/>
      <x:c r="R1275" s="65" t="str">
        <x:v>90分钟比分：美洲狮 3-3 墨西哥美洲；美洲狮0盘走水；大2.5赢。</x:v>
      </x:c>
    </x:row>
    <x:row r="1276" ht="38" customHeight="1">
      <x:c r="A1276" s="65" t="str">
        <x:f>IF(B1276="","",TEXT(B1276,"yyyy-mm-dd")&amp;"|"&amp;D1276&amp;"|"&amp;E1276)</x:f>
        <x:v>2026-05-11|洛杉矶FC（LAFC）|休斯敦迪纳摩（Houston Dynamo）</x:v>
      </x:c>
      <x:c r="B1276" s="66" t="n">
        <x:v>46153.375</x:v>
      </x:c>
      <x:c r="C1276" s="65" t="str">
        <x:v>美职联（MLS）</x:v>
      </x:c>
      <x:c r="D1276" s="65" t="str">
        <x:v>洛杉矶FC（LAFC）</x:v>
      </x:c>
      <x:c r="E1276" s="65" t="str">
        <x:v>休斯敦迪纳摩（Houston Dynamo）</x:v>
      </x:c>
      <x:c r="F1276" s="65" t="str">
        <x:v>洛杉矶FC -1（亚洲让球，参考+102/水位约1.02；赢1球走水，低于0.80不进单）</x:v>
      </x:c>
      <x:c r="G1276" s="65" t="str">
        <x:v>小 2.5（参考+112/水位约1.12；低于0.80不进单）</x:v>
      </x:c>
      <x:c r="H1276" s="65" t="str">
        <x:v>小注；让球不降盘追低水，若临场退到-0.75且低于0.80放弃；比分倾向2-0/1-0/2-1</x:v>
      </x:c>
      <x:c r="I1276" s="66" t="n">
        <x:v>46153.378854166665</x:v>
      </x:c>
      <x:c r="J1276" s="65" t="str">
        <x:v>已结算</x:v>
      </x:c>
      <x:c r="K1276" s="65"/>
      <x:c r="L1276" s="65" t="str">
        <x:v>输</x:v>
      </x:c>
      <x:c r="M1276" s="65" t="str">
        <x:v>输</x:v>
      </x:c>
      <x:c r="N1276" s="67" t="n">
        <x:v>-1</x:v>
      </x:c>
      <x:c r="O1276" s="67" t="n">
        <x:v>-1</x:v>
      </x:c>
      <x:c r="P1276" s="67" t="n">
        <x:f>IF(COUNT(N1276:O1276)=0,"",SUM(N1276:O1276))</x:f>
        <x:v>-2</x:v>
      </x:c>
      <x:c r="Q1276" s="65"/>
      <x:c r="R1276" s="65" t="str">
        <x:v>90分钟比分：洛杉矶FC 1-4 休斯敦迪纳摩；洛杉矶FC-1输；小2.5因总进球5输。</x:v>
      </x:c>
    </x:row>
    <x:row r="1277" ht="38" customHeight="1">
      <x:c r="A1277" s="65" t="str">
        <x:f>IF(B1277="","",TEXT(B1277,"yyyy-mm-dd")&amp;"|"&amp;D1277&amp;"|"&amp;E1277)</x:f>
        <x:v>2026-05-11|布鲁明|玻利瓦尔</x:v>
      </x:c>
      <x:c r="B1277" s="66" t="n">
        <x:v>46153.3125</x:v>
      </x:c>
      <x:c r="C1277" s="65" t="str">
        <x:v>玻利维亚甲级联赛</x:v>
      </x:c>
      <x:c r="D1277" s="65" t="str">
        <x:v>布鲁明</x:v>
      </x:c>
      <x:c r="E1277" s="65" t="str">
        <x:v>玻利瓦尔</x:v>
      </x:c>
      <x:c r="F1277" s="65" t="str">
        <x:v>玻利瓦尔 -0.5（亚洲让球，参考客胜欧赔约1.85-1.95，折算水位约0.85-0.95；低于0.80不进单）</x:v>
      </x:c>
      <x:c r="G1277" s="65" t="str">
        <x:v>小 3.5（水位约0.80-0.85；低于0.80不进单）</x:v>
      </x:c>
      <x:c r="H1277" s="65" t="str">
        <x:v>小注；不追玻利瓦尔-0.75以上深盘；比分倾向0-2/1-2/1-1</x:v>
      </x:c>
      <x:c r="I1277" s="66" t="n">
        <x:v>46153.365648148145</x:v>
      </x:c>
      <x:c r="J1277" s="65" t="str">
        <x:v>已结算</x:v>
      </x:c>
      <x:c r="K1277" s="65"/>
      <x:c r="L1277" s="65" t="str">
        <x:v>输</x:v>
      </x:c>
      <x:c r="M1277" s="65" t="str">
        <x:v>赢</x:v>
      </x:c>
      <x:c r="N1277" s="67" t="n">
        <x:v>-1</x:v>
      </x:c>
      <x:c r="O1277" s="67" t="n">
        <x:v>1</x:v>
      </x:c>
      <x:c r="P1277" s="67" t="n">
        <x:f>IF(COUNT(N1277:O1277)=0,"",SUM(N1277:O1277))</x:f>
        <x:v>0</x:v>
      </x:c>
      <x:c r="Q1277" s="65"/>
      <x:c r="R1277" s="65" t="str">
        <x:v>90分钟比分：布鲁明 0-0 玻利瓦尔；玻利瓦尔-0.5输；小3.5赢。</x:v>
      </x:c>
    </x:row>
    <x:row r="1278" ht="38" customHeight="1">
      <x:c r="A1278" s="65" t="str">
        <x:f>IF(B1278="","",TEXT(B1278,"yyyy-mm-dd")&amp;"|"&amp;D1278&amp;"|"&amp;E1278)</x:f>
        <x:v>2026-05-11|明尼苏达联|奥斯汀FC</x:v>
      </x:c>
      <x:c r="B1278" s="66" t="n">
        <x:v>46153.291666666664</x:v>
      </x:c>
      <x:c r="C1278" s="65" t="str">
        <x:v>美职联（MLS）</x:v>
      </x:c>
      <x:c r="D1278" s="65" t="str">
        <x:v>明尼苏达联</x:v>
      </x:c>
      <x:c r="E1278" s="65" t="str">
        <x:v>奥斯汀FC</x:v>
      </x:c>
      <x:c r="F1278" s="65" t="str">
        <x:v>明尼苏达联 -0.75（亚洲让球，水位约0.87；低于0.80不进单）</x:v>
      </x:c>
      <x:c r="G1278" s="65" t="str">
        <x:v>小 2.5（水位约1.14；临场低于0.80不进单）</x:v>
      </x:c>
      <x:c r="H1278" s="65" t="str">
        <x:v>小注；比分倾向1-0/2-0/2-1；不追低水大2.5</x:v>
      </x:c>
      <x:c r="I1278" s="66" t="n">
        <x:v>46153.294907407406</x:v>
      </x:c>
      <x:c r="J1278" s="65" t="str">
        <x:v>已结算</x:v>
      </x:c>
      <x:c r="K1278" s="65"/>
      <x:c r="L1278" s="65" t="str">
        <x:v>输</x:v>
      </x:c>
      <x:c r="M1278" s="65" t="str">
        <x:v>输</x:v>
      </x:c>
      <x:c r="N1278" s="67" t="n">
        <x:v>-1</x:v>
      </x:c>
      <x:c r="O1278" s="67" t="n">
        <x:v>-1</x:v>
      </x:c>
      <x:c r="P1278" s="67" t="n">
        <x:f>IF(COUNT(N1278:O1278)=0,"",SUM(N1278:O1278))</x:f>
        <x:v>-2</x:v>
      </x:c>
      <x:c r="Q1278" s="65"/>
      <x:c r="R1278" s="65" t="str">
        <x:v>90分钟比分：明尼苏达联 2-2 奥斯汀FC；明尼苏达联-0.75平局输；小2.5因总进球4输。</x:v>
      </x:c>
    </x:row>
    <x:row r="1279" ht="38" customHeight="1">
      <x:c r="A1279" s="65" t="str">
        <x:f>IF(B1279="","",TEXT(B1279,"yyyy-mm-dd")&amp;"|"&amp;D1279&amp;"|"&amp;E1279)</x:f>
        <x:v>2026-05-11|帕丘卡（CF Pachuca）|托卢卡（Deportivo Toluca FC）</x:v>
      </x:c>
      <x:c r="B1279" s="66" t="n">
        <x:v>46153.291666666664</x:v>
      </x:c>
      <x:c r="C1279" s="65" t="str">
        <x:v>墨西哥超（Liga MX，Clausura）</x:v>
      </x:c>
      <x:c r="D1279" s="65" t="str">
        <x:v>帕丘卡（CF Pachuca）</x:v>
      </x:c>
      <x:c r="E1279" s="65" t="str">
        <x:v>托卢卡（Deportivo Toluca FC）</x:v>
      </x:c>
      <x:c r="F1279" s="65" t="str">
        <x:v>帕丘卡 +0.25（主队受让平/半，参考美赔-111，折合港赔约0.90；低于0.80不进单）</x:v>
      </x:c>
      <x:c r="G1279" s="65" t="str">
        <x:v>大 3.0（由大2.5低水升档取水，目标水位≥0.90；3球走水；若只能买到大2.5低于0.80则不进单）</x:v>
      </x:c>
      <x:c r="H1279" s="65" t="str">
        <x:v>主推帕丘卡+0.25；大小球轻仓大3.0，不追大2.5低水。若临场帕丘卡+0.25降至0.80以下，或大3.0低于0.80，放弃对应方向。</x:v>
      </x:c>
      <x:c r="I1279" s="66" t="n">
        <x:v>46153.278333333335</x:v>
      </x:c>
      <x:c r="J1279" s="65" t="str">
        <x:v>已结算</x:v>
      </x:c>
      <x:c r="K1279" s="65"/>
      <x:c r="L1279" s="65" t="str">
        <x:v>赢</x:v>
      </x:c>
      <x:c r="M1279" s="65" t="str">
        <x:v>输</x:v>
      </x:c>
      <x:c r="N1279" s="67" t="n">
        <x:v>1</x:v>
      </x:c>
      <x:c r="O1279" s="67" t="n">
        <x:v>-1</x:v>
      </x:c>
      <x:c r="P1279" s="67" t="n">
        <x:f>IF(COUNT(N1279:O1279)=0,"",SUM(N1279:O1279))</x:f>
        <x:v>0</x:v>
      </x:c>
      <x:c r="Q1279" s="65"/>
      <x:c r="R1279" s="65" t="str">
        <x:v>90分钟比分：帕丘卡 1-0 托卢卡；帕丘卡+0.25赢；大3.0因总进球1输。</x:v>
      </x:c>
    </x:row>
    <x:row r="1280" ht="38" customHeight="1">
      <x:c r="A1280" s="65" t="str">
        <x:f>IF(B1280="","",TEXT(B1280,"yyyy-mm-dd")&amp;"|"&amp;D1280&amp;"|"&amp;E1280)</x:f>
        <x:v>2026-05-11|最强者（The Strongest）|皇家波托斯（Real Potosí）</x:v>
      </x:c>
      <x:c r="B1280" s="66" t="n">
        <x:v>46153.21875</x:v>
      </x:c>
      <x:c r="C1280" s="65" t="str">
        <x:v>玻利维亚甲级联赛</x:v>
      </x:c>
      <x:c r="D1280" s="65" t="str">
        <x:v>最强者（The Strongest）</x:v>
      </x:c>
      <x:c r="E1280" s="65" t="str">
        <x:v>皇家波托斯（Real Potosí）</x:v>
      </x:c>
      <x:c r="F1280" s="65" t="str">
        <x:v>皇家波托斯 +1.75（客队受让一球半/两球，参考十进制1.85，折合港赔约0.85；低于0.80不进单）</x:v>
      </x:c>
      <x:c r="G1280" s="65" t="str">
        <x:v>小 3.75（亚洲总进球3.5/4，参考十进制1.80，折合港赔约0.80；低于0.80不进单）</x:v>
      </x:c>
      <x:c r="H1280" s="65" t="str">
        <x:v>主推皇家波托斯+1.75；大小球小3.75轻仓。若临场皇家波托斯+1.75低于0.80或小3.75低于0.80，放弃对应方向；比分倾向2-0、2-1、3-1。</x:v>
      </x:c>
      <x:c r="I1280" s="66" t="n">
        <x:v>46153.20947916667</x:v>
      </x:c>
      <x:c r="J1280" s="65" t="str">
        <x:v>已结算</x:v>
      </x:c>
      <x:c r="K1280" s="65"/>
      <x:c r="L1280" s="65" t="str">
        <x:v>赢</x:v>
      </x:c>
      <x:c r="M1280" s="65" t="str">
        <x:v>赢</x:v>
      </x:c>
      <x:c r="N1280" s="67" t="n">
        <x:v>1</x:v>
      </x:c>
      <x:c r="O1280" s="67" t="n">
        <x:v>1</x:v>
      </x:c>
      <x:c r="P1280" s="67" t="n">
        <x:f>IF(COUNT(N1280:O1280)=0,"",SUM(N1280:O1280))</x:f>
        <x:v>2</x:v>
      </x:c>
      <x:c r="Q1280" s="65"/>
      <x:c r="R1280" s="65" t="str">
        <x:v>90分钟比分：最强者 0-0 皇家波托斯；皇家波托斯+1.75赢；小3.75赢。</x:v>
      </x:c>
    </x:row>
    <x:row r="1281" ht="38" customHeight="1">
      <x:c r="A1281" s="65" t="str">
        <x:f>IF(B1281="","",TEXT(B1281,"yyyy-mm-dd")&amp;"|"&amp;D1281&amp;"|"&amp;E1281)</x:f>
        <x:v>2026-05-11|纽约城（New York City FC）|哥伦布机员（Columbus Crew）</x:v>
      </x:c>
      <x:c r="B1281" s="66" t="n">
        <x:v>46153.1875</x:v>
      </x:c>
      <x:c r="C1281" s="65" t="str">
        <x:v>美职联（MLS）</x:v>
      </x:c>
      <x:c r="D1281" s="65" t="str">
        <x:v>纽约城（New York City FC）</x:v>
      </x:c>
      <x:c r="E1281" s="65" t="str">
        <x:v>哥伦布机员（Columbus Crew）</x:v>
      </x:c>
      <x:c r="F1281" s="65" t="str">
        <x:v>纽约城 -0.5（主队让半球，参考美赔+130至+135，折合港赔约1.30-1.35；低于0.80不进单）</x:v>
      </x:c>
      <x:c r="G1281" s="65" t="str">
        <x:v>大 3.0（亚洲总进球3球，3球走水；只接受水位≥0.80，若只能拿到大2.5低水约0.69/HK则不进单）</x:v>
      </x:c>
      <x:c r="H1281" s="65" t="str">
        <x:v>让球小注纽约城-0.5；大小球只做大3.0，不追大2.5低水。若临场纽约城-0.5降至0.80以下或大3.0低于0.80，放弃对应方向。</x:v>
      </x:c>
      <x:c r="I1281" s="66" t="n">
        <x:v>46153.18163194445</x:v>
      </x:c>
      <x:c r="J1281" s="65" t="str">
        <x:v>已结算</x:v>
      </x:c>
      <x:c r="K1281" s="65"/>
      <x:c r="L1281" s="65" t="str">
        <x:v>赢</x:v>
      </x:c>
      <x:c r="M1281" s="65" t="str">
        <x:v>走水</x:v>
      </x:c>
      <x:c r="N1281" s="67" t="n">
        <x:v>1</x:v>
      </x:c>
      <x:c r="O1281" s="67" t="n">
        <x:v>0</x:v>
      </x:c>
      <x:c r="P1281" s="67" t="n">
        <x:f>IF(COUNT(N1281:O1281)=0,"",SUM(N1281:O1281))</x:f>
        <x:v>1</x:v>
      </x:c>
      <x:c r="Q1281" s="65"/>
      <x:c r="R1281" s="65" t="str">
        <x:v>90分钟比分：纽约城 3-0 哥伦布机员；纽约城-0.5赢；大3.0总进球3走水。</x:v>
      </x:c>
    </x:row>
    <x:row r="1282" ht="38" customHeight="1">
      <x:c r="A1282" s="65" t="str">
        <x:f>IF(B1282="","",TEXT(B1282,"yyyy-mm-dd")&amp;"|"&amp;D1282&amp;"|"&amp;E1282)</x:f>
        <x:v>2026-05-10|赫根（BK Häcken）|马尔默（Malmö FF）</x:v>
      </x:c>
      <x:c r="B1282" s="66" t="n">
        <x:v>46152.9375</x:v>
      </x:c>
      <x:c r="C1282" s="65" t="str">
        <x:v>瑞典超级联赛</x:v>
      </x:c>
      <x:c r="D1282" s="65" t="str">
        <x:v>赫根（BK Häcken）</x:v>
      </x:c>
      <x:c r="E1282" s="65" t="str">
        <x:v>马尔默（Malmö FF）</x:v>
      </x:c>
      <x:c r="F1282" s="65" t="str">
        <x:v>马尔默 +0.25（客队受让平/半，水位约1.03/HK；低于0.80不进单）</x:v>
      </x:c>
      <x:c r="G1282" s="65" t="str">
        <x:v>大 3.0（水位约1.05/HK，3球走水；低于0.80不进单）</x:v>
      </x:c>
      <x:c r="H1282" s="65" t="str">
        <x:v>主推马尔默+0.25；大小球轻仓大3.0。若临场马尔默+0.25降至0.80以下或总进球大3.0低于0.80，放弃对应方向。</x:v>
      </x:c>
      <x:c r="I1282" s="66" t="n">
        <x:v>46152.9362962963</x:v>
      </x:c>
      <x:c r="J1282" s="65" t="str">
        <x:v>已结算</x:v>
      </x:c>
      <x:c r="K1282" s="65"/>
      <x:c r="L1282" s="65" t="str">
        <x:v>输</x:v>
      </x:c>
      <x:c r="M1282" s="65" t="str">
        <x:v>赢</x:v>
      </x:c>
      <x:c r="N1282" s="67" t="n">
        <x:v>-1</x:v>
      </x:c>
      <x:c r="O1282" s="67" t="n">
        <x:v>1</x:v>
      </x:c>
      <x:c r="P1282" s="67" t="n">
        <x:f>IF(COUNT(N1282:O1282)=0,"",SUM(N1282:O1282))</x:f>
        <x:v>0</x:v>
      </x:c>
      <x:c r="Q1282" s="65"/>
      <x:c r="R1282" s="65" t="str">
        <x:v>90分钟比分：赫根 3-2 马尔默；马尔默+0.25输；大3.0因总进球5赢。</x:v>
      </x:c>
    </x:row>
    <x:row r="1283" ht="38" customHeight="1">
      <x:c r="A1283" s="65" t="str">
        <x:f>IF(B1283="","",TEXT(B1283,"yyyy-mm-dd")&amp;"|"&amp;D1283&amp;"|"&amp;E1283)</x:f>
        <x:v>2026-05-10|PSIM日惹（PSIM Yogyakarta）|马鲁特联</x:v>
      </x:c>
      <x:c r="B1283" s="66" t="n">
        <x:v>46152.833333333336</x:v>
      </x:c>
      <x:c r="C1283" s="65" t="str">
        <x:v>印度尼西亚超级联赛（印尼超/Liga 1 Indonesia）</x:v>
      </x:c>
      <x:c r="D1283" s="65" t="str">
        <x:v>PSIM日惹（PSIM Yogyakarta）</x:v>
      </x:c>
      <x:c r="E1283" s="65" t="str">
        <x:v>马鲁特联</x:v>
      </x:c>
      <x:c r="F1283" s="65" t="str">
        <x:v>马鲁特联 -0/0.5（即-0.25，要求≥0.85水；低于0.80不进单）</x:v>
      </x:c>
      <x:c r="G1283" s="65" t="str">
        <x:v>小2.5/3球（即小2.75，要求≥0.80水；低于0.80不进单）</x:v>
      </x:c>
      <x:c r="H1283" s="65" t="str">
        <x:v>让球小中注，大小球小注。若临场马鲁特联-0.25跌破0.80则放弃；若升到马鲁特联-0.5，必须≥0.95才可小注替代。大2.5约0.67水过低，只观察不进单。</x:v>
      </x:c>
      <x:c r="I1283" s="66" t="n">
        <x:v>46152.90039351852</x:v>
      </x:c>
      <x:c r="J1283" s="65" t="str">
        <x:v>已结算</x:v>
      </x:c>
      <x:c r="K1283" s="65"/>
      <x:c r="L1283" s="65" t="str">
        <x:v>输</x:v>
      </x:c>
      <x:c r="M1283" s="65" t="str">
        <x:v>赢</x:v>
      </x:c>
      <x:c r="N1283" s="67" t="n">
        <x:v>-1</x:v>
      </x:c>
      <x:c r="O1283" s="67" t="n">
        <x:v>1</x:v>
      </x:c>
      <x:c r="P1283" s="67" t="n">
        <x:f>IF(COUNT(N1283:O1283)=0,"",SUM(N1283:O1283))</x:f>
        <x:v>0</x:v>
      </x:c>
      <x:c r="Q1283" s="65"/>
      <x:c r="R1283" s="65" t="str">
        <x:v>90分钟比分：PSIM日惹 2-0 马鲁特联；马鲁特联-0.25输；小2.75赢。</x:v>
      </x:c>
    </x:row>
    <x:row r="1284" ht="38" customHeight="1">
      <x:c r="A1284" s="65" t="str">
        <x:f>IF(B1284="","",TEXT(B1284,"yyyy-mm-dd")&amp;"|"&amp;D1284&amp;"|"&amp;E1284)</x:f>
        <x:v>2026-05-10|普鲁士明斯特|达姆施塔特</x:v>
      </x:c>
      <x:c r="B1284" s="66" t="n">
        <x:v>46152.8125</x:v>
      </x:c>
      <x:c r="C1284" s="65" t="str">
        <x:v>德国乙级联赛（2. Bundesliga）</x:v>
      </x:c>
      <x:c r="D1284" s="65" t="str">
        <x:v>普鲁士明斯特</x:v>
      </x:c>
      <x:c r="E1284" s="65" t="str">
        <x:v>达姆施塔特</x:v>
      </x:c>
      <x:c r="F1284" s="65" t="str">
        <x:v>达姆施塔特 +0/0.5（即+0.25，约1.04水；低于0.80不进单）</x:v>
      </x:c>
      <x:c r="G1284" s="65" t="str">
        <x:v>大3.5球（约1.35水；低于0.80不进单）</x:v>
      </x:c>
      <x:c r="H1284" s="65" t="str">
        <x:v>让球小中注，大小球小注。若能拿到大3.0且水位≥0.85，优先替代大3.5；若达姆施塔特+0.25跌破0.80则放弃。明斯特让球约0.73水、大2.5约0.57水，均只观察不进单。</x:v>
      </x:c>
      <x:c r="I1284" s="66" t="n">
        <x:v>46152.805752314816</x:v>
      </x:c>
      <x:c r="J1284" s="65" t="str">
        <x:v>已结算</x:v>
      </x:c>
      <x:c r="K1284" s="65"/>
      <x:c r="L1284" s="65" t="str">
        <x:v>赢半</x:v>
      </x:c>
      <x:c r="M1284" s="65" t="str">
        <x:v>输</x:v>
      </x:c>
      <x:c r="N1284" s="67" t="n">
        <x:v>0.5</x:v>
      </x:c>
      <x:c r="O1284" s="67" t="n">
        <x:v>-1</x:v>
      </x:c>
      <x:c r="P1284" s="67" t="n">
        <x:f>IF(COUNT(N1284:O1284)=0,"",SUM(N1284:O1284))</x:f>
        <x:v>-0.5</x:v>
      </x:c>
      <x:c r="Q1284" s="65"/>
      <x:c r="R1284" s="65" t="str">
        <x:v>90分钟比分：普鲁士明斯特 1-1 达姆施塔特；达姆施塔特+0.25平局赢半；大3.5因总进球2输。</x:v>
      </x:c>
    </x:row>
    <x:row r="1285" ht="38" customHeight="1">
      <x:c r="A1285" s="65" t="str">
        <x:f>IF(B1285="","",TEXT(B1285,"yyyy-mm-dd")&amp;"|"&amp;D1285&amp;"|"&amp;E1285)</x:f>
        <x:v>2026-05-10|柏林赫塔|菲尔特（Greuther Fürth）</x:v>
      </x:c>
      <x:c r="B1285" s="66" t="n">
        <x:v>46152.8125</x:v>
      </x:c>
      <x:c r="C1285" s="65" t="str">
        <x:v>德国乙级联赛（2. Bundesliga）</x:v>
      </x:c>
      <x:c r="D1285" s="65" t="str">
        <x:v>柏林赫塔</x:v>
      </x:c>
      <x:c r="E1285" s="65" t="str">
        <x:v>菲尔特（Greuther Fürth）</x:v>
      </x:c>
      <x:c r="F1285" s="65" t="str">
        <x:v>菲尔特 +0.5（约0.88水；低于0.80不进单）</x:v>
      </x:c>
      <x:c r="G1285" s="65" t="str">
        <x:v>小3.5球（约0.88-0.89水；低于0.80不进单）</x:v>
      </x:c>
      <x:c r="H1285" s="65" t="str">
        <x:v>让球小中注，大小球小注。若临场菲尔特+0.5跌破0.80则放弃；若能拿到菲尔特+0.75且水位≥0.80，可替代+0.5并优先。大2.5约0.47水过低，只观察不进单。</x:v>
      </x:c>
      <x:c r="I1285" s="66" t="n">
        <x:v>46152.80569444445</x:v>
      </x:c>
      <x:c r="J1285" s="65" t="str">
        <x:v>已结算</x:v>
      </x:c>
      <x:c r="K1285" s="65"/>
      <x:c r="L1285" s="65" t="str">
        <x:v>输</x:v>
      </x:c>
      <x:c r="M1285" s="65" t="str">
        <x:v>赢</x:v>
      </x:c>
      <x:c r="N1285" s="67" t="n">
        <x:v>-1</x:v>
      </x:c>
      <x:c r="O1285" s="67" t="n">
        <x:v>1</x:v>
      </x:c>
      <x:c r="P1285" s="67" t="n">
        <x:f>IF(COUNT(N1285:O1285)=0,"",SUM(N1285:O1285))</x:f>
        <x:v>0</x:v>
      </x:c>
      <x:c r="Q1285" s="65"/>
      <x:c r="R1285" s="65" t="str">
        <x:v>90分钟比分：柏林赫塔 2-1 菲尔特；菲尔特+0.5输；小3.5赢。</x:v>
      </x:c>
    </x:row>
    <x:row r="1286" ht="38" customHeight="1">
      <x:c r="A1286" s="65" t="str">
        <x:f>IF(B1286="","",TEXT(B1286,"yyyy-mm-dd")&amp;"|"&amp;D1286&amp;"|"&amp;E1286)</x:f>
        <x:v>2026-05-10|杜塞尔多夫|艾禾斯堡</x:v>
      </x:c>
      <x:c r="B1286" s="66" t="n">
        <x:v>46152.8125</x:v>
      </x:c>
      <x:c r="C1286" s="65" t="str">
        <x:v>德国乙级联赛（2. Bundesliga）</x:v>
      </x:c>
      <x:c r="D1286" s="65" t="str">
        <x:v>杜塞尔多夫</x:v>
      </x:c>
      <x:c r="E1286" s="65" t="str">
        <x:v>艾禾斯堡</x:v>
      </x:c>
      <x:c r="F1286" s="65" t="str">
        <x:v>艾禾斯堡 -0.5（约0.89水；低于0.80不进单）</x:v>
      </x:c>
      <x:c r="G1286" s="65" t="str">
        <x:v>小3.0球（要求≥0.90水；低于0.80不进单）</x:v>
      </x:c>
      <x:c r="H1286" s="65" t="str">
        <x:v>让球为主推小中注，大小球小注。若临场艾禾斯堡-0.5跌破0.80则放弃；若只能拿艾禾斯堡平手且低于0.80，不进单。大2.5约0.45水过低，只观察不进单。</x:v>
      </x:c>
      <x:c r="I1286" s="66" t="n">
        <x:v>46152.80563657408</x:v>
      </x:c>
      <x:c r="J1286" s="65" t="str">
        <x:v>已结算</x:v>
      </x:c>
      <x:c r="K1286" s="65"/>
      <x:c r="L1286" s="65" t="str">
        <x:v>输</x:v>
      </x:c>
      <x:c r="M1286" s="65" t="str">
        <x:v>输</x:v>
      </x:c>
      <x:c r="N1286" s="67" t="n">
        <x:v>-1</x:v>
      </x:c>
      <x:c r="O1286" s="67" t="n">
        <x:v>-1</x:v>
      </x:c>
      <x:c r="P1286" s="67" t="n">
        <x:f>IF(COUNT(N1286:O1286)=0,"",SUM(N1286:O1286))</x:f>
        <x:v>-2</x:v>
      </x:c>
      <x:c r="Q1286" s="65"/>
      <x:c r="R1286" s="65" t="str">
        <x:v>90分钟比分：杜塞尔多夫 3-1 艾禾斯堡；艾禾斯堡-0.5输；小3.0因总进球4输。</x:v>
      </x:c>
    </x:row>
    <x:row r="1287" ht="38" customHeight="1">
      <x:c r="A1287" s="65" t="str">
        <x:f>IF(B1287="","",TEXT(B1287,"yyyy-mm-dd")&amp;"|"&amp;D1287&amp;"|"&amp;E1287)</x:f>
        <x:v>2026-05-10|维罗纳|科莫</x:v>
      </x:c>
      <x:c r="B1287" s="66" t="n">
        <x:v>46152.770833333336</x:v>
      </x:c>
      <x:c r="C1287" s="65" t="str">
        <x:v>意大利甲级联赛（Serie A）</x:v>
      </x:c>
      <x:c r="D1287" s="65" t="str">
        <x:v>维罗纳</x:v>
      </x:c>
      <x:c r="E1287" s="65" t="str">
        <x:v>科莫</x:v>
      </x:c>
      <x:c r="F1287" s="65" t="str">
        <x:v>科莫 -1/1.5（即-1.25，约0.90水；低于0.80不进单）</x:v>
      </x:c>
      <x:c r="G1287" s="65" t="str">
        <x:v>小2.5球（约0.90-0.92水；低于0.80不进单）</x:v>
      </x:c>
      <x:c r="H1287" s="65" t="str">
        <x:v>让球小中注，大小球小注。若临场科莫-1.25跌破0.80则放弃；若只能拿科莫-1低水，不进单。科莫-1.5需≥1.05才可进取小注，不作为主推。</x:v>
      </x:c>
      <x:c r="I1287" s="66" t="n">
        <x:v>46152.76063657407</x:v>
      </x:c>
      <x:c r="J1287" s="65" t="str">
        <x:v>已结算</x:v>
      </x:c>
      <x:c r="K1287" s="65"/>
      <x:c r="L1287" s="65" t="str">
        <x:v>输半</x:v>
      </x:c>
      <x:c r="M1287" s="65" t="str">
        <x:v>赢</x:v>
      </x:c>
      <x:c r="N1287" s="67" t="n">
        <x:v>-0.5</x:v>
      </x:c>
      <x:c r="O1287" s="67" t="n">
        <x:v>1</x:v>
      </x:c>
      <x:c r="P1287" s="67" t="n">
        <x:f>IF(COUNT(N1287:O1287)=0,"",SUM(N1287:O1287))</x:f>
        <x:v>0.5</x:v>
      </x:c>
      <x:c r="Q1287" s="65"/>
      <x:c r="R1287" s="65" t="str">
        <x:v>90分钟比分：维罗纳 0-1 科莫；科莫-1.25仅赢1球，结算输半；小2.5赢。</x:v>
      </x:c>
    </x:row>
    <x:row r="1288" ht="38" customHeight="1">
      <x:c r="A1288" s="65" t="str">
        <x:f>IF(B1288="","",TEXT(B1288,"yyyy-mm-dd")&amp;"|"&amp;D1288&amp;"|"&amp;E1288)</x:f>
        <x:v>2026-05-10|佩西塔坦格朗|杰帕拉（Persijap）</x:v>
      </x:c>
      <x:c r="B1288" s="66" t="n">
        <x:v>46152.6875</x:v>
      </x:c>
      <x:c r="C1288" s="65" t="str">
        <x:v>印度尼西亚超级联赛（印尼超/Liga 1 Indonesia）</x:v>
      </x:c>
      <x:c r="D1288" s="65" t="str">
        <x:v>佩西塔坦格朗</x:v>
      </x:c>
      <x:c r="E1288" s="65" t="str">
        <x:v>杰帕拉（Persijap）</x:v>
      </x:c>
      <x:c r="F1288" s="65" t="str">
        <x:v>佩西塔坦格朗 -0/0.5（即-0.25，要求≥0.85水；低于0.80不进单）</x:v>
      </x:c>
      <x:c r="G1288" s="65" t="str">
        <x:v>大2.5球（约1.00水；低于0.80不进单）</x:v>
      </x:c>
      <x:c r="H1288" s="65" t="str">
        <x:v>让球小中注，大小球小注。若佩西塔-0.25跌破0.80则放弃；若退到佩西塔平手且水位≥0.80，可降级小注。小2.5约0.75水不达标，只观察不进单。</x:v>
      </x:c>
      <x:c r="I1288" s="66" t="n">
        <x:v>46152.757314814815</x:v>
      </x:c>
      <x:c r="J1288" s="65" t="str">
        <x:v>已结算</x:v>
      </x:c>
      <x:c r="K1288" s="65"/>
      <x:c r="L1288" s="65" t="str">
        <x:v>输</x:v>
      </x:c>
      <x:c r="M1288" s="65" t="str">
        <x:v>赢</x:v>
      </x:c>
      <x:c r="N1288" s="67" t="n">
        <x:v>-1</x:v>
      </x:c>
      <x:c r="O1288" s="67" t="n">
        <x:v>1</x:v>
      </x:c>
      <x:c r="P1288" s="67" t="n">
        <x:f>IF(COUNT(N1288:O1288)=0,"",SUM(N1288:O1288))</x:f>
        <x:v>0</x:v>
      </x:c>
      <x:c r="Q1288" s="65"/>
      <x:c r="R1288" s="65" t="str">
        <x:v>90分钟比分：佩西塔坦格朗 0-3 杰帕拉；佩西塔坦格朗-0.25输；大2.5赢。</x:v>
      </x:c>
    </x:row>
    <x:row r="1289" ht="38" customHeight="1">
      <x:c r="A1289" s="65" t="str">
        <x:f>IF(B1289="","",TEXT(B1289,"yyyy-mm-dd")&amp;"|"&amp;D1289&amp;"|"&amp;E1289)</x:f>
        <x:v>2026-05-10|佩西加雅加达|万隆</x:v>
      </x:c>
      <x:c r="B1289" s="66" t="n">
        <x:v>46152.6875</x:v>
      </x:c>
      <x:c r="C1289" s="65" t="str">
        <x:v>印度尼西亚超级联赛（印尼超/Liga 1 Indonesia）</x:v>
      </x:c>
      <x:c r="D1289" s="65" t="str">
        <x:v>佩西加雅加达</x:v>
      </x:c>
      <x:c r="E1289" s="65" t="str">
        <x:v>万隆</x:v>
      </x:c>
      <x:c r="F1289" s="65" t="str">
        <x:v>佩西加雅加达 +0/0.5（即+0.25，约0.98水；低于0.80不进单）</x:v>
      </x:c>
      <x:c r="G1289" s="65" t="str">
        <x:v>大2.5球（约0.91-0.92水；低于0.80不进单）</x:v>
      </x:c>
      <x:c r="H1289" s="65" t="str">
        <x:v>让球为主推小中注，大小球小注；万隆-0.25约0.78水不达标，只观察不进单。若临场佩西加雅加达+0.25跌破0.80则放弃；若只能拿佩西加雅加达平手且水位≥0.90，可降级小注。</x:v>
      </x:c>
      <x:c r="I1289" s="66" t="n">
        <x:v>46152.668599537035</x:v>
      </x:c>
      <x:c r="J1289" s="65" t="str">
        <x:v>已结算</x:v>
      </x:c>
      <x:c r="K1289" s="65"/>
      <x:c r="L1289" s="65" t="str">
        <x:v>输</x:v>
      </x:c>
      <x:c r="M1289" s="65" t="str">
        <x:v>赢</x:v>
      </x:c>
      <x:c r="N1289" s="67" t="n">
        <x:v>-1</x:v>
      </x:c>
      <x:c r="O1289" s="67" t="n">
        <x:v>1</x:v>
      </x:c>
      <x:c r="P1289" s="67" t="n">
        <x:f>IF(COUNT(N1289:O1289)=0,"",SUM(N1289:O1289))</x:f>
        <x:v>0</x:v>
      </x:c>
      <x:c r="Q1289" s="65"/>
      <x:c r="R1289" s="65" t="str">
        <x:v>90分钟比分：佩西加雅加达 1-2 万隆；佩西加雅加达+0.25输；大2.5赢。</x:v>
      </x:c>
    </x:row>
    <x:row r="1290" ht="38" customHeight="1">
      <x:c r="A1290" s="65" t="str">
        <x:f>IF(B1290="","",TEXT(B1290,"yyyy-mm-dd")&amp;"|"&amp;D1290&amp;"|"&amp;E1290)</x:f>
        <x:v>2026-05-10|FC安养|全北现代</x:v>
      </x:c>
      <x:c r="B1290" s="66" t="n">
        <x:v>46152.645833333336</x:v>
      </x:c>
      <x:c r="C1290" s="65" t="str">
        <x:v>韩国K联赛1（K League 1）</x:v>
      </x:c>
      <x:c r="D1290" s="65" t="str">
        <x:v>FC安养</x:v>
      </x:c>
      <x:c r="E1290" s="65" t="str">
        <x:v>全北现代</x:v>
      </x:c>
      <x:c r="F1290" s="65" t="str">
        <x:v>全北现代 -0/0.5（即-0.25，约0.85水；低于0.80不进单）</x:v>
      </x:c>
      <x:c r="G1290" s="65" t="str">
        <x:v>小2/2.5球（即小2.25，约0.83水；低于0.80不进单）</x:v>
      </x:c>
      <x:c r="H1290" s="65" t="str">
        <x:v>让球为主推小中注，大小球小注；若临场全北-0.25跌破0.80则放弃，不追低水；若只能买全北-0.5，必须水位≥1.00才降级小注。</x:v>
      </x:c>
      <x:c r="I1290" s="66" t="n">
        <x:v>46152.66606481482</x:v>
      </x:c>
      <x:c r="J1290" s="65" t="str">
        <x:v>已结算</x:v>
      </x:c>
      <x:c r="K1290" s="65"/>
      <x:c r="L1290" s="65" t="str">
        <x:v>输半</x:v>
      </x:c>
      <x:c r="M1290" s="65" t="str">
        <x:v>赢半</x:v>
      </x:c>
      <x:c r="N1290" s="67" t="n">
        <x:v>-0.5</x:v>
      </x:c>
      <x:c r="O1290" s="67" t="n">
        <x:v>0.5</x:v>
      </x:c>
      <x:c r="P1290" s="67" t="n">
        <x:f>IF(COUNT(N1290:O1290)=0,"",SUM(N1290:O1290))</x:f>
        <x:v>0</x:v>
      </x:c>
      <x:c r="Q1290" s="65"/>
      <x:c r="R1290" s="65" t="str">
        <x:v>90分钟比分：FC安养 1-1 全北现代；全北现代-0.25平局输半；小2.25总进球2，结算赢半。</x:v>
      </x:c>
    </x:row>
    <x:row r="1291" ht="38" customHeight="1">
      <x:c r="A1291" s="65" t="str">
        <x:f>IF(B1291="","",TEXT(B1291,"yyyy-mm-dd")&amp;"|"&amp;D1291&amp;"|"&amp;E1291)</x:f>
        <x:v>2026-05-10|黑镇市|FC圣乔治</x:v>
      </x:c>
      <x:c r="B1291" s="66" t="n">
        <x:v>46152.541666666664</x:v>
      </x:c>
      <x:c r="C1291" s="65" t="str">
        <x:v>澳大利亚 维多利亚州超级联赛1（VPL1）</x:v>
      </x:c>
      <x:c r="D1291" s="65" t="str">
        <x:v>黑镇市</x:v>
      </x:c>
      <x:c r="E1291" s="65" t="str">
        <x:v>FC圣乔治</x:v>
      </x:c>
      <x:c r="F1291" s="65" t="str">
        <x:v>黑镇市 平手（0，约0.80水；低于0.80不进单）</x:v>
      </x:c>
      <x:c r="G1291" s="65" t="str">
        <x:v>大2.5球（约0.80-0.90水；低于0.80不进单）</x:v>
      </x:c>
      <x:c r="H1291" s="65" t="str">
        <x:v>让球小中注，大小球小注。若黑镇市平手跌破0.80则放弃；若只能买黑镇市-0.25，必须水位≥0.90才小注替代。若大2.5跌破0.80或盘口升到大3.0低水，不追。</x:v>
      </x:c>
      <x:c r="I1291" s="66" t="n">
        <x:v>46152.570289351854</x:v>
      </x:c>
      <x:c r="J1291" s="65" t="str">
        <x:v>已结算</x:v>
      </x:c>
      <x:c r="K1291" s="65"/>
      <x:c r="L1291" s="65" t="str">
        <x:v>赢</x:v>
      </x:c>
      <x:c r="M1291" s="65" t="str">
        <x:v>赢</x:v>
      </x:c>
      <x:c r="N1291" s="67" t="n">
        <x:v>1</x:v>
      </x:c>
      <x:c r="O1291" s="67" t="n">
        <x:v>1</x:v>
      </x:c>
      <x:c r="P1291" s="67" t="n">
        <x:f>IF(COUNT(N1291:O1291)=0,"",SUM(N1291:O1291))</x:f>
        <x:v>2</x:v>
      </x:c>
      <x:c r="Q1291" s="65"/>
      <x:c r="R1291" s="65" t="str">
        <x:v>90分钟比分：黑镇市 2-1 FC圣乔治；黑镇市0盘赢；大2.5赢。</x:v>
      </x:c>
    </x:row>
    <x:row r="1292" ht="38" customHeight="1">
      <x:c r="A1292" s="65" t="str">
        <x:f>IF(B1292="","",TEXT(B1292,"yyyy-mm-dd")&amp;"|"&amp;D1292&amp;"|"&amp;E1292)</x:f>
        <x:v>2026-05-10|枥木SC|秋田蓝色闪电</x:v>
      </x:c>
      <x:c r="B1292" s="66" t="n">
        <x:v>46152.541666666664</x:v>
      </x:c>
      <x:c r="C1292" s="65" t="str">
        <x:v>日职 明治安田J2·J3百年构想联赛</x:v>
      </x:c>
      <x:c r="D1292" s="65" t="str">
        <x:v>枥木SC</x:v>
      </x:c>
      <x:c r="E1292" s="65" t="str">
        <x:v>秋田蓝色闪电</x:v>
      </x:c>
      <x:c r="F1292" s="65" t="str">
        <x:v>秋田蓝色闪电 平手（0，约0.80-0.86水；低于0.80不进单）</x:v>
      </x:c>
      <x:c r="G1292" s="65" t="str">
        <x:v>大2/2.5球（即大2.25，约1.03-1.09水；低于0.80不进单）</x:v>
      </x:c>
      <x:c r="H1292" s="65" t="str">
        <x:v>让球为主推小中注；大小球只小注。若临场秋田平手跌破0.80则放弃，不追秋田-0.25；若大2.25跌到0.90以下，大小球降级观察。</x:v>
      </x:c>
      <x:c r="I1292" s="66" t="n">
        <x:v>46152.527916666666</x:v>
      </x:c>
      <x:c r="J1292" s="65" t="str">
        <x:v>已结算</x:v>
      </x:c>
      <x:c r="K1292" s="65"/>
      <x:c r="L1292" s="65" t="str">
        <x:v>走水</x:v>
      </x:c>
      <x:c r="M1292" s="65" t="str">
        <x:v>输</x:v>
      </x:c>
      <x:c r="N1292" s="67" t="n">
        <x:v>0</x:v>
      </x:c>
      <x:c r="O1292" s="67" t="n">
        <x:v>-1</x:v>
      </x:c>
      <x:c r="P1292" s="67" t="n">
        <x:f>IF(COUNT(N1292:O1292)=0,"",SUM(N1292:O1292))</x:f>
        <x:v>-1</x:v>
      </x:c>
      <x:c r="Q1292" s="65"/>
      <x:c r="R1292" s="65" t="str">
        <x:v>90分钟比分：枥木SC 0-0 秋田蓝色闪电；秋田蓝色闪电0盘走水；大2.25输。</x:v>
      </x:c>
    </x:row>
    <x:row r="1293" ht="38" customHeight="1">
      <x:c r="A1293" s="65" t="str">
        <x:f>IF(B1293="","",TEXT(B1293,"yyyy-mm-dd")&amp;"|"&amp;D1293&amp;"|"&amp;E1293)</x:f>
        <x:v>2026-05-10|蓝十字|阿特拉斯</x:v>
      </x:c>
      <x:c r="B1293" s="66" t="n">
        <x:v>46152.46875</x:v>
      </x:c>
      <x:c r="C1293" s="65" t="str">
        <x:v>墨西哥超（Liga MX，Clausura）</x:v>
      </x:c>
      <x:c r="D1293" s="65" t="str">
        <x:v>蓝十字</x:v>
      </x:c>
      <x:c r="E1293" s="65" t="str">
        <x:v>阿特拉斯</x:v>
      </x:c>
      <x:c r="F1293" s="65" t="str">
        <x:v>阿特拉斯 +1（约0.84水；低于0.80不进单）</x:v>
      </x:c>
      <x:c r="G1293" s="65" t="str">
        <x:v>小2.5球（约1.07水；低于0.80不进单）</x:v>
      </x:c>
      <x:c r="H1293" s="65" t="str">
        <x:v>让球小中注，大小球小注；若临场能拿到阿特拉斯+1.25且水位≥0.80，可替代+1并小幅优先；若阿特拉斯+1跌破0.80则放弃。大2.5约0.67水不符合价值要求，只观察不进单。</x:v>
      </x:c>
      <x:c r="I1293" s="66" t="n">
        <x:v>46152.4419212963</x:v>
      </x:c>
      <x:c r="J1293" s="65" t="str">
        <x:v>已结算</x:v>
      </x:c>
      <x:c r="K1293" s="65"/>
      <x:c r="L1293" s="65" t="str">
        <x:v>走水</x:v>
      </x:c>
      <x:c r="M1293" s="65" t="str">
        <x:v>赢</x:v>
      </x:c>
      <x:c r="N1293" s="67" t="n">
        <x:v>0</x:v>
      </x:c>
      <x:c r="O1293" s="67" t="n">
        <x:v>1</x:v>
      </x:c>
      <x:c r="P1293" s="67" t="n">
        <x:f>IF(COUNT(N1293:O1293)=0,"",SUM(N1293:O1293))</x:f>
        <x:v>1</x:v>
      </x:c>
      <x:c r="Q1293" s="65"/>
      <x:c r="R1293" s="65" t="str">
        <x:v>90分钟比分：蓝十字 1-0 阿特拉斯；阿特拉斯+1走水；小2.5赢。</x:v>
      </x:c>
    </x:row>
    <x:row r="1294" ht="38" customHeight="1">
      <x:c r="A1294" s="65" t="str">
        <x:f>IF(B1294="","",TEXT(B1294,"yyyy-mm-dd")&amp;"|"&amp;D1294&amp;"|"&amp;E1294)</x:f>
        <x:v>2026-05-10|西雅图海湾人|圣地亚哥FC</x:v>
      </x:c>
      <x:c r="B1294" s="66" t="n">
        <x:v>46152.4375</x:v>
      </x:c>
      <x:c r="C1294" s="65" t="str">
        <x:v>美职联（MLS）</x:v>
      </x:c>
      <x:c r="D1294" s="65" t="str">
        <x:v>西雅图海湾人</x:v>
      </x:c>
      <x:c r="E1294" s="65" t="str">
        <x:v>圣地亚哥FC</x:v>
      </x:c>
      <x:c r="F1294" s="65" t="str">
        <x:v>西雅图海湾人 -1（约0.90水；低于0.80不进单）</x:v>
      </x:c>
      <x:c r="G1294" s="65" t="str">
        <x:v>大3.0球（要求≥0.85水；低于0.80不进单）</x:v>
      </x:c>
      <x:c r="H1294" s="65" t="str">
        <x:v>让球为主推小中注；大小球小注。若临场只能拿到西雅图-0.75且水位低于0.80则不进单；若西雅图-1水位仍≥0.85可进。大2.5若明显低于0.80不追，优先大3.0≥0.85；若只剩大3.5可降级小注。</x:v>
      </x:c>
      <x:c r="I1294" s="66" t="n">
        <x:v>46152.42891203704</x:v>
      </x:c>
      <x:c r="J1294" s="65" t="str">
        <x:v>已结算</x:v>
      </x:c>
      <x:c r="K1294" s="65"/>
      <x:c r="L1294" s="65" t="str">
        <x:v>输</x:v>
      </x:c>
      <x:c r="M1294" s="65" t="str">
        <x:v>输</x:v>
      </x:c>
      <x:c r="N1294" s="67" t="n">
        <x:v>-1</x:v>
      </x:c>
      <x:c r="O1294" s="67" t="n">
        <x:v>-1</x:v>
      </x:c>
      <x:c r="P1294" s="67" t="n">
        <x:f>IF(COUNT(N1294:O1294)=0,"",SUM(N1294:O1294))</x:f>
        <x:v>-2</x:v>
      </x:c>
      <x:c r="Q1294" s="65"/>
      <x:c r="R1294" s="65" t="str">
        <x:v>90分钟比分：西雅图海湾人 1-1 圣地亚哥FC；西雅图海湾人-1输；大3.0因总进球2输。</x:v>
      </x:c>
    </x:row>
    <x:row r="1295" ht="38" customHeight="1">
      <x:c r="A1295" s="65" t="str">
        <x:f>IF(B1295="","",TEXT(B1295,"yyyy-mm-dd")&amp;"|"&amp;D1295&amp;"|"&amp;E1295)</x:f>
        <x:v>2026-05-10|瓜达拉哈拉|老虎大学</x:v>
      </x:c>
      <x:c r="B1295" s="66" t="n">
        <x:v>46152.37986111111</x:v>
      </x:c>
      <x:c r="C1295" s="65" t="str">
        <x:v>墨西哥超（Liga MX，Clausura）</x:v>
      </x:c>
      <x:c r="D1295" s="65" t="str">
        <x:v>瓜达拉哈拉</x:v>
      </x:c>
      <x:c r="E1295" s="65" t="str">
        <x:v>老虎大学</x:v>
      </x:c>
      <x:c r="F1295" s="65" t="str">
        <x:v>瓜达拉哈拉 -0.5（约0.93-0.95水；低于0.80不进单）</x:v>
      </x:c>
      <x:c r="G1295" s="65" t="str">
        <x:v>大2.5球（约0.82-0.94水；低于0.80不进单）</x:v>
      </x:c>
      <x:c r="H1295" s="65" t="str">
        <x:v>让球小中注，大球小注；若临场瓜达拉哈拉-0.5水位被压到低于0.80则放弃，不追低水；若只能买到瓜达拉哈拉-0.75且水位≥0.90，可降级小注；大2.5低于0.80不进单。</x:v>
      </x:c>
      <x:c r="I1295" s="66" t="n">
        <x:v>46152.4159375</x:v>
      </x:c>
      <x:c r="J1295" s="65" t="str">
        <x:v>已结算</x:v>
      </x:c>
      <x:c r="K1295" s="65"/>
      <x:c r="L1295" s="65" t="str">
        <x:v>赢</x:v>
      </x:c>
      <x:c r="M1295" s="65" t="str">
        <x:v>输</x:v>
      </x:c>
      <x:c r="N1295" s="67" t="n">
        <x:v>1</x:v>
      </x:c>
      <x:c r="O1295" s="67" t="n">
        <x:v>-1</x:v>
      </x:c>
      <x:c r="P1295" s="67" t="n">
        <x:f>IF(COUNT(N1295:O1295)=0,"",SUM(N1295:O1295))</x:f>
        <x:v>0</x:v>
      </x:c>
      <x:c r="Q1295" s="65"/>
      <x:c r="R1295" s="65" t="str">
        <x:v>90分钟比分：瓜达拉哈拉 2-0 老虎大学；瓜达拉哈拉-0.5赢；大2.5因总进球2输。</x:v>
      </x:c>
    </x:row>
    <x:row r="1296" ht="38" customHeight="1">
      <x:c r="A1296" s="65" t="str">
        <x:f>IF(B1296="","",TEXT(B1296,"yyyy-mm-dd")&amp;"|"&amp;D1296&amp;"|"&amp;E1296)</x:f>
        <x:v>2026-05-10|哈伊巴布拉瓦（坦皮科马德罗）|特帕迪特兰</x:v>
      </x:c>
      <x:c r="B1296" s="66" t="n">
        <x:v>46152.375</x:v>
      </x:c>
      <x:c r="C1296" s="65" t="str">
        <x:v>墨西哥甲级扩展联赛（Liga de Expansión MX）</x:v>
      </x:c>
      <x:c r="D1296" s="65" t="str">
        <x:v>哈伊巴布拉瓦（坦皮科马德罗）</x:v>
      </x:c>
      <x:c r="E1296" s="65" t="str">
        <x:v>特帕迪特兰</x:v>
      </x:c>
      <x:c r="F1296" s="65" t="str">
        <x:v>特帕迪特兰 +0/0.5（即+0.25，约1.00水；低于0.80不进单）</x:v>
      </x:c>
      <x:c r="G1296" s="65" t="str">
        <x:v>小2/2.5球（即2.25，约0.91水；低于0.80不进单）</x:v>
      </x:c>
      <x:c r="H1296" s="65" t="str">
        <x:v>让球小注，大小球小中注；若临场特帕迪特兰+0.25跌破0.80则不进单；若小2.25跌破0.80则放弃，不追小2.5低水。主队-0.25约0.75水不符合水位要求，只观察不进单。</x:v>
      </x:c>
      <x:c r="I1296" s="66" t="n">
        <x:v>46152.36454861111</x:v>
      </x:c>
      <x:c r="J1296" s="65" t="str">
        <x:v>已结算</x:v>
      </x:c>
      <x:c r="K1296" s="65"/>
      <x:c r="L1296" s="65" t="str">
        <x:v>赢半</x:v>
      </x:c>
      <x:c r="M1296" s="65" t="str">
        <x:v>赢</x:v>
      </x:c>
      <x:c r="N1296" s="67" t="n">
        <x:v>0.5</x:v>
      </x:c>
      <x:c r="O1296" s="67" t="n">
        <x:v>1</x:v>
      </x:c>
      <x:c r="P1296" s="67" t="n">
        <x:f>IF(COUNT(N1296:O1296)=0,"",SUM(N1296:O1296))</x:f>
        <x:v>1.5</x:v>
      </x:c>
      <x:c r="Q1296" s="65"/>
      <x:c r="R1296" s="65" t="str">
        <x:v>90分钟比分：哈伊巴布拉瓦（坦皮科马德罗）0-0 特帕迪特兰；特帕迪特兰+0.25平局赢半；小2.25赢。</x:v>
      </x:c>
    </x:row>
    <x:row r="1297" ht="38" customHeight="1">
      <x:c r="A1297" s="65" t="str">
        <x:f>IF(B1297="","",TEXT(B1297,"yyyy-mm-dd")&amp;"|"&amp;D1297&amp;"|"&amp;E1297)</x:f>
        <x:v>2026-05-10|皇家托亚马波|圣安东尼奥布洛布洛</x:v>
      </x:c>
      <x:c r="B1297" s="66" t="n">
        <x:v>46152.3125</x:v>
      </x:c>
      <x:c r="C1297" s="65" t="str">
        <x:v>玻利维亚甲级联赛</x:v>
      </x:c>
      <x:c r="D1297" s="65" t="str">
        <x:v>皇家托亚马波</x:v>
      </x:c>
      <x:c r="E1297" s="65" t="str">
        <x:v>圣安东尼奥布洛布洛</x:v>
      </x:c>
      <x:c r="F1297" s="65" t="str">
        <x:v>圣安东尼奥布洛布洛 +0.25（约0.86水；低于0.80不进单）</x:v>
      </x:c>
      <x:c r="G1297" s="65" t="str">
        <x:v>大3.0球（约0.86水；低于0.80不进单）</x:v>
      </x:c>
      <x:c r="H1297" s="65" t="str">
        <x:v>大小球优先小中注；让球小注防平。若临场只剩大2.5且水位明显低于0.80则不进单；若圣安东尼奥布洛布洛+0.25跌破0.80，则改观察+0.5且水位≥0.80。</x:v>
      </x:c>
      <x:c r="I1297" s="66" t="n">
        <x:v>46152.299050925925</x:v>
      </x:c>
      <x:c r="J1297" s="65" t="str">
        <x:v>已结算</x:v>
      </x:c>
      <x:c r="K1297" s="65"/>
      <x:c r="L1297" s="65" t="str">
        <x:v>输</x:v>
      </x:c>
      <x:c r="M1297" s="65" t="str">
        <x:v>输</x:v>
      </x:c>
      <x:c r="N1297" s="67" t="n">
        <x:v>-1</x:v>
      </x:c>
      <x:c r="O1297" s="67" t="n">
        <x:v>-1</x:v>
      </x:c>
      <x:c r="P1297" s="67" t="n">
        <x:f>IF(COUNT(N1297:O1297)=0,"",SUM(N1297:O1297))</x:f>
        <x:v>-2</x:v>
      </x:c>
      <x:c r="Q1297" s="65"/>
      <x:c r="R1297" s="65" t="str">
        <x:v>90分钟比分：皇家托亚马波 1-0 圣安东尼奥布洛布洛；圣安东尼奥布洛布洛+0.25输；大3.0因总进球1输。</x:v>
      </x:c>
    </x:row>
    <x:row r="1298" ht="38" customHeight="1">
      <x:c r="A1298" s="65" t="str">
        <x:f>IF(B1298="","",TEXT(B1298,"yyyy-mm-dd")&amp;"|"&amp;D1298&amp;"|"&amp;E1298)</x:f>
        <x:v>2026-05-10|弗鲁米嫩塞|维多利亚</x:v>
      </x:c>
      <x:c r="B1298" s="66" t="n">
        <x:v>46152.208333333336</x:v>
      </x:c>
      <x:c r="C1298" s="65" t="str">
        <x:v>巴西甲（Serie A）</x:v>
      </x:c>
      <x:c r="D1298" s="65" t="str">
        <x:v>弗鲁米嫩塞</x:v>
      </x:c>
      <x:c r="E1298" s="65" t="str">
        <x:v>维多利亚</x:v>
      </x:c>
      <x:c r="F1298" s="65" t="str">
        <x:v>弗鲁米嫩塞 -1（约0.81水；低于0.80不进单）</x:v>
      </x:c>
      <x:c r="G1298" s="65" t="str">
        <x:v>大2.5球（约0.95水；低于0.80不进单）</x:v>
      </x:c>
      <x:c r="H1298" s="65" t="str">
        <x:v>主推让球小中注，大小球小注；若临场弗鲁米嫩塞-1跌破0.80则放弃，改观察-0.75≥0.85；可选加仓条件：弗鲁米嫩塞-1仍≥0.80且首发无核心临场伤退。</x:v>
      </x:c>
      <x:c r="I1298" s="66" t="n">
        <x:v>46152.22586805555</x:v>
      </x:c>
      <x:c r="J1298" s="65" t="str">
        <x:v>已结算</x:v>
      </x:c>
      <x:c r="K1298" s="65"/>
      <x:c r="L1298" s="65" t="str">
        <x:v>输</x:v>
      </x:c>
      <x:c r="M1298" s="65" t="str">
        <x:v>赢</x:v>
      </x:c>
      <x:c r="N1298" s="67" t="n">
        <x:v>-1</x:v>
      </x:c>
      <x:c r="O1298" s="67" t="n">
        <x:v>1</x:v>
      </x:c>
      <x:c r="P1298" s="67" t="n">
        <x:f>IF(COUNT(N1298:O1298)=0,"",SUM(N1298:O1298))</x:f>
        <x:v>0</x:v>
      </x:c>
      <x:c r="Q1298" s="65"/>
      <x:c r="R1298" s="65" t="str">
        <x:v>90分钟比分：弗鲁米嫩塞 2-2 维多利亚；弗鲁米嫩塞-1输；大2.5赢。</x:v>
      </x:c>
    </x:row>
    <x:row r="1299" ht="38" customHeight="1">
      <x:c r="A1299" s="65" t="str">
        <x:f>IF(B1299="","",TEXT(B1299,"yyyy-mm-dd")&amp;"|"&amp;D1299&amp;"|"&amp;E1299)</x:f>
        <x:v>2026-05-10|纽伦堡（1. FC Nürnberg）|沙尔克04（FC Schalke 04）</x:v>
      </x:c>
      <x:c r="B1299" s="66" t="n">
        <x:v>46152.104166666664</x:v>
      </x:c>
      <x:c r="C1299" s="65" t="str">
        <x:v>德国乙级联赛（2. Bundesliga）</x:v>
      </x:c>
      <x:c r="D1299" s="65" t="str">
        <x:v>纽伦堡（1. FC Nürnberg）</x:v>
      </x:c>
      <x:c r="E1299" s="65" t="str">
        <x:v>沙尔克04（FC Schalke 04）</x:v>
      </x:c>
      <x:c r="F1299" s="65" t="str">
        <x:v>沙尔克04 +0.25（参考赔率约1.91/水位约0.91；低于0.80不进，若只能买+0.5低水约1.75则不进）</x:v>
      </x:c>
      <x:c r="G1299" s="65" t="str">
        <x:v>小 2.5（参考赔率约2.25/水位约1.25；若临场降到低于0.80不进，不追低水大2.5约1.56）</x:v>
      </x:c>
      <x:c r="H1299" s="65" t="str">
        <x:v>小注；沙尔克交锋和状态占优，但已提前升级/夺冠且后防轮换，纽伦堡主场有抢分动机，比分倾向1-1/0-1/1-0；若滚球已有进球或红牌不套用</x:v>
      </x:c>
      <x:c r="I1299" s="66" t="n">
        <x:v>46152.126435185186</x:v>
      </x:c>
      <x:c r="J1299" s="65" t="str">
        <x:v>已结算</x:v>
      </x:c>
      <x:c r="K1299" s="65"/>
      <x:c r="L1299" s="65" t="str">
        <x:v>输</x:v>
      </x:c>
      <x:c r="M1299" s="65" t="str">
        <x:v>输</x:v>
      </x:c>
      <x:c r="N1299" s="67" t="n">
        <x:v>-1</x:v>
      </x:c>
      <x:c r="O1299" s="67" t="n">
        <x:v>-1</x:v>
      </x:c>
      <x:c r="P1299" s="67" t="n">
        <x:f>IF(COUNT(N1299:O1299)=0,"",SUM(N1299:O1299))</x:f>
        <x:v>-2</x:v>
      </x:c>
      <x:c r="Q1299" s="65"/>
      <x:c r="R1299" s="65" t="str">
        <x:v>90分钟比分：纽伦堡 3-0 沙尔克04；沙尔克04+0.25输；小2.5因总进球3输。</x:v>
      </x:c>
    </x:row>
    <x:row r="1300" ht="38" customHeight="1">
      <x:c r="A1300" s="65" t="str">
        <x:f>IF(B1300="","",TEXT(B1300,"yyyy-mm-dd")&amp;"|"&amp;D1300&amp;"|"&amp;E1300)</x:f>
        <x:v>2026-05-09|塞维利亚（Sevilla FC）|西班牙人（RCD Espanyol）</x:v>
      </x:c>
      <x:c r="B1300" s="66" t="n">
        <x:v>46151.927083333336</x:v>
      </x:c>
      <x:c r="C1300" s="65" t="str">
        <x:v>西甲（LaLiga）</x:v>
      </x:c>
      <x:c r="D1300" s="65" t="str">
        <x:v>塞维利亚（Sevilla FC）</x:v>
      </x:c>
      <x:c r="E1300" s="65" t="str">
        <x:v>西班牙人（RCD Espanyol）</x:v>
      </x:c>
      <x:c r="F1300" s="65" t="str">
        <x:v>西班牙人 +0.25（参考赔率约2.04/水位约1.04；低于0.80不进，若只剩+0低水则放弃）</x:v>
      </x:c>
      <x:c r="G1300" s="65" t="str">
        <x:v>双方进球：是（替代大小球，参考赔率约1.87/水位约0.87；传统小2.5低水1.66不进）</x:v>
      </x:c>
      <x:c r="H1300" s="65" t="str">
        <x:v>小注；保级压力盘防平优先，塞维利亚主场回暖但-0.25低水价值不足，比分倾向1-1/1-2/2-1；若滚球已有进球或红牌不套用</x:v>
      </x:c>
      <x:c r="I1300" s="66" t="n">
        <x:v>46151.95805555556</x:v>
      </x:c>
      <x:c r="J1300" s="65" t="str">
        <x:v>已结算</x:v>
      </x:c>
      <x:c r="K1300" s="65"/>
      <x:c r="L1300" s="65" t="str">
        <x:v>输</x:v>
      </x:c>
      <x:c r="M1300" s="65" t="str">
        <x:v>赢</x:v>
      </x:c>
      <x:c r="N1300" s="67" t="n">
        <x:v>-1</x:v>
      </x:c>
      <x:c r="O1300" s="67" t="n">
        <x:v>1</x:v>
      </x:c>
      <x:c r="P1300" s="67" t="n">
        <x:f>IF(COUNT(N1300:O1300)=0,"",SUM(N1300:O1300))</x:f>
        <x:v>0</x:v>
      </x:c>
      <x:c r="Q1300" s="65"/>
      <x:c r="R1300" s="65" t="str">
        <x:v>90分钟比分：塞维利亚 2-1 西班牙人；西班牙人+0.25输；双方进球：是赢。</x:v>
      </x:c>
    </x:row>
    <x:row r="1301" ht="38" customHeight="1">
      <x:c r="A1301" s="65" t="str">
        <x:f>IF(B1301="","",TEXT(B1301,"yyyy-mm-dd")&amp;"|"&amp;D1301&amp;"|"&amp;E1301)</x:f>
        <x:v>2026-05-09|卡利亚里（Cagliari Calcio）|乌迪内斯（Udinese Calcio）</x:v>
      </x:c>
      <x:c r="B1301" s="66" t="n">
        <x:v>46151.875</x:v>
      </x:c>
      <x:c r="C1301" s="65" t="str">
        <x:v>意大利甲级联赛（Serie A）</x:v>
      </x:c>
      <x:c r="D1301" s="65" t="str">
        <x:v>卡利亚里（Cagliari Calcio）</x:v>
      </x:c>
      <x:c r="E1301" s="65" t="str">
        <x:v>乌迪内斯（Udinese Calcio）</x:v>
      </x:c>
      <x:c r="F1301" s="65" t="str">
        <x:v>乌迪内斯 0（平手/DNB，参考赔率约1.98/水位约0.98；若只剩+0.25低水约0.70-0.76则不进）</x:v>
      </x:c>
      <x:c r="G1301" s="65" t="str">
        <x:v>双方进球：是（替代大小球，参考赔率约1.87-1.88/水位约0.87-0.88；传统小2.5低水不进）</x:v>
      </x:c>
      <x:c r="H1301" s="65" t="str">
        <x:v>小注；乌迪内斯客场走势和交锋占优，但卡利亚里保级确认战意与主场韧性强，比分倾向1-1/1-2/2-1；若滚球已有进球或红牌不套用</x:v>
      </x:c>
      <x:c r="I1301" s="66" t="n">
        <x:v>46151.880057870374</x:v>
      </x:c>
      <x:c r="J1301" s="65" t="str">
        <x:v>已结算</x:v>
      </x:c>
      <x:c r="K1301" s="65"/>
      <x:c r="L1301" s="65" t="str">
        <x:v>赢</x:v>
      </x:c>
      <x:c r="M1301" s="65" t="str">
        <x:v>输</x:v>
      </x:c>
      <x:c r="N1301" s="67" t="n">
        <x:v>1</x:v>
      </x:c>
      <x:c r="O1301" s="67" t="n">
        <x:v>-1</x:v>
      </x:c>
      <x:c r="P1301" s="67" t="n">
        <x:f>IF(COUNT(N1301:O1301)=0,"",SUM(N1301:O1301))</x:f>
        <x:v>0</x:v>
      </x:c>
      <x:c r="Q1301" s="65"/>
      <x:c r="R1301" s="65" t="str">
        <x:v>90分钟比分：卡利亚里 0-2 乌迪内斯；乌迪内斯0盘赢；双方进球：是因卡利亚里未进球而输。</x:v>
      </x:c>
    </x:row>
    <x:row r="1302" ht="38" customHeight="1">
      <x:c r="A1302" s="65" t="str">
        <x:f>IF(B1302="","",TEXT(B1302,"yyyy-mm-dd")&amp;"|"&amp;D1302&amp;"|"&amp;E1302)</x:f>
        <x:v>2026-05-09|代格福什IF（Degerfors IF）|米亚尔比AIF（Mjällby AIF）</x:v>
      </x:c>
      <x:c r="B1302" s="66" t="n">
        <x:v>46151.875</x:v>
      </x:c>
      <x:c r="C1302" s="65" t="str">
        <x:v>瑞典超级联赛</x:v>
      </x:c>
      <x:c r="D1302" s="65" t="str">
        <x:v>代格福什IF（Degerfors IF）</x:v>
      </x:c>
      <x:c r="E1302" s="65" t="str">
        <x:v>米亚尔比AIF（Mjällby AIF）</x:v>
      </x:c>
      <x:c r="F1302" s="65" t="str">
        <x:v>米亚尔比AIF -0.5（参考赔率1.89/水位约0.89；低于0.80不进）</x:v>
      </x:c>
      <x:c r="G1302" s="65" t="str">
        <x:v>双方进球：否（替代大小球，参考赔率1.82/水位约0.82；传统小2.5低水1.67不进）</x:v>
      </x:c>
      <x:c r="H1302" s="65" t="str">
        <x:v>小注；米亚尔比状态、客场和交锋压制明显，但客让半球需防主队主场反弹，比分倾向0-1/0-2/1-2</x:v>
      </x:c>
      <x:c r="I1302" s="66" t="n">
        <x:v>46151.87810185185</x:v>
      </x:c>
      <x:c r="J1302" s="65" t="str">
        <x:v>已结算</x:v>
      </x:c>
      <x:c r="K1302" s="65"/>
      <x:c r="L1302" s="65" t="str">
        <x:v>赢</x:v>
      </x:c>
      <x:c r="M1302" s="65" t="str">
        <x:v>输</x:v>
      </x:c>
      <x:c r="N1302" s="67" t="n">
        <x:v>1</x:v>
      </x:c>
      <x:c r="O1302" s="67" t="n">
        <x:v>-1</x:v>
      </x:c>
      <x:c r="P1302" s="67" t="n">
        <x:f>IF(COUNT(N1302:O1302)=0,"",SUM(N1302:O1302))</x:f>
        <x:v>0</x:v>
      </x:c>
      <x:c r="Q1302" s="65"/>
      <x:c r="R1302" s="65" t="str">
        <x:v>90分钟比分：代格福什IF 1-4 米亚尔比AIF；米亚尔比AIF-0.5赢；双方进球：否因双方均进球而输。</x:v>
      </x:c>
    </x:row>
    <x:row r="1303" ht="38" customHeight="1">
      <x:c r="A1303" s="65" t="str">
        <x:f>IF(B1303="","",TEXT(B1303,"yyyy-mm-dd")&amp;"|"&amp;D1303&amp;"|"&amp;E1303)</x:f>
        <x:v>2026-05-09|哥德堡（IFK Göteborg）|哈马比（Hammarby IF）</x:v>
      </x:c>
      <x:c r="B1303" s="66" t="n">
        <x:v>46151.875</x:v>
      </x:c>
      <x:c r="C1303" s="65" t="str">
        <x:v>瑞典超级联赛</x:v>
      </x:c>
      <x:c r="D1303" s="65" t="str">
        <x:v>哥德堡（IFK Göteborg）</x:v>
      </x:c>
      <x:c r="E1303" s="65" t="str">
        <x:v>哈马比（Hammarby IF）</x:v>
      </x:c>
      <x:c r="F1303" s="65" t="str">
        <x:v>哈马比 -0.75（参考水位需≥0.85；若只能买-1低水则不进，-1需≥1.00才考虑）</x:v>
      </x:c>
      <x:c r="G1303" s="65" t="str">
        <x:v>大 3.0（参考水位需≥0.85；若只能买大2.5低水约1.56-1.66则不进）</x:v>
      </x:c>
      <x:c r="H1303" s="65" t="str">
        <x:v>小注；哈马比状态、交锋和客场压制力占优，但哥德堡主场反弹和深盘阻力存在，比分倾向1-2/1-3/2-2</x:v>
      </x:c>
      <x:c r="I1303" s="66" t="n">
        <x:v>46151.877233796295</x:v>
      </x:c>
      <x:c r="J1303" s="65" t="str">
        <x:v>已结算</x:v>
      </x:c>
      <x:c r="K1303" s="65"/>
      <x:c r="L1303" s="65" t="str">
        <x:v>赢半</x:v>
      </x:c>
      <x:c r="M1303" s="65" t="str">
        <x:v>输</x:v>
      </x:c>
      <x:c r="N1303" s="67" t="n">
        <x:v>0.5</x:v>
      </x:c>
      <x:c r="O1303" s="67" t="n">
        <x:v>-1</x:v>
      </x:c>
      <x:c r="P1303" s="67" t="n">
        <x:f>IF(COUNT(N1303:O1303)=0,"",SUM(N1303:O1303))</x:f>
        <x:v>-0.5</x:v>
      </x:c>
      <x:c r="Q1303" s="65"/>
      <x:c r="R1303" s="65" t="str">
        <x:v>90分钟比分：哥德堡 0-1 哈马比；哈马比-0.75净胜1球，结算赢半；大3.0因总进球1输。</x:v>
      </x:c>
    </x:row>
    <x:row r="1304" ht="38" customHeight="1">
      <x:c r="A1304" s="65" t="str">
        <x:f>IF(B1304="","",TEXT(B1304,"yyyy-mm-dd")&amp;"|"&amp;D1304&amp;"|"&amp;E1304)</x:f>
        <x:v>2026-05-09|佩斯索罗（Persis Solo）|帕尔斯巴亚泗水（Persebaya Surabaya）</x:v>
      </x:c>
      <x:c r="B1304" s="66" t="n">
        <x:v>46151.833333333336</x:v>
      </x:c>
      <x:c r="C1304" s="65" t="str">
        <x:v>印度尼西亚超级联赛（印尼超/Liga 1 Indonesia）</x:v>
      </x:c>
      <x:c r="D1304" s="65" t="str">
        <x:v>佩斯索罗（Persis Solo）</x:v>
      </x:c>
      <x:c r="E1304" s="65" t="str">
        <x:v>帕尔斯巴亚泗水（Persebaya Surabaya）</x:v>
      </x:c>
      <x:c r="F1304" s="65" t="str">
        <x:v>帕尔斯巴亚泗水 +0.25（参考水位需≥0.85；若只能买+0.5低水或客胜高波动则不进，若退到+0需≥1.05才考虑）</x:v>
      </x:c>
      <x:c r="G1304" s="65" t="str">
        <x:v>大 2.5（只取赔率≥1.85/水位≥0.85；若大2.5低于0.80则改看大3.0≥0.95，否则放弃）</x:v>
      </x:c>
      <x:c r="H1304" s="65" t="str">
        <x:v>小注；客队排名、近况和交锋占优，但佩斯索罗保级战意与主场四连胜强，受让防平优先；比分倾向1-2/2-2/2-1</x:v>
      </x:c>
      <x:c r="I1304" s="66" t="n">
        <x:v>46151.79825231482</x:v>
      </x:c>
      <x:c r="J1304" s="65" t="str">
        <x:v>已结算</x:v>
      </x:c>
      <x:c r="K1304" s="65"/>
      <x:c r="L1304" s="65" t="str">
        <x:v>赢半</x:v>
      </x:c>
      <x:c r="M1304" s="65" t="str">
        <x:v>输</x:v>
      </x:c>
      <x:c r="N1304" s="67" t="n">
        <x:v>0.5</x:v>
      </x:c>
      <x:c r="O1304" s="67" t="n">
        <x:v>-1</x:v>
      </x:c>
      <x:c r="P1304" s="67" t="n">
        <x:f>IF(COUNT(N1304:O1304)=0,"",SUM(N1304:O1304))</x:f>
        <x:v>-0.5</x:v>
      </x:c>
      <x:c r="Q1304" s="65"/>
      <x:c r="R1304" s="65" t="str">
        <x:v>90分钟比分：佩斯索罗 0-0 帕尔斯巴亚泗水；帕尔斯巴亚泗水+0.25平局赢半；大2.5输。</x:v>
      </x:c>
    </x:row>
    <x:row r="1305" ht="38" customHeight="1">
      <x:c r="A1305" s="65" t="str">
        <x:f>IF(B1305="","",TEXT(B1305,"yyyy-mm-dd")&amp;"|"&amp;D1305&amp;"|"&amp;E1305)</x:f>
        <x:v>2026-05-09|布伦瑞克（Eintracht Braunschweig）|德累斯顿迪纳摩（SG Dynamo Dresden）</x:v>
      </x:c>
      <x:c r="B1305" s="66" t="n">
        <x:v>46151.791666666664</x:v>
      </x:c>
      <x:c r="C1305" s="65" t="str">
        <x:v>德国乙级联赛（2. Bundesliga）</x:v>
      </x:c>
      <x:c r="D1305" s="65" t="str">
        <x:v>布伦瑞克（Eintracht Braunschweig）</x:v>
      </x:c>
      <x:c r="E1305" s="65" t="str">
        <x:v>德累斯顿迪纳摩（SG Dynamo Dresden）</x:v>
      </x:c>
      <x:c r="F1305" s="65" t="str">
        <x:v>德累斯顿迪纳摩 0（平手/DNB，参考赔率约1.96/水位约0.96；若只能买+0.5低水约0.54则不进）</x:v>
      </x:c>
      <x:c r="G1305" s="65" t="str">
        <x:v>大 3.0（参考水位需≥0.85；若只能买大2.5低水约0.66/赔率1.66则不进）</x:v>
      </x:c>
      <x:c r="H1305" s="65" t="str">
        <x:v>小注；德累斯顿近况和进攻效率优于布伦瑞克，但保级主场和历史交锋有反证，比分倾向1-2/2-2/1-1</x:v>
      </x:c>
      <x:c r="I1305" s="66" t="n">
        <x:v>46151.803078703706</x:v>
      </x:c>
      <x:c r="J1305" s="65" t="str">
        <x:v>已结算</x:v>
      </x:c>
      <x:c r="K1305" s="65"/>
      <x:c r="L1305" s="65" t="str">
        <x:v>输</x:v>
      </x:c>
      <x:c r="M1305" s="65" t="str">
        <x:v>走水</x:v>
      </x:c>
      <x:c r="N1305" s="67" t="n">
        <x:v>-1</x:v>
      </x:c>
      <x:c r="O1305" s="67" t="n">
        <x:v>0</x:v>
      </x:c>
      <x:c r="P1305" s="67" t="n">
        <x:f>IF(COUNT(N1305:O1305)=0,"",SUM(N1305:O1305))</x:f>
        <x:v>-1</x:v>
      </x:c>
      <x:c r="Q1305" s="65"/>
      <x:c r="R1305" s="65" t="str">
        <x:v>90分钟比分：布伦瑞克 2-1 德累斯顿迪纳摩；德累斯顿迪纳摩0盘输；大3.0总进球3走水。</x:v>
      </x:c>
    </x:row>
    <x:row r="1306" ht="38" customHeight="1">
      <x:c r="A1306" s="65" t="str">
        <x:f>IF(B1306="","",TEXT(B1306,"yyyy-mm-dd")&amp;"|"&amp;D1306&amp;"|"&amp;E1306)</x:f>
        <x:v>2026-05-09|荷尔斯泰因基尔（Holstein Kiel）|马德堡（1. FC Magdeburg）</x:v>
      </x:c>
      <x:c r="B1306" s="66" t="n">
        <x:v>46151.791666666664</x:v>
      </x:c>
      <x:c r="C1306" s="65" t="str">
        <x:v>德国乙级联赛（2. Bundesliga）</x:v>
      </x:c>
      <x:c r="D1306" s="65" t="str">
        <x:v>荷尔斯泰因基尔（Holstein Kiel）</x:v>
      </x:c>
      <x:c r="E1306" s="65" t="str">
        <x:v>马德堡（1. FC Magdeburg）</x:v>
      </x:c>
      <x:c r="F1306" s="65" t="str">
        <x:v>荷尔斯泰因基尔 +0.25（参考水位约0.89-0.95；低于0.80不进，若退到+0低水则放弃）</x:v>
      </x:c>
      <x:c r="G1306" s="65" t="str">
        <x:v>大 3.25（3/3.5，参考水位约0.95-0.98；若只能买大2.5低水约0.38则不进）</x:v>
      </x:c>
      <x:c r="H1306" s="65" t="str">
        <x:v>小注；基尔近期状态和主场防守支撑受让，马德堡保级压力与客场大开大合支撑进球，比分倾向2-2/2-1/3-2</x:v>
      </x:c>
      <x:c r="I1306" s="66" t="n">
        <x:v>46151.80298611111</x:v>
      </x:c>
      <x:c r="J1306" s="65" t="str">
        <x:v>已结算</x:v>
      </x:c>
      <x:c r="K1306" s="65"/>
      <x:c r="L1306" s="65" t="str">
        <x:v>输</x:v>
      </x:c>
      <x:c r="M1306" s="65" t="str">
        <x:v>赢</x:v>
      </x:c>
      <x:c r="N1306" s="67" t="n">
        <x:v>-1</x:v>
      </x:c>
      <x:c r="O1306" s="67" t="n">
        <x:v>1</x:v>
      </x:c>
      <x:c r="P1306" s="67" t="n">
        <x:f>IF(COUNT(N1306:O1306)=0,"",SUM(N1306:O1306))</x:f>
        <x:v>0</x:v>
      </x:c>
      <x:c r="Q1306" s="65"/>
      <x:c r="R1306" s="65" t="str">
        <x:v>90分钟比分：荷尔斯泰因基尔 1-3 马德堡；荷尔斯泰因基尔+0.25输；大3.25因总进球4赢。</x:v>
      </x:c>
    </x:row>
    <x:row r="1307" ht="38" customHeight="1">
      <x:c r="A1307" s="65" t="str">
        <x:f>IF(B1307="","",TEXT(B1307,"yyyy-mm-dd")&amp;"|"&amp;D1307&amp;"|"&amp;E1307)</x:f>
        <x:v>2026-05-09|波鸿（VfL Bochum 1848）|汉诺威96（Hannover 96）</x:v>
      </x:c>
      <x:c r="B1307" s="66" t="n">
        <x:v>46151.791666666664</x:v>
      </x:c>
      <x:c r="C1307" s="65" t="str">
        <x:v>德国乙级联赛（2. Bundesliga）</x:v>
      </x:c>
      <x:c r="D1307" s="65" t="str">
        <x:v>波鸿（VfL Bochum 1848）</x:v>
      </x:c>
      <x:c r="E1307" s="65" t="str">
        <x:v>汉诺威96（Hannover 96）</x:v>
      </x:c>
      <x:c r="F1307" s="65" t="str">
        <x:v>波鸿 +0.25（参考赔率1.92-1.93/水位约0.92-0.93；低于0.80不进，若退到+0低水则放弃）</x:v>
      </x:c>
      <x:c r="G1307" s="65" t="str">
        <x:v>大 3.25（3/3.5，需≥0.85才进；若只能买大2.5低水约1.47/水0.47则不进）</x:v>
      </x:c>
      <x:c r="H1307" s="65" t="str">
        <x:v>小注；汉诺威升级动机和客场火力强，但波鸿主场韧性与交锋主场优势支撑受让，比分倾向2-2/2-1/1-2</x:v>
      </x:c>
      <x:c r="I1307" s="66" t="n">
        <x:v>46151.782789351855</x:v>
      </x:c>
      <x:c r="J1307" s="65" t="str">
        <x:v>已结算</x:v>
      </x:c>
      <x:c r="K1307" s="65"/>
      <x:c r="L1307" s="65" t="str">
        <x:v>赢半</x:v>
      </x:c>
      <x:c r="M1307" s="65" t="str">
        <x:v>输</x:v>
      </x:c>
      <x:c r="N1307" s="67" t="n">
        <x:v>0.5</x:v>
      </x:c>
      <x:c r="O1307" s="67" t="n">
        <x:v>-1</x:v>
      </x:c>
      <x:c r="P1307" s="67" t="n">
        <x:f>IF(COUNT(N1307:O1307)=0,"",SUM(N1307:O1307))</x:f>
        <x:v>-0.5</x:v>
      </x:c>
      <x:c r="Q1307" s="65"/>
      <x:c r="R1307" s="65" t="str">
        <x:v>90分钟比分：波鸿 1-1 汉诺威96；波鸿+0.25平局赢半；大3.25因总进球2输。</x:v>
      </x:c>
    </x:row>
    <x:row r="1308" ht="38" customHeight="1">
      <x:c r="A1308" s="65" t="str">
        <x:f>IF(B1308="","",TEXT(B1308,"yyyy-mm-dd")&amp;"|"&amp;D1308&amp;"|"&amp;E1308)</x:f>
        <x:v>2026-05-09|悉尼FC（Sydney FC）|纽卡斯尔喷气机（Newcastle Jets）</x:v>
      </x:c>
      <x:c r="B1308" s="66" t="n">
        <x:v>46151.73611111111</x:v>
      </x:c>
      <x:c r="C1308" s="65" t="str">
        <x:v>澳大利亚A联赛（A-League Men）</x:v>
      </x:c>
      <x:c r="D1308" s="65" t="str">
        <x:v>悉尼FC（Sydney FC）</x:v>
      </x:c>
      <x:c r="E1308" s="65" t="str">
        <x:v>纽卡斯尔喷气机（Newcastle Jets）</x:v>
      </x:c>
      <x:c r="F1308" s="65" t="str">
        <x:v>纽卡斯尔喷气机 0（平手/DNB，参考赔率2.00/水位约1.00；若有+0.25且≥0.80可替代，低于0.80不进）</x:v>
      </x:c>
      <x:c r="G1308" s="65" t="str">
        <x:v>大 3.0（参考水位约0.87-0.90；若只能买大2.5低水约0.44/赔率1.44则不进）</x:v>
      </x:c>
      <x:c r="H1308" s="65" t="str">
        <x:v>小注；两回合首回合防平，但纽卡斯尔常规赛榜首、客场火力强，平手盘比低水+0.25更健康；比分倾向1-2/2-2/1-1</x:v>
      </x:c>
      <x:c r="I1308" s="66" t="n">
        <x:v>46151.74181712963</x:v>
      </x:c>
      <x:c r="J1308" s="65" t="str">
        <x:v>已结算</x:v>
      </x:c>
      <x:c r="K1308" s="65"/>
      <x:c r="L1308" s="65" t="str">
        <x:v>走水</x:v>
      </x:c>
      <x:c r="M1308" s="65" t="str">
        <x:v>输</x:v>
      </x:c>
      <x:c r="N1308" s="67" t="n">
        <x:v>0</x:v>
      </x:c>
      <x:c r="O1308" s="67" t="n">
        <x:v>-1</x:v>
      </x:c>
      <x:c r="P1308" s="67" t="n">
        <x:f>IF(COUNT(N1308:O1308)=0,"",SUM(N1308:O1308))</x:f>
        <x:v>-1</x:v>
      </x:c>
      <x:c r="Q1308" s="65"/>
      <x:c r="R1308" s="65" t="str">
        <x:v>90分钟比分：悉尼FC 1-1 纽卡斯尔喷气机；纽卡斯尔喷气机0盘走水；大3.0输。</x:v>
      </x:c>
    </x:row>
    <x:row r="1309" ht="38" customHeight="1">
      <x:c r="A1309" s="65" t="str">
        <x:f>IF(B1309="","",TEXT(B1309,"yyyy-mm-dd")&amp;"|"&amp;D1309&amp;"|"&amp;E1309)</x:f>
        <x:v>2026-05-09|布琳狮子（FC Bulleen Lions）|墨尔本塞尔维亚（FC Melbourne Srbija）</x:v>
      </x:c>
      <x:c r="B1309" s="66" t="n">
        <x:v>46151.6875</x:v>
      </x:c>
      <x:c r="C1309" s="65" t="str">
        <x:v>澳大利亚 维多利亚州超级联赛1（VPL1）</x:v>
      </x:c>
      <x:c r="D1309" s="65" t="str">
        <x:v>布琳狮子（FC Bulleen Lions）</x:v>
      </x:c>
      <x:c r="E1309" s="65" t="str">
        <x:v>墨尔本塞尔维亚（FC Melbourne Srbija）</x:v>
      </x:c>
      <x:c r="F1309" s="65" t="str">
        <x:v>布琳狮子 -0.75（参考水位需≥0.85；低于0.80不进，若升到-1需≥1.00才考虑）</x:v>
      </x:c>
      <x:c r="G1309" s="65" t="str">
        <x:v>小 3.25（3/3.5，参考水位需≥0.85；若只能买小3.5低水或大2.5低水则不进）</x:v>
      </x:c>
      <x:c r="H1309" s="65" t="str">
        <x:v>小注；一线队独立于U23处理，布琳狮子近况和主场防守占优，但历史交锋有0-3反证，比分倾向2-0/2-1/1-1</x:v>
      </x:c>
      <x:c r="I1309" s="66" t="n">
        <x:v>46151.6772337963</x:v>
      </x:c>
      <x:c r="J1309" s="65" t="str">
        <x:v>已结算</x:v>
      </x:c>
      <x:c r="K1309" s="65"/>
      <x:c r="L1309" s="65" t="str">
        <x:v>输</x:v>
      </x:c>
      <x:c r="M1309" s="65" t="str">
        <x:v>赢</x:v>
      </x:c>
      <x:c r="N1309" s="67" t="n">
        <x:v>-1</x:v>
      </x:c>
      <x:c r="O1309" s="67" t="n">
        <x:v>1</x:v>
      </x:c>
      <x:c r="P1309" s="67" t="n">
        <x:f>IF(COUNT(N1309:O1309)=0,"",SUM(N1309:O1309))</x:f>
        <x:v>0</x:v>
      </x:c>
      <x:c r="Q1309" s="65"/>
      <x:c r="R1309" s="65" t="str">
        <x:v>90分钟比分：布琳狮子 0-0 墨尔本塞尔维亚；布琳狮子-0.75输；小3.25赢。</x:v>
      </x:c>
    </x:row>
    <x:row r="1310" ht="38" customHeight="1">
      <x:c r="A1310" s="65" t="str">
        <x:f>IF(B1310="","",TEXT(B1310,"yyyy-mm-dd")&amp;"|"&amp;D1310&amp;"|"&amp;E1310)</x:f>
        <x:v>2026-05-09|阿雷马（Arema FC）|PSM马卡萨（PSM Makassar）</x:v>
      </x:c>
      <x:c r="B1310" s="66" t="n">
        <x:v>46151.6875</x:v>
      </x:c>
      <x:c r="C1310" s="65" t="str">
        <x:v>印度尼西亚超级联赛（印尼超/Liga 1 Indonesia）</x:v>
      </x:c>
      <x:c r="D1310" s="65" t="str">
        <x:v>阿雷马（Arema FC）</x:v>
      </x:c>
      <x:c r="E1310" s="65" t="str">
        <x:v>PSM马卡萨（PSM Makassar）</x:v>
      </x:c>
      <x:c r="F1310" s="65" t="str">
        <x:v>阿雷马 -0.25（参考水位需≥0.85；若只能买阿雷马平手低水/DNB约0.62则不进，若-0.5需≥1.05才考虑）</x:v>
      </x:c>
      <x:c r="G1310" s="65" t="str">
        <x:v>大 2.5（参考水位需≥0.85；若只能拿到1.70-1.79低水则不进，≥1.85才进）</x:v>
      </x:c>
      <x:c r="H1310" s="65" t="str">
        <x:v>小注；阿雷马主场与首发攻击组占优，但近期防线波动大、PSM保级动机强，比分倾向2-1/2-2/3-1</x:v>
      </x:c>
      <x:c r="I1310" s="66" t="n">
        <x:v>46151.674791666665</x:v>
      </x:c>
      <x:c r="J1310" s="65" t="str">
        <x:v>已结算</x:v>
      </x:c>
      <x:c r="K1310" s="65"/>
      <x:c r="L1310" s="65" t="str">
        <x:v>赢</x:v>
      </x:c>
      <x:c r="M1310" s="65" t="str">
        <x:v>赢</x:v>
      </x:c>
      <x:c r="N1310" s="67" t="n">
        <x:v>1</x:v>
      </x:c>
      <x:c r="O1310" s="67" t="n">
        <x:v>1</x:v>
      </x:c>
      <x:c r="P1310" s="67" t="n">
        <x:f>IF(COUNT(N1310:O1310)=0,"",SUM(N1310:O1310))</x:f>
        <x:v>2</x:v>
      </x:c>
      <x:c r="Q1310" s="65"/>
      <x:c r="R1310" s="65" t="str">
        <x:v>90分钟比分：阿雷马 3-0 PSM马卡萨；阿雷马-0.25赢；大2.5赢。</x:v>
      </x:c>
    </x:row>
    <x:row r="1311" ht="38" customHeight="1">
      <x:c r="A1311" s="65" t="str">
        <x:f>IF(B1311="","",TEXT(B1311,"yyyy-mm-dd")&amp;"|"&amp;D1311&amp;"|"&amp;E1311)</x:f>
        <x:v>2026-05-09|卡罗琳泉乔治十字FC（Caroline Springs George Cross FC）|休城（Hume City FC）</x:v>
      </x:c>
      <x:c r="B1311" s="66" t="n">
        <x:v>46151.666666666664</x:v>
      </x:c>
      <x:c r="C1311" s="65" t="str">
        <x:v>澳大利亚 维多利亚州超级联赛1（VPL1）</x:v>
      </x:c>
      <x:c r="D1311" s="65" t="str">
        <x:v>卡罗琳泉乔治十字FC（Caroline Springs George Cross FC）</x:v>
      </x:c>
      <x:c r="E1311" s="65" t="str">
        <x:v>休城（Hume City FC）</x:v>
      </x:c>
      <x:c r="F1311" s="65" t="str">
        <x:v>休城 -0.5（参考水位需≥0.85；低于0.80不进，若临场只剩客胜低赔或-0.75低水则放弃）</x:v>
      </x:c>
      <x:c r="G1311" s="65" t="str">
        <x:v>大 3.0（参考水位需≥0.85；大2.5低水不进，若大3.0低于0.80放弃）</x:v>
      </x:c>
      <x:c r="H1311" s="65" t="str">
        <x:v>小注；只按一线队盘口，不混U23；休城排名和状态占优，但卡罗琳主场有进球能力，比分倾向1-2/1-3/2-2</x:v>
      </x:c>
      <x:c r="I1311" s="66" t="n">
        <x:v>46151.58945601852</x:v>
      </x:c>
      <x:c r="J1311" s="65" t="str">
        <x:v>已结算</x:v>
      </x:c>
      <x:c r="K1311" s="65"/>
      <x:c r="L1311" s="65" t="str">
        <x:v>赢</x:v>
      </x:c>
      <x:c r="M1311" s="65" t="str">
        <x:v>赢</x:v>
      </x:c>
      <x:c r="N1311" s="67" t="n">
        <x:v>1</x:v>
      </x:c>
      <x:c r="O1311" s="67" t="n">
        <x:v>1</x:v>
      </x:c>
      <x:c r="P1311" s="67" t="n">
        <x:f>IF(COUNT(N1311:O1311)=0,"",SUM(N1311:O1311))</x:f>
        <x:v>2</x:v>
      </x:c>
      <x:c r="Q1311" s="65"/>
      <x:c r="R1311" s="65" t="str">
        <x:v>90分钟比分：卡罗琳泉乔治十字FC 2-4 休城；休城-0.5赢；大3.0因总进球6赢。</x:v>
      </x:c>
    </x:row>
    <x:row r="1312" ht="38" customHeight="1">
      <x:c r="A1312" s="65" t="str">
        <x:f>IF(B1312="","",TEXT(B1312,"yyyy-mm-dd")&amp;"|"&amp;D1312&amp;"|"&amp;E1312)</x:f>
        <x:v>2026-05-09|莱卡特老虎（APIA Leichhardt FC）|悉尼联58（Sydney United 58 FC）</x:v>
      </x:c>
      <x:c r="B1312" s="66" t="n">
        <x:v>46151.635416666664</x:v>
      </x:c>
      <x:c r="C1312" s="65" t="str">
        <x:v>澳大利亚 维多利亚州超级联赛1（VPL1）</x:v>
      </x:c>
      <x:c r="D1312" s="65" t="str">
        <x:v>莱卡特老虎（APIA Leichhardt FC）</x:v>
      </x:c>
      <x:c r="E1312" s="65" t="str">
        <x:v>悉尼联58（Sydney United 58 FC）</x:v>
      </x:c>
      <x:c r="F1312" s="65" t="str">
        <x:v>悉尼联58 +0.25（参考水位约1.00；低于0.80不进，若只剩+0低水则放弃）</x:v>
      </x:c>
      <x:c r="G1312" s="65" t="str">
        <x:v>大 3.0（需≥0.85才进；若只能买大2.5低水约0.67则不进）</x:v>
      </x:c>
      <x:c r="H1312" s="65" t="str">
        <x:v>小注；榜首大战不追主队低水，利用悉尼联受让与双方进球趋势；比分倾向2-2/2-1/1-2</x:v>
      </x:c>
      <x:c r="I1312" s="66" t="n">
        <x:v>46151.58424768518</x:v>
      </x:c>
      <x:c r="J1312" s="65" t="str">
        <x:v>已结算</x:v>
      </x:c>
      <x:c r="K1312" s="65"/>
      <x:c r="L1312" s="65" t="str">
        <x:v>输</x:v>
      </x:c>
      <x:c r="M1312" s="65" t="str">
        <x:v>走水</x:v>
      </x:c>
      <x:c r="N1312" s="67" t="n">
        <x:v>-1</x:v>
      </x:c>
      <x:c r="O1312" s="67" t="n">
        <x:v>0</x:v>
      </x:c>
      <x:c r="P1312" s="67" t="n">
        <x:f>IF(COUNT(N1312:O1312)=0,"",SUM(N1312:O1312))</x:f>
        <x:v>-1</x:v>
      </x:c>
      <x:c r="Q1312" s="65"/>
      <x:c r="R1312" s="65" t="str">
        <x:v>90分钟比分核为：莱卡特老虎 2-1 悉尼联58；悉尼联58+0.25输；大3.0总进球3走水。</x:v>
      </x:c>
    </x:row>
    <x:row r="1313" ht="38" customHeight="1">
      <x:c r="A1313" s="65" t="str">
        <x:f>IF(B1313="","",TEXT(B1313,"yyyy-mm-dd")&amp;"|"&amp;D1313&amp;"|"&amp;E1313)</x:f>
        <x:v>2026-05-09|大阪樱花（Cerezo Osaka）|长崎成功丸（V-Varen Nagasaki）</x:v>
      </x:c>
      <x:c r="B1313" s="66" t="n">
        <x:v>46151.625</x:v>
      </x:c>
      <x:c r="C1313" s="65" t="str">
        <x:v>日职联（J1 League）</x:v>
      </x:c>
      <x:c r="D1313" s="65" t="str">
        <x:v>大阪樱花（Cerezo Osaka）</x:v>
      </x:c>
      <x:c r="E1313" s="65" t="str">
        <x:v>长崎成功丸（V-Varen Nagasaki）</x:v>
      </x:c>
      <x:c r="F1313" s="65" t="str">
        <x:v>大阪樱花 -0.5（参考赛前水位约0.90；低于0.80不进，若滚球/临场只剩-0.75需≥0.95才考虑）</x:v>
      </x:c>
      <x:c r="G1313" s="65" t="str">
        <x:v>小 2.75（2.5/3，参考水位约0.82-0.90；若只能买小2.5低水则不进）</x:v>
      </x:c>
      <x:c r="H1313" s="65" t="str">
        <x:v>小注；主队排名、主场与交锋占优，但近期平局多且长崎首循环赢过，避免追深；比分倾向1-0/2-0/1-1</x:v>
      </x:c>
      <x:c r="I1313" s="66" t="n">
        <x:v>46151.63581018519</x:v>
      </x:c>
      <x:c r="J1313" s="65" t="str">
        <x:v>已结算</x:v>
      </x:c>
      <x:c r="K1313" s="65"/>
      <x:c r="L1313" s="65" t="str">
        <x:v>赢</x:v>
      </x:c>
      <x:c r="M1313" s="65" t="str">
        <x:v>输</x:v>
      </x:c>
      <x:c r="N1313" s="67" t="n">
        <x:v>1</x:v>
      </x:c>
      <x:c r="O1313" s="67" t="n">
        <x:v>-1</x:v>
      </x:c>
      <x:c r="P1313" s="67" t="n">
        <x:f>IF(COUNT(N1313:O1313)=0,"",SUM(N1313:O1313))</x:f>
        <x:v>0</x:v>
      </x:c>
      <x:c r="Q1313" s="65"/>
      <x:c r="R1313" s="65" t="str">
        <x:v>90分钟比分：大阪樱花 3-2 长崎成功丸；大阪樱花-0.5赢；小2.75因总进球5输。</x:v>
      </x:c>
    </x:row>
    <x:row r="1314" ht="38" customHeight="1">
      <x:c r="A1314" s="65" t="str">
        <x:f>IF(B1314="","",TEXT(B1314,"yyyy-mm-dd")&amp;"|"&amp;D1314&amp;"|"&amp;E1314)</x:f>
        <x:v>2026-05-09|SD公鹿（SD Raiders FC）|新南威尔士精神（NWS Spirit FC）</x:v>
      </x:c>
      <x:c r="B1314" s="66" t="n">
        <x:v>46151.625</x:v>
      </x:c>
      <x:c r="C1314" s="65" t="str">
        <x:v>澳大利亚 维多利亚州超级联赛1（VPL1）</x:v>
      </x:c>
      <x:c r="D1314" s="65" t="str">
        <x:v>SD公鹿（SD Raiders FC）</x:v>
      </x:c>
      <x:c r="E1314" s="65" t="str">
        <x:v>新南威尔士精神（NWS Spirit FC）</x:v>
      </x:c>
      <x:c r="F1314" s="65" t="str">
        <x:v>新南威尔士精神 0（平手/DNB，参考水位约0.90；低于0.80不进，若升到-0.25需≥0.95才考虑）</x:v>
      </x:c>
      <x:c r="G1314" s="65" t="str">
        <x:v>大 3.0（参考水位需≥0.85；若只能买大2.5低水则不进，若大3.0低于0.80放弃）</x:v>
      </x:c>
      <x:c r="H1314" s="65" t="str">
        <x:v>小注；客队排名与防守更稳，但SD主场进攻活跃，防平用平手盘；比分倾向1-2/2-2/1-1</x:v>
      </x:c>
      <x:c r="I1314" s="66" t="n">
        <x:v>46151.58695601852</x:v>
      </x:c>
      <x:c r="J1314" s="65" t="str">
        <x:v>已结算</x:v>
      </x:c>
      <x:c r="K1314" s="65"/>
      <x:c r="L1314" s="65" t="str">
        <x:v>走水</x:v>
      </x:c>
      <x:c r="M1314" s="65" t="str">
        <x:v>输</x:v>
      </x:c>
      <x:c r="N1314" s="67" t="n">
        <x:v>0</x:v>
      </x:c>
      <x:c r="O1314" s="67" t="n">
        <x:v>-1</x:v>
      </x:c>
      <x:c r="P1314" s="67" t="n">
        <x:f>IF(COUNT(N1314:O1314)=0,"",SUM(N1314:O1314))</x:f>
        <x:v>-1</x:v>
      </x:c>
      <x:c r="Q1314" s="65"/>
      <x:c r="R1314" s="65" t="str">
        <x:v>90分钟比分：SD公鹿 0-0 新南威尔士精神；新南威尔士精神0盘走水；大3.0输。</x:v>
      </x:c>
    </x:row>
    <x:row r="1315" ht="38" customHeight="1">
      <x:c r="A1315" s="65" t="str">
        <x:f>IF(B1315="","",TEXT(B1315,"yyyy-mm-dd")&amp;"|"&amp;D1315&amp;"|"&amp;E1315)</x:f>
        <x:v>2026-05-09|布琳狮子U23（FC Bulleen Lions U23）|墨尔本塞尔维亚U23（FC Melbourne Srbija U23）</x:v>
      </x:c>
      <x:c r="B1315" s="66" t="n">
        <x:v>46151.59375</x:v>
      </x:c>
      <x:c r="C1315" s="65" t="str">
        <x:v>澳大利亚 维多利亚州超1 U23</x:v>
      </x:c>
      <x:c r="D1315" s="65" t="str">
        <x:v>布琳狮子U23（FC Bulleen Lions U23）</x:v>
      </x:c>
      <x:c r="E1315" s="65" t="str">
        <x:v>墨尔本塞尔维亚U23（FC Melbourne Srbija U23）</x:v>
      </x:c>
      <x:c r="F1315" s="65" t="str">
        <x:v>布琳狮子U23 -3.5（让球胜负盘参考赔率2.26/水位约1.26；若只能买-2.5低水1.57则不进）</x:v>
      </x:c>
      <x:c r="G1315" s="65" t="str">
        <x:v>小 4.5（参考赔率1.94/水位约0.94；若低于0.80不进，不追低水大3.5/大4.5）</x:v>
      </x:c>
      <x:c r="H1315" s="65" t="str">
        <x:v>小注；强弱差距支持主队大胜，但U23波动高且深盘门槛大，比分倾向4-0/3-0/4-1</x:v>
      </x:c>
      <x:c r="I1315" s="66" t="n">
        <x:v>46151.58293981481</x:v>
      </x:c>
      <x:c r="J1315" s="65" t="str">
        <x:v>已结算</x:v>
      </x:c>
      <x:c r="K1315" s="65"/>
      <x:c r="L1315" s="65" t="str">
        <x:v>输</x:v>
      </x:c>
      <x:c r="M1315" s="65" t="str">
        <x:v>赢</x:v>
      </x:c>
      <x:c r="N1315" s="67" t="n">
        <x:v>-1</x:v>
      </x:c>
      <x:c r="O1315" s="67" t="n">
        <x:v>1</x:v>
      </x:c>
      <x:c r="P1315" s="67" t="n">
        <x:f>IF(COUNT(N1315:O1315)=0,"",SUM(N1315:O1315))</x:f>
        <x:v>0</x:v>
      </x:c>
      <x:c r="Q1315" s="65"/>
      <x:c r="R1315" s="65" t="str">
        <x:v>90分钟比分：布琳狮子U23 2-0 墨尔本塞尔维亚U23；布琳狮子U23-3.5输；小4.5赢。</x:v>
      </x:c>
    </x:row>
    <x:row r="1316" ht="38" customHeight="1">
      <x:c r="A1316" s="65" t="str">
        <x:f>IF(B1316="","",TEXT(B1316,"yyyy-mm-dd")&amp;"|"&amp;D1316&amp;"|"&amp;E1316)</x:f>
        <x:v>2026-05-09|奥克兰FC（Auckland FC）|阿德莱德联（Adelaide United）</x:v>
      </x:c>
      <x:c r="B1316" s="66" t="n">
        <x:v>46151.583333333336</x:v>
      </x:c>
      <x:c r="C1316" s="65" t="str">
        <x:v>澳大利亚A联赛（A-League Men）</x:v>
      </x:c>
      <x:c r="D1316" s="65" t="str">
        <x:v>奥克兰FC（Auckland FC）</x:v>
      </x:c>
      <x:c r="E1316" s="65" t="str">
        <x:v>阿德莱德联（Adelaide United）</x:v>
      </x:c>
      <x:c r="F1316" s="65" t="str">
        <x:v>阿德莱德联 +0.5（需≥0.80才进；若临场只有约0.78/-128则放弃，不追低水）</x:v>
      </x:c>
      <x:c r="G1316" s="65" t="str">
        <x:v>小 2.5（参考水位约1.10-1.20/赔率约2.10-2.20；低于0.80不进）</x:v>
      </x:c>
      <x:c r="H1316" s="65" t="str">
        <x:v>小注；半决赛首回合防平优先，阿德莱德头号射手停赛降低大球效率；比分倾向1-1/1-0/0-1</x:v>
      </x:c>
      <x:c r="I1316" s="66" t="n">
        <x:v>46151.56798611111</x:v>
      </x:c>
      <x:c r="J1316" s="65" t="str">
        <x:v>已结算</x:v>
      </x:c>
      <x:c r="K1316" s="65"/>
      <x:c r="L1316" s="65" t="str">
        <x:v>赢</x:v>
      </x:c>
      <x:c r="M1316" s="65" t="str">
        <x:v>赢</x:v>
      </x:c>
      <x:c r="N1316" s="67" t="n">
        <x:v>1</x:v>
      </x:c>
      <x:c r="O1316" s="67" t="n">
        <x:v>1</x:v>
      </x:c>
      <x:c r="P1316" s="67" t="n">
        <x:f>IF(COUNT(N1316:O1316)=0,"",SUM(N1316:O1316))</x:f>
        <x:v>2</x:v>
      </x:c>
      <x:c r="Q1316" s="65"/>
      <x:c r="R1316" s="65" t="str">
        <x:v>90分钟比分：奥克兰FC 1-1 阿德莱德联；阿德莱德联+0.5赢；小2.5赢。</x:v>
      </x:c>
    </x:row>
    <x:row r="1317" ht="38" customHeight="1">
      <x:c r="A1317" s="65" t="str">
        <x:f>IF(B1317="","",TEXT(B1317,"yyyy-mm-dd")&amp;"|"&amp;D1317&amp;"|"&amp;E1317)</x:f>
        <x:v>2026-05-09|水户蜀葵（Mito HollyHock）|浦和红钻（Urawa Red Diamonds）</x:v>
      </x:c>
      <x:c r="B1317" s="66" t="n">
        <x:v>46151.541666666664</x:v>
      </x:c>
      <x:c r="C1317" s="65" t="str">
        <x:v>日职联（J1 League）</x:v>
      </x:c>
      <x:c r="D1317" s="65" t="str">
        <x:v>水户蜀葵（Mito HollyHock）</x:v>
      </x:c>
      <x:c r="E1317" s="65" t="str">
        <x:v>浦和红钻（Urawa Red Diamonds）</x:v>
      </x:c>
      <x:c r="F1317" s="65" t="str">
        <x:v>浦和红钻 -0.5（参考水位约0.80-0.95；低于0.80不进，若退到-0.25低水放弃）</x:v>
      </x:c>
      <x:c r="G1317" s="65" t="str">
        <x:v>小 2.5（参考水位需≥0.85；若只能拿到明显低水如约0.52/赔率1.52则不进）</x:v>
      </x:c>
      <x:c r="H1317" s="65" t="str">
        <x:v>小注；浦和实力与交锋占优，但水户主场平局率高，防平风险明显；比分倾向0-1/0-2/1-1</x:v>
      </x:c>
      <x:c r="I1317" s="66" t="n">
        <x:v>46151.55532407408</x:v>
      </x:c>
      <x:c r="J1317" s="65" t="str">
        <x:v>已结算</x:v>
      </x:c>
      <x:c r="K1317" s="65"/>
      <x:c r="L1317" s="65" t="str">
        <x:v>赢</x:v>
      </x:c>
      <x:c r="M1317" s="65" t="str">
        <x:v>输</x:v>
      </x:c>
      <x:c r="N1317" s="67" t="n">
        <x:v>1</x:v>
      </x:c>
      <x:c r="O1317" s="67" t="n">
        <x:v>-1</x:v>
      </x:c>
      <x:c r="P1317" s="67" t="n">
        <x:f>IF(COUNT(N1317:O1317)=0,"",SUM(N1317:O1317))</x:f>
        <x:v>0</x:v>
      </x:c>
      <x:c r="Q1317" s="65"/>
      <x:c r="R1317" s="65" t="str">
        <x:v>90分钟比分：水户蜀葵 1-4 浦和红钻；浦和红钻-0.5赢；小2.5因总进球5输。</x:v>
      </x:c>
    </x:row>
    <x:row r="1318" ht="38" customHeight="1">
      <x:c r="A1318" s="65" t="str">
        <x:f>IF(B1318="","",TEXT(B1318,"yyyy-mm-dd")&amp;"|"&amp;D1318&amp;"|"&amp;E1318)</x:f>
        <x:v>2026-05-09|艾云达尔（Avondale FC）|阿尔托那魔法（Altona Magic SC）</x:v>
      </x:c>
      <x:c r="B1318" s="66" t="n">
        <x:v>46151.541666666664</x:v>
      </x:c>
      <x:c r="C1318" s="65" t="str">
        <x:v>澳大利亚 维多利亚州超级联赛1（VPL1）</x:v>
      </x:c>
      <x:c r="D1318" s="65" t="str">
        <x:v>艾云达尔（Avondale FC）</x:v>
      </x:c>
      <x:c r="E1318" s="65" t="str">
        <x:v>阿尔托那魔法（Altona Magic SC）</x:v>
      </x:c>
      <x:c r="F1318" s="65" t="str">
        <x:v>艾云达尔 -1.5（参考水位约1.00/赔率约2.05；若低于0.80不进，若退到-1低水放弃）</x:v>
      </x:c>
      <x:c r="G1318" s="65" t="str">
        <x:v>大 3.5（参考水位约1.00；低水大2.5不进，若大3.5低于0.80放弃）</x:v>
      </x:c>
      <x:c r="H1318" s="65" t="str">
        <x:v>小注；强弱与交锋支持主队穿深，但阿尔托那近期平局多，避免重仓；比分倾向3-1/4-1/3-0</x:v>
      </x:c>
      <x:c r="I1318" s="66" t="n">
        <x:v>46151.52460648148</x:v>
      </x:c>
      <x:c r="J1318" s="65" t="str">
        <x:v>已结算</x:v>
      </x:c>
      <x:c r="K1318" s="65"/>
      <x:c r="L1318" s="65" t="str">
        <x:v>赢</x:v>
      </x:c>
      <x:c r="M1318" s="65" t="str">
        <x:v>赢</x:v>
      </x:c>
      <x:c r="N1318" s="67" t="n">
        <x:v>1</x:v>
      </x:c>
      <x:c r="O1318" s="67" t="n">
        <x:v>1</x:v>
      </x:c>
      <x:c r="P1318" s="67" t="n">
        <x:f>IF(COUNT(N1318:O1318)=0,"",SUM(N1318:O1318))</x:f>
        <x:v>2</x:v>
      </x:c>
      <x:c r="Q1318" s="65"/>
      <x:c r="R1318" s="65" t="str">
        <x:v>90分钟比分：艾云达尔 5-1 阿尔托那魔法；艾云达尔-1.5赢；大3.5赢。</x:v>
      </x:c>
    </x:row>
    <x:row r="1319" ht="38" customHeight="1">
      <x:c r="A1319" s="65" t="str">
        <x:f>IF(B1319="","",TEXT(B1319,"yyyy-mm-dd")&amp;"|"&amp;D1319&amp;"|"&amp;E1319)</x:f>
        <x:v>2026-05-09|济州SK（Jeju SK，原济州联）|首尔FC（FC Seoul）</x:v>
      </x:c>
      <x:c r="B1319" s="66" t="n">
        <x:v>46151.541666666664</x:v>
      </x:c>
      <x:c r="C1319" s="65" t="str">
        <x:v>韩国K联赛1（K League 1）</x:v>
      </x:c>
      <x:c r="D1319" s="65" t="str">
        <x:v>济州SK（Jeju SK，原济州联）</x:v>
      </x:c>
      <x:c r="E1319" s="65" t="str">
        <x:v>首尔FC（FC Seoul）</x:v>
      </x:c>
      <x:c r="F1319" s="65" t="str">
        <x:v>首尔FC -0.5（参考水位约0.90；低于0.80不进单，不追-0.75低水）</x:v>
      </x:c>
      <x:c r="G1319" s="65" t="str">
        <x:v>双方进球：否（替代大小球，参考水位约0.82；传统小2.5低水不进）</x:v>
      </x:c>
      <x:c r="H1319" s="65" t="str">
        <x:v>小注；若首尔-0.5跌破0.80放弃，若升到-0.75需≥0.95才考虑；比分倾向0-1/0-2/1-2</x:v>
      </x:c>
      <x:c r="I1319" s="66" t="n">
        <x:v>46151.51981481481</x:v>
      </x:c>
      <x:c r="J1319" s="65" t="str">
        <x:v>已结算</x:v>
      </x:c>
      <x:c r="K1319" s="65"/>
      <x:c r="L1319" s="65" t="str">
        <x:v>输</x:v>
      </x:c>
      <x:c r="M1319" s="65" t="str">
        <x:v>输</x:v>
      </x:c>
      <x:c r="N1319" s="67" t="n">
        <x:v>-1</x:v>
      </x:c>
      <x:c r="O1319" s="67" t="n">
        <x:v>-1</x:v>
      </x:c>
      <x:c r="P1319" s="67" t="n">
        <x:f>IF(COUNT(N1319:O1319)=0,"",SUM(N1319:O1319))</x:f>
        <x:v>-2</x:v>
      </x:c>
      <x:c r="Q1319" s="65"/>
      <x:c r="R1319" s="65" t="str">
        <x:v>90分钟比分：济州SK 2-1 首尔FC；首尔FC-0.5输；双方进球：否因双方均进球而输。</x:v>
      </x:c>
    </x:row>
    <x:row r="1320" ht="38" customHeight="1">
      <x:c r="A1320" s="65" t="str">
        <x:f>IF(B1320="","",TEXT(B1320,"yyyy-mm-dd")&amp;"|"&amp;D1320&amp;"|"&amp;E1320)</x:f>
        <x:v>2026-05-09|班菲尔德（CA Banfield）|图库曼圣马丁（San Martín de Tucumán）</x:v>
      </x:c>
      <x:c r="B1320" s="66" t="n">
        <x:v>46151.34027777778</x:v>
      </x:c>
      <x:c r="C1320" s="65" t="str">
        <x:v>阿根廷杯</x:v>
      </x:c>
      <x:c r="D1320" s="65" t="str">
        <x:v>班菲尔德（CA Banfield）</x:v>
      </x:c>
      <x:c r="E1320" s="65" t="str">
        <x:v>图库曼圣马丁（San Martín de Tucumán）</x:v>
      </x:c>
      <x:c r="F1320" s="65" t="str">
        <x:v>班菲尔德 -0.5（参考水位需≥0.80；若临场/滚球低于0.80不进）</x:v>
      </x:c>
      <x:c r="G1320" s="65" t="str">
        <x:v>小 2.0（参考水位需≥0.80；小2.5低水不进，若小2.0低于0.80则放弃）</x:v>
      </x:c>
      <x:c r="H1320" s="65" t="str">
        <x:v>小注；杯赛中立场且平局风险高，不追班菲尔德低水-0.25；比分倾向1-0/2-0/1-1</x:v>
      </x:c>
      <x:c r="I1320" s="66" t="n">
        <x:v>46151.348657407405</x:v>
      </x:c>
      <x:c r="J1320" s="65" t="str">
        <x:v>已结算</x:v>
      </x:c>
      <x:c r="K1320" s="65"/>
      <x:c r="L1320" s="65" t="str">
        <x:v>输</x:v>
      </x:c>
      <x:c r="M1320" s="65" t="str">
        <x:v>走水</x:v>
      </x:c>
      <x:c r="N1320" s="67" t="n">
        <x:v>-1</x:v>
      </x:c>
      <x:c r="O1320" s="67" t="n">
        <x:v>0</x:v>
      </x:c>
      <x:c r="P1320" s="67" t="n">
        <x:f>IF(COUNT(N1320:O1320)=0,"",SUM(N1320:O1320))</x:f>
        <x:v>-1</x:v>
      </x:c>
      <x:c r="Q1320" s="65"/>
      <x:c r="R1320" s="65" t="str">
        <x:v>90分钟比分：班菲尔德 1-1 图库曼圣马丁，点球不计常规盘口；班菲尔德-0.5输，小2.0总进球2走水。</x:v>
      </x:c>
    </x:row>
    <x:row r="1321" ht="38" customHeight="1">
      <x:c r="A1321" s="65" t="str">
        <x:f>IF(B1321="","",TEXT(B1321,"yyyy-mm-dd")&amp;"|"&amp;D1321&amp;"|"&amp;E1321)</x:f>
        <x:v>2026-05-09|国民波托西（CA Nacional Potosí）|奥罗拉（Club Aurora）</x:v>
      </x:c>
      <x:c r="B1321" s="66" t="n">
        <x:v>46151.291666666664</x:v>
      </x:c>
      <x:c r="C1321" s="65" t="str">
        <x:v>玻利维亚甲级联赛</x:v>
      </x:c>
      <x:c r="D1321" s="65" t="str">
        <x:v>国民波托西（CA Nacional Potosí）</x:v>
      </x:c>
      <x:c r="E1321" s="65" t="str">
        <x:v>奥罗拉（Club Aurora）</x:v>
      </x:c>
      <x:c r="F1321" s="65" t="str">
        <x:v>奥罗拉 +0.75（参考水位需≥0.80；若临场只剩+0.5需≥0.95才进）</x:v>
      </x:c>
      <x:c r="G1321" s="65" t="str">
        <x:v>小 3.5（参考水位需≥0.80；若低于0.80不进单）</x:v>
      </x:c>
      <x:c r="H1321" s="65" t="str">
        <x:v>小注；主推受让防守，大小球保守走小3.5，不追低水小2.5；比分倾向1-1/1-0/2-1</x:v>
      </x:c>
      <x:c r="I1321" s="66" t="n">
        <x:v>46151.34600694444</x:v>
      </x:c>
      <x:c r="J1321" s="65" t="str">
        <x:v>已结算</x:v>
      </x:c>
      <x:c r="K1321" s="65"/>
      <x:c r="L1321" s="65" t="str">
        <x:v>输</x:v>
      </x:c>
      <x:c r="M1321" s="65" t="str">
        <x:v>输</x:v>
      </x:c>
      <x:c r="N1321" s="67" t="n">
        <x:v>-1</x:v>
      </x:c>
      <x:c r="O1321" s="67" t="n">
        <x:v>-1</x:v>
      </x:c>
      <x:c r="P1321" s="67" t="n">
        <x:f>IF(COUNT(N1321:O1321)=0,"",SUM(N1321:O1321))</x:f>
        <x:v>-2</x:v>
      </x:c>
      <x:c r="Q1321" s="65"/>
      <x:c r="R1321" s="65" t="str">
        <x:v>90分钟比分：国民波托西 3-1 奥罗拉。奥罗拉+0.75输；小3.5因总进球4输。</x:v>
      </x:c>
    </x:row>
    <x:row r="1322" ht="38" customHeight="1">
      <x:c r="A1322" s="65" t="str">
        <x:f>IF(B1322="","",TEXT(B1322,"yyyy-mm-dd")&amp;"|"&amp;D1322&amp;"|"&amp;E1322)</x:f>
        <x:v>2026-05-09|帕德博恩（SC Paderborn 07）|卡尔斯鲁厄（Karlsruher SC）</x:v>
      </x:c>
      <x:c r="B1322" s="66" t="n">
        <x:v>46151.020833333336</x:v>
      </x:c>
      <x:c r="C1322" s="65" t="str">
        <x:v>德国乙级联赛（2. Bundesliga）</x:v>
      </x:c>
      <x:c r="D1322" s="65" t="str">
        <x:v>帕德博恩（SC Paderborn 07）</x:v>
      </x:c>
      <x:c r="E1322" s="65" t="str">
        <x:v>卡尔斯鲁厄（Karlsruher SC）</x:v>
      </x:c>
      <x:c r="F1322" s="65" t="str">
        <x:v>卡尔斯鲁厄 +1.25（参考水位约0.90+；低于0.80不进单）</x:v>
      </x:c>
      <x:c r="G1322" s="65" t="str">
        <x:v>大 3.5（参考水位约0.83-0.98；低于0.80不进单）</x:v>
      </x:c>
      <x:c r="H1322" s="65" t="str">
        <x:v>小注；若临场卡尔斯鲁厄+1.25跌破0.80放弃，若只剩+1需≥0.95才进；比分倾向2-2/3-1/2-1</x:v>
      </x:c>
      <x:c r="I1322" s="66" t="n">
        <x:v>46150.96097222222</x:v>
      </x:c>
      <x:c r="J1322" s="65" t="str">
        <x:v>已结算</x:v>
      </x:c>
      <x:c r="K1322" s="65"/>
      <x:c r="L1322" s="65" t="str">
        <x:v>赢</x:v>
      </x:c>
      <x:c r="M1322" s="65" t="str">
        <x:v>赢</x:v>
      </x:c>
      <x:c r="N1322" s="67" t="n">
        <x:v>1</x:v>
      </x:c>
      <x:c r="O1322" s="67" t="n">
        <x:v>1</x:v>
      </x:c>
      <x:c r="P1322" s="67" t="n">
        <x:f>IF(COUNT(N1322:O1322)=0,"",SUM(N1322:O1322))</x:f>
        <x:v>2</x:v>
      </x:c>
      <x:c r="Q1322" s="65"/>
      <x:c r="R1322" s="65" t="str">
        <x:v>90分钟比分：帕德博恩 2-2 卡尔斯鲁厄。卡尔斯鲁厄+1.25赢；大3.5因总进球4赢。</x:v>
      </x:c>
    </x:row>
    <x:row r="1323" ht="38" customHeight="1">
      <x:c r="A1323" s="65" t="str">
        <x:f>IF(B1323="","",TEXT(B1323,"yyyy-mm-dd")&amp;"|"&amp;D1323&amp;"|"&amp;E1323)</x:f>
        <x:v>2026-05-08|巴克伦佛（PSBS Biak Numfor）|德瓦联（Dewa United）</x:v>
      </x:c>
      <x:c r="B1323" s="66" t="n">
        <x:v>46150.833333333336</x:v>
      </x:c>
      <x:c r="C1323" s="65" t="str">
        <x:v>印度尼西亚超级联赛（印尼超/Liga 1 Indonesia）</x:v>
      </x:c>
      <x:c r="D1323" s="65" t="str">
        <x:v>巴克伦佛（PSBS Biak Numfor）</x:v>
      </x:c>
      <x:c r="E1323" s="65" t="str">
        <x:v>德瓦联（Dewa United）</x:v>
      </x:c>
      <x:c r="F1323" s="65" t="str">
        <x:v>德瓦联 -0.75，参考水位约0.90-1.00；低于0.80不进单</x:v>
      </x:c>
      <x:c r="G1323" s="65" t="str">
        <x:v>大2.5球，参考水位约0.85-0.95；低于0.80不进单</x:v>
      </x:c>
      <x:c r="H1323" s="65" t="str">
        <x:v>小注；若临场升到德瓦联-1.25低水不追；若只能买德瓦联-1低水，降级观察；大小球若大2.5低于0.80不进单</x:v>
      </x:c>
      <x:c r="I1323" s="66" t="n">
        <x:v>46150.93734953704</x:v>
      </x:c>
      <x:c r="J1323" s="65" t="str">
        <x:v>已结算</x:v>
      </x:c>
      <x:c r="K1323" s="65"/>
      <x:c r="L1323" s="65" t="str">
        <x:v>赢</x:v>
      </x:c>
      <x:c r="M1323" s="65" t="str">
        <x:v>赢</x:v>
      </x:c>
      <x:c r="N1323" s="67" t="n">
        <x:v>1</x:v>
      </x:c>
      <x:c r="O1323" s="67" t="n">
        <x:v>1</x:v>
      </x:c>
      <x:c r="P1323" s="67" t="n">
        <x:f>IF(COUNT(N1323:O1323)=0,"",SUM(N1323:O1323))</x:f>
        <x:v>2</x:v>
      </x:c>
      <x:c r="Q1323" s="65"/>
      <x:c r="R1323" s="65" t="str">
        <x:v>90分钟比分：巴克伦佛 0-5 德瓦联。德瓦联-0.75赢；大2.5因总进球5赢。</x:v>
      </x:c>
    </x:row>
    <x:row r="1324" ht="38" customHeight="1">
      <x:c r="A1324" s="65" t="str">
        <x:f>IF(B1324="","",TEXT(B1324,"yyyy-mm-dd")&amp;"|"&amp;D1324&amp;"|"&amp;E1324)</x:f>
        <x:v>2026-05-08|德里体育俱乐部（SC Delhi）|奥迪萨FC</x:v>
      </x:c>
      <x:c r="B1324" s="66" t="n">
        <x:v>46150.8125</x:v>
      </x:c>
      <x:c r="C1324" s="65" t="str">
        <x:v>印度超级联赛（Indian Super League）</x:v>
      </x:c>
      <x:c r="D1324" s="65" t="str">
        <x:v>德里体育俱乐部（SC Delhi）</x:v>
      </x:c>
      <x:c r="E1324" s="65" t="str">
        <x:v>奥迪萨FC</x:v>
      </x:c>
      <x:c r="F1324" s="65" t="str">
        <x:v>奥迪萨FC +0.5，参考赔率约1.91/水位约0.91；低于0.80不进单</x:v>
      </x:c>
      <x:c r="G1324" s="65" t="str">
        <x:v>大2.5球，参考赔率约2.00/水位约1.00；低于0.80不进单</x:v>
      </x:c>
      <x:c r="H1324" s="65" t="str">
        <x:v>小注；若临场奥迪萨+0.5降到0.80以下放弃；若只剩德里-0.25低水不追；大小球若大2.5低于0.80不进单，可退看大2.25水位0.85以上</x:v>
      </x:c>
      <x:c r="I1324" s="66" t="n">
        <x:v>46150.808854166666</x:v>
      </x:c>
      <x:c r="J1324" s="65" t="str">
        <x:v>已结算</x:v>
      </x:c>
      <x:c r="K1324" s="65"/>
      <x:c r="L1324" s="65" t="str">
        <x:v>赢</x:v>
      </x:c>
      <x:c r="M1324" s="65" t="str">
        <x:v>赢</x:v>
      </x:c>
      <x:c r="N1324" s="67" t="n">
        <x:v>1</x:v>
      </x:c>
      <x:c r="O1324" s="67" t="n">
        <x:v>1</x:v>
      </x:c>
      <x:c r="P1324" s="67" t="n">
        <x:f>IF(COUNT(N1324:O1324)=0,"",SUM(N1324:O1324))</x:f>
        <x:v>2</x:v>
      </x:c>
      <x:c r="Q1324" s="65"/>
      <x:c r="R1324" s="65" t="str">
        <x:v>90分钟比分：德里体育俱乐部 1-2 奥迪萨FC。奥迪萨FC+0.5赢；大2.5因总进球3赢。</x:v>
      </x:c>
    </x:row>
    <x:row r="1325" ht="38" customHeight="1">
      <x:c r="A1325" s="65" t="str">
        <x:f>IF(B1325="","",TEXT(B1325,"yyyy-mm-dd")&amp;"|"&amp;D1325&amp;"|"&amp;E1325)</x:f>
        <x:v>2026-05-08|塞曼巴东（Semen Padang）|佩斯克谏义里（Persik Kediri）</x:v>
      </x:c>
      <x:c r="B1325" s="66" t="n">
        <x:v>46150.6875</x:v>
      </x:c>
      <x:c r="C1325" s="65" t="str">
        <x:v>印度尼西亚超级联赛（印尼超/Liga 1 Indonesia）</x:v>
      </x:c>
      <x:c r="D1325" s="65" t="str">
        <x:v>塞曼巴东（Semen Padang）</x:v>
      </x:c>
      <x:c r="E1325" s="65" t="str">
        <x:v>佩斯克谏义里（Persik Kediri）</x:v>
      </x:c>
      <x:c r="F1325" s="65" t="str">
        <x:v>塞曼巴东 +0.25，参考水位约0.90-1.00；低于0.80不进单</x:v>
      </x:c>
      <x:c r="G1325" s="65" t="str">
        <x:v>小2.75球，参考水位约0.85-0.95；低于0.80不进单</x:v>
      </x:c>
      <x:c r="H1325" s="65" t="str">
        <x:v>小注；若临场退到塞曼巴东+0.5低水或升成佩斯克-0.5且客队低水，不追；大小球若小2.75低于0.80放弃，若只有小2.5低水不进单</x:v>
      </x:c>
      <x:c r="I1325" s="66" t="n">
        <x:v>46150.6553587963</x:v>
      </x:c>
      <x:c r="J1325" s="65" t="str">
        <x:v>已结算</x:v>
      </x:c>
      <x:c r="K1325" s="65"/>
      <x:c r="L1325" s="65" t="str">
        <x:v>输</x:v>
      </x:c>
      <x:c r="M1325" s="65" t="str">
        <x:v>输半</x:v>
      </x:c>
      <x:c r="N1325" s="67" t="n">
        <x:v>-1</x:v>
      </x:c>
      <x:c r="O1325" s="67" t="n">
        <x:v>-0.5</x:v>
      </x:c>
      <x:c r="P1325" s="67" t="n">
        <x:f>IF(COUNT(N1325:O1325)=0,"",SUM(N1325:O1325))</x:f>
        <x:v>-1.5</x:v>
      </x:c>
      <x:c r="Q1325" s="65"/>
      <x:c r="R1325" s="65" t="str">
        <x:v>90分钟比分：塞曼巴东 0-3 佩斯克谏义里。塞曼巴东+0.25输；小2.75因总进球3输半。</x:v>
      </x:c>
    </x:row>
    <x:row r="1326" ht="38" customHeight="1">
      <x:c r="A1326" s="65" t="str">
        <x:f>IF(B1326="","",TEXT(B1326,"yyyy-mm-dd")&amp;"|"&amp;D1326&amp;"|"&amp;E1326)</x:f>
        <x:v>2026-05-08|巴兰基亚青年|波特诺山丘</x:v>
      </x:c>
      <x:c r="B1326" s="66" t="n">
        <x:v>46150.416666666664</x:v>
      </x:c>
      <x:c r="C1326" s="65" t="str">
        <x:v>南美解放者杯</x:v>
      </x:c>
      <x:c r="D1326" s="65" t="str">
        <x:v>巴兰基亚青年</x:v>
      </x:c>
      <x:c r="E1326" s="65" t="str">
        <x:v>波特诺山丘</x:v>
      </x:c>
      <x:c r="F1326" s="65" t="str">
        <x:v>波特诺山丘 +0.5，参考赔率约1.87/水位约0.87；低于0.80不进单</x:v>
      </x:c>
      <x:c r="G1326" s="65" t="str">
        <x:v>小2.0球，参考水位需约0.90以上；小2.5若低于0.80不进单</x:v>
      </x:c>
      <x:c r="H1326" s="65" t="str">
        <x:v>小注；若临场波特诺山丘+0.5降到0.80以下放弃；大小球只接受小2.0高水，不买小2.5低水</x:v>
      </x:c>
      <x:c r="I1326" s="66" t="n">
        <x:v>46150.40998842593</x:v>
      </x:c>
      <x:c r="J1326" s="65" t="str">
        <x:v>已结算</x:v>
      </x:c>
      <x:c r="K1326" s="65"/>
      <x:c r="L1326" s="65" t="str">
        <x:v>赢</x:v>
      </x:c>
      <x:c r="M1326" s="65" t="str">
        <x:v>赢</x:v>
      </x:c>
      <x:c r="N1326" s="67" t="n">
        <x:v>1</x:v>
      </x:c>
      <x:c r="O1326" s="67" t="n">
        <x:v>1</x:v>
      </x:c>
      <x:c r="P1326" s="67" t="n">
        <x:f>IF(COUNT(N1326:O1326)=0,"",SUM(N1326:O1326))</x:f>
        <x:v>2</x:v>
      </x:c>
      <x:c r="Q1326" s="65"/>
      <x:c r="R1326" s="65" t="str">
        <x:v>90分钟比分：巴兰基亚青年 0-1 波特诺山丘。波特诺山丘+0.5赢；小2.0因总进球1赢。</x:v>
      </x:c>
    </x:row>
    <x:row r="1327" ht="38" customHeight="1">
      <x:c r="A1327" s="65" t="str">
        <x:f>IF(B1327="","",TEXT(B1327,"yyyy-mm-dd")&amp;"|"&amp;D1327&amp;"|"&amp;E1327)</x:f>
        <x:v>2026-05-08|布卡拉曼加竞技|皇家桑坦德</x:v>
      </x:c>
      <x:c r="B1327" s="66" t="n">
        <x:v>46150.375</x:v>
      </x:c>
      <x:c r="C1327" s="65" t="str">
        <x:v>哥伦比亚杯（Copa Colombia）</x:v>
      </x:c>
      <x:c r="D1327" s="65" t="str">
        <x:v>布卡拉曼加竞技</x:v>
      </x:c>
      <x:c r="E1327" s="65" t="str">
        <x:v>皇家桑坦德</x:v>
      </x:c>
      <x:c r="F1327" s="65" t="str">
        <x:v>布卡拉曼加竞技 -1.25，参考水位约0.95-1.05；低于0.80不进单</x:v>
      </x:c>
      <x:c r="G1327" s="65" t="str">
        <x:v>大2.5球，参考赔率约2.15/水位约1.15；低于0.80不进单</x:v>
      </x:c>
      <x:c r="H1327" s="65" t="str">
        <x:v>小注；若临场只能买主让-1低水或升到-1.5低水不追；若主队轮换攻击线明显削弱，降级为放弃让球，仅观察大球是否仍在0.90以上</x:v>
      </x:c>
      <x:c r="I1327" s="66" t="n">
        <x:v>46150.385405092595</x:v>
      </x:c>
      <x:c r="J1327" s="65" t="str">
        <x:v>已结算</x:v>
      </x:c>
      <x:c r="K1327" s="65"/>
      <x:c r="L1327" s="65" t="str">
        <x:v>赢</x:v>
      </x:c>
      <x:c r="M1327" s="65" t="str">
        <x:v>赢</x:v>
      </x:c>
      <x:c r="N1327" s="67" t="n">
        <x:v>1</x:v>
      </x:c>
      <x:c r="O1327" s="67" t="n">
        <x:v>1</x:v>
      </x:c>
      <x:c r="P1327" s="67" t="n">
        <x:f>IF(COUNT(N1327:O1327)=0,"",SUM(N1327:O1327))</x:f>
        <x:v>2</x:v>
      </x:c>
      <x:c r="Q1327" s="65"/>
      <x:c r="R1327" s="65" t="str">
        <x:v>90分钟比分：布卡拉曼加竞技 5-0 皇家桑坦德。布卡拉曼加竞技-1.25赢；大2.5因总进球5赢。</x:v>
      </x:c>
    </x:row>
    <x:row r="1328" ht="38" customHeight="1">
      <x:c r="A1328" s="65" t="str">
        <x:f>IF(B1328="","",TEXT(B1328,"yyyy-mm-dd")&amp;"|"&amp;D1328&amp;"|"&amp;E1328)</x:f>
        <x:v>2026-05-08|科尔多瓦美洲虎（Jaguares de Córdoba）|皇家索阿查（Real Cundinamarca）</x:v>
      </x:c>
      <x:c r="B1328" s="66" t="n">
        <x:v>46150.25</x:v>
      </x:c>
      <x:c r="C1328" s="65" t="str">
        <x:v>哥伦比亚杯（Copa Colombia）</x:v>
      </x:c>
      <x:c r="D1328" s="65" t="str">
        <x:v>科尔多瓦美洲虎（Jaguares de Córdoba）</x:v>
      </x:c>
      <x:c r="E1328" s="65" t="str">
        <x:v>皇家索阿查（Real Cundinamarca）</x:v>
      </x:c>
      <x:c r="F1328" s="65" t="str">
        <x:v>科尔多瓦美洲虎 -0.75，参考水位约0.90-0.95；低于0.80不进单</x:v>
      </x:c>
      <x:c r="G1328" s="65" t="str">
        <x:v>小2.0球，参考水位约0.90-0.95；低于0.80不进单</x:v>
      </x:c>
      <x:c r="H1328" s="65" t="str">
        <x:v>小注；若临场升到主让-1低水不追，若退到-0.5且主队低水也放弃；大小球若小2低于0.80不进单</x:v>
      </x:c>
      <x:c r="I1328" s="66" t="n">
        <x:v>46150.213530092595</x:v>
      </x:c>
      <x:c r="J1328" s="65" t="str">
        <x:v>已结算</x:v>
      </x:c>
      <x:c r="K1328" s="65"/>
      <x:c r="L1328" s="65" t="str">
        <x:v>输</x:v>
      </x:c>
      <x:c r="M1328" s="65" t="str">
        <x:v>输</x:v>
      </x:c>
      <x:c r="N1328" s="67" t="n">
        <x:v>-1</x:v>
      </x:c>
      <x:c r="O1328" s="67" t="n">
        <x:v>-1</x:v>
      </x:c>
      <x:c r="P1328" s="67" t="n">
        <x:f>IF(COUNT(N1328:O1328)=0,"",SUM(N1328:O1328))</x:f>
        <x:v>-2</x:v>
      </x:c>
      <x:c r="Q1328" s="65"/>
      <x:c r="R1328" s="65" t="str">
        <x:v>90分钟比分：科尔多瓦美洲虎 1-2 皇家索阿查。科尔多瓦美洲虎-0.75输；小2.0因总进球3输。</x:v>
      </x:c>
    </x:row>
    <x:row r="1329" ht="38" customHeight="1">
      <x:c r="A1329" s="65" t="str">
        <x:f>IF(B1329="","",TEXT(B1329,"yyyy-mm-dd")&amp;"|"&amp;D1329&amp;"|"&amp;E1329)</x:f>
        <x:v>2026-05-08|波士顿河|百万富翁</x:v>
      </x:c>
      <x:c r="B1329" s="66" t="n">
        <x:v>46150.25</x:v>
      </x:c>
      <x:c r="C1329" s="65" t="str">
        <x:v>南美杯（Copa Sudamericana）资格赛</x:v>
      </x:c>
      <x:c r="D1329" s="65" t="str">
        <x:v>波士顿河</x:v>
      </x:c>
      <x:c r="E1329" s="65" t="str">
        <x:v>百万富翁</x:v>
      </x:c>
      <x:c r="F1329" s="65" t="str">
        <x:v>波士顿河 +0.5，参考赔率约2.01/水位约1.01；低于0.80不进单</x:v>
      </x:c>
      <x:c r="G1329" s="65" t="str">
        <x:v>小2.25球，参考赔率约1.82/水位约0.82；低于0.80不进单</x:v>
      </x:c>
      <x:c r="H1329" s="65" t="str">
        <x:v>小注；若临场波士顿河+0.5降到0.80以下或只能买+0.75低水，则放弃；大小球若小2.25低于0.80不进单</x:v>
      </x:c>
      <x:c r="I1329" s="66" t="n">
        <x:v>46150.212233796294</x:v>
      </x:c>
      <x:c r="J1329" s="65" t="str">
        <x:v>已结算</x:v>
      </x:c>
      <x:c r="K1329" s="65"/>
      <x:c r="L1329" s="65" t="str">
        <x:v>输</x:v>
      </x:c>
      <x:c r="M1329" s="65" t="str">
        <x:v>输</x:v>
      </x:c>
      <x:c r="N1329" s="67" t="n">
        <x:v>-1</x:v>
      </x:c>
      <x:c r="O1329" s="67" t="n">
        <x:v>-1</x:v>
      </x:c>
      <x:c r="P1329" s="67" t="n">
        <x:f>IF(COUNT(N1329:O1329)=0,"",SUM(N1329:O1329))</x:f>
        <x:v>-2</x:v>
      </x:c>
      <x:c r="Q1329" s="65"/>
      <x:c r="R1329" s="65" t="str">
        <x:v>90分钟比分：波士顿河 2-4 百万富翁。波士顿河+0.5输；小2.25因总进球6输。</x:v>
      </x:c>
    </x:row>
    <x:row r="1330" ht="38" customHeight="1">
      <x:c r="A1330" s="65" t="str">
        <x:f>IF(B1330="","",TEXT(B1330,"yyyy-mm-dd")&amp;"|"&amp;D1330&amp;"|"&amp;E1330)</x:f>
        <x:v>2026-05-07|托利马体育|乌拉圭民族（Nacional）</x:v>
      </x:c>
      <x:c r="B1330" s="66" t="n">
        <x:v>46149.416666666664</x:v>
      </x:c>
      <x:c r="C1330" s="65" t="str">
        <x:v>南美解放者杯</x:v>
      </x:c>
      <x:c r="D1330" s="65" t="str">
        <x:v>托利马体育</x:v>
      </x:c>
      <x:c r="E1330" s="65" t="str">
        <x:v>乌拉圭民族（Nacional）</x:v>
      </x:c>
      <x:c r="F1330" s="65" t="str">
        <x:v>托利马体育 -0.25，参考赔率约2.18/水位约1.18；低于0.80不进单</x:v>
      </x:c>
      <x:c r="G1330" s="65" t="str">
        <x:v>大2.5球，参考赔率约2.35/水位约1.35；低于0.80不进单</x:v>
      </x:c>
      <x:c r="H1330" s="65" t="str">
        <x:v>小注；若临场降到托利马平手低水或大2/2.25低水，则放弃主推，只观察</x:v>
      </x:c>
      <x:c r="I1330" s="66" t="n">
        <x:v>46149.38894675926</x:v>
      </x:c>
      <x:c r="J1330" s="65" t="str">
        <x:v>已结算</x:v>
      </x:c>
      <x:c r="K1330" s="65"/>
      <x:c r="L1330" s="65" t="str">
        <x:v>赢</x:v>
      </x:c>
      <x:c r="M1330" s="65" t="str">
        <x:v>赢</x:v>
      </x:c>
      <x:c r="N1330" s="67" t="n">
        <x:v>1</x:v>
      </x:c>
      <x:c r="O1330" s="67" t="n">
        <x:v>1</x:v>
      </x:c>
      <x:c r="P1330" s="67" t="n">
        <x:f>IF(COUNT(N1330:O1330)=0,"",SUM(N1330:O1330))</x:f>
        <x:v>2</x:v>
      </x:c>
      <x:c r="Q1330" s="65"/>
      <x:c r="R1330" s="65" t="str">
        <x:v>90分钟比分：托利马体育 3-0 乌拉圭民族。托利马-0.25赢；大2.5因总进球3赢。</x:v>
      </x:c>
    </x:row>
    <x:row r="1331" ht="38" customHeight="1">
      <x:c r="A1331" s="65" t="str">
        <x:f>IF(B1331="","",TEXT(B1331,"yyyy-mm-dd")&amp;"|"&amp;D1331&amp;"|"&amp;E1331)</x:f>
        <x:v>2026-05-07|阿利亚加竞技（Alianza Atlético de Sullana）|卡利美洲（América de Cali）</x:v>
      </x:c>
      <x:c r="B1331" s="66" t="n">
        <x:v>46149.416666666664</x:v>
      </x:c>
      <x:c r="C1331" s="65" t="str">
        <x:v>南美杯（Copa Sudamericana）资格赛</x:v>
      </x:c>
      <x:c r="D1331" s="65" t="str">
        <x:v>阿利亚加竞技（Alianza Atlético de Sullana）</x:v>
      </x:c>
      <x:c r="E1331" s="65" t="str">
        <x:v>卡利美洲（América de Cali）</x:v>
      </x:c>
      <x:c r="F1331" s="65" t="str">
        <x:v>阿利亚加竞技 +0/0.5（+0.25），水位≥0.90可做主推；低于0.80不进单</x:v>
      </x:c>
      <x:c r="G1331" s="65" t="str">
        <x:v>小 2.0，水位≥0.90可小注；若只剩小2.5低水则不进单</x:v>
      </x:c>
      <x:c r="H1331" s="65" t="str">
        <x:v>让球主推阿利亚加+0.25；大小球仅可选小2.0。比分倾向1-1/1-0；不加仓。</x:v>
      </x:c>
      <x:c r="I1331" s="66" t="n">
        <x:v>46149.36313657407</x:v>
      </x:c>
      <x:c r="J1331" s="65" t="str">
        <x:v>已结算</x:v>
      </x:c>
      <x:c r="K1331" s="65"/>
      <x:c r="L1331" s="65" t="str">
        <x:v>输</x:v>
      </x:c>
      <x:c r="M1331" s="65" t="str">
        <x:v>走水</x:v>
      </x:c>
      <x:c r="N1331" s="67" t="n">
        <x:v>-1</x:v>
      </x:c>
      <x:c r="O1331" s="67" t="n">
        <x:v>0</x:v>
      </x:c>
      <x:c r="P1331" s="67" t="n">
        <x:f>IF(COUNT(N1331:O1331)=0,"",SUM(N1331:O1331))</x:f>
        <x:v>-1</x:v>
      </x:c>
      <x:c r="Q1331" s="65"/>
      <x:c r="R1331" s="65" t="str">
        <x:v>90分钟比分：阿利亚加竞技 0-2 卡利美洲。阿利亚加+0.25输；小2.0因总进球2走水。</x:v>
      </x:c>
    </x:row>
    <x:row r="1332" ht="38" customHeight="1">
      <x:c r="A1332" s="65" t="str">
        <x:f>IF(B1332="","",TEXT(B1332,"yyyy-mm-dd")&amp;"|"&amp;D1332&amp;"|"&amp;E1332)</x:f>
        <x:v>2026-05-07|托卢卡（Deportivo Toluca FC）|洛杉矶FC（LAFC）</x:v>
      </x:c>
      <x:c r="B1332" s="66" t="n">
        <x:v>46149.395833333336</x:v>
      </x:c>
      <x:c r="C1332" s="65" t="str">
        <x:v>中北美冠军杯（CONCACAF Champions Cup）</x:v>
      </x:c>
      <x:c r="D1332" s="65" t="str">
        <x:v>托卢卡（Deportivo Toluca FC）</x:v>
      </x:c>
      <x:c r="E1332" s="65" t="str">
        <x:v>洛杉矶FC（LAFC）</x:v>
      </x:c>
      <x:c r="F1332" s="65" t="str">
        <x:v>洛杉矶FC +1/1.5（+1.25），水位≥0.88可主推；低于0.80不进单</x:v>
      </x:c>
      <x:c r="G1332" s="65" t="str">
        <x:v>大 3.0，水位≥0.82可小注；若升到3.25且低水则放弃</x:v>
      </x:c>
      <x:c r="H1332" s="65" t="str">
        <x:v>让球主推洛杉矶FC+1.25；大小球小注大3.0。比分倾向2-1/2-2/3-1；不加仓。</x:v>
      </x:c>
      <x:c r="I1332" s="66" t="n">
        <x:v>46149.3653125</x:v>
      </x:c>
      <x:c r="J1332" s="65" t="str">
        <x:v>已结算</x:v>
      </x:c>
      <x:c r="K1332" s="65"/>
      <x:c r="L1332" s="65" t="str">
        <x:v>输</x:v>
      </x:c>
      <x:c r="M1332" s="65" t="str">
        <x:v>赢</x:v>
      </x:c>
      <x:c r="N1332" s="67" t="n">
        <x:v>-1</x:v>
      </x:c>
      <x:c r="O1332" s="67" t="n">
        <x:v>1</x:v>
      </x:c>
      <x:c r="P1332" s="67" t="n">
        <x:f>IF(COUNT(N1332:O1332)=0,"",SUM(N1332:O1332))</x:f>
        <x:v>0</x:v>
      </x:c>
      <x:c r="Q1332" s="65"/>
      <x:c r="R1332" s="65" t="str">
        <x:v>90分钟比分：托卢卡 4-0 洛杉矶FC。洛杉矶FC+1.25输；大3.0因总进球4赢。</x:v>
      </x:c>
    </x:row>
    <x:row r="1333" ht="38" customHeight="1">
      <x:c r="A1333" s="65" t="str">
        <x:f>IF(B1333="","",TEXT(B1333,"yyyy-mm-dd")&amp;"|"&amp;D1333&amp;"|"&amp;E1333)</x:f>
        <x:v>2026-05-07|圣塔菲（Independiente Santa Fe）|科林蒂安（Corinthians）</x:v>
      </x:c>
      <x:c r="B1333" s="66" t="n">
        <x:v>46149.354166666664</x:v>
      </x:c>
      <x:c r="C1333" s="65" t="str">
        <x:v>南美解放者杯</x:v>
      </x:c>
      <x:c r="D1333" s="65" t="str">
        <x:v>圣塔菲（Independiente Santa Fe）</x:v>
      </x:c>
      <x:c r="E1333" s="65" t="str">
        <x:v>科林蒂安（Corinthians）</x:v>
      </x:c>
      <x:c r="F1333" s="65" t="str">
        <x:v>科林蒂安 -0/0.5（-0.25），水位≥0.90可小注；低于0.80不进单</x:v>
      </x:c>
      <x:c r="G1333" s="65" t="str">
        <x:v>小 2.0，水位≥0.80；低水小2.5不进单</x:v>
      </x:c>
      <x:c r="H1333" s="65" t="str">
        <x:v>大小球主推小2.0；让球仅小注。比分倾向0-1/1-1；若临场科林蒂安-0.25跌破0.80水位放弃。</x:v>
      </x:c>
      <x:c r="I1333" s="66" t="n">
        <x:v>46149.36038194445</x:v>
      </x:c>
      <x:c r="J1333" s="65" t="str">
        <x:v>已结算</x:v>
      </x:c>
      <x:c r="K1333" s="65"/>
      <x:c r="L1333" s="65" t="str">
        <x:v>输半</x:v>
      </x:c>
      <x:c r="M1333" s="65" t="str">
        <x:v>走水</x:v>
      </x:c>
      <x:c r="N1333" s="67" t="n">
        <x:v>-0.5</x:v>
      </x:c>
      <x:c r="O1333" s="67" t="n">
        <x:v>0</x:v>
      </x:c>
      <x:c r="P1333" s="67" t="n">
        <x:f>IF(COUNT(N1333:O1333)=0,"",SUM(N1333:O1333))</x:f>
        <x:v>-0.5</x:v>
      </x:c>
      <x:c r="Q1333" s="65"/>
      <x:c r="R1333" s="65" t="str">
        <x:v>90分钟比分：圣塔菲 1-1 科林蒂安。科林蒂安-0.25输半；小2.0因总进球2走水。</x:v>
      </x:c>
    </x:row>
    <x:row r="1334" ht="38" customHeight="1">
      <x:c r="A1334" s="65" t="str">
        <x:f>IF(B1334="","",TEXT(B1334,"yyyy-mm-dd")&amp;"|"&amp;D1334&amp;"|"&amp;E1334)</x:f>
        <x:v>2026-05-07|帕特里奥塔斯博亚卡（Patriotas Boyacá）|博亚卡茨高（Boyacá Chicó）</x:v>
      </x:c>
      <x:c r="B1334" s="66" t="n">
        <x:v>46149.333333333336</x:v>
      </x:c>
      <x:c r="C1334" s="65" t="str">
        <x:v>哥伦比亚杯（Copa Colombia）</x:v>
      </x:c>
      <x:c r="D1334" s="65" t="str">
        <x:v>帕特里奥塔斯博亚卡（Patriotas Boyacá）</x:v>
      </x:c>
      <x:c r="E1334" s="65" t="str">
        <x:v>博亚卡茨高（Boyacá Chicó）</x:v>
      </x:c>
      <x:c r="F1334" s="65" t="str">
        <x:v>帕特里奥塔斯 -0.25（水位约0.95–1.00，不低于0.80）</x:v>
      </x:c>
      <x:c r="G1334" s="65" t="str">
        <x:v>小 2.0球（水位约0.95，2球走水，不低于0.80）</x:v>
      </x:c>
      <x:c r="H1334" s="65" t="str">
        <x:v>小注，不加仓；若帕特里奥塔斯-0.25低于0.80则不进单，可退守帕特里奥塔斯0盘但需水位≥0.82。大小球只接受小2.0≥0.85或小2.25≥0.80，不追小2.5低水；若开场后已出现进球/红牌则放弃。</x:v>
      </x:c>
      <x:c r="I1334" s="66" t="n">
        <x:v>46149.351851851854</x:v>
      </x:c>
      <x:c r="J1334" s="65" t="str">
        <x:v>已结算</x:v>
      </x:c>
      <x:c r="K1334" s="65"/>
      <x:c r="L1334" s="65" t="str">
        <x:v>输半</x:v>
      </x:c>
      <x:c r="M1334" s="65" t="str">
        <x:v>赢</x:v>
      </x:c>
      <x:c r="N1334" s="67" t="n">
        <x:v>-0.5</x:v>
      </x:c>
      <x:c r="O1334" s="67" t="n">
        <x:v>1</x:v>
      </x:c>
      <x:c r="P1334" s="67" t="n">
        <x:f>IF(COUNT(N1334:O1334)=0,"",SUM(N1334:O1334))</x:f>
        <x:v>0.5</x:v>
      </x:c>
      <x:c r="Q1334" s="65"/>
      <x:c r="R1334" s="65" t="str">
        <x:v>90分钟比分：帕特里奥塔斯博亚卡 0-0 博亚卡茨高。帕特里奥塔斯-0.25输半；小2.0因总进球0赢。</x:v>
      </x:c>
    </x:row>
    <x:row r="1335" ht="38" customHeight="1">
      <x:c r="A1335" s="65" t="str">
        <x:f>IF(B1335="","",TEXT(B1335,"yyyy-mm-dd")&amp;"|"&amp;D1335&amp;"|"&amp;E1335)</x:f>
        <x:v>2026-05-07|马卡拉（Macará）|提格雷（Tigre）</x:v>
      </x:c>
      <x:c r="B1335" s="66" t="n">
        <x:v>46149.333333333336</x:v>
      </x:c>
      <x:c r="C1335" s="65" t="str">
        <x:v>南美杯（Copa Sudamericana）资格赛</x:v>
      </x:c>
      <x:c r="D1335" s="65" t="str">
        <x:v>马卡拉（Macará）</x:v>
      </x:c>
      <x:c r="E1335" s="65" t="str">
        <x:v>提格雷（Tigre）</x:v>
      </x:c>
      <x:c r="F1335" s="65" t="str">
        <x:v>马卡拉 0（平手/DNB，水位约0.80–0.90，不低于0.80）</x:v>
      </x:c>
      <x:c r="G1335" s="65" t="str">
        <x:v>小 2.0球（水位约0.90，2球走水，不低于0.80）</x:v>
      </x:c>
      <x:c r="H1335" s="65" t="str">
        <x:v>小注，不加仓；若马卡拉0盘低于0.80则不进单。大小球不追小2.5低水，只接受小2.0≥0.85或小2.25≥0.80；若比赛早段已出红牌/进球则放弃。</x:v>
      </x:c>
      <x:c r="I1335" s="66" t="n">
        <x:v>46149.33888888889</x:v>
      </x:c>
      <x:c r="J1335" s="65" t="str">
        <x:v>已结算</x:v>
      </x:c>
      <x:c r="K1335" s="65"/>
      <x:c r="L1335" s="65" t="str">
        <x:v>走水</x:v>
      </x:c>
      <x:c r="M1335" s="65" t="str">
        <x:v>输</x:v>
      </x:c>
      <x:c r="N1335" s="67" t="n">
        <x:v>0</x:v>
      </x:c>
      <x:c r="O1335" s="67" t="n">
        <x:v>-1</x:v>
      </x:c>
      <x:c r="P1335" s="67" t="n">
        <x:f>IF(COUNT(N1335:O1335)=0,"",SUM(N1335:O1335))</x:f>
        <x:v>-1</x:v>
      </x:c>
      <x:c r="Q1335" s="65"/>
      <x:c r="R1335" s="65" t="str">
        <x:v>90分钟比分：马卡拉 2-2 提格雷。马卡拉平手/DNB走水；小2.0因总进球4输。</x:v>
      </x:c>
    </x:row>
    <x:row r="1336" ht="38" customHeight="1">
      <x:c r="A1336" s="65" t="str">
        <x:f>IF(B1336="","",TEXT(B1336,"yyyy-mm-dd")&amp;"|"&amp;D1336&amp;"|"&amp;E1336)</x:f>
        <x:v>2026-05-07|拉瓜伊拉体育（Deportivo La Guaira）|玻利瓦尔（Club Bolívar）</x:v>
      </x:c>
      <x:c r="B1336" s="66" t="n">
        <x:v>46149.25</x:v>
      </x:c>
      <x:c r="C1336" s="65" t="str">
        <x:v>南美解放者杯</x:v>
      </x:c>
      <x:c r="D1336" s="65" t="str">
        <x:v>拉瓜伊拉体育（Deportivo La Guaira）</x:v>
      </x:c>
      <x:c r="E1336" s="65" t="str">
        <x:v>玻利瓦尔（Club Bolívar）</x:v>
      </x:c>
      <x:c r="F1336" s="65" t="str">
        <x:v>玻利瓦尔 0（平手/DNB，水位约0.90，不低于0.80）</x:v>
      </x:c>
      <x:c r="G1336" s="65" t="str">
        <x:v>大 2.25球（水位约1.02，不低于0.80）</x:v>
      </x:c>
      <x:c r="H1336" s="65" t="str">
        <x:v>小注，不加仓；若玻利瓦尔平手低于0.80则不进单，若临场只有玻利瓦尔-0.25，需水位≥1.00才可小注替代。大2.25低于0.80则放弃，若只能买大2.5需水位≥1.00。</x:v>
      </x:c>
      <x:c r="I1336" s="66" t="n">
        <x:v>46149.299629629626</x:v>
      </x:c>
      <x:c r="J1336" s="65" t="str">
        <x:v>已结算</x:v>
      </x:c>
      <x:c r="K1336" s="65"/>
      <x:c r="L1336" s="65" t="str">
        <x:v>走水</x:v>
      </x:c>
      <x:c r="M1336" s="65" t="str">
        <x:v>输半</x:v>
      </x:c>
      <x:c r="N1336" s="67" t="n">
        <x:v>0</x:v>
      </x:c>
      <x:c r="O1336" s="67" t="n">
        <x:v>-0.5</x:v>
      </x:c>
      <x:c r="P1336" s="67" t="n">
        <x:f>IF(COUNT(N1336:O1336)=0,"",SUM(N1336:O1336))</x:f>
        <x:v>-0.5</x:v>
      </x:c>
      <x:c r="Q1336" s="65"/>
      <x:c r="R1336" s="65" t="str">
        <x:v>90分钟比分：拉瓜伊拉体育 1-1 玻利瓦尔。玻利瓦尔平手/DNB走水；大2.25因总进球2输半。</x:v>
      </x:c>
    </x:row>
    <x:row r="1337" ht="38" customHeight="1">
      <x:c r="A1337" s="65" t="str">
        <x:f>IF(B1337="","",TEXT(B1337,"yyyy-mm-dd")&amp;"|"&amp;D1337&amp;"|"&amp;E1337)</x:f>
        <x:v>2026-05-07|库斯科FC|拉普拉塔大学生（Estudiantes de La Plata）</x:v>
      </x:c>
      <x:c r="B1337" s="66" t="n">
        <x:v>46149.25</x:v>
      </x:c>
      <x:c r="C1337" s="65" t="str">
        <x:v>南美解放者杯</x:v>
      </x:c>
      <x:c r="D1337" s="65" t="str">
        <x:v>库斯科FC</x:v>
      </x:c>
      <x:c r="E1337" s="65" t="str">
        <x:v>拉普拉塔大学生（Estudiantes de La Plata）</x:v>
      </x:c>
      <x:c r="F1337" s="65" t="str">
        <x:v>拉普拉塔大学生 -0.25（水位约1.02，不低于0.80）</x:v>
      </x:c>
      <x:c r="G1337" s="65" t="str">
        <x:v>大 2.5球（水位约1.35，不低于0.80）</x:v>
      </x:c>
      <x:c r="H1337" s="65" t="str">
        <x:v>高水小注，不加仓；若只剩拉普拉塔大学生0盘且水位低于0.80则不进单；若大学生-0.25低于0.80也放弃。大小球若大2.5低于0.80则不追，可观察双方进球是≥0.90替代。</x:v>
      </x:c>
      <x:c r="I1337" s="66" t="n">
        <x:v>46149.243576388886</x:v>
      </x:c>
      <x:c r="J1337" s="65" t="str">
        <x:v>已结算</x:v>
      </x:c>
      <x:c r="K1337" s="65"/>
      <x:c r="L1337" s="65" t="str">
        <x:v>输半</x:v>
      </x:c>
      <x:c r="M1337" s="65" t="str">
        <x:v>输</x:v>
      </x:c>
      <x:c r="N1337" s="67" t="n">
        <x:v>-0.5</x:v>
      </x:c>
      <x:c r="O1337" s="67" t="n">
        <x:v>-1</x:v>
      </x:c>
      <x:c r="P1337" s="67" t="n">
        <x:f>IF(COUNT(N1337:O1337)=0,"",SUM(N1337:O1337))</x:f>
        <x:v>-1.5</x:v>
      </x:c>
      <x:c r="Q1337" s="65"/>
      <x:c r="R1337" s="65" t="str">
        <x:v>90分钟比分：库斯科FC 1-1 拉普拉塔大学生。拉普拉塔大学生-0.25输半；大2.5因总进球2输。</x:v>
      </x:c>
    </x:row>
    <x:row r="1338" ht="38" customHeight="1">
      <x:c r="A1338" s="65" t="str">
        <x:f>IF(B1338="","",TEXT(B1338,"yyyy-mm-dd")&amp;"|"&amp;D1338&amp;"|"&amp;E1338)</x:f>
        <x:v>2026-05-07|奥达斯意大利人（Audax Italiano）|瓦斯科达伽马（Vasco da Gama）</x:v>
      </x:c>
      <x:c r="B1338" s="66" t="n">
        <x:v>46149.25</x:v>
      </x:c>
      <x:c r="C1338" s="65" t="str">
        <x:v>南美杯（Copa Sudamericana）资格赛</x:v>
      </x:c>
      <x:c r="D1338" s="65" t="str">
        <x:v>奥达斯意大利人（Audax Italiano）</x:v>
      </x:c>
      <x:c r="E1338" s="65" t="str">
        <x:v>瓦斯科达伽马（Vasco da Gama）</x:v>
      </x:c>
      <x:c r="F1338" s="65" t="str">
        <x:v>奥达斯意大利人 0（平手/DNB，水位约0.82–0.95，不低于0.80）</x:v>
      </x:c>
      <x:c r="G1338" s="65" t="str">
        <x:v>大 2.5球（水位约1.30，不低于0.80）</x:v>
      </x:c>
      <x:c r="H1338" s="65" t="str">
        <x:v>小注，不加仓；若奥达斯平手低于0.80则不进单；若临场只有奥达斯-0.25，需水位≥1.00才可小注替代。大2.5低于0.80则放弃，可观察大2.25≥0.85。</x:v>
      </x:c>
      <x:c r="I1338" s="66" t="n">
        <x:v>46149.19421296296</x:v>
      </x:c>
      <x:c r="J1338" s="65" t="str">
        <x:v>已结算</x:v>
      </x:c>
      <x:c r="K1338" s="65"/>
      <x:c r="L1338" s="65" t="str">
        <x:v>输</x:v>
      </x:c>
      <x:c r="M1338" s="65" t="str">
        <x:v>赢</x:v>
      </x:c>
      <x:c r="N1338" s="67" t="n">
        <x:v>-1</x:v>
      </x:c>
      <x:c r="O1338" s="67" t="n">
        <x:v>1</x:v>
      </x:c>
      <x:c r="P1338" s="67" t="n">
        <x:f>IF(COUNT(N1338:O1338)=0,"",SUM(N1338:O1338))</x:f>
        <x:v>0</x:v>
      </x:c>
      <x:c r="Q1338" s="65"/>
      <x:c r="R1338" s="65" t="str">
        <x:v>90分钟比分：奥达斯意大利人 1-2 瓦斯科达伽马。奥达斯平手/DNB输；大2.5因总进球3赢。</x:v>
      </x:c>
    </x:row>
    <x:row r="1339" ht="38" customHeight="1">
      <x:c r="A1339" s="65" t="str">
        <x:f>IF(B1339="","",TEXT(B1339,"yyyy-mm-dd")&amp;"|"&amp;D1339&amp;"|"&amp;E1339)</x:f>
        <x:v>2026-05-06|旁遮普FC|清奈泰坦（Chennaiyin FC）</x:v>
      </x:c>
      <x:c r="B1339" s="66" t="n">
        <x:v>46148.916666666664</x:v>
      </x:c>
      <x:c r="C1339" s="65" t="str">
        <x:v>印度超级联赛（Indian Super League）</x:v>
      </x:c>
      <x:c r="D1339" s="65" t="str">
        <x:v>旁遮普FC</x:v>
      </x:c>
      <x:c r="E1339" s="65" t="str">
        <x:v>清奈泰坦（Chennaiyin FC）</x:v>
      </x:c>
      <x:c r="F1339" s="65" t="str">
        <x:v>旁遮普FC -1（水位约1.00，赢1球走水，不低于0.80）</x:v>
      </x:c>
      <x:c r="G1339" s="65" t="str">
        <x:v>小 2.5球（水位约1.00，不低于0.80）</x:v>
      </x:c>
      <x:c r="H1339" s="65" t="str">
        <x:v>小注，不加仓；若旁遮普-1低于0.80则不进单，可退守旁遮普-0.75且水位≥0.82；小2.5低于0.80则放弃或等小2.75≥0.80。</x:v>
      </x:c>
      <x:c r="I1339" s="66" t="n">
        <x:v>46148.88180555555</x:v>
      </x:c>
      <x:c r="J1339" s="65" t="str">
        <x:v>已结算</x:v>
      </x:c>
      <x:c r="K1339" s="65"/>
      <x:c r="L1339" s="65" t="str">
        <x:v>走水</x:v>
      </x:c>
      <x:c r="M1339" s="65" t="str">
        <x:v>赢</x:v>
      </x:c>
      <x:c r="N1339" s="67" t="n">
        <x:v>0</x:v>
      </x:c>
      <x:c r="O1339" s="67" t="n">
        <x:v>1</x:v>
      </x:c>
      <x:c r="P1339" s="67" t="n">
        <x:f>IF(COUNT(N1339:O1339)=0,"",SUM(N1339:O1339))</x:f>
        <x:v>1</x:v>
      </x:c>
      <x:c r="Q1339" s="65"/>
      <x:c r="R1339" s="65" t="str">
        <x:v>90分钟比分：旁遮普FC 1-0 清奈泰坦。旁遮普-1赢1球走水；小2.5因总进球1赢。</x:v>
      </x:c>
    </x:row>
    <x:row r="1340" ht="38" customHeight="1">
      <x:c r="A1340" s="65" t="str">
        <x:f>IF(B1340="","",TEXT(B1340,"yyyy-mm-dd")&amp;"|"&amp;D1340&amp;"|"&amp;E1340)</x:f>
        <x:v>2026-05-06|柏太阳神|浦和红钻</x:v>
      </x:c>
      <x:c r="B1340" s="66" t="n">
        <x:v>46148.75</x:v>
      </x:c>
      <x:c r="C1340" s="65" t="str">
        <x:v>日职联（J1 League）</x:v>
      </x:c>
      <x:c r="D1340" s="65" t="str">
        <x:v>柏太阳神</x:v>
      </x:c>
      <x:c r="E1340" s="65" t="str">
        <x:v>浦和红钻</x:v>
      </x:c>
      <x:c r="F1340" s="65" t="str">
        <x:v>浦和红钻 +0.25（水位约0.89，不低于0.80）</x:v>
      </x:c>
      <x:c r="G1340" s="65" t="str">
        <x:v>小 2.5球（水位约0.82，不低于0.80）</x:v>
      </x:c>
      <x:c r="H1340" s="65" t="str">
        <x:v>小注，不加仓；若浦和+0.25水位低于0.80则不进单，若退到浦和0且水位≥0.83可小注替代；小2.5低于0.80则放弃或等小2.75≥0.80。</x:v>
      </x:c>
      <x:c r="I1340" s="66" t="n">
        <x:v>46148.68472222222</x:v>
      </x:c>
      <x:c r="J1340" s="65" t="str">
        <x:v>已结算</x:v>
      </x:c>
      <x:c r="K1340" s="65"/>
      <x:c r="L1340" s="65" t="str">
        <x:v>赢</x:v>
      </x:c>
      <x:c r="M1340" s="65" t="str">
        <x:v>赢</x:v>
      </x:c>
      <x:c r="N1340" s="67" t="n">
        <x:v>1</x:v>
      </x:c>
      <x:c r="O1340" s="67" t="n">
        <x:v>1</x:v>
      </x:c>
      <x:c r="P1340" s="67" t="n">
        <x:f>IF(COUNT(N1340:O1340)=0,"",SUM(N1340:O1340))</x:f>
        <x:v>2</x:v>
      </x:c>
      <x:c r="Q1340" s="65"/>
      <x:c r="R1340" s="65" t="str">
        <x:v>90分钟比分：柏太阳神 0-1 浦和红钻。浦和+0.25赢；小2.5因总进球1赢。</x:v>
      </x:c>
    </x:row>
    <x:row r="1341" ht="38" customHeight="1">
      <x:c r="A1341" s="65" t="str">
        <x:f>IF(B1341="","",TEXT(B1341,"yyyy-mm-dd")&amp;"|"&amp;D1341&amp;"|"&amp;E1341)</x:f>
        <x:v>2026-05-06|川崎前锋|东京绿茵</x:v>
      </x:c>
      <x:c r="B1341" s="66" t="n">
        <x:v>46148.66875</x:v>
      </x:c>
      <x:c r="C1341" s="65" t="str">
        <x:v>日职联（J1 League）</x:v>
      </x:c>
      <x:c r="D1341" s="65" t="str">
        <x:v>川崎前锋</x:v>
      </x:c>
      <x:c r="E1341" s="65" t="str">
        <x:v>东京绿茵</x:v>
      </x:c>
      <x:c r="F1341" s="65" t="str">
        <x:v>东京绿茵 +0.5（水位约0.83，不低于0.80）</x:v>
      </x:c>
      <x:c r="G1341" s="65" t="str">
        <x:v>大 2.5球（水位约0.85，不低于0.80）</x:v>
      </x:c>
      <x:c r="H1341" s="65" t="str">
        <x:v>小注，不加仓；若临场东京绿茵+0.5低于0.80则不进单，可观察东京绿茵+0.25≥0.85替代。</x:v>
      </x:c>
      <x:c r="I1341" s="66" t="n">
        <x:v>46148.63943287037</x:v>
      </x:c>
      <x:c r="J1341" s="65" t="str">
        <x:v>已结算</x:v>
      </x:c>
      <x:c r="K1341" s="65"/>
      <x:c r="L1341" s="65" t="str">
        <x:v>输</x:v>
      </x:c>
      <x:c r="M1341" s="65" t="str">
        <x:v>输</x:v>
      </x:c>
      <x:c r="N1341" s="67" t="n">
        <x:v>-1</x:v>
      </x:c>
      <x:c r="O1341" s="67" t="n">
        <x:v>-1</x:v>
      </x:c>
      <x:c r="P1341" s="67" t="n">
        <x:f>IF(COUNT(N1341:O1341)=0,"",SUM(N1341:O1341))</x:f>
        <x:v>-2</x:v>
      </x:c>
      <x:c r="Q1341" s="65"/>
      <x:c r="R1341" s="65" t="str">
        <x:v>90分钟比分：川崎前锋 1-0 东京绿茵。东京绿茵+0.5输；大2.5因总进球1输。</x:v>
      </x:c>
    </x:row>
    <x:row r="1342" ht="38" customHeight="1">
      <x:c r="A1342" s="65" t="str">
        <x:f>IF(B1342="","",TEXT(B1342,"yyyy-mm-dd")&amp;"|"&amp;D1342&amp;"|"&amp;E1342)</x:f>
        <x:v>2026-05-06|鹿岛鹿角|水户蜀葵</x:v>
      </x:c>
      <x:c r="B1342" s="66" t="n">
        <x:v>46148.62708333333</x:v>
      </x:c>
      <x:c r="C1342" s="65" t="str">
        <x:v>日职联（J1 League）</x:v>
      </x:c>
      <x:c r="D1342" s="65" t="str">
        <x:v>鹿岛鹿角</x:v>
      </x:c>
      <x:c r="E1342" s="65" t="str">
        <x:v>水户蜀葵</x:v>
      </x:c>
      <x:c r="F1342" s="65" t="str">
        <x:v>鹿岛鹿角 -0.75，参考水位约0.85-0.90；若升到-1低水则不追，低于0.80不进单</x:v>
      </x:c>
      <x:c r="G1342" s="65" t="str">
        <x:v>小 2.5，参考水位约0.88；若临场降到2.25则放弃，低于0.80不进单</x:v>
      </x:c>
      <x:c r="H1342" s="65" t="str">
        <x:v>主推让球，小注大小球；可选鹿岛鹿角-0.5保护，但不接受明显低水。</x:v>
      </x:c>
      <x:c r="I1342" s="66" t="n">
        <x:v>46148.59951388889</x:v>
      </x:c>
      <x:c r="J1342" s="65" t="str">
        <x:v>已结算</x:v>
      </x:c>
      <x:c r="K1342" s="65"/>
      <x:c r="L1342" s="65" t="str">
        <x:v>赢</x:v>
      </x:c>
      <x:c r="M1342" s="65" t="str">
        <x:v>输</x:v>
      </x:c>
      <x:c r="N1342" s="67" t="n">
        <x:v>1</x:v>
      </x:c>
      <x:c r="O1342" s="67" t="n">
        <x:v>-1</x:v>
      </x:c>
      <x:c r="P1342" s="67" t="n">
        <x:f>IF(COUNT(N1342:O1342)=0,"",SUM(N1342:O1342))</x:f>
        <x:v>0</x:v>
      </x:c>
      <x:c r="Q1342" s="65"/>
      <x:c r="R1342" s="65" t="str">
        <x:v>90分钟比分：鹿岛鹿角 3-0 水户蜀葵。鹿岛-0.75赢；小2.5因总进球3输。</x:v>
      </x:c>
    </x:row>
    <x:row r="1343" ht="38" customHeight="1">
      <x:c r="A1343" s="65" t="str">
        <x:f>IF(B1343="","",TEXT(B1343,"yyyy-mm-dd")&amp;"|"&amp;D1343&amp;"|"&amp;E1343)</x:f>
        <x:v>2026-05-06|町田泽维亚|横滨水手</x:v>
      </x:c>
      <x:c r="B1343" s="66" t="n">
        <x:v>46148.625</x:v>
      </x:c>
      <x:c r="C1343" s="65" t="str">
        <x:v>日职联（J1 League）</x:v>
      </x:c>
      <x:c r="D1343" s="65" t="str">
        <x:v>町田泽维亚</x:v>
      </x:c>
      <x:c r="E1343" s="65" t="str">
        <x:v>横滨水手</x:v>
      </x:c>
      <x:c r="F1343" s="65" t="str">
        <x:v>横滨水手 +0.5，参考水位约0.95-1.05；若只剩+0.75且低于0.80则不进单</x:v>
      </x:c>
      <x:c r="G1343" s="65" t="str">
        <x:v>大 2.5，参考水位约0.90-0.95；若升到2.75需≥0.85才小注，低于0.80不进单</x:v>
      </x:c>
      <x:c r="H1343" s="65" t="str">
        <x:v>大小球优先；让球小注博高水受让。可选横滨水手+0.75但必须水位≥0.80，低水放弃。</x:v>
      </x:c>
      <x:c r="I1343" s="66" t="n">
        <x:v>46148.60230324074</x:v>
      </x:c>
      <x:c r="J1343" s="65" t="str">
        <x:v>已结算</x:v>
      </x:c>
      <x:c r="K1343" s="65"/>
      <x:c r="L1343" s="65" t="str">
        <x:v>输</x:v>
      </x:c>
      <x:c r="M1343" s="65" t="str">
        <x:v>输</x:v>
      </x:c>
      <x:c r="N1343" s="67" t="n">
        <x:v>-1</x:v>
      </x:c>
      <x:c r="O1343" s="67" t="n">
        <x:v>-1</x:v>
      </x:c>
      <x:c r="P1343" s="67" t="n">
        <x:f>IF(COUNT(N1343:O1343)=0,"",SUM(N1343:O1343))</x:f>
        <x:v>-2</x:v>
      </x:c>
      <x:c r="Q1343" s="65"/>
      <x:c r="R1343" s="65" t="str">
        <x:v>90分钟比分：町田泽维亚 2-0 横滨水手。横滨水手+0.5输；大2.5因总进球2输。</x:v>
      </x:c>
    </x:row>
    <x:row r="1344" ht="38" customHeight="1">
      <x:c r="A1344" s="65" t="str">
        <x:f>IF(B1344="","",TEXT(B1344,"yyyy-mm-dd")&amp;"|"&amp;D1344&amp;"|"&amp;E1344)</x:f>
        <x:v>2026-05-06|广岛三箭|神户胜利船</x:v>
      </x:c>
      <x:c r="B1344" s="66" t="n">
        <x:v>46148.583333333336</x:v>
      </x:c>
      <x:c r="C1344" s="65" t="str">
        <x:v>日职联（J1 League）</x:v>
      </x:c>
      <x:c r="D1344" s="65" t="str">
        <x:v>广岛三箭</x:v>
      </x:c>
      <x:c r="E1344" s="65" t="str">
        <x:v>神户胜利船</x:v>
      </x:c>
      <x:c r="F1344" s="65" t="str">
        <x:v>广岛三箭 -0.25（平/半），参考水位约0.90；低于0.80不进单</x:v>
      </x:c>
      <x:c r="G1344" s="65" t="str">
        <x:v>小 2.75，参考水位约0.85-0.90；若只给2.5且低水则放弃，低于0.80不进单</x:v>
      </x:c>
      <x:c r="H1344" s="65" t="str">
        <x:v>主推让球；大小球小注。可选：广岛三箭0球（平手/DNB）保护，但不追-0.5低水。</x:v>
      </x:c>
      <x:c r="I1344" s="66" t="n">
        <x:v>46148.5934837963</x:v>
      </x:c>
      <x:c r="J1344" s="65" t="str">
        <x:v>已结算</x:v>
      </x:c>
      <x:c r="K1344" s="65"/>
      <x:c r="L1344" s="65" t="str">
        <x:v>输半</x:v>
      </x:c>
      <x:c r="M1344" s="65" t="str">
        <x:v>赢</x:v>
      </x:c>
      <x:c r="N1344" s="67" t="n">
        <x:v>-0.5</x:v>
      </x:c>
      <x:c r="O1344" s="67" t="n">
        <x:v>1</x:v>
      </x:c>
      <x:c r="P1344" s="67" t="n">
        <x:f>IF(COUNT(N1344:O1344)=0,"",SUM(N1344:O1344))</x:f>
        <x:v>0.5</x:v>
      </x:c>
      <x:c r="Q1344" s="65"/>
      <x:c r="R1344" s="65" t="str">
        <x:v>90分钟比分：广岛三箭 1-1 神户胜利船。广岛-0.25输半；小2.75因总进球2赢。</x:v>
      </x:c>
    </x:row>
    <x:row r="1345" ht="38" customHeight="1">
      <x:c r="A1345" s="65" t="str">
        <x:f>IF(B1345="","",TEXT(B1345,"yyyy-mm-dd")&amp;"|"&amp;D1345&amp;"|"&amp;E1345)</x:f>
        <x:v>2026-05-06|秋田蓝色闪电|SC相模原</x:v>
      </x:c>
      <x:c r="B1345" s="66" t="n">
        <x:v>46148.583333333336</x:v>
      </x:c>
      <x:c r="C1345" s="65" t="str">
        <x:v>日职 明治安田J2·J3百年构想联赛</x:v>
      </x:c>
      <x:c r="D1345" s="65" t="str">
        <x:v>秋田蓝色闪电</x:v>
      </x:c>
      <x:c r="E1345" s="65" t="str">
        <x:v>SC相模原</x:v>
      </x:c>
      <x:c r="F1345" s="65" t="str">
        <x:v>秋田蓝色闪电 -0.25（平/半），水位约0.99，低于0.80不进单</x:v>
      </x:c>
      <x:c r="G1345" s="65" t="str">
        <x:v>大 2.25（若临场只有2.5，则需≥0.90才可小注；低于0.80不进单）</x:v>
      </x:c>
      <x:c r="H1345" s="65" t="str">
        <x:v>主推让球；大小球小注。可选：秋田蓝色闪电不败方向保护，不追-0.5低水。</x:v>
      </x:c>
      <x:c r="I1345" s="66" t="n">
        <x:v>46148.590949074074</x:v>
      </x:c>
      <x:c r="J1345" s="65" t="str">
        <x:v>已结算</x:v>
      </x:c>
      <x:c r="K1345" s="65"/>
      <x:c r="L1345" s="65" t="str">
        <x:v>输</x:v>
      </x:c>
      <x:c r="M1345" s="65" t="str">
        <x:v>输</x:v>
      </x:c>
      <x:c r="N1345" s="67" t="n">
        <x:v>-1</x:v>
      </x:c>
      <x:c r="O1345" s="67" t="n">
        <x:v>-1</x:v>
      </x:c>
      <x:c r="P1345" s="67" t="n">
        <x:f>IF(COUNT(N1345:O1345)=0,"",SUM(N1345:O1345))</x:f>
        <x:v>-2</x:v>
      </x:c>
      <x:c r="Q1345" s="65"/>
      <x:c r="R1345" s="65" t="str">
        <x:v>90分钟比分：秋田蓝色闪电 0-1 SC相模原。秋田-0.25输；大2.25因总进球1输。</x:v>
      </x:c>
    </x:row>
    <x:row r="1346" ht="38" customHeight="1">
      <x:c r="A1346" s="65" t="str">
        <x:f>IF(B1346="","",TEXT(B1346,"yyyy-mm-dd")&amp;"|"&amp;D1346&amp;"|"&amp;E1346)</x:f>
        <x:v>2026-05-06|八户云罗里|湘南海洋</x:v>
      </x:c>
      <x:c r="B1346" s="66" t="n">
        <x:v>46148.54375</x:v>
      </x:c>
      <x:c r="C1346" s="65" t="str">
        <x:v>日职 明治安田J2·J3百年构想联赛</x:v>
      </x:c>
      <x:c r="D1346" s="65" t="str">
        <x:v>八户云罗里</x:v>
      </x:c>
      <x:c r="E1346" s="65" t="str">
        <x:v>湘南海洋</x:v>
      </x:c>
      <x:c r="F1346" s="65" t="str">
        <x:v>湘南海洋 平手（0/DNB）@1.85-1.92，水位约0.85-0.92；低于0.80不进单</x:v>
      </x:c>
      <x:c r="G1346" s="65" t="str">
        <x:v>大于2.5球 @2.05-2.20，水位约1.05-1.20；不追小2.5低水</x:v>
      </x:c>
      <x:c r="H1346" s="65" t="str">
        <x:v>主推湘南海洋平手；可选小注大2.5高水，比分倾向1-1/1-2；若临场湘南升到-0.25且水位≥0.95才小注，不追低水客胜</x:v>
      </x:c>
      <x:c r="I1346" s="66" t="n">
        <x:v>46148.53074074074</x:v>
      </x:c>
      <x:c r="J1346" s="65" t="str">
        <x:v>已结算</x:v>
      </x:c>
      <x:c r="K1346" s="65"/>
      <x:c r="L1346" s="65" t="str">
        <x:v>赢</x:v>
      </x:c>
      <x:c r="M1346" s="65" t="str">
        <x:v>输</x:v>
      </x:c>
      <x:c r="N1346" s="67" t="n">
        <x:v>1</x:v>
      </x:c>
      <x:c r="O1346" s="67" t="n">
        <x:v>-1</x:v>
      </x:c>
      <x:c r="P1346" s="67" t="n">
        <x:f>IF(COUNT(N1346:O1346)=0,"",SUM(N1346:O1346))</x:f>
        <x:v>0</x:v>
      </x:c>
      <x:c r="Q1346" s="65"/>
      <x:c r="R1346" s="65" t="str">
        <x:v>90分钟比分：八户云罗里 0-1 湘南海洋。湘南海洋平手/DNB赢；大2.5因总进球1输。</x:v>
      </x:c>
    </x:row>
    <x:row r="1347" ht="38" customHeight="1">
      <x:c r="A1347" s="65" t="str">
        <x:f>IF(B1347="","",TEXT(B1347,"yyyy-mm-dd")&amp;"|"&amp;D1347&amp;"|"&amp;E1347)</x:f>
        <x:v>2026-05-06|福冈黄蜂|京都不死鸟</x:v>
      </x:c>
      <x:c r="B1347" s="66" t="n">
        <x:v>46148.541666666664</x:v>
      </x:c>
      <x:c r="C1347" s="65" t="str">
        <x:v>日职联（J1 League）</x:v>
      </x:c>
      <x:c r="D1347" s="65" t="str">
        <x:v>福冈黄蜂</x:v>
      </x:c>
      <x:c r="E1347" s="65" t="str">
        <x:v>京都不死鸟</x:v>
      </x:c>
      <x:c r="F1347" s="65" t="str">
        <x:v>福冈黄蜂 +0.25 @1.80，水位约0.80；低于0.80不进单</x:v>
      </x:c>
      <x:c r="G1347" s="65" t="str">
        <x:v>双方进球 是（BTTS Yes）@1.91，水位约0.91；若只能做大小球则大于2球@1.64偏低仅作替代不主推</x:v>
      </x:c>
      <x:c r="H1347" s="65" t="str">
        <x:v>主推福冈黄蜂+0.25；可选小注福冈黄蜂平手/DNB高水；比分倾向1-1/2-1，不追京都客胜低赔</x:v>
      </x:c>
      <x:c r="I1347" s="66" t="n">
        <x:v>46148.5249537037</x:v>
      </x:c>
      <x:c r="J1347" s="65" t="str">
        <x:v>已结算</x:v>
      </x:c>
      <x:c r="K1347" s="65"/>
      <x:c r="L1347" s="65" t="str">
        <x:v>赢半</x:v>
      </x:c>
      <x:c r="M1347" s="65" t="str">
        <x:v>赢</x:v>
      </x:c>
      <x:c r="N1347" s="67" t="n">
        <x:v>0.5</x:v>
      </x:c>
      <x:c r="O1347" s="67" t="n">
        <x:v>1</x:v>
      </x:c>
      <x:c r="P1347" s="67" t="n">
        <x:f>IF(COUNT(N1347:O1347)=0,"",SUM(N1347:O1347))</x:f>
        <x:v>1.5</x:v>
      </x:c>
      <x:c r="Q1347" s="65"/>
      <x:c r="R1347" s="65" t="str">
        <x:v>90分钟比分：福冈黄蜂 1-1 京都不死鸟，点球后不计常规盘口。福冈黄蜂+0.25赢半；BTTS Yes命中。</x:v>
      </x:c>
    </x:row>
    <x:row r="1348" ht="38" customHeight="1">
      <x:c r="A1348" s="65" t="str">
        <x:f>IF(B1348="","",TEXT(B1348,"yyyy-mm-dd")&amp;"|"&amp;D1348&amp;"|"&amp;E1348)</x:f>
        <x:v>2026-05-06|长崎成功丸|冈山绿雉</x:v>
      </x:c>
      <x:c r="B1348" s="66" t="n">
        <x:v>46148.5</x:v>
      </x:c>
      <x:c r="C1348" s="65" t="str">
        <x:v>日职联（J1 League）</x:v>
      </x:c>
      <x:c r="D1348" s="65" t="str">
        <x:v>长崎成功丸</x:v>
      </x:c>
      <x:c r="E1348" s="65" t="str">
        <x:v>冈山绿雉</x:v>
      </x:c>
      <x:c r="F1348" s="65" t="str">
        <x:v>冈山绿雉 平手（0/DNB）@1.88-1.95，水位约0.88-0.95；低于0.80不进单</x:v>
      </x:c>
      <x:c r="G1348" s="65" t="str">
        <x:v>大于2.5球 @2.05，水位约1.05；小2.5低水不追</x:v>
      </x:c>
      <x:c r="H1348" s="65" t="str">
        <x:v>可选小注：冈山绿雉平手为主；大小球只接受大2.5高水，比分倾向1-1/1-2；临场若冈山升到受让+0.25且水位≥0.80可加仓</x:v>
      </x:c>
      <x:c r="I1348" s="66" t="n">
        <x:v>46148.50329861111</x:v>
      </x:c>
      <x:c r="J1348" s="65" t="str">
        <x:v>已结算</x:v>
      </x:c>
      <x:c r="K1348" s="65"/>
      <x:c r="L1348" s="65" t="str">
        <x:v>输</x:v>
      </x:c>
      <x:c r="M1348" s="65" t="str">
        <x:v>赢</x:v>
      </x:c>
      <x:c r="N1348" s="67" t="n">
        <x:v>-1</x:v>
      </x:c>
      <x:c r="O1348" s="67" t="n">
        <x:v>1</x:v>
      </x:c>
      <x:c r="P1348" s="67" t="n">
        <x:f>IF(COUNT(N1348:O1348)=0,"",SUM(N1348:O1348))</x:f>
        <x:v>0</x:v>
      </x:c>
      <x:c r="Q1348" s="65"/>
      <x:c r="R1348" s="65" t="str">
        <x:v>90分钟比分：长崎成功丸 2-1 冈山绿雉。冈山绿雉平手/DNB输；大2.5因总进球3赢。</x:v>
      </x:c>
    </x:row>
    <x:row r="1349" ht="38" customHeight="1">
      <x:c r="A1349" s="65" t="str">
        <x:f>IF(B1349="","",TEXT(B1349,"yyyy-mm-dd")&amp;"|"&amp;D1349&amp;"|"&amp;E1349)</x:f>
        <x:v>2026-05-06|清水心跳|大阪樱花</x:v>
      </x:c>
      <x:c r="B1349" s="66" t="n">
        <x:v>46148.5</x:v>
      </x:c>
      <x:c r="C1349" s="65" t="str">
        <x:v>日职联（J1 League）</x:v>
      </x:c>
      <x:c r="D1349" s="65" t="str">
        <x:v>清水心跳</x:v>
      </x:c>
      <x:c r="E1349" s="65" t="str">
        <x:v>大阪樱花</x:v>
      </x:c>
      <x:c r="F1349" s="65" t="str">
        <x:v>清水心跳 平手（0/DNB）@1.90，水位约0.90；低于0.80不进单</x:v>
      </x:c>
      <x:c r="G1349" s="65" t="str">
        <x:v>小于2.5球 @1.95，水位约0.95</x:v>
      </x:c>
      <x:c r="H1349" s="65" t="str">
        <x:v>可选小注：清水心跳平手为主；大小球小2.5可同级别，比分倾向1-1/1-0；不追清水+0.25低水</x:v>
      </x:c>
      <x:c r="I1349" s="66" t="n">
        <x:v>46148.49466435185</x:v>
      </x:c>
      <x:c r="J1349" s="65" t="str">
        <x:v>已结算</x:v>
      </x:c>
      <x:c r="K1349" s="65"/>
      <x:c r="L1349" s="65" t="str">
        <x:v>走水</x:v>
      </x:c>
      <x:c r="M1349" s="65" t="str">
        <x:v>赢</x:v>
      </x:c>
      <x:c r="N1349" s="67" t="n">
        <x:v>0</x:v>
      </x:c>
      <x:c r="O1349" s="67" t="n">
        <x:v>1</x:v>
      </x:c>
      <x:c r="P1349" s="67" t="n">
        <x:f>IF(COUNT(N1349:O1349)=0,"",SUM(N1349:O1349))</x:f>
        <x:v>1</x:v>
      </x:c>
      <x:c r="Q1349" s="65"/>
      <x:c r="R1349" s="65" t="str">
        <x:v>90分钟比分：清水心跳 1-1 大阪樱花，点球后不计常规盘口。清水心跳平手/DNB走水；小2.5因总进球2赢。</x:v>
      </x:c>
    </x:row>
    <x:row r="1350" ht="38" customHeight="1">
      <x:c r="A1350" s="65" t="str">
        <x:f>IF(B1350="","",TEXT(B1350,"yyyy-mm-dd")&amp;"|"&amp;D1350&amp;"|"&amp;E1350)</x:f>
        <x:v>2026-05-06|库恩卡（Deportivo Cuenca）|圣洛伦索（San Lorenzo）</x:v>
      </x:c>
      <x:c r="B1350" s="66" t="n">
        <x:v>46148.416666666664</x:v>
      </x:c>
      <x:c r="C1350" s="65" t="str">
        <x:v>南美杯（Copa Sudamericana）资格赛</x:v>
      </x:c>
      <x:c r="D1350" s="65" t="str">
        <x:v>库恩卡（Deportivo Cuenca）</x:v>
      </x:c>
      <x:c r="E1350" s="65" t="str">
        <x:v>圣洛伦索（San Lorenzo）</x:v>
      </x:c>
      <x:c r="F1350" s="65" t="str">
        <x:v>圣洛伦索 +0/0.25（≥0.84）</x:v>
      </x:c>
      <x:c r="G1350" s="65" t="str">
        <x:v>小 2/2.25（≥0.82）</x:v>
      </x:c>
      <x:c r="H1350" s="65" t="str">
        <x:v>可选：比分 0-0/1-1；若临场降到小2且水位低于0.80则放弃大小球</x:v>
      </x:c>
      <x:c r="I1350" s="66" t="n">
        <x:v>46148.40771990741</x:v>
      </x:c>
      <x:c r="J1350" s="65" t="str">
        <x:v>已结算</x:v>
      </x:c>
      <x:c r="K1350" s="65" t="str">
        <x:v>0-0</x:v>
      </x:c>
      <x:c r="L1350" s="65" t="str">
        <x:v>赢半</x:v>
      </x:c>
      <x:c r="M1350" s="65" t="str">
        <x:v>赢</x:v>
      </x:c>
      <x:c r="N1350" s="67" t="n">
        <x:v>0.5</x:v>
      </x:c>
      <x:c r="O1350" s="67" t="n">
        <x:v>1</x:v>
      </x:c>
      <x:c r="P1350" s="67" t="n">
        <x:f>IF(COUNT(N1350:O1350)=0,"",SUM(N1350:O1350))</x:f>
        <x:v>1.5</x:v>
      </x:c>
      <x:c r="Q1350" s="65"/>
      <x:c r="R1350" s="65" t="str">
        <x:v>FT 0-0；圣洛伦索 +0.25 赢半；小2.25 赢。</x:v>
      </x:c>
    </x:row>
    <x:row r="1351" ht="38" customHeight="1">
      <x:c r="A1351" s="65" t="str">
        <x:f>IF(B1351="","",TEXT(B1351,"yyyy-mm-dd")&amp;"|"&amp;D1351&amp;"|"&amp;E1351)</x:f>
        <x:v>2026-05-06|老虎大学（Tigres UANL）|纳什维尔SC（Nashville SC）</x:v>
      </x:c>
      <x:c r="B1351" s="66" t="n">
        <x:v>46148.395833333336</x:v>
      </x:c>
      <x:c r="C1351" s="65" t="str">
        <x:v>中北美冠军杯（CONCACAF Champions Cup）</x:v>
      </x:c>
      <x:c r="D1351" s="65" t="str">
        <x:v>老虎大学（Tigres UANL）</x:v>
      </x:c>
      <x:c r="E1351" s="65" t="str">
        <x:v>纳什维尔SC（Nashville SC）</x:v>
      </x:c>
      <x:c r="F1351" s="65" t="str">
        <x:v>老虎大学 -0.75（水位≥0.80可入；若低于0.80则降到-0.5才考虑）</x:v>
      </x:c>
      <x:c r="G1351" s="65" t="str">
        <x:v>大 2.5（水位≥0.80可入；若升到2.75且低水不追）</x:v>
      </x:c>
      <x:c r="H1351" s="65" t="str">
        <x:v>可选：老虎大学胜+大1.5方向小注；加仓仅限临场老虎大学-0.75仍维持≥0.80且纳什维尔主力中锋缺阵/替补</x:v>
      </x:c>
      <x:c r="I1351" s="66" t="n">
        <x:v>46148.37962962963</x:v>
      </x:c>
      <x:c r="J1351" s="65" t="str">
        <x:v>已结算</x:v>
      </x:c>
      <x:c r="K1351" s="65" t="str">
        <x:v>1-0</x:v>
      </x:c>
      <x:c r="L1351" s="65" t="str">
        <x:v>赢半</x:v>
      </x:c>
      <x:c r="M1351" s="65" t="str">
        <x:v>输</x:v>
      </x:c>
      <x:c r="N1351" s="67" t="n">
        <x:v>0.5</x:v>
      </x:c>
      <x:c r="O1351" s="67" t="n">
        <x:v>-1</x:v>
      </x:c>
      <x:c r="P1351" s="67" t="n">
        <x:f>IF(COUNT(N1351:O1351)=0,"",SUM(N1351:O1351))</x:f>
        <x:v>-0.5</x:v>
      </x:c>
      <x:c r="Q1351" s="65"/>
      <x:c r="R1351" s="65" t="str">
        <x:v>FT 1-0；老虎大学 -0.75 赢半；大2.5 输。</x:v>
      </x:c>
    </x:row>
    <x:row r="1352" ht="38" customHeight="1">
      <x:c r="A1352" s="65" t="str">
        <x:f>IF(B1352="","",TEXT(B1352,"yyyy-mm-dd")&amp;"|"&amp;D1352&amp;"|"&amp;E1352)</x:f>
        <x:v>2026-05-06|水晶竞技（Sporting Cristal）|帕尔梅拉斯（Palmeiras）</x:v>
      </x:c>
      <x:c r="B1352" s="66" t="n">
        <x:v>46148.25</x:v>
      </x:c>
      <x:c r="C1352" s="65" t="str">
        <x:v>南美解放者杯</x:v>
      </x:c>
      <x:c r="D1352" s="65" t="str">
        <x:v>水晶竞技（Sporting Cristal）</x:v>
      </x:c>
      <x:c r="E1352" s="65" t="str">
        <x:v>帕尔梅拉斯（Palmeiras）</x:v>
      </x:c>
      <x:c r="F1352" s="65" t="str">
        <x:v>帕尔梅拉斯 -1（水位≥0.80可入；若升到-1.25则不追深盘）</x:v>
      </x:c>
      <x:c r="G1352" s="65" t="str">
        <x:v>小 2.5（水位≥0.80可入；若临场升到2.75可继续小球，降到2.25放弃）</x:v>
      </x:c>
      <x:c r="H1352" s="65" t="str">
        <x:v>可选：帕尔梅拉斯胜+小3.5方向小注；加仓仅限帕尔梅拉斯-1仍维持≥0.80且首发中前场主力齐整</x:v>
      </x:c>
      <x:c r="I1352" s="66" t="n">
        <x:v>46148.23180555556</x:v>
      </x:c>
      <x:c r="J1352" s="65" t="str">
        <x:v>已结算</x:v>
      </x:c>
      <x:c r="K1352" s="65" t="str">
        <x:v>0-2</x:v>
      </x:c>
      <x:c r="L1352" s="65" t="str">
        <x:v>赢</x:v>
      </x:c>
      <x:c r="M1352" s="65" t="str">
        <x:v>赢</x:v>
      </x:c>
      <x:c r="N1352" s="67" t="n">
        <x:v>1</x:v>
      </x:c>
      <x:c r="O1352" s="67" t="n">
        <x:v>1</x:v>
      </x:c>
      <x:c r="P1352" s="67" t="n">
        <x:f>IF(COUNT(N1352:O1352)=0,"",SUM(N1352:O1352))</x:f>
        <x:v>2</x:v>
      </x:c>
      <x:c r="Q1352" s="65"/>
      <x:c r="R1352" s="65" t="str">
        <x:v>FT 0-2；帕尔梅拉斯 -1 赢；小2.5 赢。</x:v>
      </x:c>
    </x:row>
    <x:row r="1353" ht="38" customHeight="1">
      <x:c r="A1353" s="65" t="str">
        <x:f>IF(B1353="","",TEXT(B1353,"yyyy-mm-dd")&amp;"|"&amp;D1353&amp;"|"&amp;E1353)</x:f>
        <x:v>2026-05-06|石油独立（Independiente Petrolero）|加拉加斯（Caracas FC）</x:v>
      </x:c>
      <x:c r="B1353" s="66" t="n">
        <x:v>46148.25</x:v>
      </x:c>
      <x:c r="C1353" s="65" t="str">
        <x:v>南美杯（Copa Sudamericana）资格赛</x:v>
      </x:c>
      <x:c r="D1353" s="65" t="str">
        <x:v>石油独立（Independiente Petrolero）</x:v>
      </x:c>
      <x:c r="E1353" s="65" t="str">
        <x:v>加拉加斯（Caracas FC）</x:v>
      </x:c>
      <x:c r="F1353" s="65" t="str">
        <x:v>加拉加斯 +0.25（水位≥0.80可入；若退到+0且低水则放弃）</x:v>
      </x:c>
      <x:c r="G1353" s="65" t="str">
        <x:v>小 2.5（水位≥0.80可入；若降到2.25不追）</x:v>
      </x:c>
      <x:c r="H1353" s="65" t="str">
        <x:v>可选：加拉加斯不败方向小注；不建议追客胜，加仓仅限临场加拉加斯+0.25仍维持≥0.80且首发防线主力齐整</x:v>
      </x:c>
      <x:c r="I1353" s="66" t="n">
        <x:v>46148.224328703705</x:v>
      </x:c>
      <x:c r="J1353" s="65" t="str">
        <x:v>已结算</x:v>
      </x:c>
      <x:c r="K1353" s="65" t="str">
        <x:v>2-3</x:v>
      </x:c>
      <x:c r="L1353" s="65" t="str">
        <x:v>赢</x:v>
      </x:c>
      <x:c r="M1353" s="65" t="str">
        <x:v>输</x:v>
      </x:c>
      <x:c r="N1353" s="67" t="n">
        <x:v>1</x:v>
      </x:c>
      <x:c r="O1353" s="67" t="n">
        <x:v>-1</x:v>
      </x:c>
      <x:c r="P1353" s="67" t="n">
        <x:f>IF(COUNT(N1353:O1353)=0,"",SUM(N1353:O1353))</x:f>
        <x:v>0</x:v>
      </x:c>
      <x:c r="Q1353" s="65"/>
      <x:c r="R1353" s="65" t="str">
        <x:v>FT 2-3；加拉加斯 +0.25 赢；小2.5 输。</x:v>
      </x:c>
    </x:row>
    <x:row r="1354" ht="38" customHeight="1">
      <x:c r="A1354" s="65" t="str">
        <x:f>IF(B1354="","",TEXT(B1354,"yyyy-mm-dd")&amp;"|"&amp;D1354&amp;"|"&amp;E1354)</x:f>
        <x:v>2026-05-05|孟买城（Mumbai City FC）|东孟加拉（East Bengal FC）</x:v>
      </x:c>
      <x:c r="B1354" s="66" t="n">
        <x:v>46147.916666666664</x:v>
      </x:c>
      <x:c r="C1354" s="65" t="str">
        <x:v>印度超级联赛（Indian Super League）</x:v>
      </x:c>
      <x:c r="D1354" s="65" t="str">
        <x:v>孟买城（Mumbai City FC）</x:v>
      </x:c>
      <x:c r="E1354" s="65" t="str">
        <x:v>东孟加拉（East Bengal FC）</x:v>
      </x:c>
      <x:c r="F1354" s="65" t="str">
        <x:v>东孟加拉 -0.5（水位≥0.80可入；若升到-0.75则只小注或放弃）</x:v>
      </x:c>
      <x:c r="G1354" s="65" t="str">
        <x:v>小 2.75（水位≥0.80可入；若退到2.5且低水不追）</x:v>
      </x:c>
      <x:c r="H1354" s="65" t="str">
        <x:v>可选：东孟加拉客胜小注；加仓仅限临场东孟加拉-0.5仍保持≥0.80且首发锋线主力齐整</x:v>
      </x:c>
      <x:c r="I1354" s="66" t="n">
        <x:v>46147.91327546296</x:v>
      </x:c>
      <x:c r="J1354" s="65" t="str">
        <x:v>已结算</x:v>
      </x:c>
      <x:c r="K1354" s="65" t="str">
        <x:v>1-2</x:v>
      </x:c>
      <x:c r="L1354" s="65" t="str">
        <x:v>赢</x:v>
      </x:c>
      <x:c r="M1354" s="65" t="str">
        <x:v>输半</x:v>
      </x:c>
      <x:c r="N1354" s="67" t="n">
        <x:v>1</x:v>
      </x:c>
      <x:c r="O1354" s="67" t="n">
        <x:v>-0.5</x:v>
      </x:c>
      <x:c r="P1354" s="67" t="n">
        <x:f>IF(COUNT(N1354:O1354)=0,"",SUM(N1354:O1354))</x:f>
        <x:v>0.5</x:v>
      </x:c>
      <x:c r="Q1354" s="65"/>
      <x:c r="R1354" s="65" t="str">
        <x:v>FT 1-2；东孟加拉 -0.5 赢；小2.75 输半。</x:v>
      </x:c>
    </x:row>
    <x:row r="1355" ht="38" customHeight="1">
      <x:c r="A1355" s="65" t="str">
        <x:f>IF(B1355="","",TEXT(B1355,"yyyy-mm-dd")&amp;"|"&amp;D1355&amp;"|"&amp;E1355)</x:f>
        <x:v>2026-05-05|重庆铜梁龙|河南队</x:v>
      </x:c>
      <x:c r="B1355" s="66" t="n">
        <x:v>46147.833333333336</x:v>
      </x:c>
      <x:c r="C1355" s="65" t="str">
        <x:v>中国足球超级联赛</x:v>
      </x:c>
      <x:c r="D1355" s="65" t="str">
        <x:v>重庆铜梁龙</x:v>
      </x:c>
      <x:c r="E1355" s="65" t="str">
        <x:v>河南队</x:v>
      </x:c>
      <x:c r="F1355" s="65" t="str">
        <x:v>重庆铜梁龙 0（平手/DNB，水位约0.83-0.95；若只能拿到+0.25且水位≥0.80也可）</x:v>
      </x:c>
      <x:c r="G1355" s="65" t="str">
        <x:v>大 2.5（仅限水位≥0.90，若低于0.85放弃）</x:v>
      </x:c>
      <x:c r="H1355" s="65" t="str">
        <x:v>主推重庆铜梁龙平手；大小球只做小注可选，不追低水</x:v>
      </x:c>
      <x:c r="I1355" s="66" t="n">
        <x:v>46147.800208333334</x:v>
      </x:c>
      <x:c r="J1355" s="65" t="str">
        <x:v>已结算</x:v>
      </x:c>
      <x:c r="K1355" s="65" t="str">
        <x:v>1-1</x:v>
      </x:c>
      <x:c r="L1355" s="65" t="str">
        <x:v>走水</x:v>
      </x:c>
      <x:c r="M1355" s="65" t="str">
        <x:v>输</x:v>
      </x:c>
      <x:c r="N1355" s="67" t="n">
        <x:v>0</x:v>
      </x:c>
      <x:c r="O1355" s="67" t="n">
        <x:v>-1</x:v>
      </x:c>
      <x:c r="P1355" s="67" t="n">
        <x:f>IF(COUNT(N1355:O1355)=0,"",SUM(N1355:O1355))</x:f>
        <x:v>-1</x:v>
      </x:c>
      <x:c r="Q1355" s="65"/>
      <x:c r="R1355" s="65" t="str">
        <x:v>FT 1-1；重庆铜梁龙 0 走水；大2.5 输。</x:v>
      </x:c>
    </x:row>
    <x:row r="1356" ht="38" customHeight="1">
      <x:c r="A1356" s="65" t="str">
        <x:f>IF(B1356="","",TEXT(B1356,"yyyy-mm-dd")&amp;"|"&amp;D1356&amp;"|"&amp;E1356)</x:f>
        <x:v>2026-05-05|婆罗洲FC|佩西塔坦格朗</x:v>
      </x:c>
      <x:c r="B1356" s="66" t="n">
        <x:v>46147.833333333336</x:v>
      </x:c>
      <x:c r="C1356" s="65" t="str">
        <x:v>印度尼西亚超级联赛（印尼超/Liga 1 Indonesia）</x:v>
      </x:c>
      <x:c r="D1356" s="65" t="str">
        <x:v>婆罗洲FC</x:v>
      </x:c>
      <x:c r="E1356" s="65" t="str">
        <x:v>佩西塔坦格朗</x:v>
      </x:c>
      <x:c r="F1356" s="65" t="str">
        <x:v>婆罗洲FC -1.25（参考水位约0.97）</x:v>
      </x:c>
      <x:c r="G1356" s="65" t="str">
        <x:v>大 2.75（参考水位约0.84）</x:v>
      </x:c>
      <x:c r="H1356" s="65" t="str">
        <x:v>主推让球：婆罗洲FC-1.25；大小球次选：大2.75；不加仓</x:v>
      </x:c>
      <x:c r="I1356" s="66" t="n">
        <x:v>46147.77103009259</x:v>
      </x:c>
      <x:c r="J1356" s="65" t="str">
        <x:v>已结算</x:v>
      </x:c>
      <x:c r="K1356" s="65" t="str">
        <x:v>2-0</x:v>
      </x:c>
      <x:c r="L1356" s="65" t="str">
        <x:v>赢</x:v>
      </x:c>
      <x:c r="M1356" s="65" t="str">
        <x:v>输</x:v>
      </x:c>
      <x:c r="N1356" s="67" t="n">
        <x:v>1</x:v>
      </x:c>
      <x:c r="O1356" s="67" t="n">
        <x:v>-1</x:v>
      </x:c>
      <x:c r="P1356" s="67" t="n">
        <x:f>IF(COUNT(N1356:O1356)=0,"",SUM(N1356:O1356))</x:f>
        <x:v>0</x:v>
      </x:c>
      <x:c r="Q1356" s="65"/>
      <x:c r="R1356" s="65" t="str">
        <x:v>FT 2-0；婆罗洲FC -1.25 赢；大2.75 输。</x:v>
      </x:c>
    </x:row>
    <x:row r="1357" ht="38" customHeight="1">
      <x:c r="A1357" s="65" t="str">
        <x:f>IF(B1357="","",TEXT(B1357,"yyyy-mm-dd")&amp;"|"&amp;D1357&amp;"|"&amp;E1357)</x:f>
        <x:v>2026-05-05|辽宁铁人|成都蓉城</x:v>
      </x:c>
      <x:c r="B1357" s="66" t="n">
        <x:v>46147.81597222222</x:v>
      </x:c>
      <x:c r="C1357" s="65" t="str">
        <x:v>中国足球超级联赛</x:v>
      </x:c>
      <x:c r="D1357" s="65" t="str">
        <x:v>辽宁铁人</x:v>
      </x:c>
      <x:c r="E1357" s="65" t="str">
        <x:v>成都蓉城</x:v>
      </x:c>
      <x:c r="F1357" s="65" t="str">
        <x:v>成都蓉城 -1（水位≥0.80可入，低于0.80放弃）</x:v>
      </x:c>
      <x:c r="G1357" s="65" t="str">
        <x:v>大 2.75（水位≥0.80可入；若只能买2.5且低水不追）</x:v>
      </x:c>
      <x:c r="H1357" s="65" t="str">
        <x:v>可选：成都蓉城胜+大2.5方向小注；加仓仅限临场成都-1维持中高水且首发外援攻击组齐整</x:v>
      </x:c>
      <x:c r="I1357" s="66" t="n">
        <x:v>46147.802569444444</x:v>
      </x:c>
      <x:c r="J1357" s="65" t="str">
        <x:v>已结算</x:v>
      </x:c>
      <x:c r="K1357" s="65" t="str">
        <x:v>0-1</x:v>
      </x:c>
      <x:c r="L1357" s="65" t="str">
        <x:v>走水</x:v>
      </x:c>
      <x:c r="M1357" s="65" t="str">
        <x:v>输</x:v>
      </x:c>
      <x:c r="N1357" s="67" t="n">
        <x:v>0</x:v>
      </x:c>
      <x:c r="O1357" s="67" t="n">
        <x:v>-1</x:v>
      </x:c>
      <x:c r="P1357" s="67" t="n">
        <x:f>IF(COUNT(N1357:O1357)=0,"",SUM(N1357:O1357))</x:f>
        <x:v>-1</x:v>
      </x:c>
      <x:c r="Q1357" s="65"/>
      <x:c r="R1357" s="65" t="str">
        <x:v>FT 0-1；成都蓉城 -1 走水；大2.75 输。</x:v>
      </x:c>
    </x:row>
    <x:row r="1358" ht="38" customHeight="1">
      <x:c r="A1358" s="65" t="str">
        <x:f>IF(B1358="","",TEXT(B1358,"yyyy-mm-dd")&amp;"|"&amp;D1358&amp;"|"&amp;E1358)</x:f>
        <x:v>2026-05-05|青岛西海岸|天津津门虎</x:v>
      </x:c>
      <x:c r="B1358" s="66" t="n">
        <x:v>46147.791666666664</x:v>
      </x:c>
      <x:c r="C1358" s="65" t="str">
        <x:v>中国足球超级联赛</x:v>
      </x:c>
      <x:c r="D1358" s="65" t="str">
        <x:v>青岛西海岸</x:v>
      </x:c>
      <x:c r="E1358" s="65" t="str">
        <x:v>天津津门虎</x:v>
      </x:c>
      <x:c r="F1358" s="65" t="str">
        <x:v>天津津门虎 +0.5（水位约0.80）</x:v>
      </x:c>
      <x:c r="G1358" s="65" t="str">
        <x:v>小 2.5（仅限水位≥0.85，参考可到约0.95）</x:v>
      </x:c>
      <x:c r="H1358" s="65" t="str">
        <x:v>主推让球；大小球为可选小注，若临场小2.5低于0.80则放弃</x:v>
      </x:c>
      <x:c r="I1358" s="66" t="n">
        <x:v>46147.79324074074</x:v>
      </x:c>
      <x:c r="J1358" s="65" t="str">
        <x:v>已结算</x:v>
      </x:c>
      <x:c r="K1358" s="65" t="str">
        <x:v>1-1</x:v>
      </x:c>
      <x:c r="L1358" s="65" t="str">
        <x:v>赢</x:v>
      </x:c>
      <x:c r="M1358" s="65" t="str">
        <x:v>赢</x:v>
      </x:c>
      <x:c r="N1358" s="67" t="n">
        <x:v>1</x:v>
      </x:c>
      <x:c r="O1358" s="67" t="n">
        <x:v>1</x:v>
      </x:c>
      <x:c r="P1358" s="67" t="n">
        <x:f>IF(COUNT(N1358:O1358)=0,"",SUM(N1358:O1358))</x:f>
        <x:v>2</x:v>
      </x:c>
      <x:c r="Q1358" s="65"/>
      <x:c r="R1358" s="65" t="str">
        <x:v>FT 1-1；天津津门虎 +0.5 赢；小2.5 赢。</x:v>
      </x:c>
    </x:row>
    <x:row r="1359" ht="38" customHeight="1">
      <x:c r="A1359" s="65" t="str">
        <x:f>IF(B1359="","",TEXT(B1359,"yyyy-mm-dd")&amp;"|"&amp;D1359&amp;"|"&amp;E1359)</x:f>
        <x:v>2026-05-05|FC首尔|FC安养</x:v>
      </x:c>
      <x:c r="B1359" s="66" t="n">
        <x:v>46147.75</x:v>
      </x:c>
      <x:c r="C1359" s="65" t="str">
        <x:v>韩国K联赛1（K League 1）</x:v>
      </x:c>
      <x:c r="D1359" s="65" t="str">
        <x:v>FC首尔</x:v>
      </x:c>
      <x:c r="E1359" s="65" t="str">
        <x:v>FC安养</x:v>
      </x:c>
      <x:c r="F1359" s="65" t="str">
        <x:v>FC首尔 -0.75（参考水位约1.97）</x:v>
      </x:c>
      <x:c r="G1359" s="65" t="str">
        <x:v>大 2.5（参考水位约1.88）</x:v>
      </x:c>
      <x:c r="H1359" s="65" t="str">
        <x:v>主推让球：FC首尔-0.75；大小球次选：大2.5；不加仓</x:v>
      </x:c>
      <x:c r="I1359" s="66" t="n">
        <x:v>46147.64383101852</x:v>
      </x:c>
      <x:c r="J1359" s="65" t="str">
        <x:v>已结算</x:v>
      </x:c>
      <x:c r="K1359" s="65" t="str">
        <x:v>0-0</x:v>
      </x:c>
      <x:c r="L1359" s="65" t="str">
        <x:v>输</x:v>
      </x:c>
      <x:c r="M1359" s="65" t="str">
        <x:v>输</x:v>
      </x:c>
      <x:c r="N1359" s="67" t="n">
        <x:v>-1</x:v>
      </x:c>
      <x:c r="O1359" s="67" t="n">
        <x:v>-1</x:v>
      </x:c>
      <x:c r="P1359" s="67" t="n">
        <x:f>IF(COUNT(N1359:O1359)=0,"",SUM(N1359:O1359))</x:f>
        <x:v>-2</x:v>
      </x:c>
      <x:c r="Q1359" s="65"/>
      <x:c r="R1359" s="65" t="str">
        <x:v>FT 0-0；FC首尔 -0.75 输；大2.5 输。</x:v>
      </x:c>
    </x:row>
    <x:row r="1360" ht="38" customHeight="1">
      <x:c r="A1360" s="65" t="str">
        <x:f>IF(B1360="","",TEXT(B1360,"yyyy-mm-dd")&amp;"|"&amp;D1360&amp;"|"&amp;E1360)</x:f>
        <x:v>2026-05-05|马都拉联|巴厘联</x:v>
      </x:c>
      <x:c r="B1360" s="66" t="n">
        <x:v>46147.6875</x:v>
      </x:c>
      <x:c r="C1360" s="65" t="str">
        <x:v>印度尼西亚超级联赛（印尼超/Liga 1 Indonesia）</x:v>
      </x:c>
      <x:c r="D1360" s="65" t="str">
        <x:v>马都拉联</x:v>
      </x:c>
      <x:c r="E1360" s="65" t="str">
        <x:v>巴厘联</x:v>
      </x:c>
      <x:c r="F1360" s="65" t="str">
        <x:v>巴厘联 0（平手，参考水位约0.88）</x:v>
      </x:c>
      <x:c r="G1360" s="65" t="str">
        <x:v>大 2.75（参考水位约0.90）</x:v>
      </x:c>
      <x:c r="H1360" s="65" t="str">
        <x:v>主推大小球：大2.75；让球次选：巴厘联平手；不加仓</x:v>
      </x:c>
      <x:c r="I1360" s="66" t="n">
        <x:v>46147.691516203704</x:v>
      </x:c>
      <x:c r="J1360" s="65" t="str">
        <x:v>已结算</x:v>
      </x:c>
      <x:c r="K1360" s="65" t="str">
        <x:v>2-0</x:v>
      </x:c>
      <x:c r="L1360" s="65" t="str">
        <x:v>输</x:v>
      </x:c>
      <x:c r="M1360" s="65" t="str">
        <x:v>输</x:v>
      </x:c>
      <x:c r="N1360" s="67" t="n">
        <x:v>-1</x:v>
      </x:c>
      <x:c r="O1360" s="67" t="n">
        <x:v>-1</x:v>
      </x:c>
      <x:c r="P1360" s="67" t="n">
        <x:f>IF(COUNT(N1360:O1360)=0,"",SUM(N1360:O1360))</x:f>
        <x:v>-2</x:v>
      </x:c>
      <x:c r="Q1360" s="65"/>
      <x:c r="R1360" s="65" t="str">
        <x:v>FT 2-0；巴厘联 0 输；大2.75 输。</x:v>
      </x:c>
    </x:row>
    <x:row r="1361" ht="38" customHeight="1">
      <x:c r="A1361" s="65" t="str">
        <x:f>IF(B1361="","",TEXT(B1361,"yyyy-mm-dd")&amp;"|"&amp;D1361&amp;"|"&amp;E1361)</x:f>
        <x:v>2026-05-05|大田韩亚市民|仁川联</x:v>
      </x:c>
      <x:c r="B1361" s="66" t="n">
        <x:v>46147.645833333336</x:v>
      </x:c>
      <x:c r="C1361" s="65" t="str">
        <x:v>韩国K联赛1（K League 1）</x:v>
      </x:c>
      <x:c r="D1361" s="65" t="str">
        <x:v>大田韩亚市民</x:v>
      </x:c>
      <x:c r="E1361" s="65" t="str">
        <x:v>仁川联</x:v>
      </x:c>
      <x:c r="F1361" s="65" t="str">
        <x:v>仁川联 +0.25（参考水位约1.89）</x:v>
      </x:c>
      <x:c r="G1361" s="65" t="str">
        <x:v>大 2.5（参考水位约2.02）</x:v>
      </x:c>
      <x:c r="H1361" s="65" t="str">
        <x:v>主推让球：仁川联+0.25；大小球次选：大2.5；不加仓</x:v>
      </x:c>
      <x:c r="I1361" s="66" t="n">
        <x:v>46147.64902777778</x:v>
      </x:c>
      <x:c r="J1361" s="65" t="str">
        <x:v>已结算</x:v>
      </x:c>
      <x:c r="K1361" s="65" t="str">
        <x:v>0-0</x:v>
      </x:c>
      <x:c r="L1361" s="65" t="str">
        <x:v>赢半</x:v>
      </x:c>
      <x:c r="M1361" s="65" t="str">
        <x:v>输</x:v>
      </x:c>
      <x:c r="N1361" s="67" t="n">
        <x:v>0.5</x:v>
      </x:c>
      <x:c r="O1361" s="67" t="n">
        <x:v>-1</x:v>
      </x:c>
      <x:c r="P1361" s="67" t="n">
        <x:f>IF(COUNT(N1361:O1361)=0,"",SUM(N1361:O1361))</x:f>
        <x:v>-0.5</x:v>
      </x:c>
      <x:c r="Q1361" s="65"/>
      <x:c r="R1361" s="65" t="str">
        <x:v>FT 0-0；仁川联 +0.25 赢半；大2.5 输。</x:v>
      </x:c>
    </x:row>
    <x:row r="1362" ht="38" customHeight="1">
      <x:c r="A1362" s="65" t="str">
        <x:f>IF(B1362="","",TEXT(B1362,"yyyy-mm-dd")&amp;"|"&amp;D1362&amp;"|"&amp;E1362)</x:f>
        <x:v>2026-05-04|奥迪萨（Odisha FC）|班加罗尔（Bengaluru FC）</x:v>
      </x:c>
      <x:c r="B1362" s="66" t="n">
        <x:v>46146.916666666664</x:v>
      </x:c>
      <x:c r="C1362" s="65" t="str">
        <x:v>印度超级联赛（Indian Super League）</x:v>
      </x:c>
      <x:c r="D1362" s="65" t="str">
        <x:v>奥迪萨（Odisha FC）</x:v>
      </x:c>
      <x:c r="E1362" s="65" t="str">
        <x:v>班加罗尔（Bengaluru FC）</x:v>
      </x:c>
      <x:c r="F1362" s="65" t="str">
        <x:v>班加罗尔 -1（参考客水1.975，水位达标；赢1球走水，赢2球全赢）</x:v>
      </x:c>
      <x:c r="G1362" s="65" t="str">
        <x:v>小 2.5（参考小球1.95，水位达标）</x:v>
      </x:c>
      <x:c r="H1362" s="65" t="str">
        <x:v>可选：班加罗尔 -0.75 客水≥0.80稳健替代；比分倾向0-2/1-2；若临场退到-0.5且客水低于0.80则不追</x:v>
      </x:c>
      <x:c r="I1362" s="66" t="n">
        <x:v>46146.90219907407</x:v>
      </x:c>
      <x:c r="J1362" s="65" t="str">
        <x:v>已结算</x:v>
      </x:c>
      <x:c r="K1362" s="65" t="str">
        <x:v>1-1</x:v>
      </x:c>
      <x:c r="L1362" s="65" t="str">
        <x:v>输</x:v>
      </x:c>
      <x:c r="M1362" s="65" t="str">
        <x:v>赢</x:v>
      </x:c>
      <x:c r="N1362" s="67" t="n">
        <x:v>-1</x:v>
      </x:c>
      <x:c r="O1362" s="67" t="n">
        <x:v>1</x:v>
      </x:c>
      <x:c r="P1362" s="67" t="n">
        <x:f>IF(COUNT(N1362:O1362)=0,"",SUM(N1362:O1362))</x:f>
        <x:v>0</x:v>
      </x:c>
      <x:c r="Q1362" s="65"/>
      <x:c r="R1362" s="65" t="str">
        <x:v>FT 1-1；班加罗尔 -1 输；小2.5 赢。</x:v>
      </x:c>
    </x:row>
    <x:row r="1363" ht="38" customHeight="1">
      <x:c r="A1363" s="65" t="str">
        <x:f>IF(B1363="","",TEXT(B1363,"yyyy-mm-dd")&amp;"|"&amp;D1363&amp;"|"&amp;E1363)</x:f>
        <x:v>2026-05-04|杰帕拉（Persijap Jepara）|佩西加雅加达（Persija Jakarta）</x:v>
      </x:c>
      <x:c r="B1363" s="66" t="n">
        <x:v>46146.833333333336</x:v>
      </x:c>
      <x:c r="C1363" s="65" t="str">
        <x:v>印度尼西亚超级联赛（印尼超/Liga 1 Indonesia）</x:v>
      </x:c>
      <x:c r="D1363" s="65" t="str">
        <x:v>杰帕拉（Persijap Jepara）</x:v>
      </x:c>
      <x:c r="E1363" s="65" t="str">
        <x:v>佩西加雅加达（Persija Jakarta）</x:v>
      </x:c>
      <x:c r="F1363" s="65" t="str">
        <x:v>佩西加雅加达 -0.75（参考客水2.00/亚水约1.00，水位达标）</x:v>
      </x:c>
      <x:c r="G1363" s="65" t="str">
        <x:v>小 2.5（参考小球1.875/亚水约0.875，水位达标）</x:v>
      </x:c>
      <x:c r="H1363" s="65" t="str">
        <x:v>可选：佩西加雅加达 -0.5 客水≥0.80更稳；比分倾向0-1/0-2；若临场退到-0.5且客水低于0.80则不追</x:v>
      </x:c>
      <x:c r="I1363" s="66" t="n">
        <x:v>46146.81033564815</x:v>
      </x:c>
      <x:c r="J1363" s="65" t="str">
        <x:v>已结算</x:v>
      </x:c>
      <x:c r="K1363" s="65" t="str">
        <x:v>0-2</x:v>
      </x:c>
      <x:c r="L1363" s="65" t="str">
        <x:v>赢</x:v>
      </x:c>
      <x:c r="M1363" s="65" t="str">
        <x:v>赢</x:v>
      </x:c>
      <x:c r="N1363" s="67" t="n">
        <x:v>1</x:v>
      </x:c>
      <x:c r="O1363" s="67" t="n">
        <x:v>1</x:v>
      </x:c>
      <x:c r="P1363" s="67" t="n">
        <x:f>IF(COUNT(N1363:O1363)=0,"",SUM(N1363:O1363))</x:f>
        <x:v>2</x:v>
      </x:c>
      <x:c r="Q1363" s="65"/>
      <x:c r="R1363" s="65" t="str">
        <x:v>FT 0-2；佩西加雅加达 -0.75 赢；小2.5 赢。</x:v>
      </x:c>
    </x:row>
    <x:row r="1364" ht="38" customHeight="1">
      <x:c r="A1364" s="65" t="str">
        <x:f>IF(B1364="","",TEXT(B1364,"yyyy-mm-dd")&amp;"|"&amp;D1364&amp;"|"&amp;E1364)</x:f>
        <x:v>2026-05-04|PSM马卡萨（PSM Makassar）|巴杨卡拉泗水联（Bhayangkara FC）</x:v>
      </x:c>
      <x:c r="B1364" s="66" t="n">
        <x:v>46146.6875</x:v>
      </x:c>
      <x:c r="C1364" s="65" t="str">
        <x:v>印度尼西亚超级联赛（印尼超/Liga 1 Indonesia）</x:v>
      </x:c>
      <x:c r="D1364" s="65" t="str">
        <x:v>PSM马卡萨（PSM Makassar）</x:v>
      </x:c>
      <x:c r="E1364" s="65" t="str">
        <x:v>巴杨卡拉泗水联（Bhayangkara FC）</x:v>
      </x:c>
      <x:c r="F1364" s="65" t="str">
        <x:v>PSM马卡萨 -0.25（参考主水1.90左右，水位达标）</x:v>
      </x:c>
      <x:c r="G1364" s="65" t="str">
        <x:v>大 2.5（参考大球水1.875左右，水位达标）</x:v>
      </x:c>
      <x:c r="H1364" s="65" t="str">
        <x:v>可选：PSM马卡萨 -0.5 主水≥0.85小注；比分倾向2-1；若大球水位跌破0.80则放弃不追</x:v>
      </x:c>
      <x:c r="I1364" s="66" t="n">
        <x:v>46146.62199074074</x:v>
      </x:c>
      <x:c r="J1364" s="65" t="str">
        <x:v>已结算</x:v>
      </x:c>
      <x:c r="K1364" s="65" t="str">
        <x:v>2-1</x:v>
      </x:c>
      <x:c r="L1364" s="65" t="str">
        <x:v>赢</x:v>
      </x:c>
      <x:c r="M1364" s="65" t="str">
        <x:v>赢</x:v>
      </x:c>
      <x:c r="N1364" s="67" t="n">
        <x:v>1</x:v>
      </x:c>
      <x:c r="O1364" s="67" t="n">
        <x:v>1</x:v>
      </x:c>
      <x:c r="P1364" s="67" t="n">
        <x:f>IF(COUNT(N1364:O1364)=0,"",SUM(N1364:O1364))</x:f>
        <x:v>2</x:v>
      </x:c>
      <x:c r="Q1364" s="65"/>
      <x:c r="R1364" s="65" t="str">
        <x:v>FT 2-1；PSM马卡萨 -0.25 赢；大2.5 赢。</x:v>
      </x:c>
    </x:row>
    <x:row r="1365" ht="38" customHeight="1">
      <x:c r="A1365" s="65" t="str">
        <x:f>IF(B1365="","",TEXT(B1365,"yyyy-mm-dd")&amp;"|"&amp;D1365&amp;"|"&amp;E1365)</x:f>
        <x:v>2026-05-04|万隆（Persib Bandung）|永亚卡达（PSIM Yogyakarta）</x:v>
      </x:c>
      <x:c r="B1365" s="66" t="n">
        <x:v>46146.6875</x:v>
      </x:c>
      <x:c r="C1365" s="65" t="str">
        <x:v>印度尼西亚超级联赛（印尼超/Liga 1 Indonesia）</x:v>
      </x:c>
      <x:c r="D1365" s="65" t="str">
        <x:v>万隆（Persib Bandung）</x:v>
      </x:c>
      <x:c r="E1365" s="65" t="str">
        <x:v>永亚卡达（PSIM Yogyakarta）</x:v>
      </x:c>
      <x:c r="F1365" s="65" t="str">
        <x:v>万隆 -1.75（参考主水1.975/亚水约0.98）</x:v>
      </x:c>
      <x:c r="G1365" s="65" t="str">
        <x:v>小 2.75（参考水位1.975/亚水约0.98）</x:v>
      </x:c>
      <x:c r="H1365" s="65" t="str">
        <x:v>可选：万隆 -1.5 主水≥0.80可替代/加仓；比分倾向2-0；不追大球低水</x:v>
      </x:c>
      <x:c r="I1365" s="66" t="n">
        <x:v>46146.560532407406</x:v>
      </x:c>
      <x:c r="J1365" s="65" t="str">
        <x:v>已结算</x:v>
      </x:c>
      <x:c r="K1365" s="65" t="str">
        <x:v>1-0</x:v>
      </x:c>
      <x:c r="L1365" s="65" t="str">
        <x:v>输</x:v>
      </x:c>
      <x:c r="M1365" s="65" t="str">
        <x:v>赢</x:v>
      </x:c>
      <x:c r="N1365" s="67" t="n">
        <x:v>-1</x:v>
      </x:c>
      <x:c r="O1365" s="67" t="n">
        <x:v>1</x:v>
      </x:c>
      <x:c r="P1365" s="67" t="n">
        <x:f>IF(COUNT(N1365:O1365)=0,"",SUM(N1365:O1365))</x:f>
        <x:v>0</x:v>
      </x:c>
      <x:c r="Q1365" s="65"/>
      <x:c r="R1365" s="65" t="str">
        <x:v>FT 1-0；万隆 -1.75 输；小2.75 赢。</x:v>
      </x:c>
    </x:row>
    <x:row r="1366" ht="38" customHeight="1">
      <x:c r="A1366" s="65" t="str">
        <x:f>IF(B1366="","",TEXT(B1366,"yyyy-mm-dd")&amp;"|"&amp;D1366&amp;"|"&amp;E1366)</x:f>
        <x:v>2026-05-04|特帕迪特兰（Tepatitlán FC）|扎卡特卡斯矿工（Mineros de Zacatecas）</x:v>
      </x:c>
      <x:c r="B1366" s="66" t="n">
        <x:v>46146.37847222222</x:v>
      </x:c>
      <x:c r="C1366" s="65" t="str">
        <x:v>墨西哥甲级扩展联赛（Liga de Expansión MX）</x:v>
      </x:c>
      <x:c r="D1366" s="65" t="str">
        <x:v>特帕迪特兰（Tepatitlán FC）</x:v>
      </x:c>
      <x:c r="E1366" s="65" t="str">
        <x:v>扎卡特卡斯矿工（Mineros de Zacatecas）</x:v>
      </x:c>
      <x:c r="F1366" s="65" t="str">
        <x:v>扎卡特卡斯矿工 +0.5/1（+0.75），水位≥0.80才入；若只能+0.5需≥0.90</x:v>
      </x:c>
      <x:c r="G1366" s="65" t="str">
        <x:v>小2.5，水位≥0.85才入；若降到小2/2.5（小2.25）需≥0.95</x:v>
      </x:c>
      <x:c r="H1366" s="65" t="str">
        <x:v>让球优先，小球次选；不追特帕迪特兰-0.5低水。参考比分1-1/1-0/0-0</x:v>
      </x:c>
      <x:c r="I1366" s="66" t="n">
        <x:v>46146.373506944445</x:v>
      </x:c>
      <x:c r="J1366" s="65" t="str">
        <x:v>已结算</x:v>
      </x:c>
      <x:c r="K1366" s="65" t="str">
        <x:v>1-1</x:v>
      </x:c>
      <x:c r="L1366" s="65" t="str">
        <x:v>赢</x:v>
      </x:c>
      <x:c r="M1366" s="65" t="str">
        <x:v>赢</x:v>
      </x:c>
      <x:c r="N1366" s="67" t="n">
        <x:v>1</x:v>
      </x:c>
      <x:c r="O1366" s="67" t="n">
        <x:v>1</x:v>
      </x:c>
      <x:c r="P1366" s="67" t="n">
        <x:f>IF(COUNT(N1366:O1366)=0,"",SUM(N1366:O1366))</x:f>
        <x:v>2</x:v>
      </x:c>
      <x:c r="Q1366" s="65"/>
      <x:c r="R1366" s="65" t="str">
        <x:v>FT 1-1；扎卡特卡斯矿工 +0.75 赢；小2.5 赢。</x:v>
      </x:c>
    </x:row>
    <x:row r="1367" ht="38" customHeight="1">
      <x:c r="A1367" s="65" t="str">
        <x:f>IF(B1367="","",TEXT(B1367,"yyyy-mm-dd")&amp;"|"&amp;D1367&amp;"|"&amp;E1367)</x:f>
        <x:v>2026-05-04|河床（River Plate）|图库曼竞技（Atlético Tucumán）</x:v>
      </x:c>
      <x:c r="B1367" s="66" t="n">
        <x:v>46146.229166666664</x:v>
      </x:c>
      <x:c r="C1367" s="65" t="str">
        <x:v>阿根廷职业联赛（Liga Profesional·Apertura）</x:v>
      </x:c>
      <x:c r="D1367" s="65" t="str">
        <x:v>河床（River Plate）</x:v>
      </x:c>
      <x:c r="E1367" s="65" t="str">
        <x:v>图库曼竞技（Atlético Tucumán）</x:v>
      </x:c>
      <x:c r="F1367" s="65" t="str">
        <x:v>滚球河床 -0.5/1（-0.75），水位≥0.85才入；若只能-1需≥0.95，小于0.85不追</x:v>
      </x:c>
      <x:c r="G1367" s="65" t="str">
        <x:v>滚球小2/2.5（小2.25），水位≥0.90才入；若只有小2.5低水则放弃</x:v>
      </x:c>
      <x:c r="H1367" s="65" t="str">
        <x:v>让球优先，小球次选；不追河床-1低水。参考比分1-0/2-0/2-1</x:v>
      </x:c>
      <x:c r="I1367" s="66" t="n">
        <x:v>46146.36675925926</x:v>
      </x:c>
      <x:c r="J1367" s="65" t="str">
        <x:v>已结算</x:v>
      </x:c>
      <x:c r="K1367" s="65" t="str">
        <x:v>0-1</x:v>
      </x:c>
      <x:c r="L1367" s="65" t="str">
        <x:v>输</x:v>
      </x:c>
      <x:c r="M1367" s="65" t="str">
        <x:v>赢</x:v>
      </x:c>
      <x:c r="N1367" s="67" t="n">
        <x:v>-1</x:v>
      </x:c>
      <x:c r="O1367" s="67" t="n">
        <x:v>1</x:v>
      </x:c>
      <x:c r="P1367" s="67" t="n">
        <x:f>IF(COUNT(N1367:O1367)=0,"",SUM(N1367:O1367))</x:f>
        <x:v>0</x:v>
      </x:c>
      <x:c r="Q1367" s="65"/>
      <x:c r="R1367" s="65" t="str">
        <x:v>FT 0-1；滚球河床 -0.75 输；滚球小2.25 赢。</x:v>
      </x:c>
    </x:row>
    <x:row r="1368" ht="38" customHeight="1">
      <x:c r="A1368" s="65" t="str">
        <x:f>IF(B1368="","",TEXT(B1368,"yyyy-mm-dd")&amp;"|"&amp;D1368&amp;"|"&amp;E1368)</x:f>
        <x:v>2026-05-04|最强者（The Strongest）|巴洛比学院（ABB/Academia del Balompié Boliviano）</x:v>
      </x:c>
      <x:c r="B1368" s="66" t="n">
        <x:v>46146.21875</x:v>
      </x:c>
      <x:c r="C1368" s="65" t="str">
        <x:v>玻利维亚甲级联赛</x:v>
      </x:c>
      <x:c r="D1368" s="65" t="str">
        <x:v>最强者（The Strongest）</x:v>
      </x:c>
      <x:c r="E1368" s="65" t="str">
        <x:v>巴洛比学院（ABB/Academia del Balompié Boliviano）</x:v>
      </x:c>
      <x:c r="F1368" s="65" t="str">
        <x:v>滚球最强者 -1/1.5（-1.25），水位≥0.85才入；若只能-1.5需≥0.95</x:v>
      </x:c>
      <x:c r="G1368" s="65" t="str">
        <x:v>滚球大3/3.5（大3.25），水位≥0.88才入；若升回大3.75需≥1.00小注</x:v>
      </x:c>
      <x:c r="H1368" s="65" t="str">
        <x:v>让球优先，大球次选；不追最强者-1.5低水。参考比分3-0/3-1/4-1</x:v>
      </x:c>
      <x:c r="I1368" s="66" t="n">
        <x:v>46146.230891203704</x:v>
      </x:c>
      <x:c r="J1368" s="65" t="str">
        <x:v>已结算</x:v>
      </x:c>
      <x:c r="K1368" s="65" t="str">
        <x:v>3-1</x:v>
      </x:c>
      <x:c r="L1368" s="65" t="str">
        <x:v>赢</x:v>
      </x:c>
      <x:c r="M1368" s="65" t="str">
        <x:v>赢</x:v>
      </x:c>
      <x:c r="N1368" s="67" t="n">
        <x:v>1</x:v>
      </x:c>
      <x:c r="O1368" s="67" t="n">
        <x:v>1</x:v>
      </x:c>
      <x:c r="P1368" s="67" t="n">
        <x:f>IF(COUNT(N1368:O1368)=0,"",SUM(N1368:O1368))</x:f>
        <x:v>2</x:v>
      </x:c>
      <x:c r="Q1368" s="65"/>
      <x:c r="R1368" s="65" t="str">
        <x:v>FT 3-1；滚球最强者 -1.25 赢；滚球大3.25 赢。</x:v>
      </x:c>
    </x:row>
    <x:row r="1369" ht="38" customHeight="1">
      <x:c r="A1369" s="65" t="str">
        <x:f>IF(B1369="","",TEXT(B1369,"yyyy-mm-dd")&amp;"|"&amp;D1369&amp;"|"&amp;E1369)</x:f>
        <x:v>2026-05-04|圣塔菲独立（Independiente Santa Fe）|波哥大国际（Internacional de Bogotá）</x:v>
      </x:c>
      <x:c r="B1369" s="66" t="n">
        <x:v>46146.1875</x:v>
      </x:c>
      <x:c r="C1369" s="65" t="str">
        <x:v>哥伦比亚甲级联赛（Liga BetPlay DIMAYOR）</x:v>
      </x:c>
      <x:c r="D1369" s="65" t="str">
        <x:v>圣塔菲独立（Independiente Santa Fe）</x:v>
      </x:c>
      <x:c r="E1369" s="65" t="str">
        <x:v>波哥大国际（Internacional de Bogotá）</x:v>
      </x:c>
      <x:c r="F1369" s="65" t="str">
        <x:v>滚球圣塔菲独立 0盘，水位≥0.80才入；若只能-0/0.5（-0.25）需≥0.95，小于0.80不追</x:v>
      </x:c>
      <x:c r="G1369" s="65" t="str">
        <x:v>滚球小1.5/2（小1.75），水位≥0.85才入；若已压到小1.5需≥0.95，小1.25低水不碰</x:v>
      </x:c>
      <x:c r="H1369" s="65" t="str">
        <x:v>让球优先，小球次选；不追圣塔菲-0.5低水。参考比分1-0/0-0/1-1</x:v>
      </x:c>
      <x:c r="I1369" s="66" t="n">
        <x:v>46146.22862268519</x:v>
      </x:c>
      <x:c r="J1369" s="65" t="str">
        <x:v>已结算</x:v>
      </x:c>
      <x:c r="K1369" s="65" t="str">
        <x:v>3-1</x:v>
      </x:c>
      <x:c r="L1369" s="65" t="str">
        <x:v>赢</x:v>
      </x:c>
      <x:c r="M1369" s="65" t="str">
        <x:v>输</x:v>
      </x:c>
      <x:c r="N1369" s="67" t="n">
        <x:v>1</x:v>
      </x:c>
      <x:c r="O1369" s="67" t="n">
        <x:v>-1</x:v>
      </x:c>
      <x:c r="P1369" s="67" t="n">
        <x:f>IF(COUNT(N1369:O1369)=0,"",SUM(N1369:O1369))</x:f>
        <x:v>0</x:v>
      </x:c>
      <x:c r="Q1369" s="65"/>
      <x:c r="R1369" s="65" t="str">
        <x:v>FT 3-1；滚球圣塔菲独立 0 赢；滚球小1.75 输。</x:v>
      </x:c>
    </x:row>
    <x:row r="1370" ht="38" customHeight="1">
      <x:c r="A1370" s="65" t="str">
        <x:f>IF(B1370="","",TEXT(B1370,"yyyy-mm-dd")&amp;"|"&amp;D1370&amp;"|"&amp;E1370)</x:f>
        <x:v>2026-05-04|阿利安萨FC（Alianza FC Valledupar）|百万富翁（Millonarios FC）</x:v>
      </x:c>
      <x:c r="B1370" s="66" t="n">
        <x:v>46146.1875</x:v>
      </x:c>
      <x:c r="C1370" s="65" t="str">
        <x:v>哥伦比亚甲级联赛（Liga BetPlay DIMAYOR）</x:v>
      </x:c>
      <x:c r="D1370" s="65" t="str">
        <x:v>阿利安萨FC（Alianza FC Valledupar）</x:v>
      </x:c>
      <x:c r="E1370" s="65" t="str">
        <x:v>百万富翁（Millonarios FC）</x:v>
      </x:c>
      <x:c r="F1370" s="65" t="str">
        <x:v>滚球百万富翁 0盘，水位≥0.80才入；若只能-0/0.5（-0.25）需≥0.95小注</x:v>
      </x:c>
      <x:c r="G1370" s="65" t="str">
        <x:v>滚球小2/2.5（小2.25），水位≥0.82才入；若降到小2需≥0.90，小1.75低水不碰</x:v>
      </x:c>
      <x:c r="H1370" s="65" t="str">
        <x:v>让球优先；只做百万富翁平手保护，不追客让低水。参考比分0-1/0-2/1-1</x:v>
      </x:c>
      <x:c r="I1370" s="66" t="n">
        <x:v>46146.22388888889</x:v>
      </x:c>
      <x:c r="J1370" s="65" t="str">
        <x:v>已结算</x:v>
      </x:c>
      <x:c r="K1370" s="65" t="str">
        <x:v>2-2</x:v>
      </x:c>
      <x:c r="L1370" s="65" t="str">
        <x:v>走水</x:v>
      </x:c>
      <x:c r="M1370" s="65" t="str">
        <x:v>输</x:v>
      </x:c>
      <x:c r="N1370" s="67" t="n">
        <x:v>0</x:v>
      </x:c>
      <x:c r="O1370" s="67" t="n">
        <x:v>-1</x:v>
      </x:c>
      <x:c r="P1370" s="67" t="n">
        <x:f>IF(COUNT(N1370:O1370)=0,"",SUM(N1370:O1370))</x:f>
        <x:v>-1</x:v>
      </x:c>
      <x:c r="Q1370" s="65"/>
      <x:c r="R1370" s="65" t="str">
        <x:v>FT 2-2；滚球百万富翁 0 走水；滚球小2.25 输。</x:v>
      </x:c>
    </x:row>
    <x:row r="1371" ht="38" customHeight="1">
      <x:c r="A1371" s="65" t="str">
        <x:f>IF(B1371="","",TEXT(B1371,"yyyy-mm-dd")&amp;"|"&amp;D1371&amp;"|"&amp;E1371)</x:f>
        <x:v>2026-05-03|斯特拉斯堡（RC Strasbourg）|图卢兹（Toulouse FC）</x:v>
      </x:c>
      <x:c r="B1371" s="66" t="n">
        <x:v>46145.96875</x:v>
      </x:c>
      <x:c r="C1371" s="65" t="str">
        <x:v>法甲（Ligue 1）</x:v>
      </x:c>
      <x:c r="D1371" s="65" t="str">
        <x:v>斯特拉斯堡（RC Strasbourg）</x:v>
      </x:c>
      <x:c r="E1371" s="65" t="str">
        <x:v>图卢兹（Toulouse FC）</x:v>
      </x:c>
      <x:c r="F1371" s="65" t="str">
        <x:v>图卢兹 -0/0.5（-0.25），水位≥0.95才入；若退到0盘需≥0.80</x:v>
      </x:c>
      <x:c r="G1371" s="65" t="str">
        <x:v>小2.5，水位≥0.95才入；若变小2.75需≥0.85；不追大2.5低水</x:v>
      </x:c>
      <x:c r="H1371" s="65" t="str">
        <x:v>让球小注优先；大小球只做高水小球。参考比分0-1/1-1/0-2</x:v>
      </x:c>
      <x:c r="I1371" s="66" t="n">
        <x:v>46145.97738425926</x:v>
      </x:c>
      <x:c r="J1371" s="65" t="str">
        <x:v>已结算</x:v>
      </x:c>
      <x:c r="K1371" s="65" t="str">
        <x:v>1-2</x:v>
      </x:c>
      <x:c r="L1371" s="65" t="str">
        <x:v>赢</x:v>
      </x:c>
      <x:c r="M1371" s="65" t="str">
        <x:v>输</x:v>
      </x:c>
      <x:c r="N1371" s="67" t="n">
        <x:v>1</x:v>
      </x:c>
      <x:c r="O1371" s="67" t="n">
        <x:v>-1</x:v>
      </x:c>
      <x:c r="P1371" s="67" t="n">
        <x:f>IF(COUNT(N1371:O1371)=0,"",SUM(N1371:O1371))</x:f>
        <x:v>0</x:v>
      </x:c>
      <x:c r="Q1371" s="65"/>
      <x:c r="R1371" s="65" t="str">
        <x:v>FT 1-2；图卢兹 -0.25 赢；小2.5 输。</x:v>
      </x:c>
    </x:row>
    <x:row r="1372" ht="38" customHeight="1">
      <x:c r="A1372" s="65" t="str">
        <x:f>IF(B1372="","",TEXT(B1372,"yyyy-mm-dd")&amp;"|"&amp;D1372&amp;"|"&amp;E1372)</x:f>
        <x:v>2026-05-03|哥德堡盖斯（GAIS）|奥尔格里特（Örgryte IS）</x:v>
      </x:c>
      <x:c r="B1372" s="66" t="n">
        <x:v>46145.9375</x:v>
      </x:c>
      <x:c r="C1372" s="65" t="str">
        <x:v>瑞典超级联赛</x:v>
      </x:c>
      <x:c r="D1372" s="65" t="str">
        <x:v>哥德堡盖斯（GAIS）</x:v>
      </x:c>
      <x:c r="E1372" s="65" t="str">
        <x:v>奥尔格里特（Örgryte IS）</x:v>
      </x:c>
      <x:c r="F1372" s="65" t="str">
        <x:v>滚球奥尔格里特 +0.5/1（+0.75），水位≥0.90才入；若只剩+0.5需≥0.95，若+1但低于0.78不做</x:v>
      </x:c>
      <x:c r="G1372" s="65" t="str">
        <x:v>滚球小2/2.5（小2.25），水位≥0.85才入；若只剩小2.5低水则放弃</x:v>
      </x:c>
      <x:c r="H1372" s="65" t="str">
        <x:v>让球优先，小球次选；德比盘不追GAIS低水深让。参考比分0-0/1-0/1-1</x:v>
      </x:c>
      <x:c r="I1372" s="66" t="n">
        <x:v>46145.96146990741</x:v>
      </x:c>
      <x:c r="J1372" s="65" t="str">
        <x:v>已结算</x:v>
      </x:c>
      <x:c r="K1372" s="65" t="str">
        <x:v>4-0</x:v>
      </x:c>
      <x:c r="L1372" s="65" t="str">
        <x:v>输</x:v>
      </x:c>
      <x:c r="M1372" s="65" t="str">
        <x:v>输</x:v>
      </x:c>
      <x:c r="N1372" s="67" t="n">
        <x:v>-1</x:v>
      </x:c>
      <x:c r="O1372" s="67" t="n">
        <x:v>-1</x:v>
      </x:c>
      <x:c r="P1372" s="67" t="n">
        <x:f>IF(COUNT(N1372:O1372)=0,"",SUM(N1372:O1372))</x:f>
        <x:v>-2</x:v>
      </x:c>
      <x:c r="Q1372" s="65"/>
      <x:c r="R1372" s="65" t="str">
        <x:v>FT 4-0；滚球奥尔格里特 +0.75 输；滚球小2.25 输。</x:v>
      </x:c>
    </x:row>
    <x:row r="1373" ht="38" customHeight="1">
      <x:c r="A1373" s="65" t="str">
        <x:f>IF(B1373="","",TEXT(B1373,"yyyy-mm-dd")&amp;"|"&amp;D1373&amp;"|"&amp;E1373)</x:f>
        <x:v>2026-05-03|曼彻斯特联（Manchester United）|利物浦（Liverpool FC）</x:v>
      </x:c>
      <x:c r="B1373" s="66" t="n">
        <x:v>46145.9375</x:v>
      </x:c>
      <x:c r="C1373" s="65" t="str">
        <x:v>英格兰超级联赛（Premier League）</x:v>
      </x:c>
      <x:c r="D1373" s="65" t="str">
        <x:v>曼彻斯特联（Manchester United）</x:v>
      </x:c>
      <x:c r="E1373" s="65" t="str">
        <x:v>利物浦（Liverpool FC）</x:v>
      </x:c>
      <x:c r="F1373" s="65" t="str">
        <x:v>曼彻斯特联 -0/0.5（-0.25），水位≥0.82才入；若退到0盘需≥0.80，若升到-0.5需≥0.95小注</x:v>
      </x:c>
      <x:c r="G1373" s="65" t="str">
        <x:v>小3/3.5（小3.25），水位≥0.82才入；若只能小3.5且低于0.80则放弃</x:v>
      </x:c>
      <x:c r="H1373" s="65" t="str">
        <x:v>让球优先；小球只做3.25高水，不追小3.5低水。参考比分2-1/1-1/2-2</x:v>
      </x:c>
      <x:c r="I1373" s="66" t="n">
        <x:v>46145.910462962966</x:v>
      </x:c>
      <x:c r="J1373" s="65" t="str">
        <x:v>已结算</x:v>
      </x:c>
      <x:c r="K1373" s="65" t="str">
        <x:v>3-2</x:v>
      </x:c>
      <x:c r="L1373" s="65" t="str">
        <x:v>赢</x:v>
      </x:c>
      <x:c r="M1373" s="65" t="str">
        <x:v>输</x:v>
      </x:c>
      <x:c r="N1373" s="67" t="n">
        <x:v>1</x:v>
      </x:c>
      <x:c r="O1373" s="67" t="n">
        <x:v>-1</x:v>
      </x:c>
      <x:c r="P1373" s="67" t="n">
        <x:f>IF(COUNT(N1373:O1373)=0,"",SUM(N1373:O1373))</x:f>
        <x:v>0</x:v>
      </x:c>
      <x:c r="Q1373" s="65"/>
      <x:c r="R1373" s="65" t="str">
        <x:v>FT 3-2；曼彻斯特联 -0.25 赢；小3.25 输。</x:v>
      </x:c>
    </x:row>
    <x:row r="1374" ht="38" customHeight="1">
      <x:c r="A1374" s="65" t="str">
        <x:f>IF(B1374="","",TEXT(B1374,"yyyy-mm-dd")&amp;"|"&amp;D1374&amp;"|"&amp;E1374)</x:f>
        <x:v>2026-05-03|伯恩茅斯（AFC Bournemouth）|水晶宫（Crystal Palace）</x:v>
      </x:c>
      <x:c r="B1374" s="66" t="n">
        <x:v>46145.875</x:v>
      </x:c>
      <x:c r="C1374" s="65" t="str">
        <x:v>英格兰超级联赛（Premier League）</x:v>
      </x:c>
      <x:c r="D1374" s="65" t="str">
        <x:v>伯恩茅斯（AFC Bournemouth）</x:v>
      </x:c>
      <x:c r="E1374" s="65" t="str">
        <x:v>水晶宫（Crystal Palace）</x:v>
      </x:c>
      <x:c r="F1374" s="65" t="str">
        <x:v>滚球伯恩茅斯 -0.5，水位≥0.85才入；若只能-0.75需≥0.90，小于0.80不追</x:v>
      </x:c>
      <x:c r="G1374" s="65" t="str">
        <x:v>滚球大2.5，水位≥0.82才入；若升到2.75需≥0.95小注</x:v>
      </x:c>
      <x:c r="H1374" s="65" t="str">
        <x:v>让球优先，大球次选；不追伯恩茅斯-0.75低水。参考比分2-1/3-1/2-2</x:v>
      </x:c>
      <x:c r="I1374" s="66" t="n">
        <x:v>46145.88581018519</x:v>
      </x:c>
      <x:c r="J1374" s="65" t="str">
        <x:v>已结算</x:v>
      </x:c>
      <x:c r="K1374" s="65" t="str">
        <x:v>3-0</x:v>
      </x:c>
      <x:c r="L1374" s="65" t="str">
        <x:v>赢</x:v>
      </x:c>
      <x:c r="M1374" s="65" t="str">
        <x:v>赢</x:v>
      </x:c>
      <x:c r="N1374" s="67" t="n">
        <x:v>1</x:v>
      </x:c>
      <x:c r="O1374" s="67" t="n">
        <x:v>1</x:v>
      </x:c>
      <x:c r="P1374" s="67" t="n">
        <x:f>IF(COUNT(N1374:O1374)=0,"",SUM(N1374:O1374))</x:f>
        <x:v>2</x:v>
      </x:c>
      <x:c r="Q1374" s="65" t="str">
        <x:v>https://www.espn.com/soccer/match/_/gameId/740938/crystal-palace-afc-bournemouth | https://www.reuters.com/sports/soccer/bournemouth-close-european-spot-with-3-0-win-over-palace-2026-05-03/ | 查询时间：2026-07-15 23:40（北京时间）</x:v>
      </x:c>
      <x:c r="R1374" s="65" t="str">
        <x:v>历史积压状态修正：90分钟3-0；伯恩茅斯-0.5与大2.5均打出。</x:v>
      </x:c>
    </x:row>
    <x:row r="1375" ht="38" customHeight="1">
      <x:c r="A1375" s="65" t="str">
        <x:f>IF(B1375="","",TEXT(B1375,"yyyy-mm-dd")&amp;"|"&amp;D1375&amp;"|"&amp;E1375)</x:f>
        <x:v>2026-05-03|萨索洛（US Sassuolo Calcio）|AC米兰（AC Milan）</x:v>
      </x:c>
      <x:c r="B1375" s="66" t="n">
        <x:v>46145.875</x:v>
      </x:c>
      <x:c r="C1375" s="65" t="str">
        <x:v>意大利甲级联赛（Serie A）</x:v>
      </x:c>
      <x:c r="D1375" s="65" t="str">
        <x:v>萨索洛（US Sassuolo Calcio）</x:v>
      </x:c>
      <x:c r="E1375" s="65" t="str">
        <x:v>AC米兰（AC Milan）</x:v>
      </x:c>
      <x:c r="F1375" s="65" t="str">
        <x:v>AC米兰 -0.5/1（-0.75），水位≥0.85才入；若升到-1需≥0.95小注</x:v>
      </x:c>
      <x:c r="G1375" s="65" t="str">
        <x:v>大2.5/3（大2.75），水位≥0.85才入；若只能做大2.5低水则放弃</x:v>
      </x:c>
      <x:c r="H1375" s="65" t="str">
        <x:v>让球优先；大小球小注，不追米兰-1低水。参考比分0-2/1-2/1-3</x:v>
      </x:c>
      <x:c r="I1375" s="66" t="n">
        <x:v>46145.87965277778</x:v>
      </x:c>
      <x:c r="J1375" s="65" t="str">
        <x:v>已结算</x:v>
      </x:c>
      <x:c r="K1375" s="65" t="str">
        <x:v>2-0</x:v>
      </x:c>
      <x:c r="L1375" s="65" t="str">
        <x:v>输</x:v>
      </x:c>
      <x:c r="M1375" s="65" t="str">
        <x:v>输</x:v>
      </x:c>
      <x:c r="N1375" s="67" t="n">
        <x:v>-1</x:v>
      </x:c>
      <x:c r="O1375" s="67" t="n">
        <x:v>-1</x:v>
      </x:c>
      <x:c r="P1375" s="67" t="n">
        <x:f>IF(COUNT(N1375:O1375)=0,"",SUM(N1375:O1375))</x:f>
        <x:v>-2</x:v>
      </x:c>
      <x:c r="Q1375" s="65"/>
      <x:c r="R1375" s="65" t="str">
        <x:v>FT 2-0；AC米兰 -0.75 输；大2.75 输。</x:v>
      </x:c>
    </x:row>
    <x:row r="1376" ht="38" customHeight="1">
      <x:c r="A1376" s="65" t="str">
        <x:f>IF(B1376="","",TEXT(B1376,"yyyy-mm-dd")&amp;"|"&amp;D1376&amp;"|"&amp;E1376)</x:f>
        <x:v>2026-05-03|德瓦联（Dewa United FC）|赛曼巴东（Semen Padang）</x:v>
      </x:c>
      <x:c r="B1376" s="66" t="n">
        <x:v>46145.833333333336</x:v>
      </x:c>
      <x:c r="C1376" s="65" t="str">
        <x:v>印度尼西亚超级联赛（印尼超/Liga 1 Indonesia）</x:v>
      </x:c>
      <x:c r="D1376" s="65" t="str">
        <x:v>德瓦联（Dewa United FC）</x:v>
      </x:c>
      <x:c r="E1376" s="65" t="str">
        <x:v>赛曼巴东（Semen Padang）</x:v>
      </x:c>
      <x:c r="F1376" s="65" t="str">
        <x:v>滚球德瓦联 -1/1.5（-1.25），水位≥0.85才入；若升到-1.5需≥0.95</x:v>
      </x:c>
      <x:c r="G1376" s="65" t="str">
        <x:v>滚球小3.5/4（小3.75），水位≥0.82才入；低水不追</x:v>
      </x:c>
      <x:c r="H1376" s="65" t="str">
        <x:v>让球优先；不碰德瓦独赢低赔，也不碰赛曼巴东受让低水。参考比分2-0/3-0</x:v>
      </x:c>
      <x:c r="I1376" s="66" t="n">
        <x:v>46145.866064814814</x:v>
      </x:c>
      <x:c r="J1376" s="65" t="str">
        <x:v>已结算</x:v>
      </x:c>
      <x:c r="K1376" s="65" t="str">
        <x:v>1-0</x:v>
      </x:c>
      <x:c r="L1376" s="65" t="str">
        <x:v>输半</x:v>
      </x:c>
      <x:c r="M1376" s="65" t="str">
        <x:v>赢</x:v>
      </x:c>
      <x:c r="N1376" s="67" t="n">
        <x:v>-0.5</x:v>
      </x:c>
      <x:c r="O1376" s="67" t="n">
        <x:v>1</x:v>
      </x:c>
      <x:c r="P1376" s="67" t="n">
        <x:f>IF(COUNT(N1376:O1376)=0,"",SUM(N1376:O1376))</x:f>
        <x:v>0.5</x:v>
      </x:c>
      <x:c r="Q1376" s="65" t="str">
        <x:v>https://www.espn.com/soccer/match/_/gameId/753447/semen-padang-dewa-united | https://www.365scores.com/football/match/liga-1-5431/dewa-united-semen-padang-10398-70869-5431 | 查询时间：2026-07-15 23:40（北京时间）</x:v>
      </x:c>
      <x:c r="R1376" s="65" t="str">
        <x:v>历史积压状态修正：90分钟1-0；德瓦联-1.25输半，小3.75打出。</x:v>
      </x:c>
    </x:row>
    <x:row r="1377" ht="38" customHeight="1">
      <x:c r="A1377" s="65" t="str">
        <x:f>IF(B1377="","",TEXT(B1377,"yyyy-mm-dd")&amp;"|"&amp;D1377&amp;"|"&amp;E1377)</x:f>
        <x:v>2026-05-03|卡尔斯鲁厄（Karlsruher SC）|达姆施塔特98（SV Darmstadt 98）</x:v>
      </x:c>
      <x:c r="B1377" s="66" t="n">
        <x:v>46145.8125</x:v>
      </x:c>
      <x:c r="C1377" s="65" t="str">
        <x:v>德国乙级联赛（2. Bundesliga）</x:v>
      </x:c>
      <x:c r="D1377" s="65" t="str">
        <x:v>卡尔斯鲁厄（Karlsruher SC）</x:v>
      </x:c>
      <x:c r="E1377" s="65" t="str">
        <x:v>达姆施塔特98（SV Darmstadt 98）</x:v>
      </x:c>
      <x:c r="F1377" s="65" t="str">
        <x:v>卡尔斯鲁厄 +0/0.5（+0.25），水位≥0.82才入；若滚球只剩0盘需≥0.80</x:v>
      </x:c>
      <x:c r="G1377" s="65" t="str">
        <x:v>滚球大1/1.5（大1.25），水位≥0.85才入；若大1.5需≥1.00小注；不追小2.5低水</x:v>
      </x:c>
      <x:c r="H1377" s="65" t="str">
        <x:v>让球优先；半场0-0背景下只做二阶段高水大球，不做低水小球。参考比分1-1/2-1/1-2</x:v>
      </x:c>
      <x:c r="I1377" s="66" t="n">
        <x:v>46145.86087962963</x:v>
      </x:c>
      <x:c r="J1377" s="65" t="str">
        <x:v>已结算</x:v>
      </x:c>
      <x:c r="K1377" s="65" t="str">
        <x:v>2-1</x:v>
      </x:c>
      <x:c r="L1377" s="65" t="str">
        <x:v>赢</x:v>
      </x:c>
      <x:c r="M1377" s="65" t="str">
        <x:v>赢</x:v>
      </x:c>
      <x:c r="N1377" s="67" t="n">
        <x:v>1</x:v>
      </x:c>
      <x:c r="O1377" s="67" t="n">
        <x:v>1</x:v>
      </x:c>
      <x:c r="P1377" s="67" t="n">
        <x:f>IF(COUNT(N1377:O1377)=0,"",SUM(N1377:O1377))</x:f>
        <x:v>2</x:v>
      </x:c>
      <x:c r="Q1377" s="65"/>
      <x:c r="R1377" s="65" t="str">
        <x:v>FT 2-1；卡尔斯鲁厄 +0.25 赢；滚球大1.25 赢。</x:v>
      </x:c>
    </x:row>
    <x:row r="1378" ht="38" customHeight="1">
      <x:c r="A1378" s="65" t="str">
        <x:f>IF(B1378="","",TEXT(B1378,"yyyy-mm-dd")&amp;"|"&amp;D1378&amp;"|"&amp;E1378)</x:f>
        <x:v>2026-05-03|菲尔特（SpVgg Greuther Fürth）|纽伦堡（1. FC Nürnberg）</x:v>
      </x:c>
      <x:c r="B1378" s="66" t="n">
        <x:v>46145.8125</x:v>
      </x:c>
      <x:c r="C1378" s="65" t="str">
        <x:v>德国乙级联赛（2. Bundesliga）</x:v>
      </x:c>
      <x:c r="D1378" s="65" t="str">
        <x:v>菲尔特（SpVgg Greuther Fürth）</x:v>
      </x:c>
      <x:c r="E1378" s="65" t="str">
        <x:v>纽伦堡（1. FC Nürnberg）</x:v>
      </x:c>
      <x:c r="F1378" s="65" t="str">
        <x:v>菲尔特 +0/0.5（+0.25），水位≥0.80才入；若仍低于0.75附近则放弃</x:v>
      </x:c>
      <x:c r="G1378" s="65" t="str">
        <x:v>小2.5，水位≥1.05才入；低于1.05放弃</x:v>
      </x:c>
      <x:c r="H1378" s="65" t="str">
        <x:v>小2.5优先；让球只做回升水，不追菲尔特低水。参考比分1-1/1-0/0-1</x:v>
      </x:c>
      <x:c r="I1378" s="66" t="n">
        <x:v>46145.86025462963</x:v>
      </x:c>
      <x:c r="J1378" s="65" t="str">
        <x:v>已结算</x:v>
      </x:c>
      <x:c r="K1378" s="65" t="str">
        <x:v>1-1</x:v>
      </x:c>
      <x:c r="L1378" s="65" t="str">
        <x:v>赢半</x:v>
      </x:c>
      <x:c r="M1378" s="65" t="str">
        <x:v>赢</x:v>
      </x:c>
      <x:c r="N1378" s="67" t="n">
        <x:v>0.5</x:v>
      </x:c>
      <x:c r="O1378" s="67" t="n">
        <x:v>1</x:v>
      </x:c>
      <x:c r="P1378" s="67" t="n">
        <x:f>IF(COUNT(N1378:O1378)=0,"",SUM(N1378:O1378))</x:f>
        <x:v>1.5</x:v>
      </x:c>
      <x:c r="Q1378" s="65"/>
      <x:c r="R1378" s="65" t="str">
        <x:v>FT 1-1；菲尔特 +0.25 赢半；小2.5 赢。</x:v>
      </x:c>
    </x:row>
    <x:row r="1379" ht="38" customHeight="1">
      <x:c r="A1379" s="65" t="str">
        <x:f>IF(B1379="","",TEXT(B1379,"yyyy-mm-dd")&amp;"|"&amp;D1379&amp;"|"&amp;E1379)</x:f>
        <x:v>2026-05-03|艾禾斯堡（SV 07 Elversberg）|帕德博恩07（SC Paderborn 07）</x:v>
      </x:c>
      <x:c r="B1379" s="66" t="n">
        <x:v>46145.8125</x:v>
      </x:c>
      <x:c r="C1379" s="65" t="str">
        <x:v>德国乙级联赛（2. Bundesliga）</x:v>
      </x:c>
      <x:c r="D1379" s="65" t="str">
        <x:v>艾禾斯堡（SV 07 Elversberg）</x:v>
      </x:c>
      <x:c r="E1379" s="65" t="str">
        <x:v>帕德博恩07（SC Paderborn 07）</x:v>
      </x:c>
      <x:c r="F1379" s="65" t="str">
        <x:v>帕德博恩07 +0/0.5（+0.25），水位≥0.85才入；若升到+0.5且≥0.80可加</x:v>
      </x:c>
      <x:c r="G1379" s="65" t="str">
        <x:v>大3，水位≥0.82才入；若只能做大2.5低水则放弃，若大2.75需≥0.85</x:v>
      </x:c>
      <x:c r="H1379" s="65" t="str">
        <x:v>让球优先，大球走3球盘更稳；不追低水大2.5。参考比分1-2/2-2/2-1</x:v>
      </x:c>
      <x:c r="I1379" s="66" t="n">
        <x:v>46145.80170138889</x:v>
      </x:c>
      <x:c r="J1379" s="65" t="str">
        <x:v>已结算</x:v>
      </x:c>
      <x:c r="K1379" s="65" t="str">
        <x:v>5-1</x:v>
      </x:c>
      <x:c r="L1379" s="65" t="str">
        <x:v>输</x:v>
      </x:c>
      <x:c r="M1379" s="65" t="str">
        <x:v>赢</x:v>
      </x:c>
      <x:c r="N1379" s="67" t="n">
        <x:v>-1</x:v>
      </x:c>
      <x:c r="O1379" s="67" t="n">
        <x:v>1</x:v>
      </x:c>
      <x:c r="P1379" s="67" t="n">
        <x:f>IF(COUNT(N1379:O1379)=0,"",SUM(N1379:O1379))</x:f>
        <x:v>0</x:v>
      </x:c>
      <x:c r="Q1379" s="65"/>
      <x:c r="R1379" s="65" t="str">
        <x:v>FT 5-1；帕德博恩07 +0.25 输；大3.0 赢。</x:v>
      </x:c>
    </x:row>
    <x:row r="1380" ht="38" customHeight="1">
      <x:c r="A1380" s="65" t="str">
        <x:f>IF(B1380="","",TEXT(B1380,"yyyy-mm-dd")&amp;"|"&amp;D1380&amp;"|"&amp;E1380)</x:f>
        <x:v>2026-05-03|博洛尼亚（Bologna FC 1909）|卡利亚里（Cagliari Calcio）</x:v>
      </x:c>
      <x:c r="B1380" s="66" t="n">
        <x:v>46145.770833333336</x:v>
      </x:c>
      <x:c r="C1380" s="65" t="str">
        <x:v>意大利甲级联赛（Serie A）</x:v>
      </x:c>
      <x:c r="D1380" s="65" t="str">
        <x:v>博洛尼亚（Bologna FC 1909）</x:v>
      </x:c>
      <x:c r="E1380" s="65" t="str">
        <x:v>卡利亚里（Cagliari Calcio）</x:v>
      </x:c>
      <x:c r="F1380" s="65" t="str">
        <x:v>卡利亚里 +0.5，水位≥0.82才入；若退到+0.25需≥0.95</x:v>
      </x:c>
      <x:c r="G1380" s="65" t="str">
        <x:v>大2/2.5（大2.25），水位≥0.88才入；若升到2.5需≥1.00小注</x:v>
      </x:c>
      <x:c r="H1380" s="65" t="str">
        <x:v>卡利亚里受让优先；大小球小注。参考比分1-1/1-2/2-2</x:v>
      </x:c>
      <x:c r="I1380" s="66" t="n">
        <x:v>46145.71548611111</x:v>
      </x:c>
      <x:c r="J1380" s="65" t="str">
        <x:v>已结算</x:v>
      </x:c>
      <x:c r="K1380" s="65" t="str">
        <x:v>0-0</x:v>
      </x:c>
      <x:c r="L1380" s="65" t="str">
        <x:v>赢</x:v>
      </x:c>
      <x:c r="M1380" s="65" t="str">
        <x:v>输</x:v>
      </x:c>
      <x:c r="N1380" s="67" t="n">
        <x:v>1</x:v>
      </x:c>
      <x:c r="O1380" s="67" t="n">
        <x:v>-1</x:v>
      </x:c>
      <x:c r="P1380" s="67" t="n">
        <x:f>IF(COUNT(N1380:O1380)=0,"",SUM(N1380:O1380))</x:f>
        <x:v>0</x:v>
      </x:c>
      <x:c r="Q1380" s="65"/>
      <x:c r="R1380" s="65" t="str">
        <x:v>FT 0-0；卡利亚里 +0.5 赢；大2.25 输。</x:v>
      </x:c>
    </x:row>
    <x:row r="1381" ht="38" customHeight="1">
      <x:c r="A1381" s="65" t="str">
        <x:f>IF(B1381="","",TEXT(B1381,"yyyy-mm-dd")&amp;"|"&amp;D1381&amp;"|"&amp;E1381)</x:f>
        <x:v>2026-05-03|佩斯克谏义里（Persik Kediri）|阿雷马FC（Arema FC）</x:v>
      </x:c>
      <x:c r="B1381" s="66" t="n">
        <x:v>46145.6875</x:v>
      </x:c>
      <x:c r="C1381" s="65" t="str">
        <x:v>印度尼西亚超级联赛（印尼超/Liga 1 Indonesia）</x:v>
      </x:c>
      <x:c r="D1381" s="65" t="str">
        <x:v>佩斯克谏义里（Persik Kediri）</x:v>
      </x:c>
      <x:c r="E1381" s="65" t="str">
        <x:v>阿雷马FC（Arema FC）</x:v>
      </x:c>
      <x:c r="F1381" s="65" t="str">
        <x:v>阿雷马FC +0/0.5（+0.25），水位≥0.82才入；若+0.5且≥0.80可加</x:v>
      </x:c>
      <x:c r="G1381" s="65" t="str">
        <x:v>小2.5，水位≥0.90才入；低于0.90放弃</x:v>
      </x:c>
      <x:c r="H1381" s="65" t="str">
        <x:v>让球优先，小球次选且只做高水；不追佩斯克主让。参考比分1-1/0-1/1-2</x:v>
      </x:c>
      <x:c r="I1381" s="66" t="n">
        <x:v>46145.658900462964</x:v>
      </x:c>
      <x:c r="J1381" s="65" t="str">
        <x:v>已结算</x:v>
      </x:c>
      <x:c r="K1381" s="65" t="str">
        <x:v>3-2</x:v>
      </x:c>
      <x:c r="L1381" s="65" t="str">
        <x:v>输</x:v>
      </x:c>
      <x:c r="M1381" s="65" t="str">
        <x:v>输</x:v>
      </x:c>
      <x:c r="N1381" s="67" t="n">
        <x:v>-1</x:v>
      </x:c>
      <x:c r="O1381" s="67" t="n">
        <x:v>-1</x:v>
      </x:c>
      <x:c r="P1381" s="67" t="n">
        <x:f>IF(COUNT(N1381:O1381)=0,"",SUM(N1381:O1381))</x:f>
        <x:v>-2</x:v>
      </x:c>
      <x:c r="Q1381" s="65"/>
      <x:c r="R1381" s="65" t="str">
        <x:v>FT 3-2；阿雷马FC +0.25 输；小2.5 输。</x:v>
      </x:c>
    </x:row>
    <x:row r="1382" ht="38" customHeight="1">
      <x:c r="A1382" s="65" t="str">
        <x:f>IF(B1382="","",TEXT(B1382,"yyyy-mm-dd")&amp;"|"&amp;D1382&amp;"|"&amp;E1382)</x:f>
        <x:v>2026-05-03|长崎成功丸（V-Varen Nagasaki）|名古屋鲸鱼（Nagoya Grampus）</x:v>
      </x:c>
      <x:c r="B1382" s="66" t="n">
        <x:v>46145.666666666664</x:v>
      </x:c>
      <x:c r="C1382" s="65" t="str">
        <x:v>日职 明治安田J2·J3百年构想联赛</x:v>
      </x:c>
      <x:c r="D1382" s="65" t="str">
        <x:v>长崎成功丸（V-Varen Nagasaki）</x:v>
      </x:c>
      <x:c r="E1382" s="65" t="str">
        <x:v>名古屋鲸鱼（Nagoya Grampus）</x:v>
      </x:c>
      <x:c r="F1382" s="65" t="str">
        <x:v>长崎成功丸 +0/0.5（+0.25），水位≥0.90才入</x:v>
      </x:c>
      <x:c r="G1382" s="65" t="str">
        <x:v>小2.5，水位≥0.88才入；低于0.88放弃</x:v>
      </x:c>
      <x:c r="H1382" s="65" t="str">
        <x:v>让球优先，小球次选；不追名古屋-0.25低水。参考比分1-1/1-0/2-1</x:v>
      </x:c>
      <x:c r="I1382" s="66" t="n">
        <x:v>46145.65530092592</x:v>
      </x:c>
      <x:c r="J1382" s="65" t="str">
        <x:v>已结算</x:v>
      </x:c>
      <x:c r="K1382" s="65" t="str">
        <x:v>1-2</x:v>
      </x:c>
      <x:c r="L1382" s="65" t="str">
        <x:v>输</x:v>
      </x:c>
      <x:c r="M1382" s="65" t="str">
        <x:v>输</x:v>
      </x:c>
      <x:c r="N1382" s="67" t="n">
        <x:v>-1</x:v>
      </x:c>
      <x:c r="O1382" s="67" t="n">
        <x:v>-1</x:v>
      </x:c>
      <x:c r="P1382" s="67" t="n">
        <x:f>IF(COUNT(N1382:O1382)=0,"",SUM(N1382:O1382))</x:f>
        <x:v>-2</x:v>
      </x:c>
      <x:c r="Q1382" s="65"/>
      <x:c r="R1382" s="65" t="str">
        <x:v>FT 1-2；长崎成功丸 +0.25 输；小2.5 输。</x:v>
      </x:c>
    </x:row>
    <x:row r="1383" ht="38" customHeight="1">
      <x:c r="A1383" s="65" t="str">
        <x:f>IF(B1383="","",TEXT(B1383,"yyyy-mm-dd")&amp;"|"&amp;D1383&amp;"|"&amp;E1383)</x:f>
        <x:v>2026-05-03|东京绿茵（Tokyo Verdy）|柏太阳神（Kashiwa Reysol）</x:v>
      </x:c>
      <x:c r="B1383" s="66" t="n">
        <x:v>46145.541666666664</x:v>
      </x:c>
      <x:c r="C1383" s="65" t="str">
        <x:v>日职联（J1 League）</x:v>
      </x:c>
      <x:c r="D1383" s="65" t="str">
        <x:v>东京绿茵（Tokyo Verdy）</x:v>
      </x:c>
      <x:c r="E1383" s="65" t="str">
        <x:v>柏太阳神（Kashiwa Reysol）</x:v>
      </x:c>
      <x:c r="F1383" s="65" t="str">
        <x:v>东京绿茵 +0/0.5（+0.25），水位≥0.90才入；若只剩+0.5需≥0.82</x:v>
      </x:c>
      <x:c r="G1383" s="65" t="str">
        <x:v>小2/2.5（小2.25），水位≥0.85；小2.5低水不入</x:v>
      </x:c>
      <x:c r="H1383" s="65" t="str">
        <x:v>让球优先；小球只做高水，不追小2.5低水。参考比分1-1/1-0/2-1</x:v>
      </x:c>
      <x:c r="I1383" s="66" t="n">
        <x:v>46145.54752314815</x:v>
      </x:c>
      <x:c r="J1383" s="65" t="str">
        <x:v>已结算</x:v>
      </x:c>
      <x:c r="K1383" s="65" t="str">
        <x:v>1-0</x:v>
      </x:c>
      <x:c r="L1383" s="65" t="str">
        <x:v>赢</x:v>
      </x:c>
      <x:c r="M1383" s="65" t="str">
        <x:v>赢</x:v>
      </x:c>
      <x:c r="N1383" s="67" t="n">
        <x:v>1</x:v>
      </x:c>
      <x:c r="O1383" s="67" t="n">
        <x:v>1</x:v>
      </x:c>
      <x:c r="P1383" s="67" t="n">
        <x:f>IF(COUNT(N1383:O1383)=0,"",SUM(N1383:O1383))</x:f>
        <x:v>2</x:v>
      </x:c>
      <x:c r="Q1383" s="65"/>
      <x:c r="R1383" s="65" t="str">
        <x:v>FT 1-0；东京绿茵 +0.25 赢；小2.25 赢。</x:v>
      </x:c>
    </x:row>
    <x:row r="1384" ht="38" customHeight="1">
      <x:c r="A1384" s="65" t="str">
        <x:f>IF(B1384="","",TEXT(B1384,"yyyy-mm-dd")&amp;"|"&amp;D1384&amp;"|"&amp;E1384)</x:f>
        <x:v>2026-05-03|南部海岸狼队（Wollongong Wolves）|洛克达尔伊林登（Rockdale Ilinden）</x:v>
      </x:c>
      <x:c r="B1384" s="66" t="n">
        <x:v>46145.541666666664</x:v>
      </x:c>
      <x:c r="C1384" s="65" t="str">
        <x:v>澳大利亚 维多利亚州超级联赛1（VPL1）</x:v>
      </x:c>
      <x:c r="D1384" s="65" t="str">
        <x:v>南部海岸狼队（Wollongong Wolves）</x:v>
      </x:c>
      <x:c r="E1384" s="65" t="str">
        <x:v>洛克达尔伊林登（Rockdale Ilinden）</x:v>
      </x:c>
      <x:c r="F1384" s="65" t="str">
        <x:v>南部海岸狼队 +0/0.5（+0.25），水位≥0.85才入</x:v>
      </x:c>
      <x:c r="G1384" s="65" t="str">
        <x:v>小3.5，水位≥0.82才入；若降到3.25需≥0.90</x:v>
      </x:c>
      <x:c r="H1384" s="65" t="str">
        <x:v>小3.5优先；让球小注，不追低水。参考比分1-1/2-1/1-2</x:v>
      </x:c>
      <x:c r="I1384" s="66" t="n">
        <x:v>46145.506886574076</x:v>
      </x:c>
      <x:c r="J1384" s="65" t="str">
        <x:v>已结算</x:v>
      </x:c>
      <x:c r="K1384" s="65" t="str">
        <x:v>2-2</x:v>
      </x:c>
      <x:c r="L1384" s="65" t="str">
        <x:v>赢半</x:v>
      </x:c>
      <x:c r="M1384" s="65" t="str">
        <x:v>输</x:v>
      </x:c>
      <x:c r="N1384" s="67" t="n">
        <x:v>0.5</x:v>
      </x:c>
      <x:c r="O1384" s="67" t="n">
        <x:v>-1</x:v>
      </x:c>
      <x:c r="P1384" s="67" t="n">
        <x:f>IF(COUNT(N1384:O1384)=0,"",SUM(N1384:O1384))</x:f>
        <x:v>-0.5</x:v>
      </x:c>
      <x:c r="Q1384" s="65"/>
      <x:c r="R1384" s="65" t="str">
        <x:v>FT 2-2；南部海岸狼队 +0.25 赢半；小3.5 输。</x:v>
      </x:c>
    </x:row>
    <x:row r="1385" ht="38" customHeight="1">
      <x:c r="A1385" s="65" t="str">
        <x:f>IF(B1385="","",TEXT(B1385,"yyyy-mm-dd")&amp;"|"&amp;D1385&amp;"|"&amp;E1385)</x:f>
        <x:v>2026-05-03|松本山雅FC（Matsumoto Yamaga）|甲府风林（Ventforet Kofu）</x:v>
      </x:c>
      <x:c r="B1385" s="66" t="n">
        <x:v>46145.5</x:v>
      </x:c>
      <x:c r="C1385" s="65" t="str">
        <x:v>日职 明治安田J2·J3百年构想联赛</x:v>
      </x:c>
      <x:c r="D1385" s="65" t="str">
        <x:v>松本山雅FC（Matsumoto Yamaga）</x:v>
      </x:c>
      <x:c r="E1385" s="65" t="str">
        <x:v>甲府风林（Ventforet Kofu）</x:v>
      </x:c>
      <x:c r="F1385" s="65" t="str">
        <x:v>甲府风林 +0/0.5（+0.25），水位≥0.80才入</x:v>
      </x:c>
      <x:c r="G1385" s="65" t="str">
        <x:v>小2/2.5（小2.25），水位≥0.82；若滚球只剩小1.75需≥0.90</x:v>
      </x:c>
      <x:c r="H1385" s="65" t="str">
        <x:v>小球优先；甲府受让小注；不追小2.5低水。参考比分0-1/1-1/1-2</x:v>
      </x:c>
      <x:c r="I1385" s="66" t="n">
        <x:v>46145.51204861111</x:v>
      </x:c>
      <x:c r="J1385" s="65" t="str">
        <x:v>已结算</x:v>
      </x:c>
      <x:c r="K1385" s="65" t="str">
        <x:v>0-1</x:v>
      </x:c>
      <x:c r="L1385" s="65" t="str">
        <x:v>赢</x:v>
      </x:c>
      <x:c r="M1385" s="65" t="str">
        <x:v>赢</x:v>
      </x:c>
      <x:c r="N1385" s="67" t="n">
        <x:v>1</x:v>
      </x:c>
      <x:c r="O1385" s="67" t="n">
        <x:v>1</x:v>
      </x:c>
      <x:c r="P1385" s="67" t="n">
        <x:f>IF(COUNT(N1385:O1385)=0,"",SUM(N1385:O1385))</x:f>
        <x:v>2</x:v>
      </x:c>
      <x:c r="Q1385" s="65"/>
      <x:c r="R1385" s="65" t="str">
        <x:v>FT 0-1；甲府风林 +0.25 赢；小2.25 赢。</x:v>
      </x:c>
    </x:row>
    <x:row r="1386" ht="38" customHeight="1">
      <x:c r="A1386" s="65" t="str">
        <x:f>IF(B1386="","",TEXT(B1386,"yyyy-mm-dd")&amp;"|"&amp;D1386&amp;"|"&amp;E1386)</x:f>
        <x:v>2026-05-03|八户云罗里（Vanraure Hachinohe）|群马草津温泉（Thespa Gunma）</x:v>
      </x:c>
      <x:c r="B1386" s="66" t="n">
        <x:v>46145.5</x:v>
      </x:c>
      <x:c r="C1386" s="65" t="str">
        <x:v>日职 明治安田J2·J3百年构想联赛</x:v>
      </x:c>
      <x:c r="D1386" s="65" t="str">
        <x:v>八户云罗里（Vanraure Hachinohe）</x:v>
      </x:c>
      <x:c r="E1386" s="65" t="str">
        <x:v>群马草津温泉（Thespa Gunma）</x:v>
      </x:c>
      <x:c r="F1386" s="65" t="str">
        <x:v>群马草津温泉（Thespa Gunma）+0.5，参考水位约1.00（十进制2.00）</x:v>
      </x:c>
      <x:c r="G1386" s="65" t="str">
        <x:v>大2.5，参考水位约0.90–0.95（十进制1.90–1.95）</x:v>
      </x:c>
      <x:c r="H1386" s="65" t="str">
        <x:v>不加仓；群马+0.5主推，大2.5小注。比分倾向1-1/1-2/2-2；八户-0.5若低于0.80水不碰，若只剩滚球盘不追。</x:v>
      </x:c>
      <x:c r="I1386" s="66" t="n">
        <x:v>46145.48537037037</x:v>
      </x:c>
      <x:c r="J1386" s="65" t="str">
        <x:v>已结算</x:v>
      </x:c>
      <x:c r="K1386" s="65" t="str">
        <x:v>0-1</x:v>
      </x:c>
      <x:c r="L1386" s="65" t="str">
        <x:v>赢</x:v>
      </x:c>
      <x:c r="M1386" s="65" t="str">
        <x:v>输</x:v>
      </x:c>
      <x:c r="N1386" s="67" t="n">
        <x:v>1</x:v>
      </x:c>
      <x:c r="O1386" s="67" t="n">
        <x:v>-1</x:v>
      </x:c>
      <x:c r="P1386" s="67" t="n">
        <x:f>IF(COUNT(N1386:O1386)=0,"",SUM(N1386:O1386))</x:f>
        <x:v>0</x:v>
      </x:c>
      <x:c r="Q1386" s="65"/>
      <x:c r="R1386" s="65" t="str">
        <x:v>FT 0-1；群马草津温泉 +0.5 赢；大2.5 输。</x:v>
      </x:c>
    </x:row>
    <x:row r="1387" ht="38" customHeight="1">
      <x:c r="A1387" s="65" t="str">
        <x:f>IF(B1387="","",TEXT(B1387,"yyyy-mm-dd")&amp;"|"&amp;D1387&amp;"|"&amp;E1387)</x:f>
        <x:v>2026-05-03|阿特拉斯（Atlas FC）|蓝十字（Cruz Azul）</x:v>
      </x:c>
      <x:c r="B1387" s="66" t="n">
        <x:v>46145.46875</x:v>
      </x:c>
      <x:c r="C1387" s="65" t="str">
        <x:v>墨西哥超（Liga MX，Clausura）</x:v>
      </x:c>
      <x:c r="D1387" s="65" t="str">
        <x:v>阿特拉斯（Atlas FC）</x:v>
      </x:c>
      <x:c r="E1387" s="65" t="str">
        <x:v>蓝十字（Cruz Azul）</x:v>
      </x:c>
      <x:c r="F1387" s="65" t="str">
        <x:v>阿特拉斯（Atlas FC）+0.5，参考水位约0.90（十进制1.90）</x:v>
      </x:c>
      <x:c r="G1387" s="65" t="str">
        <x:v>小2.25，参考水位按亚洲降盘需≥0.85才入；不碰低水小2.5</x:v>
      </x:c>
      <x:c r="H1387" s="65" t="str">
        <x:v>阿特拉斯+0.5主推；小2.25小注。比分倾向1-1/1-0/0-1；若只剩滚球盘、阿特拉斯+0.5跌破0.80水或小2.25低于0.80水，不追。</x:v>
      </x:c>
      <x:c r="I1387" s="66" t="n">
        <x:v>46145.45365740741</x:v>
      </x:c>
      <x:c r="J1387" s="65" t="str">
        <x:v>已结算</x:v>
      </x:c>
      <x:c r="K1387" s="65" t="str">
        <x:v>2-3</x:v>
      </x:c>
      <x:c r="L1387" s="65" t="str">
        <x:v>输</x:v>
      </x:c>
      <x:c r="M1387" s="65" t="str">
        <x:v>输</x:v>
      </x:c>
      <x:c r="N1387" s="67" t="n">
        <x:v>-1</x:v>
      </x:c>
      <x:c r="O1387" s="67" t="n">
        <x:v>-1</x:v>
      </x:c>
      <x:c r="P1387" s="67" t="n">
        <x:f>IF(COUNT(N1387:O1387)=0,"",SUM(N1387:O1387))</x:f>
        <x:v>-2</x:v>
      </x:c>
      <x:c r="Q1387" s="65"/>
      <x:c r="R1387" s="65" t="str">
        <x:v>FT 2-3；阿特拉斯 +0.5 输；小2.25 输。</x:v>
      </x:c>
    </x:row>
    <x:row r="1388" ht="38" customHeight="1">
      <x:c r="A1388" s="65" t="str">
        <x:f>IF(B1388="","",TEXT(B1388,"yyyy-mm-dd")&amp;"|"&amp;D1388&amp;"|"&amp;E1388)</x:f>
        <x:v>2026-05-03|洛杉矶银河（LA Galaxy）|温哥华白帽（Vancouver Whitecaps FC）</x:v>
      </x:c>
      <x:c r="B1388" s="66" t="n">
        <x:v>46145.4375</x:v>
      </x:c>
      <x:c r="C1388" s="65" t="str">
        <x:v>美职联（MLS）</x:v>
      </x:c>
      <x:c r="D1388" s="65" t="str">
        <x:v>洛杉矶银河（LA Galaxy）</x:v>
      </x:c>
      <x:c r="E1388" s="65" t="str">
        <x:v>温哥华白帽（Vancouver Whitecaps FC）</x:v>
      </x:c>
      <x:c r="F1388" s="65" t="str">
        <x:v>洛杉矶银河（LA Galaxy）+0.5，参考水位约0.89（十进制1.89；美赔约-112）</x:v>
      </x:c>
      <x:c r="G1388" s="65" t="str">
        <x:v>大3.5，参考水位约1.20–1.36（十进制2.20–2.36；美赔约+120至+136）</x:v>
      </x:c>
      <x:c r="H1388" s="65" t="str">
        <x:v>不加仓；洛杉矶银河+0.5主推，大3.5只做高水小注。比分倾向2-2/2-1/3-2；若只剩滚球盘、银河+0.5跌破0.80水或大3.5跌破1.00水，不追。</x:v>
      </x:c>
      <x:c r="I1388" s="66" t="n">
        <x:v>46145.42130787037</x:v>
      </x:c>
      <x:c r="J1388" s="65" t="str">
        <x:v>已结算</x:v>
      </x:c>
      <x:c r="K1388" s="65" t="str">
        <x:v>1-1</x:v>
      </x:c>
      <x:c r="L1388" s="65" t="str">
        <x:v>赢</x:v>
      </x:c>
      <x:c r="M1388" s="65" t="str">
        <x:v>输</x:v>
      </x:c>
      <x:c r="N1388" s="67" t="n">
        <x:v>1</x:v>
      </x:c>
      <x:c r="O1388" s="67" t="n">
        <x:v>-1</x:v>
      </x:c>
      <x:c r="P1388" s="67" t="n">
        <x:f>IF(COUNT(N1388:O1388)=0,"",SUM(N1388:O1388))</x:f>
        <x:v>0</x:v>
      </x:c>
      <x:c r="Q1388" s="65"/>
      <x:c r="R1388" s="65" t="str">
        <x:v>FT 1-1；洛杉矶银河 +0.5 赢；大3.5 输。</x:v>
      </x:c>
    </x:row>
    <x:row r="1389" ht="38" customHeight="1">
      <x:c r="A1389" s="65" t="str">
        <x:f>IF(B1389="","",TEXT(B1389,"yyyy-mm-dd")&amp;"|"&amp;D1389&amp;"|"&amp;E1389)</x:f>
        <x:v>2026-05-03|圣地亚哥FC（San Diego FC）|洛杉矶FC（Los Angeles FC）</x:v>
      </x:c>
      <x:c r="B1389" s="66" t="n">
        <x:v>46145.395833333336</x:v>
      </x:c>
      <x:c r="C1389" s="65" t="str">
        <x:v>美职联（MLS）</x:v>
      </x:c>
      <x:c r="D1389" s="65" t="str">
        <x:v>圣地亚哥FC（San Diego FC）</x:v>
      </x:c>
      <x:c r="E1389" s="65" t="str">
        <x:v>洛杉矶FC（Los Angeles FC）</x:v>
      </x:c>
      <x:c r="F1389" s="65" t="str">
        <x:v>洛杉矶FC（Los Angeles FC）0（平手/DNB），参考水位约0.90–0.95（十进制1.90–1.95）</x:v>
      </x:c>
      <x:c r="G1389" s="65" t="str">
        <x:v>大3.0，参考水位约0.80–0.81（十进制1.80–1.81）</x:v>
      </x:c>
      <x:c r="H1389" s="65" t="str">
        <x:v>不加仓；洛杉矶FC平手主推，大3.0小注。比分倾向1-2/2-2/1-3；若只剩滚球盘、LAFC平手低于0.80水或大3跌破0.78水，不追。</x:v>
      </x:c>
      <x:c r="I1389" s="66" t="n">
        <x:v>46145.40699074074</x:v>
      </x:c>
      <x:c r="J1389" s="65" t="str">
        <x:v>已结算</x:v>
      </x:c>
      <x:c r="K1389" s="65" t="str">
        <x:v>2-2</x:v>
      </x:c>
      <x:c r="L1389" s="65" t="str">
        <x:v>走水</x:v>
      </x:c>
      <x:c r="M1389" s="65" t="str">
        <x:v>赢</x:v>
      </x:c>
      <x:c r="N1389" s="67" t="n">
        <x:v>0</x:v>
      </x:c>
      <x:c r="O1389" s="67" t="n">
        <x:v>1</x:v>
      </x:c>
      <x:c r="P1389" s="67" t="n">
        <x:f>IF(COUNT(N1389:O1389)=0,"",SUM(N1389:O1389))</x:f>
        <x:v>1</x:v>
      </x:c>
      <x:c r="Q1389" s="65"/>
      <x:c r="R1389" s="65" t="str">
        <x:v>FT 2-2；洛杉矶FC 0 走水；大3.0 赢。</x:v>
      </x:c>
    </x:row>
    <x:row r="1390" ht="38" customHeight="1">
      <x:c r="A1390" s="65" t="str">
        <x:f>IF(B1390="","",TEXT(B1390,"yyyy-mm-dd")&amp;"|"&amp;D1390&amp;"|"&amp;E1390)</x:f>
        <x:v>2026-05-03|老虎大学（Tigres UANL）|瓜达拉哈拉（Chivas Guadalajara）</x:v>
      </x:c>
      <x:c r="B1390" s="66" t="n">
        <x:v>46145.375</x:v>
      </x:c>
      <x:c r="C1390" s="65" t="str">
        <x:v>墨西哥超（Liga MX，Clausura）</x:v>
      </x:c>
      <x:c r="D1390" s="65" t="str">
        <x:v>老虎大学（Tigres UANL）</x:v>
      </x:c>
      <x:c r="E1390" s="65" t="str">
        <x:v>瓜达拉哈拉（Chivas Guadalajara）</x:v>
      </x:c>
      <x:c r="F1390" s="65" t="str">
        <x:v>老虎大学（Tigres UANL）-0.5，参考水位约0.83–0.89（十进制1.83–1.89）</x:v>
      </x:c>
      <x:c r="G1390" s="65" t="str">
        <x:v>大2.5，参考水位约1.01–1.16（十进制2.01–2.16）</x:v>
      </x:c>
      <x:c r="H1390" s="65" t="str">
        <x:v>不加仓；老虎大学-0.5主推，大2.5小注。比分倾向2-1/2-0/3-1；若只剩滚球盘、主胜跌破0.80水或大2.5跌破0.90水，不追。</x:v>
      </x:c>
      <x:c r="I1390" s="66" t="n">
        <x:v>46145.387291666666</x:v>
      </x:c>
      <x:c r="J1390" s="65" t="str">
        <x:v>已结算</x:v>
      </x:c>
      <x:c r="K1390" s="65" t="str">
        <x:v>3-1</x:v>
      </x:c>
      <x:c r="L1390" s="65" t="str">
        <x:v>赢</x:v>
      </x:c>
      <x:c r="M1390" s="65" t="str">
        <x:v>赢</x:v>
      </x:c>
      <x:c r="N1390" s="67" t="n">
        <x:v>1</x:v>
      </x:c>
      <x:c r="O1390" s="67" t="n">
        <x:v>1</x:v>
      </x:c>
      <x:c r="P1390" s="67" t="n">
        <x:f>IF(COUNT(N1390:O1390)=0,"",SUM(N1390:O1390))</x:f>
        <x:v>2</x:v>
      </x:c>
      <x:c r="Q1390" s="65"/>
      <x:c r="R1390" s="65" t="str">
        <x:v>FT 3-1；老虎大学 -0.5 赢；大2.5 赢。</x:v>
      </x:c>
    </x:row>
    <x:row r="1391" ht="38" customHeight="1">
      <x:c r="A1391" s="65" t="str">
        <x:f>IF(B1391="","",TEXT(B1391,"yyyy-mm-dd")&amp;"|"&amp;D1391&amp;"|"&amp;E1391)</x:f>
        <x:v>2026-05-03|普拉滕斯（CA Platense）|拉普拉塔大学生（Estudiantes de La Plata）</x:v>
      </x:c>
      <x:c r="B1391" s="66" t="n">
        <x:v>46145.34375</x:v>
      </x:c>
      <x:c r="C1391" s="65" t="str">
        <x:v>阿根廷职业联赛（Liga Profesional·Apertura）</x:v>
      </x:c>
      <x:c r="D1391" s="65" t="str">
        <x:v>普拉滕斯（CA Platense）</x:v>
      </x:c>
      <x:c r="E1391" s="65" t="str">
        <x:v>拉普拉塔大学生（Estudiantes de La Plata）</x:v>
      </x:c>
      <x:c r="F1391" s="65" t="str">
        <x:v>拉普拉塔大学生（Estudiantes de La Plata）-0.25，参考水位约1.10（十进制2.10）</x:v>
      </x:c>
      <x:c r="G1391" s="65" t="str">
        <x:v>小1.5，参考水位约1.07（十进制2.07）</x:v>
      </x:c>
      <x:c r="H1391" s="65" t="str">
        <x:v>不加仓；拉普拉塔大学生-0.25主推，小1.5只做高水小注。比分倾向0-1/0-0/1-0；若只剩滚球盘、大学生-0.25跌破0.90水或小1.5跌破0.90水，不追。</x:v>
      </x:c>
      <x:c r="I1391" s="66" t="n">
        <x:v>46145.33831018519</x:v>
      </x:c>
      <x:c r="J1391" s="65" t="str">
        <x:v>已结算</x:v>
      </x:c>
      <x:c r="K1391" s="65" t="str">
        <x:v>0-2</x:v>
      </x:c>
      <x:c r="L1391" s="65" t="str">
        <x:v>赢</x:v>
      </x:c>
      <x:c r="M1391" s="65" t="str">
        <x:v>输</x:v>
      </x:c>
      <x:c r="N1391" s="67" t="n">
        <x:v>1</x:v>
      </x:c>
      <x:c r="O1391" s="67" t="n">
        <x:v>-1</x:v>
      </x:c>
      <x:c r="P1391" s="67" t="n">
        <x:f>IF(COUNT(N1391:O1391)=0,"",SUM(N1391:O1391))</x:f>
        <x:v>0</x:v>
      </x:c>
      <x:c r="Q1391" s="65"/>
      <x:c r="R1391" s="65" t="str">
        <x:v>FT 0-2；拉普拉塔大学生 -0.25 赢；小1.5 输。</x:v>
      </x:c>
    </x:row>
    <x:row r="1392" ht="38" customHeight="1">
      <x:c r="A1392" s="65" t="str">
        <x:f>IF(B1392="","",TEXT(B1392,"yyyy-mm-dd")&amp;"|"&amp;D1392&amp;"|"&amp;E1392)</x:f>
        <x:v>2026-05-03|东方石油（Oriente Petrolero）|皇家托马亚波（Real Tomayapo）</x:v>
      </x:c>
      <x:c r="B1392" s="66" t="n">
        <x:v>46145.3125</x:v>
      </x:c>
      <x:c r="C1392" s="65" t="str">
        <x:v>玻利维亚甲级联赛</x:v>
      </x:c>
      <x:c r="D1392" s="65" t="str">
        <x:v>东方石油（Oriente Petrolero）</x:v>
      </x:c>
      <x:c r="E1392" s="65" t="str">
        <x:v>皇家托马亚波（Real Tomayapo）</x:v>
      </x:c>
      <x:c r="F1392" s="65" t="str">
        <x:v>东方石油（Oriente Petrolero）-1.5，参考水位约0.90–0.925（十进制1.90–1.925）</x:v>
      </x:c>
      <x:c r="G1392" s="65" t="str">
        <x:v>小3.5，参考水位约0.85（十进制1.85）</x:v>
      </x:c>
      <x:c r="H1392" s="65" t="str">
        <x:v>东方石油-1.5主推；小3.5小注。比分倾向2-0/3-0/2-1；若只剩滚球盘、主让升到-1.75或小3.5跌破0.80水，不追。</x:v>
      </x:c>
      <x:c r="I1392" s="66" t="n">
        <x:v>46145.32224537037</x:v>
      </x:c>
      <x:c r="J1392" s="65" t="str">
        <x:v>已结算</x:v>
      </x:c>
      <x:c r="K1392" s="65" t="str">
        <x:v>3-1</x:v>
      </x:c>
      <x:c r="L1392" s="65" t="str">
        <x:v>赢</x:v>
      </x:c>
      <x:c r="M1392" s="65" t="str">
        <x:v>输</x:v>
      </x:c>
      <x:c r="N1392" s="67" t="n">
        <x:v>1</x:v>
      </x:c>
      <x:c r="O1392" s="67" t="n">
        <x:v>-1</x:v>
      </x:c>
      <x:c r="P1392" s="67" t="n">
        <x:f>IF(COUNT(N1392:O1392)=0,"",SUM(N1392:O1392))</x:f>
        <x:v>0</x:v>
      </x:c>
      <x:c r="Q1392" s="65"/>
      <x:c r="R1392" s="65" t="str">
        <x:v>FT 3-1；东方石油 -1.5 赢；小3.5 输。</x:v>
      </x:c>
    </x:row>
    <x:row r="1393" ht="38" customHeight="1">
      <x:c r="A1393" s="65" t="str">
        <x:f>IF(B1393="","",TEXT(B1393,"yyyy-mm-dd")&amp;"|"&amp;D1393&amp;"|"&amp;E1393)</x:f>
        <x:v>2026-05-03|纽约红牛（New York Red Bulls）|达拉斯FC（FC Dallas）</x:v>
      </x:c>
      <x:c r="B1393" s="66" t="n">
        <x:v>46145.3125</x:v>
      </x:c>
      <x:c r="C1393" s="65" t="str">
        <x:v>美职联（MLS）</x:v>
      </x:c>
      <x:c r="D1393" s="65" t="str">
        <x:v>纽约红牛（New York Red Bulls）</x:v>
      </x:c>
      <x:c r="E1393" s="65" t="str">
        <x:v>达拉斯FC（FC Dallas）</x:v>
      </x:c>
      <x:c r="F1393" s="65" t="str">
        <x:v>达拉斯FC（FC Dallas）+0.5，参考水位约0.81（十进制1.81）</x:v>
      </x:c>
      <x:c r="G1393" s="65" t="str">
        <x:v>大3.5，参考水位约1.10–1.23（十进制2.10–2.23）</x:v>
      </x:c>
      <x:c r="H1393" s="65" t="str">
        <x:v>不加仓；达拉斯FC+0.5主推，大3.5只做高水小注博2-2/1-3分支，不碰低水大2.5。比分倾向1-1/2-2/1-2；若只剩滚球盘或大3.5跌破0.95水，不追。</x:v>
      </x:c>
      <x:c r="I1393" s="66" t="n">
        <x:v>46145.309583333335</x:v>
      </x:c>
      <x:c r="J1393" s="65" t="str">
        <x:v>已结算</x:v>
      </x:c>
      <x:c r="K1393" s="65" t="str">
        <x:v>0-2</x:v>
      </x:c>
      <x:c r="L1393" s="65" t="str">
        <x:v>赢</x:v>
      </x:c>
      <x:c r="M1393" s="65" t="str">
        <x:v>输</x:v>
      </x:c>
      <x:c r="N1393" s="67" t="n">
        <x:v>1</x:v>
      </x:c>
      <x:c r="O1393" s="67" t="n">
        <x:v>-1</x:v>
      </x:c>
      <x:c r="P1393" s="67" t="n">
        <x:f>IF(COUNT(N1393:O1393)=0,"",SUM(N1393:O1393))</x:f>
        <x:v>0</x:v>
      </x:c>
      <x:c r="Q1393" s="65"/>
      <x:c r="R1393" s="65" t="str">
        <x:v>FT 0-2；达拉斯FC +0.5 赢；大3.5 输。</x:v>
      </x:c>
    </x:row>
    <x:row r="1394" ht="38" customHeight="1">
      <x:c r="A1394" s="65" t="str">
        <x:f>IF(B1394="","",TEXT(B1394,"yyyy-mm-dd")&amp;"|"&amp;D1394&amp;"|"&amp;E1394)</x:f>
        <x:v>2026-05-03|迈阿密国际（Inter Miami CF）|奥兰多城（Orlando City SC）</x:v>
      </x:c>
      <x:c r="B1394" s="66" t="n">
        <x:v>46145.302083333336</x:v>
      </x:c>
      <x:c r="C1394" s="65" t="str">
        <x:v>美职联（MLS）</x:v>
      </x:c>
      <x:c r="D1394" s="65" t="str">
        <x:v>迈阿密国际（Inter Miami CF）</x:v>
      </x:c>
      <x:c r="E1394" s="65" t="str">
        <x:v>奥兰多城（Orlando City SC）</x:v>
      </x:c>
      <x:c r="F1394" s="65" t="str">
        <x:v>迈阿密国际（Inter Miami CF）-1.75，参考水位约0.95（十进制1.95）</x:v>
      </x:c>
      <x:c r="G1394" s="65" t="str">
        <x:v>小3.5，参考水位约1.07（十进制2.07）</x:v>
      </x:c>
      <x:c r="H1394" s="65" t="str">
        <x:v>不加仓；迈阿密国际-1.75小注主推，小3.5只做高水价值小注。比分倾向3-0/2-0/2-1；若只剩滚球盘、主让升到-2或小3.5跌破0.90水，不追。</x:v>
      </x:c>
      <x:c r="I1394" s="66" t="n">
        <x:v>46145.30467592592</x:v>
      </x:c>
      <x:c r="J1394" s="65" t="str">
        <x:v>已结算</x:v>
      </x:c>
      <x:c r="K1394" s="65" t="str">
        <x:v>3-4</x:v>
      </x:c>
      <x:c r="L1394" s="65" t="str">
        <x:v>输</x:v>
      </x:c>
      <x:c r="M1394" s="65" t="str">
        <x:v>输</x:v>
      </x:c>
      <x:c r="N1394" s="67" t="n">
        <x:v>-1</x:v>
      </x:c>
      <x:c r="O1394" s="67" t="n">
        <x:v>-1</x:v>
      </x:c>
      <x:c r="P1394" s="67" t="n">
        <x:f>IF(COUNT(N1394:O1394)=0,"",SUM(N1394:O1394))</x:f>
        <x:v>-2</x:v>
      </x:c>
      <x:c r="Q1394" s="65"/>
      <x:c r="R1394" s="65" t="str">
        <x:v>FT 3-4；迈阿密国际 -1.75 输；小3.5 输。</x:v>
      </x:c>
    </x:row>
    <x:row r="1395" ht="38" customHeight="1">
      <x:c r="A1395" s="65" t="str">
        <x:f>IF(B1395="","",TEXT(B1395,"yyyy-mm-dd")&amp;"|"&amp;D1395&amp;"|"&amp;E1395)</x:f>
        <x:v>2026-05-03|蒙得维的亚利物浦（Liverpool Montevideo）|达努比奥（Danubio FC）</x:v>
      </x:c>
      <x:c r="B1395" s="66" t="n">
        <x:v>46145.229166666664</x:v>
      </x:c>
      <x:c r="C1395" s="65" t="str">
        <x:v>乌拉圭甲级联赛（Campeonato Uruguayo·Primera División）</x:v>
      </x:c>
      <x:c r="D1395" s="65" t="str">
        <x:v>蒙得维的亚利物浦（Liverpool Montevideo）</x:v>
      </x:c>
      <x:c r="E1395" s="65" t="str">
        <x:v>达努比奥（Danubio FC）</x:v>
      </x:c>
      <x:c r="F1395" s="65" t="str">
        <x:v>达努比奥（Danubio FC）+0.25，参考水位约0.82–0.92（十进制1.82–1.92）</x:v>
      </x:c>
      <x:c r="G1395" s="65" t="str">
        <x:v>小2.0，参考水位约1.00（十进制2.00）</x:v>
      </x:c>
      <x:c r="H1395" s="65" t="str">
        <x:v>不加仓；达努比奥+0.25主推，小2.0小注。比分倾向0-1/1-1/1-0；若只剩滚球盘或达努比奥+0.25跌破0.80水，不追。</x:v>
      </x:c>
      <x:c r="I1395" s="66" t="n">
        <x:v>46145.26613425926</x:v>
      </x:c>
      <x:c r="J1395" s="65" t="str">
        <x:v>已结算</x:v>
      </x:c>
      <x:c r="K1395" s="65" t="str">
        <x:v>3-0</x:v>
      </x:c>
      <x:c r="L1395" s="65" t="str">
        <x:v>输</x:v>
      </x:c>
      <x:c r="M1395" s="65" t="str">
        <x:v>输</x:v>
      </x:c>
      <x:c r="N1395" s="67" t="n">
        <x:v>-1</x:v>
      </x:c>
      <x:c r="O1395" s="67" t="n">
        <x:v>-1</x:v>
      </x:c>
      <x:c r="P1395" s="67" t="n">
        <x:f>IF(COUNT(N1395:O1395)=0,"",SUM(N1395:O1395))</x:f>
        <x:v>-2</x:v>
      </x:c>
      <x:c r="Q1395" s="65"/>
      <x:c r="R1395" s="65" t="str">
        <x:v>FT 3-0；达努比奥 +0.25 输；小2.0 输。</x:v>
      </x:c>
    </x:row>
    <x:row r="1396" ht="38" customHeight="1">
      <x:c r="A1396" s="65" t="str">
        <x:f>IF(B1396="","",TEXT(B1396,"yyyy-mm-dd")&amp;"|"&amp;D1396&amp;"|"&amp;E1396)</x:f>
        <x:v>2026-05-03|帕尔梅拉斯（Palmeiras）|桑托斯（Santos FC）</x:v>
      </x:c>
      <x:c r="B1396" s="66" t="n">
        <x:v>46145.229166666664</x:v>
      </x:c>
      <x:c r="C1396" s="65" t="str">
        <x:v>巴西甲（Serie A）</x:v>
      </x:c>
      <x:c r="D1396" s="65" t="str">
        <x:v>帕尔梅拉斯（Palmeiras）</x:v>
      </x:c>
      <x:c r="E1396" s="65" t="str">
        <x:v>桑托斯（Santos FC）</x:v>
      </x:c>
      <x:c r="F1396" s="65" t="str">
        <x:v>帕尔梅拉斯（Palmeiras）-1，参考水位约0.86（十进制1.86）</x:v>
      </x:c>
      <x:c r="G1396" s="65" t="str">
        <x:v>小2.5，参考水位约0.82–0.90（十进制1.82–1.90）</x:v>
      </x:c>
      <x:c r="H1396" s="65" t="str">
        <x:v>小2.5为主；帕尔梅拉斯-1小注。比分倾向1-0/2-0/1-1；若临场升到-1.25或小2.5跌破0.80水，不追。</x:v>
      </x:c>
      <x:c r="I1396" s="66" t="n">
        <x:v>46145.25766203704</x:v>
      </x:c>
      <x:c r="J1396" s="65" t="str">
        <x:v>已结算</x:v>
      </x:c>
      <x:c r="K1396" s="65" t="str">
        <x:v>1-1</x:v>
      </x:c>
      <x:c r="L1396" s="65" t="str">
        <x:v>输</x:v>
      </x:c>
      <x:c r="M1396" s="65" t="str">
        <x:v>赢</x:v>
      </x:c>
      <x:c r="N1396" s="67" t="n">
        <x:v>-1</x:v>
      </x:c>
      <x:c r="O1396" s="67" t="n">
        <x:v>1</x:v>
      </x:c>
      <x:c r="P1396" s="67" t="n">
        <x:f>IF(COUNT(N1396:O1396)=0,"",SUM(N1396:O1396))</x:f>
        <x:v>0</x:v>
      </x:c>
      <x:c r="Q1396" s="65"/>
      <x:c r="R1396" s="65" t="str">
        <x:v>FT 1-1；帕尔梅拉斯 -1 输；小2.5 赢。</x:v>
      </x:c>
    </x:row>
    <x:row r="1397" ht="38" customHeight="1">
      <x:c r="A1397" s="65" t="str">
        <x:f>IF(B1397="","",TEXT(B1397,"yyyy-mm-dd")&amp;"|"&amp;D1397&amp;"|"&amp;E1397)</x:f>
        <x:v>2026-05-03|科尔多巴美洲虎（Jaguares de Córdoba）|侨卡巴（Cúcuta Deportivo）</x:v>
      </x:c>
      <x:c r="B1397" s="66" t="n">
        <x:v>46145.208333333336</x:v>
      </x:c>
      <x:c r="C1397" s="65" t="str">
        <x:v>哥伦比亚甲级联赛（Liga BetPlay DIMAYOR）</x:v>
      </x:c>
      <x:c r="D1397" s="65" t="str">
        <x:v>科尔多巴美洲虎（Jaguares de Córdoba）</x:v>
      </x:c>
      <x:c r="E1397" s="65" t="str">
        <x:v>侨卡巴（Cúcuta Deportivo）</x:v>
      </x:c>
      <x:c r="F1397" s="65" t="str">
        <x:v>侨卡巴（Cúcuta Deportivo）0（平手/DNB），参考水位约0.90（十进制1.90）</x:v>
      </x:c>
      <x:c r="G1397" s="65" t="str">
        <x:v>大2.5，参考水位约1.04–1.10（十进制2.04–2.10）</x:v>
      </x:c>
      <x:c r="H1397" s="65" t="str">
        <x:v>不加仓；侨卡巴0（平手/DNB）为主，大2.5只做高水小注。比分倾向1-2/2-2/1-1；若只剩滚球盘，或侨卡巴平手低于0.80水、大2.5跌破0.90水，不追。</x:v>
      </x:c>
      <x:c r="I1397" s="66" t="n">
        <x:v>46145.259363425925</x:v>
      </x:c>
      <x:c r="J1397" s="65" t="str">
        <x:v>已结算</x:v>
      </x:c>
      <x:c r="K1397" s="65" t="str">
        <x:v>2-0</x:v>
      </x:c>
      <x:c r="L1397" s="65" t="str">
        <x:v>输</x:v>
      </x:c>
      <x:c r="M1397" s="65" t="str">
        <x:v>输</x:v>
      </x:c>
      <x:c r="N1397" s="67" t="n">
        <x:v>-1</x:v>
      </x:c>
      <x:c r="O1397" s="67" t="n">
        <x:v>-1</x:v>
      </x:c>
      <x:c r="P1397" s="67" t="n">
        <x:f>IF(COUNT(N1397:O1397)=0,"",SUM(N1397:O1397))</x:f>
        <x:v>-2</x:v>
      </x:c>
      <x:c r="Q1397" s="65"/>
      <x:c r="R1397" s="65" t="str">
        <x:v>FT 2-0；侨卡巴 0 输；大2.5 输。</x:v>
      </x:c>
    </x:row>
    <x:row r="1398" ht="38" customHeight="1">
      <x:c r="A1398" s="65" t="str">
        <x:f>IF(B1398="","",TEXT(B1398,"yyyy-mm-dd")&amp;"|"&amp;D1398&amp;"|"&amp;E1398)</x:f>
        <x:v>2026-05-03|亚特兰大（Atalanta）|热那亚（Genoa）</x:v>
      </x:c>
      <x:c r="B1398" s="66" t="n">
        <x:v>46145.114583333336</x:v>
      </x:c>
      <x:c r="C1398" s="65" t="str">
        <x:v>意大利甲级联赛（Serie A）</x:v>
      </x:c>
      <x:c r="D1398" s="65" t="str">
        <x:v>亚特兰大（Atalanta）</x:v>
      </x:c>
      <x:c r="E1398" s="65" t="str">
        <x:v>热那亚（Genoa）</x:v>
      </x:c>
      <x:c r="F1398" s="65" t="str">
        <x:v>亚特兰大（Atalanta）-1，参考水位约0.82（十进制1.82）</x:v>
      </x:c>
      <x:c r="G1398" s="65" t="str">
        <x:v>小2.5，参考水位约1.07（十进制2.07）</x:v>
      </x:c>
      <x:c r="H1398" s="65" t="str">
        <x:v>不加仓；亚特兰大-1小注主推，小2.5只做高水小注。比分倾向2-0/1-0/2-1边界；若临场升到-1.25或小2.5跌破0.90水，不追。</x:v>
      </x:c>
      <x:c r="I1398" s="66" t="n">
        <x:v>46145.25335648148</x:v>
      </x:c>
      <x:c r="J1398" s="65" t="str">
        <x:v>已结算</x:v>
      </x:c>
      <x:c r="K1398" s="65" t="str">
        <x:v>0-0</x:v>
      </x:c>
      <x:c r="L1398" s="65" t="str">
        <x:v>输</x:v>
      </x:c>
      <x:c r="M1398" s="65" t="str">
        <x:v>赢</x:v>
      </x:c>
      <x:c r="N1398" s="67" t="n">
        <x:v>-1</x:v>
      </x:c>
      <x:c r="O1398" s="67" t="n">
        <x:v>1</x:v>
      </x:c>
      <x:c r="P1398" s="67" t="n">
        <x:f>IF(COUNT(N1398:O1398)=0,"",SUM(N1398:O1398))</x:f>
        <x:v>0</x:v>
      </x:c>
      <x:c r="Q1398" s="65"/>
      <x:c r="R1398" s="65" t="str">
        <x:v>FT 0-0；亚特兰大 -1 输；小2.5 赢。</x:v>
      </x:c>
    </x:row>
    <x:row r="1399" ht="38" customHeight="1">
      <x:c r="A1399" s="65" t="str">
        <x:f>IF(B1399="","",TEXT(B1399,"yyyy-mm-dd")&amp;"|"&amp;D1399&amp;"|"&amp;E1399)</x:f>
        <x:v>2026-05-03|沙尔克04（FC Schalke 04）|杜塞尔多夫（Fortuna Düsseldorf）</x:v>
      </x:c>
      <x:c r="B1399" s="66" t="n">
        <x:v>46145.104166666664</x:v>
      </x:c>
      <x:c r="C1399" s="65" t="str">
        <x:v>德国乙级联赛（2. Bundesliga）</x:v>
      </x:c>
      <x:c r="D1399" s="65" t="str">
        <x:v>沙尔克04（FC Schalke 04）</x:v>
      </x:c>
      <x:c r="E1399" s="65" t="str">
        <x:v>杜塞尔多夫（Fortuna Düsseldorf）</x:v>
      </x:c>
      <x:c r="F1399" s="65" t="str">
        <x:v>沙尔克04（FC Schalke 04）-1，参考水位约0.93（十进制1.93）</x:v>
      </x:c>
      <x:c r="G1399" s="65" t="str">
        <x:v>小2.5，参考水位约1.18（十进制2.18）</x:v>
      </x:c>
      <x:c r="H1399" s="65" t="str">
        <x:v>沙尔克04-1主推；小2.5只做高水小注，不碰低水大2.5。比分倾向2-0/1-0/2-1；若临场升到-1.25或小2.5跌破0.90水不追。</x:v>
      </x:c>
      <x:c r="I1399" s="66" t="n">
        <x:v>46145.08644675926</x:v>
      </x:c>
      <x:c r="J1399" s="65" t="str">
        <x:v>已结算</x:v>
      </x:c>
      <x:c r="K1399" s="65" t="str">
        <x:v>1-0</x:v>
      </x:c>
      <x:c r="L1399" s="65" t="str">
        <x:v>走水</x:v>
      </x:c>
      <x:c r="M1399" s="65" t="str">
        <x:v>赢</x:v>
      </x:c>
      <x:c r="N1399" s="67" t="n">
        <x:v>0</x:v>
      </x:c>
      <x:c r="O1399" s="67" t="n">
        <x:v>1</x:v>
      </x:c>
      <x:c r="P1399" s="67" t="n">
        <x:f>IF(COUNT(N1399:O1399)=0,"",SUM(N1399:O1399))</x:f>
        <x:v>1</x:v>
      </x:c>
      <x:c r="Q1399" s="65"/>
      <x:c r="R1399" s="65" t="str">
        <x:v>FT 1-0；沙尔克04 -1 走水；小2.5 赢。</x:v>
      </x:c>
    </x:row>
    <x:row r="1400" ht="38" customHeight="1">
      <x:c r="A1400" s="65" t="str">
        <x:f>IF(B1400="","",TEXT(B1400,"yyyy-mm-dd")&amp;"|"&amp;D1400&amp;"|"&amp;E1400)</x:f>
        <x:v>2026-05-03|拉努斯（Lanús）|利斯特雷（Deportivo Riestra）</x:v>
      </x:c>
      <x:c r="B1400" s="66" t="n">
        <x:v>46145.0625</x:v>
      </x:c>
      <x:c r="C1400" s="65" t="str">
        <x:v>阿根廷职业联赛（Liga Profesional·Apertura）</x:v>
      </x:c>
      <x:c r="D1400" s="65" t="str">
        <x:v>拉努斯（Lanús）</x:v>
      </x:c>
      <x:c r="E1400" s="65" t="str">
        <x:v>利斯特雷（Deportivo Riestra）</x:v>
      </x:c>
      <x:c r="F1400" s="65" t="str">
        <x:v>拉努斯（Lanús）-0.5，参考水位约0.87（十进制1.87）</x:v>
      </x:c>
      <x:c r="G1400" s="65" t="str">
        <x:v>小1.5，参考水位约1.04–1.20（十进制2.04–2.20）</x:v>
      </x:c>
      <x:c r="H1400" s="65" t="str">
        <x:v>小1.5为主；拉努斯-0.5小注。比分倾向1-0/0-0/2-0；不碰低水小2.5，若只剩滚球盘或小1.5跌破0.90水不追。</x:v>
      </x:c>
      <x:c r="I1400" s="66" t="n">
        <x:v>46145.08241898148</x:v>
      </x:c>
      <x:c r="J1400" s="65" t="str">
        <x:v>已结算</x:v>
      </x:c>
      <x:c r="K1400" s="65" t="str">
        <x:v>0-0</x:v>
      </x:c>
      <x:c r="L1400" s="65" t="str">
        <x:v>输</x:v>
      </x:c>
      <x:c r="M1400" s="65" t="str">
        <x:v>赢</x:v>
      </x:c>
      <x:c r="N1400" s="67" t="n">
        <x:v>-1</x:v>
      </x:c>
      <x:c r="O1400" s="67" t="n">
        <x:v>1</x:v>
      </x:c>
      <x:c r="P1400" s="67" t="n">
        <x:f>IF(COUNT(N1400:O1400)=0,"",SUM(N1400:O1400))</x:f>
        <x:v>0</x:v>
      </x:c>
      <x:c r="Q1400" s="65"/>
      <x:c r="R1400" s="65" t="str">
        <x:v>FT 0-0；拉努斯 -0.5 输；小1.5 赢。二次核对 ESPN/Sofascore/Futbol24 后修正比分。</x:v>
      </x:c>
    </x:row>
    <x:row r="1401" ht="38" customHeight="1">
      <x:c r="A1401" s="65" t="str">
        <x:f>IF(B1401="","",TEXT(B1401,"yyyy-mm-dd")&amp;"|"&amp;D1401&amp;"|"&amp;E1401)</x:f>
        <x:v>2026-05-03|阿森纳（Arsenal）|富勒姆（Fulham）</x:v>
      </x:c>
      <x:c r="B1401" s="66" t="n">
        <x:v>46145.020833333336</x:v>
      </x:c>
      <x:c r="C1401" s="65" t="str">
        <x:v>英格兰超级联赛（Premier League）</x:v>
      </x:c>
      <x:c r="D1401" s="65" t="str">
        <x:v>阿森纳（Arsenal）</x:v>
      </x:c>
      <x:c r="E1401" s="65" t="str">
        <x:v>富勒姆（Fulham）</x:v>
      </x:c>
      <x:c r="F1401" s="65" t="str">
        <x:v>阿森纳（Arsenal）-1，参考水位约0.80（十进制1.80）；若只能拿到-1.25，需降仓</x:v>
      </x:c>
      <x:c r="G1401" s="65" t="str">
        <x:v>小2.5，参考水位约0.87–1.04（十进制1.87–2.04）</x:v>
      </x:c>
      <x:c r="H1401" s="65" t="str">
        <x:v>小2.5为主；阿森纳-1小注。比分倾向2-0/1-0/2-1；若只剩阿森纳-1.25可降仓，升到-1.5不追；小2.5跌破0.80水不追。</x:v>
      </x:c>
      <x:c r="I1401" s="66" t="n">
        <x:v>46145.01293981481</x:v>
      </x:c>
      <x:c r="J1401" s="65" t="str">
        <x:v>已结算</x:v>
      </x:c>
      <x:c r="K1401" s="65" t="str">
        <x:v>3-0</x:v>
      </x:c>
      <x:c r="L1401" s="65" t="str">
        <x:v>赢</x:v>
      </x:c>
      <x:c r="M1401" s="65" t="str">
        <x:v>输</x:v>
      </x:c>
      <x:c r="N1401" s="67" t="n">
        <x:v>1</x:v>
      </x:c>
      <x:c r="O1401" s="67" t="n">
        <x:v>-1</x:v>
      </x:c>
      <x:c r="P1401" s="67" t="n">
        <x:f>IF(COUNT(N1401:O1401)=0,"",SUM(N1401:O1401))</x:f>
        <x:v>0</x:v>
      </x:c>
      <x:c r="Q1401" s="65"/>
      <x:c r="R1401" s="65" t="str">
        <x:v>FT 3-0；阿森纳 -1 赢；小2.5 输。</x:v>
      </x:c>
    </x:row>
    <x:row r="1402" ht="38" customHeight="1">
      <x:c r="A1402" s="65" t="str">
        <x:f>IF(B1402="","",TEXT(B1402,"yyyy-mm-dd")&amp;"|"&amp;D1402&amp;"|"&amp;E1402)</x:f>
        <x:v>2026-05-03|科莫（Como 1907）|那不勒斯（Napoli）</x:v>
      </x:c>
      <x:c r="B1402" s="66" t="n">
        <x:v>46145</x:v>
      </x:c>
      <x:c r="C1402" s="65" t="str">
        <x:v>意大利甲级联赛（Serie A）</x:v>
      </x:c>
      <x:c r="D1402" s="65" t="str">
        <x:v>科莫（Como 1907）</x:v>
      </x:c>
      <x:c r="E1402" s="65" t="str">
        <x:v>那不勒斯（Napoli）</x:v>
      </x:c>
      <x:c r="F1402" s="65" t="str">
        <x:v>那不勒斯（Napoli）+0.25，参考水位约0.89–0.90（十进制1.89–1.90）</x:v>
      </x:c>
      <x:c r="G1402" s="65" t="str">
        <x:v>大2.5，参考水位约1.10–1.12（十进制2.10–2.12）</x:v>
      </x:c>
      <x:c r="H1402" s="65" t="str">
        <x:v>不加仓；那不勒斯+0.25主推，大2.5只做高水小注。比分倾向1-1/1-2/2-2；若只剩滚球盘或大球跌破0.90水，不追。</x:v>
      </x:c>
      <x:c r="I1402" s="66" t="n">
        <x:v>46145.00056712963</x:v>
      </x:c>
      <x:c r="J1402" s="65" t="str">
        <x:v>已结算</x:v>
      </x:c>
      <x:c r="K1402" s="65" t="str">
        <x:v>0-0</x:v>
      </x:c>
      <x:c r="L1402" s="65" t="str">
        <x:v>赢半</x:v>
      </x:c>
      <x:c r="M1402" s="65" t="str">
        <x:v>输</x:v>
      </x:c>
      <x:c r="N1402" s="67" t="n">
        <x:v>0.5</x:v>
      </x:c>
      <x:c r="O1402" s="67" t="n">
        <x:v>-1</x:v>
      </x:c>
      <x:c r="P1402" s="67" t="n">
        <x:f>IF(COUNT(N1402:O1402)=0,"",SUM(N1402:O1402))</x:f>
        <x:v>-0.5</x:v>
      </x:c>
      <x:c r="Q1402" s="65"/>
      <x:c r="R1402" s="65" t="str">
        <x:v>FT 0-0；那不勒斯 +0.25 赢半；大2.5 输。</x:v>
      </x:c>
    </x:row>
    <x:row r="1403" ht="38" customHeight="1">
      <x:c r="A1403" s="65" t="str">
        <x:f>IF(B1403="","",TEXT(B1403,"yyyy-mm-dd")&amp;"|"&amp;D1403&amp;"|"&amp;E1403)</x:f>
        <x:v>2026-05-02|瓦伦西亚（Valencia CF）|马德里竞技（Atlético Madrid）</x:v>
      </x:c>
      <x:c r="B1403" s="66" t="n">
        <x:v>46144.927083333336</x:v>
      </x:c>
      <x:c r="C1403" s="65" t="str">
        <x:v>西甲（LaLiga）</x:v>
      </x:c>
      <x:c r="D1403" s="65" t="str">
        <x:v>瓦伦西亚（Valencia CF）</x:v>
      </x:c>
      <x:c r="E1403" s="65" t="str">
        <x:v>马德里竞技（Atlético Madrid）</x:v>
      </x:c>
      <x:c r="F1403" s="65" t="str">
        <x:v>瓦伦西亚（Valencia CF）-0.75，参考水位约0.85–0.97（十进制1.85–1.97）</x:v>
      </x:c>
      <x:c r="G1403" s="65" t="str">
        <x:v>小2.5，参考水位约0.87–1.06（十进制1.87–2.06）</x:v>
      </x:c>
      <x:c r="H1403" s="65" t="str">
        <x:v>不加仓；瓦伦西亚-0.75主推，小2.5小注。比分倾向1-0/2-0/2-1；若只剩滚球盘或主让升到-1，不追。</x:v>
      </x:c>
      <x:c r="I1403" s="66" t="n">
        <x:v>46144.94064814815</x:v>
      </x:c>
      <x:c r="J1403" s="65" t="str">
        <x:v>已结算</x:v>
      </x:c>
      <x:c r="K1403" s="65" t="str">
        <x:v>0-2</x:v>
      </x:c>
      <x:c r="L1403" s="65" t="str">
        <x:v>输</x:v>
      </x:c>
      <x:c r="M1403" s="65" t="str">
        <x:v>赢</x:v>
      </x:c>
      <x:c r="N1403" s="67" t="n">
        <x:v>-1</x:v>
      </x:c>
      <x:c r="O1403" s="67" t="n">
        <x:v>1</x:v>
      </x:c>
      <x:c r="P1403" s="67" t="n">
        <x:f>IF(COUNT(N1403:O1403)=0,"",SUM(N1403:O1403))</x:f>
        <x:v>0</x:v>
      </x:c>
      <x:c r="Q1403" s="65"/>
      <x:c r="R1403" s="65" t="str">
        <x:v>FT 0-2；瓦伦西亚 -0.75 输；小2.5 赢。</x:v>
      </x:c>
    </x:row>
    <x:row r="1404" ht="38" customHeight="1">
      <x:c r="A1404" s="65" t="str">
        <x:f>IF(B1404="","",TEXT(B1404,"yyyy-mm-dd")&amp;"|"&amp;D1404&amp;"|"&amp;E1404)</x:f>
        <x:v>2026-05-02|德里体育俱乐部（Sporting Club Delhi）|旁遮普FC（Punjab FC）</x:v>
      </x:c>
      <x:c r="B1404" s="66" t="n">
        <x:v>46144.916666666664</x:v>
      </x:c>
      <x:c r="C1404" s="65" t="str">
        <x:v>印度超级联赛（Indian Super League）</x:v>
      </x:c>
      <x:c r="D1404" s="65" t="str">
        <x:v>德里体育俱乐部（Sporting Club Delhi）</x:v>
      </x:c>
      <x:c r="E1404" s="65" t="str">
        <x:v>旁遮普FC（Punjab FC）</x:v>
      </x:c>
      <x:c r="F1404" s="65" t="str">
        <x:v>旁遮普FC（Punjab FC）-0.5，参考水位约0.85–0.95（十进制1.85–1.95）</x:v>
      </x:c>
      <x:c r="G1404" s="65" t="str">
        <x:v>大2.5，参考水位约0.98–1.08（十进制1.98–2.08）</x:v>
      </x:c>
      <x:c r="H1404" s="65" t="str">
        <x:v>不加仓；旁遮普FC-0.5主推，大2.5小注。比分倾向1-2/1-3/0-2；若未赛前入场，不追滚球盘。</x:v>
      </x:c>
      <x:c r="I1404" s="66" t="n">
        <x:v>46144.96349537037</x:v>
      </x:c>
      <x:c r="J1404" s="65" t="str">
        <x:v>已结算</x:v>
      </x:c>
      <x:c r="K1404" s="65" t="str">
        <x:v>0-0</x:v>
      </x:c>
      <x:c r="L1404" s="65" t="str">
        <x:v>输</x:v>
      </x:c>
      <x:c r="M1404" s="65" t="str">
        <x:v>输</x:v>
      </x:c>
      <x:c r="N1404" s="67" t="n">
        <x:v>-1</x:v>
      </x:c>
      <x:c r="O1404" s="67" t="n">
        <x:v>-1</x:v>
      </x:c>
      <x:c r="P1404" s="67" t="n">
        <x:f>IF(COUNT(N1404:O1404)=0,"",SUM(N1404:O1404))</x:f>
        <x:v>-2</x:v>
      </x:c>
      <x:c r="Q1404" s="65"/>
      <x:c r="R1404" s="65" t="str">
        <x:v>FT 0-0；旁遮普FC -0.5 输；大2.5 输。</x:v>
      </x:c>
    </x:row>
    <x:row r="1405" ht="38" customHeight="1">
      <x:c r="A1405" s="65" t="str">
        <x:f>IF(B1405="","",TEXT(B1405,"yyyy-mm-dd")&amp;"|"&amp;D1405&amp;"|"&amp;E1405)</x:f>
        <x:v>2026-05-02|霍芬海姆（TSG Hoffenheim）|斯图加特（VfB Stuttgart）</x:v>
      </x:c>
      <x:c r="B1405" s="66" t="n">
        <x:v>46144.895833333336</x:v>
      </x:c>
      <x:c r="C1405" s="65" t="str">
        <x:v>德国甲级联赛（德甲/Bundesliga）</x:v>
      </x:c>
      <x:c r="D1405" s="65" t="str">
        <x:v>霍芬海姆（TSG Hoffenheim）</x:v>
      </x:c>
      <x:c r="E1405" s="65" t="str">
        <x:v>斯图加特（VfB Stuttgart）</x:v>
      </x:c>
      <x:c r="F1405" s="65" t="str">
        <x:v>斯图加特（VfB Stuttgart）+0.25，参考水位约0.80–0.87（十进制1.80–1.87）</x:v>
      </x:c>
      <x:c r="G1405" s="65" t="str">
        <x:v>小3.5，参考水位约0.83（十进制1.83）</x:v>
      </x:c>
      <x:c r="H1405" s="65" t="str">
        <x:v>不加仓；斯图加特+0.25主推，小3.5小注。比分倾向1-1/1-2/2-1；若临场客受让跌破0.80水，或小3.5跌破0.80水，不追。</x:v>
      </x:c>
      <x:c r="I1405" s="66" t="n">
        <x:v>46144.90006944445</x:v>
      </x:c>
      <x:c r="J1405" s="65" t="str">
        <x:v>已结算</x:v>
      </x:c>
      <x:c r="K1405" s="65" t="str">
        <x:v>3-3</x:v>
      </x:c>
      <x:c r="L1405" s="65" t="str">
        <x:v>赢半</x:v>
      </x:c>
      <x:c r="M1405" s="65" t="str">
        <x:v>输</x:v>
      </x:c>
      <x:c r="N1405" s="67" t="n">
        <x:v>0.5</x:v>
      </x:c>
      <x:c r="O1405" s="67" t="n">
        <x:v>-1</x:v>
      </x:c>
      <x:c r="P1405" s="67" t="n">
        <x:f>IF(COUNT(N1405:O1405)=0,"",SUM(N1405:O1405))</x:f>
        <x:v>-0.5</x:v>
      </x:c>
      <x:c r="Q1405" s="65"/>
      <x:c r="R1405" s="65" t="str">
        <x:v>FT 3-3；斯图加特 +0.25 赢半；小3.5 输。</x:v>
      </x:c>
    </x:row>
    <x:row r="1406" ht="38" customHeight="1">
      <x:c r="A1406" s="65" t="str">
        <x:f>IF(B1406="","",TEXT(B1406,"yyyy-mm-dd")&amp;"|"&amp;D1406&amp;"|"&amp;E1406)</x:f>
        <x:v>2026-05-02|天狼星（IK Sirius）|卡尔马（Kalmar FF）</x:v>
      </x:c>
      <x:c r="B1406" s="66" t="n">
        <x:v>46144.875</x:v>
      </x:c>
      <x:c r="C1406" s="65" t="str">
        <x:v>瑞典超级联赛</x:v>
      </x:c>
      <x:c r="D1406" s="65" t="str">
        <x:v>天狼星（IK Sirius）</x:v>
      </x:c>
      <x:c r="E1406" s="65" t="str">
        <x:v>卡尔马（Kalmar FF）</x:v>
      </x:c>
      <x:c r="F1406" s="65" t="str">
        <x:v>天狼星（IK Sirius）-1.25，参考水位约0.97–1.075（十进制1.97–2.075）</x:v>
      </x:c>
      <x:c r="G1406" s="65" t="str">
        <x:v>大2.75，参考水位约0.85（十进制1.85）</x:v>
      </x:c>
      <x:c r="H1406" s="65" t="str">
        <x:v>不重仓；天狼星-1.25主推，大2.75小注跟进。比分倾向3-1/3-0/2-1；若只剩比赛进行中盘不追。</x:v>
      </x:c>
      <x:c r="I1406" s="66" t="n">
        <x:v>46144.888645833336</x:v>
      </x:c>
      <x:c r="J1406" s="65" t="str">
        <x:v>已结算</x:v>
      </x:c>
      <x:c r="K1406" s="65" t="str">
        <x:v>3-2</x:v>
      </x:c>
      <x:c r="L1406" s="65" t="str">
        <x:v>输半</x:v>
      </x:c>
      <x:c r="M1406" s="65" t="str">
        <x:v>赢</x:v>
      </x:c>
      <x:c r="N1406" s="67" t="n">
        <x:v>-0.5</x:v>
      </x:c>
      <x:c r="O1406" s="67" t="n">
        <x:v>1</x:v>
      </x:c>
      <x:c r="P1406" s="67" t="n">
        <x:f>IF(COUNT(N1406:O1406)=0,"",SUM(N1406:O1406))</x:f>
        <x:v>0.5</x:v>
      </x:c>
      <x:c r="Q1406" s="65"/>
      <x:c r="R1406" s="65" t="str">
        <x:v>FT 3-2；天狼星 -1.25 输半；大2.75 赢。</x:v>
      </x:c>
    </x:row>
    <x:row r="1407" ht="38" customHeight="1">
      <x:c r="A1407" s="65" t="str">
        <x:f>IF(B1407="","",TEXT(B1407,"yyyy-mm-dd")&amp;"|"&amp;D1407&amp;"|"&amp;E1407)</x:f>
        <x:v>2026-05-02|代格福什（Degerfors IF）|赫根（BK Häcken）</x:v>
      </x:c>
      <x:c r="B1407" s="66" t="n">
        <x:v>46144.875</x:v>
      </x:c>
      <x:c r="C1407" s="65" t="str">
        <x:v>瑞典超级联赛</x:v>
      </x:c>
      <x:c r="D1407" s="65" t="str">
        <x:v>代格福什（Degerfors IF）</x:v>
      </x:c>
      <x:c r="E1407" s="65" t="str">
        <x:v>赫根（BK Häcken）</x:v>
      </x:c>
      <x:c r="F1407" s="65" t="str">
        <x:v>赫根（BK Häcken）-0.25，参考水位约0.95–1.05（十进制1.95–2.05）</x:v>
      </x:c>
      <x:c r="G1407" s="65" t="str">
        <x:v>大2.5，参考水位约0.82–0.93（十进制1.82–1.93）</x:v>
      </x:c>
      <x:c r="H1407" s="65" t="str">
        <x:v>赫根-0.25主推，小注；大2.5可跟小注，不加仓。比分倾向1-2/2-2/0-2；若临场升到赫根-0.5或大球跌破0.80水不追。</x:v>
      </x:c>
      <x:c r="I1407" s="66" t="n">
        <x:v>46144.88211805555</x:v>
      </x:c>
      <x:c r="J1407" s="65" t="str">
        <x:v>已结算</x:v>
      </x:c>
      <x:c r="K1407" s="65" t="str">
        <x:v>1-1</x:v>
      </x:c>
      <x:c r="L1407" s="65" t="str">
        <x:v>输半</x:v>
      </x:c>
      <x:c r="M1407" s="65" t="str">
        <x:v>输</x:v>
      </x:c>
      <x:c r="N1407" s="67" t="n">
        <x:v>-0.5</x:v>
      </x:c>
      <x:c r="O1407" s="67" t="n">
        <x:v>-1</x:v>
      </x:c>
      <x:c r="P1407" s="67" t="n">
        <x:f>IF(COUNT(N1407:O1407)=0,"",SUM(N1407:O1407))</x:f>
        <x:v>-1.5</x:v>
      </x:c>
      <x:c r="Q1407" s="65"/>
      <x:c r="R1407" s="65" t="str">
        <x:v>FT 1-1；赫根 -0.25 输半；大2.5 输。</x:v>
      </x:c>
    </x:row>
    <x:row r="1408" ht="38" customHeight="1">
      <x:c r="A1408" s="65" t="str">
        <x:f>IF(B1408="","",TEXT(B1408,"yyyy-mm-dd")&amp;"|"&amp;D1408&amp;"|"&amp;E1408)</x:f>
        <x:v>2026-05-02|乌迪内斯（Udinese）|都灵（Torino）</x:v>
      </x:c>
      <x:c r="B1408" s="66" t="n">
        <x:v>46144.875</x:v>
      </x:c>
      <x:c r="C1408" s="65" t="str">
        <x:v>意大利甲级联赛（Serie A）</x:v>
      </x:c>
      <x:c r="D1408" s="65" t="str">
        <x:v>乌迪内斯（Udinese）</x:v>
      </x:c>
      <x:c r="E1408" s="65" t="str">
        <x:v>都灵（Torino）</x:v>
      </x:c>
      <x:c r="F1408" s="65" t="str">
        <x:v>都灵（Torino）+0.5，参考水位约0.80–0.81（欧赔1.80–1.81）</x:v>
      </x:c>
      <x:c r="G1408" s="65" t="str">
        <x:v>大2.5，参考水位约1.10–1.14（欧赔2.10–2.14）</x:v>
      </x:c>
      <x:c r="H1408" s="65" t="str">
        <x:v>都灵+0.5为主；大2.5只做高水小注，不加仓。比分倾向1-1/1-2/2-2；若都灵+0.5跌破0.78水或大小升到2.75不追。</x:v>
      </x:c>
      <x:c r="I1408" s="66" t="n">
        <x:v>46144.86371527778</x:v>
      </x:c>
      <x:c r="J1408" s="65" t="str">
        <x:v>已结算</x:v>
      </x:c>
      <x:c r="K1408" s="65" t="str">
        <x:v>2-0</x:v>
      </x:c>
      <x:c r="L1408" s="65" t="str">
        <x:v>输</x:v>
      </x:c>
      <x:c r="M1408" s="65" t="str">
        <x:v>输</x:v>
      </x:c>
      <x:c r="N1408" s="67" t="n">
        <x:v>-1</x:v>
      </x:c>
      <x:c r="O1408" s="67" t="n">
        <x:v>-1</x:v>
      </x:c>
      <x:c r="P1408" s="67" t="n">
        <x:f>IF(COUNT(N1408:O1408)=0,"",SUM(N1408:O1408))</x:f>
        <x:v>-2</x:v>
      </x:c>
      <x:c r="Q1408" s="65"/>
      <x:c r="R1408" s="65" t="str">
        <x:v>FT 2-0；都灵 +0.5 输；大2.5 输。</x:v>
      </x:c>
    </x:row>
    <x:row r="1409" ht="38" customHeight="1">
      <x:c r="A1409" s="65" t="str">
        <x:f>IF(B1409="","",TEXT(B1409,"yyyy-mm-dd")&amp;"|"&amp;D1409&amp;"|"&amp;E1409)</x:f>
        <x:v>2026-05-02|马鲁特联（Malut United FC）|佩斯索罗（Persis Solo FC）</x:v>
      </x:c>
      <x:c r="B1409" s="66" t="n">
        <x:v>46144.833333333336</x:v>
      </x:c>
      <x:c r="C1409" s="65" t="str">
        <x:v>印度尼西亚超级联赛（印尼超/Liga 1 Indonesia）</x:v>
      </x:c>
      <x:c r="D1409" s="65" t="str">
        <x:v>马鲁特联（Malut United FC）</x:v>
      </x:c>
      <x:c r="E1409" s="65" t="str">
        <x:v>佩斯索罗（Persis Solo FC）</x:v>
      </x:c>
      <x:c r="F1409" s="65" t="str">
        <x:v>马鲁特联（Malut United FC）-1.25，参考水位约0.92–1.12（十进制1.92–2.12）</x:v>
      </x:c>
      <x:c r="G1409" s="65" t="str">
        <x:v>大3.0，参考水位约0.80–0.83（十进制1.80–1.83）</x:v>
      </x:c>
      <x:c r="H1409" s="65" t="str">
        <x:v>不加仓；马鲁特联-1.25小注，大3.0更稳一些。比分倾向3-1/3-0/2-1；若只剩滚球盘或大3低于0.78水，不追。</x:v>
      </x:c>
      <x:c r="I1409" s="66" t="n">
        <x:v>46144.90715277778</x:v>
      </x:c>
      <x:c r="J1409" s="65" t="str">
        <x:v>已结算</x:v>
      </x:c>
      <x:c r="K1409" s="65" t="str">
        <x:v>5-2</x:v>
      </x:c>
      <x:c r="L1409" s="65" t="str">
        <x:v>赢</x:v>
      </x:c>
      <x:c r="M1409" s="65" t="str">
        <x:v>赢</x:v>
      </x:c>
      <x:c r="N1409" s="67" t="n">
        <x:v>1</x:v>
      </x:c>
      <x:c r="O1409" s="67" t="n">
        <x:v>1</x:v>
      </x:c>
      <x:c r="P1409" s="67" t="n">
        <x:f>IF(COUNT(N1409:O1409)=0,"",SUM(N1409:O1409))</x:f>
        <x:v>2</x:v>
      </x:c>
      <x:c r="Q1409" s="65"/>
      <x:c r="R1409" s="65" t="str">
        <x:v>FT 5-2；马鲁特联 -1.25 赢；大3.0 赢。</x:v>
      </x:c>
    </x:row>
    <x:row r="1410" ht="38" customHeight="1">
      <x:c r="A1410" s="65" t="str">
        <x:f>IF(B1410="","",TEXT(B1410,"yyyy-mm-dd")&amp;"|"&amp;D1410&amp;"|"&amp;E1410)</x:f>
        <x:v>2026-05-02|东北联（NorthEast United FC）|喀什国际（Inter Kashi FC）</x:v>
      </x:c>
      <x:c r="B1410" s="66" t="n">
        <x:v>46144.8125</x:v>
      </x:c>
      <x:c r="C1410" s="65" t="str">
        <x:v>印度超级联赛（Indian Super League）</x:v>
      </x:c>
      <x:c r="D1410" s="65" t="str">
        <x:v>东北联（NorthEast United FC）</x:v>
      </x:c>
      <x:c r="E1410" s="65" t="str">
        <x:v>喀什国际（Inter Kashi FC）</x:v>
      </x:c>
      <x:c r="F1410" s="65" t="str">
        <x:v>东北联（NorthEast United FC）-0.5，参考水位约1.80–2.23</x:v>
      </x:c>
      <x:c r="G1410" s="65" t="str">
        <x:v>大2.5，参考水位约1.92</x:v>
      </x:c>
      <x:c r="H1410" s="65" t="str">
        <x:v>不加仓；东北联-0.5小注优先，大2.5仅作高水小注。比分倾向2-1/1-0/2-0；若临场主让低于0.80水或升到-0.75不追。</x:v>
      </x:c>
      <x:c r="I1410" s="66" t="n">
        <x:v>46144.838113425925</x:v>
      </x:c>
      <x:c r="J1410" s="65" t="str">
        <x:v>已结算</x:v>
      </x:c>
      <x:c r="K1410" s="65" t="str">
        <x:v>3-2</x:v>
      </x:c>
      <x:c r="L1410" s="65" t="str">
        <x:v>赢</x:v>
      </x:c>
      <x:c r="M1410" s="65" t="str">
        <x:v>赢</x:v>
      </x:c>
      <x:c r="N1410" s="67" t="n">
        <x:v>1</x:v>
      </x:c>
      <x:c r="O1410" s="67" t="n">
        <x:v>1</x:v>
      </x:c>
      <x:c r="P1410" s="67" t="n">
        <x:f>IF(COUNT(N1410:O1410)=0,"",SUM(N1410:O1410))</x:f>
        <x:v>2</x:v>
      </x:c>
      <x:c r="Q1410" s="65"/>
      <x:c r="R1410" s="65" t="str">
        <x:v>FT 3-2；东北联 -0.5 赢；大2.5 赢。</x:v>
      </x:c>
    </x:row>
    <x:row r="1411" ht="38" customHeight="1">
      <x:c r="A1411" s="65" t="str">
        <x:f>IF(B1411="","",TEXT(B1411,"yyyy-mm-dd")&amp;"|"&amp;D1411&amp;"|"&amp;E1411)</x:f>
        <x:v>2026-05-02|德累斯顿迪纳摩（Dynamo Dresden）|凯泽斯劳滕（1. FC Kaiserslautern）</x:v>
      </x:c>
      <x:c r="B1411" s="66" t="n">
        <x:v>46144.791666666664</x:v>
      </x:c>
      <x:c r="C1411" s="65" t="str">
        <x:v>德国乙级联赛（2. Bundesliga）</x:v>
      </x:c>
      <x:c r="D1411" s="65" t="str">
        <x:v>德累斯顿迪纳摩（Dynamo Dresden）</x:v>
      </x:c>
      <x:c r="E1411" s="65" t="str">
        <x:v>凯泽斯劳滕（1. FC Kaiserslautern）</x:v>
      </x:c>
      <x:c r="F1411" s="65" t="str">
        <x:v>德累斯顿迪纳摩（Dynamo Dresden）-0.75，参考水位约0.95</x:v>
      </x:c>
      <x:c r="G1411" s="65" t="str">
        <x:v>小3.0，参考水位约0.90</x:v>
      </x:c>
      <x:c r="H1411" s="65" t="str">
        <x:v>德累斯顿-0.75为主；小3.0小注。比分倾向2-0/2-1/1-0；若临场只剩主-1且水位低于0.85，不追深盘。</x:v>
      </x:c>
      <x:c r="I1411" s="66" t="n">
        <x:v>46144.79666666667</x:v>
      </x:c>
      <x:c r="J1411" s="65" t="str">
        <x:v>已结算</x:v>
      </x:c>
      <x:c r="K1411" s="65" t="str">
        <x:v>1-0</x:v>
      </x:c>
      <x:c r="L1411" s="65" t="str">
        <x:v>赢半</x:v>
      </x:c>
      <x:c r="M1411" s="65" t="str">
        <x:v>赢</x:v>
      </x:c>
      <x:c r="N1411" s="67" t="n">
        <x:v>0.5</x:v>
      </x:c>
      <x:c r="O1411" s="67" t="n">
        <x:v>1</x:v>
      </x:c>
      <x:c r="P1411" s="67" t="n">
        <x:f>IF(COUNT(N1411:O1411)=0,"",SUM(N1411:O1411))</x:f>
        <x:v>1.5</x:v>
      </x:c>
      <x:c r="Q1411" s="65"/>
      <x:c r="R1411" s="65" t="str">
        <x:v>FT 1-0；德累斯顿迪纳摩 -0.75 赢半；小3.0 赢。</x:v>
      </x:c>
    </x:row>
    <x:row r="1412" ht="38" customHeight="1">
      <x:c r="A1412" s="65" t="str">
        <x:f>IF(B1412="","",TEXT(B1412,"yyyy-mm-dd")&amp;"|"&amp;D1412&amp;"|"&amp;E1412)</x:f>
        <x:v>2026-05-02|荷尔斯泰因基尔（Holstein Kiel）|布伦瑞克（Eintracht Braunschweig）</x:v>
      </x:c>
      <x:c r="B1412" s="66" t="n">
        <x:v>46144.791666666664</x:v>
      </x:c>
      <x:c r="C1412" s="65" t="str">
        <x:v>德国乙级联赛（2. Bundesliga）</x:v>
      </x:c>
      <x:c r="D1412" s="65" t="str">
        <x:v>荷尔斯泰因基尔（Holstein Kiel）</x:v>
      </x:c>
      <x:c r="E1412" s="65" t="str">
        <x:v>布伦瑞克（Eintracht Braunschweig）</x:v>
      </x:c>
      <x:c r="F1412" s="65" t="str">
        <x:v>荷尔斯泰因基尔（Holstein Kiel）-0.25，参考水位约0.83–0.89</x:v>
      </x:c>
      <x:c r="G1412" s="65" t="str">
        <x:v>小2.5，参考水位约1.07</x:v>
      </x:c>
      <x:c r="H1412" s="65" t="str">
        <x:v>基尔-0.25为主；小2.5小注。比分倾向1-0/1-1/2-0；若主-0.25低于0.80不追，若只剩主-0.5且水位≥1.00才可少量跟进。</x:v>
      </x:c>
      <x:c r="I1412" s="66" t="n">
        <x:v>46144.79273148148</x:v>
      </x:c>
      <x:c r="J1412" s="65" t="str">
        <x:v>已结算</x:v>
      </x:c>
      <x:c r="K1412" s="65" t="str">
        <x:v>2-0</x:v>
      </x:c>
      <x:c r="L1412" s="65" t="str">
        <x:v>赢</x:v>
      </x:c>
      <x:c r="M1412" s="65" t="str">
        <x:v>赢</x:v>
      </x:c>
      <x:c r="N1412" s="67" t="n">
        <x:v>1</x:v>
      </x:c>
      <x:c r="O1412" s="67" t="n">
        <x:v>1</x:v>
      </x:c>
      <x:c r="P1412" s="67" t="n">
        <x:f>IF(COUNT(N1412:O1412)=0,"",SUM(N1412:O1412))</x:f>
        <x:v>2</x:v>
      </x:c>
      <x:c r="Q1412" s="65"/>
      <x:c r="R1412" s="65" t="str">
        <x:v>FT 2-0；荷尔斯泰因基尔 -0.25 赢；小2.5 赢。</x:v>
      </x:c>
    </x:row>
    <x:row r="1413" ht="38" customHeight="1">
      <x:c r="A1413" s="65" t="str">
        <x:f>IF(B1413="","",TEXT(B1413,"yyyy-mm-dd")&amp;"|"&amp;D1413&amp;"|"&amp;E1413)</x:f>
        <x:v>2026-05-02|比勒菲尔德（Arminia Bielefeld）|波鸿（VfL Bochum）</x:v>
      </x:c>
      <x:c r="B1413" s="66" t="n">
        <x:v>46144.791666666664</x:v>
      </x:c>
      <x:c r="C1413" s="65" t="str">
        <x:v>德国乙级联赛（2. Bundesliga）</x:v>
      </x:c>
      <x:c r="D1413" s="65" t="str">
        <x:v>比勒菲尔德（Arminia Bielefeld）</x:v>
      </x:c>
      <x:c r="E1413" s="65" t="str">
        <x:v>波鸿（VfL Bochum）</x:v>
      </x:c>
      <x:c r="F1413" s="65" t="str">
        <x:v>波鸿（VfL Bochum）+0.5，参考水位约0.85</x:v>
      </x:c>
      <x:c r="G1413" s="65" t="str">
        <x:v>大3.0，参考水位约1.05</x:v>
      </x:c>
      <x:c r="H1413" s="65" t="str">
        <x:v>波鸿+0.5为主；大3.0小注。比分倾向1-1/2-2/1-2；若临场波鸿+0.5低于0.80不追，若大球只剩2.5低水也不追。</x:v>
      </x:c>
      <x:c r="I1413" s="66" t="n">
        <x:v>46144.79046296296</x:v>
      </x:c>
      <x:c r="J1413" s="65" t="str">
        <x:v>已结算</x:v>
      </x:c>
      <x:c r="K1413" s="65" t="str">
        <x:v>1-1</x:v>
      </x:c>
      <x:c r="L1413" s="65" t="str">
        <x:v>赢</x:v>
      </x:c>
      <x:c r="M1413" s="65" t="str">
        <x:v>输</x:v>
      </x:c>
      <x:c r="N1413" s="67" t="n">
        <x:v>1</x:v>
      </x:c>
      <x:c r="O1413" s="67" t="n">
        <x:v>-1</x:v>
      </x:c>
      <x:c r="P1413" s="67" t="n">
        <x:f>IF(COUNT(N1413:O1413)=0,"",SUM(N1413:O1413))</x:f>
        <x:v>0</x:v>
      </x:c>
      <x:c r="Q1413" s="65"/>
      <x:c r="R1413" s="65" t="str">
        <x:v>FT 1-1；波鸿 +0.5 赢；大3.0 输。</x:v>
      </x:c>
    </x:row>
    <x:row r="1414" ht="38" customHeight="1">
      <x:c r="A1414" s="65" t="str">
        <x:f>IF(B1414="","",TEXT(B1414,"yyyy-mm-dd")&amp;"|"&amp;D1414&amp;"|"&amp;E1414)</x:f>
        <x:v>2026-05-02|安养FC（FC Anyang）|富川FC 1995（Bucheon FC 1995）</x:v>
      </x:c>
      <x:c r="B1414" s="66" t="n">
        <x:v>46144.75</x:v>
      </x:c>
      <x:c r="C1414" s="65" t="str">
        <x:v>韩国K联赛1（K League 1）</x:v>
      </x:c>
      <x:c r="D1414" s="65" t="str">
        <x:v>安养FC（FC Anyang）</x:v>
      </x:c>
      <x:c r="E1414" s="65" t="str">
        <x:v>富川FC 1995（Bucheon FC 1995）</x:v>
      </x:c>
      <x:c r="F1414" s="65" t="str">
        <x:v>安养FC -0.5，参考水位约1.90</x:v>
      </x:c>
      <x:c r="G1414" s="65" t="str">
        <x:v>大2.5，参考水位约2.10–2.30</x:v>
      </x:c>
      <x:c r="H1414" s="65" t="str">
        <x:v>主推安养FC-0.5；大小球只做高水小注，不碰低水小2.5。比分倾向2-1/2-0/3-1。若大球水位跌破1.85或盘口升到2.75，不追大。</x:v>
      </x:c>
      <x:c r="I1414" s="66" t="n">
        <x:v>46144.753113425926</x:v>
      </x:c>
      <x:c r="J1414" s="65" t="str">
        <x:v>已结算</x:v>
      </x:c>
      <x:c r="K1414" s="65" t="str">
        <x:v>0-1</x:v>
      </x:c>
      <x:c r="L1414" s="65" t="str">
        <x:v>输</x:v>
      </x:c>
      <x:c r="M1414" s="65" t="str">
        <x:v>输</x:v>
      </x:c>
      <x:c r="N1414" s="67" t="n">
        <x:v>-1</x:v>
      </x:c>
      <x:c r="O1414" s="67" t="n">
        <x:v>-1</x:v>
      </x:c>
      <x:c r="P1414" s="67" t="n">
        <x:f>IF(COUNT(N1414:O1414)=0,"",SUM(N1414:O1414))</x:f>
        <x:v>-2</x:v>
      </x:c>
      <x:c r="Q1414" s="65"/>
      <x:c r="R1414" s="65" t="str">
        <x:v>FT 0-1；安养FC -0.5 输；大2.5 输。</x:v>
      </x:c>
    </x:row>
    <x:row r="1415" ht="38" customHeight="1">
      <x:c r="A1415" s="65" t="str">
        <x:f>IF(B1415="","",TEXT(B1415,"yyyy-mm-dd")&amp;"|"&amp;D1415&amp;"|"&amp;E1415)</x:f>
        <x:v>2026-05-02|墨尔本胜利（Melbourne Victory）|悉尼FC（Sydney FC）</x:v>
      </x:c>
      <x:c r="B1415" s="66" t="n">
        <x:v>46144.73611111111</x:v>
      </x:c>
      <x:c r="C1415" s="65" t="str">
        <x:v>澳大利亚A联赛（A-League Men）</x:v>
      </x:c>
      <x:c r="D1415" s="65" t="str">
        <x:v>墨尔本胜利（Melbourne Victory）</x:v>
      </x:c>
      <x:c r="E1415" s="65" t="str">
        <x:v>悉尼FC（Sydney FC）</x:v>
      </x:c>
      <x:c r="F1415" s="65" t="str">
        <x:v>墨尔本胜利 -0.5，参考水位约0.96</x:v>
      </x:c>
      <x:c r="G1415" s="65" t="str">
        <x:v>小2.5，参考水位约1.30</x:v>
      </x:c>
      <x:c r="H1415" s="65" t="str">
        <x:v>小2.5为主；墨尔本胜利-0.5小注。比分倾向1-0/2-0/2-1；若临场大小升到2.75可继续看小，若主让升到-0.75不追让球。</x:v>
      </x:c>
      <x:c r="I1415" s="66" t="n">
        <x:v>46144.739583333336</x:v>
      </x:c>
      <x:c r="J1415" s="65" t="str">
        <x:v>已结算</x:v>
      </x:c>
      <x:c r="K1415" s="65" t="str">
        <x:v>0-1</x:v>
      </x:c>
      <x:c r="L1415" s="65" t="str">
        <x:v>输</x:v>
      </x:c>
      <x:c r="M1415" s="65" t="str">
        <x:v>赢</x:v>
      </x:c>
      <x:c r="N1415" s="67" t="n">
        <x:v>-1</x:v>
      </x:c>
      <x:c r="O1415" s="67" t="n">
        <x:v>1</x:v>
      </x:c>
      <x:c r="P1415" s="67" t="n">
        <x:f>IF(COUNT(N1415:O1415)=0,"",SUM(N1415:O1415))</x:f>
        <x:v>0</x:v>
      </x:c>
      <x:c r="Q1415" s="65"/>
      <x:c r="R1415" s="65" t="str">
        <x:v>FT 0-1；墨尔本胜利 -0.5 输；小2.5 赢。</x:v>
      </x:c>
    </x:row>
    <x:row r="1416" ht="38" customHeight="1">
      <x:c r="A1416" s="65" t="str">
        <x:f>IF(B1416="","",TEXT(B1416,"yyyy-mm-dd")&amp;"|"&amp;D1416&amp;"|"&amp;E1416)</x:f>
        <x:v>2026-05-02|帕尔斯巴亚（Persebaya Surabaya）|巴克伦佛（PSBS Biak Numfor）</x:v>
      </x:c>
      <x:c r="B1416" s="66" t="n">
        <x:v>46144.6875</x:v>
      </x:c>
      <x:c r="C1416" s="65" t="str">
        <x:v>印度尼西亚超级联赛（印尼超/Liga 1 Indonesia）</x:v>
      </x:c>
      <x:c r="D1416" s="65" t="str">
        <x:v>帕尔斯巴亚（Persebaya Surabaya）</x:v>
      </x:c>
      <x:c r="E1416" s="65" t="str">
        <x:v>巴克伦佛（PSBS Biak Numfor）</x:v>
      </x:c>
      <x:c r="F1416" s="65" t="str">
        <x:v>巴克伦佛（PSBS Biak Numfor）+3.75，参考水位约0.875</x:v>
      </x:c>
      <x:c r="G1416" s="65" t="str">
        <x:v>小4.75，参考水位约0.85</x:v>
      </x:c>
      <x:c r="H1416" s="65" t="str">
        <x:v>小4.75为主；巴克伦佛+3.75可小注。比分倾向3-0/4-0边缘；若临场退到4.5以下不追小。</x:v>
      </x:c>
      <x:c r="I1416" s="66" t="n">
        <x:v>46144.66844907407</x:v>
      </x:c>
      <x:c r="J1416" s="65" t="str">
        <x:v>已结算</x:v>
      </x:c>
      <x:c r="K1416" s="65" t="str">
        <x:v>4-0</x:v>
      </x:c>
      <x:c r="L1416" s="65" t="str">
        <x:v>输半</x:v>
      </x:c>
      <x:c r="M1416" s="65" t="str">
        <x:v>赢</x:v>
      </x:c>
      <x:c r="N1416" s="67" t="n">
        <x:v>-0.5</x:v>
      </x:c>
      <x:c r="O1416" s="67" t="n">
        <x:v>1</x:v>
      </x:c>
      <x:c r="P1416" s="67" t="n">
        <x:f>IF(COUNT(N1416:O1416)=0,"",SUM(N1416:O1416))</x:f>
        <x:v>0.5</x:v>
      </x:c>
      <x:c r="Q1416" s="65"/>
      <x:c r="R1416" s="65" t="str">
        <x:v>FT 4-0；巴克伦佛 +3.75 输半；小4.75 赢。</x:v>
      </x:c>
    </x:row>
    <x:row r="1417" ht="38" customHeight="1">
      <x:c r="A1417" s="65" t="str">
        <x:f>IF(B1417="","",TEXT(B1417,"yyyy-mm-dd")&amp;"|"&amp;D1417&amp;"|"&amp;E1417)</x:f>
        <x:v>2026-05-02|北鹰阳光U23（North Sunshine Eagles U23）|布琳狮子U23（FC Bulleen Lions U23）</x:v>
      </x:c>
      <x:c r="B1417" s="66" t="n">
        <x:v>46144.65625</x:v>
      </x:c>
      <x:c r="C1417" s="65" t="str">
        <x:v>澳大利亚 维多利亚州超1 U23</x:v>
      </x:c>
      <x:c r="D1417" s="65" t="str">
        <x:v>北鹰阳光U23（North Sunshine Eagles U23）</x:v>
      </x:c>
      <x:c r="E1417" s="65" t="str">
        <x:v>布琳狮子U23（FC Bulleen Lions U23）</x:v>
      </x:c>
      <x:c r="F1417" s="65" t="str">
        <x:v>布琳狮子U23 -3.5（2.31，约1.31水）</x:v>
      </x:c>
      <x:c r="G1417" s="65" t="str">
        <x:v>大 4.5（1.80，约0.80水）</x:v>
      </x:c>
      <x:c r="H1417" s="65" t="str">
        <x:v>不加仓；若布琳狮子-3.5降到2.05以下或大4.5低于1.80则放弃</x:v>
      </x:c>
      <x:c r="I1417" s="66" t="n">
        <x:v>46144.644282407404</x:v>
      </x:c>
      <x:c r="J1417" s="65" t="str">
        <x:v>已结算</x:v>
      </x:c>
      <x:c r="K1417" s="65" t="str">
        <x:v>0-6</x:v>
      </x:c>
      <x:c r="L1417" s="65" t="str">
        <x:v>赢</x:v>
      </x:c>
      <x:c r="M1417" s="65" t="str">
        <x:v>赢</x:v>
      </x:c>
      <x:c r="N1417" s="67" t="n">
        <x:v>1</x:v>
      </x:c>
      <x:c r="O1417" s="67" t="n">
        <x:v>1</x:v>
      </x:c>
      <x:c r="P1417" s="67" t="n">
        <x:f>IF(COUNT(N1417:O1417)=0,"",SUM(N1417:O1417))</x:f>
        <x:v>2</x:v>
      </x:c>
      <x:c r="Q1417" s="65"/>
      <x:c r="R1417" s="65" t="str">
        <x:v>FT 0-6；布琳狮子U23 -3.5 赢；大4.5 赢。</x:v>
      </x:c>
    </x:row>
    <x:row r="1418" ht="38" customHeight="1">
      <x:c r="A1418" s="65" t="str">
        <x:f>IF(B1418="","",TEXT(B1418,"yyyy-mm-dd")&amp;"|"&amp;D1418&amp;"|"&amp;E1418)</x:f>
        <x:v>2026-05-02|济州联（Jeju SK FC）|全北现代（Jeonbuk Hyundai Motors）</x:v>
      </x:c>
      <x:c r="B1418" s="66" t="n">
        <x:v>46144.645833333336</x:v>
      </x:c>
      <x:c r="C1418" s="65" t="str">
        <x:v>韩国K联赛1（K League 1）</x:v>
      </x:c>
      <x:c r="D1418" s="65" t="str">
        <x:v>济州联（Jeju SK FC）</x:v>
      </x:c>
      <x:c r="E1418" s="65" t="str">
        <x:v>全北现代（Jeonbuk Hyundai Motors）</x:v>
      </x:c>
      <x:c r="F1418" s="65" t="str">
        <x:v>济州联 +0.5（-114，约1.88/0.88水）</x:v>
      </x:c>
      <x:c r="G1418" s="65" t="str">
        <x:v>小 2/2.5（小2.25，需≥0.85水；若只有小2.5且低于0.80水则放弃）</x:v>
      </x:c>
      <x:c r="H1418" s="65" t="str">
        <x:v>不加仓；若济州+0.5跌破0.80水或小2.25低于0.85水放弃</x:v>
      </x:c>
      <x:c r="I1418" s="66" t="n">
        <x:v>46144.639814814815</x:v>
      </x:c>
      <x:c r="J1418" s="65" t="str">
        <x:v>已结算</x:v>
      </x:c>
      <x:c r="K1418" s="65" t="str">
        <x:v>0-2</x:v>
      </x:c>
      <x:c r="L1418" s="65" t="str">
        <x:v>输</x:v>
      </x:c>
      <x:c r="M1418" s="65" t="str">
        <x:v>赢半</x:v>
      </x:c>
      <x:c r="N1418" s="67" t="n">
        <x:v>-1</x:v>
      </x:c>
      <x:c r="O1418" s="67" t="n">
        <x:v>0.5</x:v>
      </x:c>
      <x:c r="P1418" s="67" t="n">
        <x:f>IF(COUNT(N1418:O1418)=0,"",SUM(N1418:O1418))</x:f>
        <x:v>-0.5</x:v>
      </x:c>
      <x:c r="Q1418" s="65"/>
      <x:c r="R1418" s="65" t="str">
        <x:v>FT 0-2；济州联 +0.5 输；小2.25 赢半。</x:v>
      </x:c>
    </x:row>
    <x:row r="1419" ht="38" customHeight="1">
      <x:c r="A1419" s="65" t="str">
        <x:f>IF(B1419="","",TEXT(B1419,"yyyy-mm-dd")&amp;"|"&amp;D1419&amp;"|"&amp;E1419)</x:f>
        <x:v>2026-05-02|SD公鹿（SD Raiders FC）|莱卡特老虎（APIA Leichhardt Tigers）</x:v>
      </x:c>
      <x:c r="B1419" s="66" t="n">
        <x:v>46144.625</x:v>
      </x:c>
      <x:c r="C1419" s="65" t="str">
        <x:v>澳大利亚 维多利亚州超级联赛1（VPL1）</x:v>
      </x:c>
      <x:c r="D1419" s="65" t="str">
        <x:v>SD公鹿（SD Raiders FC）</x:v>
      </x:c>
      <x:c r="E1419" s="65" t="str">
        <x:v>莱卡特老虎（APIA Leichhardt Tigers）</x:v>
      </x:c>
      <x:c r="F1419" s="65" t="str">
        <x:v>莱卡特老虎 -1（13/14，约1.93/0.93水）</x:v>
      </x:c>
      <x:c r="G1419" s="65" t="str">
        <x:v>大 3.5（7/6或约1.95–2.17区间，水位合格）</x:v>
      </x:c>
      <x:c r="H1419" s="65" t="str">
        <x:v>不加仓；若莱卡特-1跌破0.80水或大3.5跌破1.80则放弃</x:v>
      </x:c>
      <x:c r="I1419" s="66" t="n">
        <x:v>46144.63263888889</x:v>
      </x:c>
      <x:c r="J1419" s="65" t="str">
        <x:v>已结算</x:v>
      </x:c>
      <x:c r="K1419" s="65" t="str">
        <x:v>2-3</x:v>
      </x:c>
      <x:c r="L1419" s="65" t="str">
        <x:v>走水</x:v>
      </x:c>
      <x:c r="M1419" s="65" t="str">
        <x:v>赢</x:v>
      </x:c>
      <x:c r="N1419" s="67" t="n">
        <x:v>0</x:v>
      </x:c>
      <x:c r="O1419" s="67" t="n">
        <x:v>1</x:v>
      </x:c>
      <x:c r="P1419" s="67" t="n">
        <x:f>IF(COUNT(N1419:O1419)=0,"",SUM(N1419:O1419))</x:f>
        <x:v>1</x:v>
      </x:c>
      <x:c r="Q1419" s="65"/>
      <x:c r="R1419" s="65" t="str">
        <x:v>FT 2-3；莱卡特老虎 -1 走水；大3.5 赢。</x:v>
      </x:c>
    </x:row>
    <x:row r="1420" ht="38" customHeight="1">
      <x:c r="A1420" s="65" t="str">
        <x:f>IF(B1420="","",TEXT(B1420,"yyyy-mm-dd")&amp;"|"&amp;D1420&amp;"|"&amp;E1420)</x:f>
        <x:v>2026-05-02|京都不死鸟（Kyoto Sanga）|清水心跳（Shimizu S-Pulse）</x:v>
      </x:c>
      <x:c r="B1420" s="66" t="n">
        <x:v>46144.54375</x:v>
      </x:c>
      <x:c r="C1420" s="65" t="str">
        <x:v>日职联（J1 League）</x:v>
      </x:c>
      <x:c r="D1420" s="65" t="str">
        <x:v>京都不死鸟（Kyoto Sanga）</x:v>
      </x:c>
      <x:c r="E1420" s="65" t="str">
        <x:v>清水心跳（Shimizu S-Pulse）</x:v>
      </x:c>
      <x:c r="F1420" s="65" t="str">
        <x:v>京都不死鸟 -0.5（2.00左右，约1.00水）</x:v>
      </x:c>
      <x:c r="G1420" s="65" t="str">
        <x:v>大 2.5（1.90左右，约0.90水）</x:v>
      </x:c>
      <x:c r="H1420" s="65" t="str">
        <x:v>不加仓；若京都-0.5降到0.85水以下或大2.5降到0.85水以下则放弃</x:v>
      </x:c>
      <x:c r="I1420" s="66" t="n">
        <x:v>46144.46671296296</x:v>
      </x:c>
      <x:c r="J1420" s="65" t="str">
        <x:v>已结算</x:v>
      </x:c>
      <x:c r="K1420" s="65" t="str">
        <x:v>1-2</x:v>
      </x:c>
      <x:c r="L1420" s="65" t="str">
        <x:v>输</x:v>
      </x:c>
      <x:c r="M1420" s="65" t="str">
        <x:v>赢</x:v>
      </x:c>
      <x:c r="N1420" s="67" t="n">
        <x:v>-1</x:v>
      </x:c>
      <x:c r="O1420" s="67" t="n">
        <x:v>1</x:v>
      </x:c>
      <x:c r="P1420" s="67" t="n">
        <x:f>IF(COUNT(N1420:O1420)=0,"",SUM(N1420:O1420))</x:f>
        <x:v>0</x:v>
      </x:c>
      <x:c r="Q1420" s="65"/>
      <x:c r="R1420" s="65" t="str">
        <x:v>FT 1-2；京都不死鸟 -0.5 输；大2.5 赢。</x:v>
      </x:c>
    </x:row>
    <x:row r="1421" ht="38" customHeight="1">
      <x:c r="A1421" s="65" t="str">
        <x:f>IF(B1421="","",TEXT(B1421,"yyyy-mm-dd")&amp;"|"&amp;D1421&amp;"|"&amp;E1421)</x:f>
        <x:v>2026-05-02|奥克兰FC（Auckland FC）|墨尔本城（Melbourne City FC）</x:v>
      </x:c>
      <x:c r="B1421" s="66" t="n">
        <x:v>46144.541666666664</x:v>
      </x:c>
      <x:c r="C1421" s="65" t="str">
        <x:v>澳大利亚A联赛（A-League Men）</x:v>
      </x:c>
      <x:c r="D1421" s="65" t="str">
        <x:v>奥克兰FC（Auckland FC）</x:v>
      </x:c>
      <x:c r="E1421" s="65" t="str">
        <x:v>墨尔本城（Melbourne City FC）</x:v>
      </x:c>
      <x:c r="F1421" s="65" t="str">
        <x:v>墨尔本城 +0.25（-118，约1.85/0.85水）</x:v>
      </x:c>
      <x:c r="G1421" s="65" t="str">
        <x:v>大 2.5（-114，约1.88/0.88水）</x:v>
      </x:c>
      <x:c r="H1421" s="65" t="str">
        <x:v>不加仓；若墨尔本城+0.25跌破0.80水则改看不下，若大2.5跌破0.82水放弃大小球</x:v>
      </x:c>
      <x:c r="I1421" s="66" t="n">
        <x:v>46144.51844907407</x:v>
      </x:c>
      <x:c r="J1421" s="65" t="str">
        <x:v>已结算</x:v>
      </x:c>
      <x:c r="K1421" s="65" t="str">
        <x:v>1-1</x:v>
      </x:c>
      <x:c r="L1421" s="65" t="str">
        <x:v>赢半</x:v>
      </x:c>
      <x:c r="M1421" s="65" t="str">
        <x:v>输</x:v>
      </x:c>
      <x:c r="N1421" s="67" t="n">
        <x:v>0.5</x:v>
      </x:c>
      <x:c r="O1421" s="67" t="n">
        <x:v>-1</x:v>
      </x:c>
      <x:c r="P1421" s="67" t="n">
        <x:f>IF(COUNT(N1421:O1421)=0,"",SUM(N1421:O1421))</x:f>
        <x:v>-0.5</x:v>
      </x:c>
      <x:c r="Q1421" s="65"/>
      <x:c r="R1421" s="65" t="str">
        <x:v>FT 1-1；墨尔本城 +0.25 赢半；大2.5 输。按常规时间/盘口结算，点球结果不计。</x:v>
      </x:c>
    </x:row>
    <x:row r="1422" ht="38" customHeight="1">
      <x:c r="A1422" s="65" t="str">
        <x:f>IF(B1422="","",TEXT(B1422,"yyyy-mm-dd")&amp;"|"&amp;D1422&amp;"|"&amp;E1422)</x:f>
        <x:v>2026-05-02|北鹰阳光（North Sunshine Eagles SC）|布琳狮子（FC Bulleen Lions）</x:v>
      </x:c>
      <x:c r="B1422" s="66" t="n">
        <x:v>46144.541666666664</x:v>
      </x:c>
      <x:c r="C1422" s="65" t="str">
        <x:v>澳大利亚 维多利亚州超级联赛1（VPL1）</x:v>
      </x:c>
      <x:c r="D1422" s="65" t="str">
        <x:v>北鹰阳光（North Sunshine Eagles SC）</x:v>
      </x:c>
      <x:c r="E1422" s="65" t="str">
        <x:v>布琳狮子（FC Bulleen Lions）</x:v>
      </x:c>
      <x:c r="F1422" s="65" t="str">
        <x:v>布琳狮子 0（平手盘/DNB，1.96，约0.96水）</x:v>
      </x:c>
      <x:c r="G1422" s="65" t="str">
        <x:v>大 3.5（1.99，约0.99水）</x:v>
      </x:c>
      <x:c r="H1422" s="65" t="str">
        <x:v>不加仓；大2.5低水不碰，若大3.5跌到1.80以下放弃大小球</x:v>
      </x:c>
      <x:c r="I1422" s="66" t="n">
        <x:v>46144.42233796296</x:v>
      </x:c>
      <x:c r="J1422" s="65" t="str">
        <x:v>已结算</x:v>
      </x:c>
      <x:c r="K1422" s="65" t="str">
        <x:v>0-1</x:v>
      </x:c>
      <x:c r="L1422" s="65" t="str">
        <x:v>赢</x:v>
      </x:c>
      <x:c r="M1422" s="65" t="str">
        <x:v>输</x:v>
      </x:c>
      <x:c r="N1422" s="67" t="n">
        <x:v>1</x:v>
      </x:c>
      <x:c r="O1422" s="67" t="n">
        <x:v>-1</x:v>
      </x:c>
      <x:c r="P1422" s="67" t="n">
        <x:f>IF(COUNT(N1422:O1422)=0,"",SUM(N1422:O1422))</x:f>
        <x:v>0</x:v>
      </x:c>
      <x:c r="Q1422" s="65"/>
      <x:c r="R1422" s="65" t="str">
        <x:v>FT 0-1；布琳狮子 0 赢；大3.5 输。</x:v>
      </x:c>
    </x:row>
    <x:row r="1423" ht="38" customHeight="1">
      <x:c r="A1423" s="65" t="str">
        <x:f>IF(B1423="","",TEXT(B1423,"yyyy-mm-dd")&amp;"|"&amp;D1423&amp;"|"&amp;E1423)</x:f>
        <x:v>2026-05-02|艾云达尔（Avondale FC）|卡罗琳泉乔治十字FC（Caroline Springs George Cross FC）</x:v>
      </x:c>
      <x:c r="B1423" s="66" t="n">
        <x:v>46144.541666666664</x:v>
      </x:c>
      <x:c r="C1423" s="65" t="str">
        <x:v>澳大利亚 维多利亚州超级联赛1（VPL1）</x:v>
      </x:c>
      <x:c r="D1423" s="65" t="str">
        <x:v>艾云达尔（Avondale FC）</x:v>
      </x:c>
      <x:c r="E1423" s="65" t="str">
        <x:v>卡罗琳泉乔治十字FC（Caroline Springs George Cross FC）</x:v>
      </x:c>
      <x:c r="F1423" s="65" t="str">
        <x:v>卡罗琳泉乔治十字FC +0.5（约1.90/0.90水附近）</x:v>
      </x:c>
      <x:c r="G1423" s="65" t="str">
        <x:v>大 3.0（约1.90/0.90水附近）</x:v>
      </x:c>
      <x:c r="H1423" s="65" t="str">
        <x:v>不加仓；临场若大3.0降到低水则放弃</x:v>
      </x:c>
      <x:c r="I1423" s="66" t="n">
        <x:v>46144.37988425926</x:v>
      </x:c>
      <x:c r="J1423" s="65" t="str">
        <x:v>已结算</x:v>
      </x:c>
      <x:c r="K1423" s="65" t="str">
        <x:v>4-1</x:v>
      </x:c>
      <x:c r="L1423" s="65" t="str">
        <x:v>输</x:v>
      </x:c>
      <x:c r="M1423" s="65" t="str">
        <x:v>赢</x:v>
      </x:c>
      <x:c r="N1423" s="67" t="n">
        <x:v>-1</x:v>
      </x:c>
      <x:c r="O1423" s="67" t="n">
        <x:v>1</x:v>
      </x:c>
      <x:c r="P1423" s="67" t="n">
        <x:f>IF(COUNT(N1423:O1423)=0,"",SUM(N1423:O1423))</x:f>
        <x:v>0</x:v>
      </x:c>
      <x:c r="Q1423" s="65"/>
      <x:c r="R1423" s="65" t="str">
        <x:v>FT 4-1；卡罗琳泉乔治十字FC +0.5 输；大3.0 赢。</x:v>
      </x:c>
    </x:row>
    <x:row r="1424" ht="38" customHeight="1">
      <x:c r="A1424" s="65" t="str">
        <x:f>IF(B1424="","",TEXT(B1424,"yyyy-mm-dd")&amp;"|"&amp;D1424&amp;"|"&amp;E1424)</x:f>
        <x:v>2026-05-02|休城|海德堡联</x:v>
      </x:c>
      <x:c r="B1424" s="66" t="n">
        <x:v>46144.5</x:v>
      </x:c>
      <x:c r="C1424" s="65" t="str">
        <x:v>澳大利亚 维多利亚州超级联赛1（VPL1）</x:v>
      </x:c>
      <x:c r="D1424" s="65" t="str">
        <x:v>休城</x:v>
      </x:c>
      <x:c r="E1424" s="65" t="str">
        <x:v>海德堡联</x:v>
      </x:c>
      <x:c r="F1424" s="65" t="str">
        <x:v>海德堡联 -0.5（参考客胜欧赔约1.95-2.00，折合港水约0.95-1.00；低于0.80放弃）</x:v>
      </x:c>
      <x:c r="G1424" s="65" t="str">
        <x:v>大 2.75（即大2.5/3，参考水位约0.88-0.95；低于0.80放弃）</x:v>
      </x:c>
      <x:c r="H1424" s="65" t="str">
        <x:v>让球中仓；大小球中低仓。若临场海德堡联退到-0.25且水位≥0.80，可改用-0.25；若大2.75升到大3.0且水位低于0.90，不追。参考比分1-2、1-3。</x:v>
      </x:c>
      <x:c r="I1424" s="66" t="n">
        <x:v>46144.37537037037</x:v>
      </x:c>
      <x:c r="J1424" s="65" t="str">
        <x:v>已结算</x:v>
      </x:c>
      <x:c r="K1424" s="65" t="str">
        <x:v>2-1</x:v>
      </x:c>
      <x:c r="L1424" s="65" t="str">
        <x:v>输</x:v>
      </x:c>
      <x:c r="M1424" s="65" t="str">
        <x:v>赢半</x:v>
      </x:c>
      <x:c r="N1424" s="67" t="n">
        <x:v>-1</x:v>
      </x:c>
      <x:c r="O1424" s="67" t="n">
        <x:v>0.5</x:v>
      </x:c>
      <x:c r="P1424" s="67" t="n">
        <x:f>IF(COUNT(N1424:O1424)=0,"",SUM(N1424:O1424))</x:f>
        <x:v>-0.5</x:v>
      </x:c>
      <x:c r="Q1424" s="65"/>
      <x:c r="R1424" s="65" t="str">
        <x:v>FT 2-1；海德堡联 -0.5 输；大2.75 赢半。按90分钟常规时间结算。</x:v>
      </x:c>
    </x:row>
    <x:row r="1425" ht="38" customHeight="1">
      <x:c r="A1425" s="65" t="str">
        <x:f>IF(B1425="","",TEXT(B1425,"yyyy-mm-dd")&amp;"|"&amp;D1425&amp;"|"&amp;E1425)</x:f>
        <x:v>2026-05-02|冈山绿雉（Fagiano Okayama）|广岛三箭（Sanfrecce Hiroshima）</x:v>
      </x:c>
      <x:c r="B1425" s="66" t="n">
        <x:v>46144.49652777778</x:v>
      </x:c>
      <x:c r="C1425" s="65" t="str">
        <x:v>日职联（J1 League）</x:v>
      </x:c>
      <x:c r="D1425" s="65" t="str">
        <x:v>冈山绿雉（Fagiano Okayama）</x:v>
      </x:c>
      <x:c r="E1425" s="65" t="str">
        <x:v>广岛三箭（Sanfrecce Hiroshima）</x:v>
      </x:c>
      <x:c r="F1425" s="65" t="str">
        <x:v>冈山绿雉 +0.5（约1.03水，需不低于0.80水）</x:v>
      </x:c>
      <x:c r="G1425" s="65" t="str">
        <x:v>小 2/2.5（小2.25，约0.86水）</x:v>
      </x:c>
      <x:c r="H1425" s="65" t="str">
        <x:v>不加仓；若冈山升到+0.75且水位≥0.80可小加，若小2.25跌破0.80水放弃大小球</x:v>
      </x:c>
      <x:c r="I1425" s="66" t="n">
        <x:v>46144.44164351852</x:v>
      </x:c>
      <x:c r="J1425" s="65" t="str">
        <x:v>已结算</x:v>
      </x:c>
      <x:c r="K1425" s="65" t="str">
        <x:v>1-0</x:v>
      </x:c>
      <x:c r="L1425" s="65" t="str">
        <x:v>赢</x:v>
      </x:c>
      <x:c r="M1425" s="65" t="str">
        <x:v>赢</x:v>
      </x:c>
      <x:c r="N1425" s="67" t="n">
        <x:v>1</x:v>
      </x:c>
      <x:c r="O1425" s="67" t="n">
        <x:v>1</x:v>
      </x:c>
      <x:c r="P1425" s="67" t="n">
        <x:f>IF(COUNT(N1425:O1425)=0,"",SUM(N1425:O1425))</x:f>
        <x:v>2</x:v>
      </x:c>
      <x:c r="Q1425" s="65"/>
      <x:c r="R1425" s="65" t="str">
        <x:v>FT 1-0；冈山绿雉 +0.5 赢；小2.25 赢。</x:v>
      </x:c>
    </x:row>
    <x:row r="1426" ht="38" customHeight="1">
      <x:c r="A1426" s="65" t="str">
        <x:f>IF(B1426="","",TEXT(B1426,"yyyy-mm-dd")&amp;"|"&amp;D1426&amp;"|"&amp;E1426)</x:f>
        <x:v>2026-05-02|云斯卡尔达斯（Once Caldas）|国民竞技（Atlético Nacional）</x:v>
      </x:c>
      <x:c r="B1426" s="66" t="n">
        <x:v>46144.291666666664</x:v>
      </x:c>
      <x:c r="C1426" s="65" t="str">
        <x:v>哥伦比亚甲级联赛（Liga BetPlay DIMAYOR）</x:v>
      </x:c>
      <x:c r="D1426" s="65" t="str">
        <x:v>云斯卡尔达斯（Once Caldas）</x:v>
      </x:c>
      <x:c r="E1426" s="65" t="str">
        <x:v>国民竞技（Atlético Nacional）</x:v>
      </x:c>
      <x:c r="F1426" s="65" t="str">
        <x:v>国民竞技 0（平手盘/DNB，约0.88–0.95水）</x:v>
      </x:c>
      <x:c r="G1426" s="65" t="str">
        <x:v>大2.5（约0.90–1.10水；低于0.80放弃）</x:v>
      </x:c>
      <x:c r="H1426" s="65" t="str">
        <x:v>可选/加仓：国民竞技 -0.25 若临场≥0.90可小注；避免追客胜独赢；大2.5低于0.80则放弃或升盘大2.75小注</x:v>
      </x:c>
      <x:c r="I1426" s="66" t="n">
        <x:v>46144.26416666667</x:v>
      </x:c>
      <x:c r="J1426" s="65" t="str">
        <x:v>已结算</x:v>
      </x:c>
      <x:c r="K1426" s="65" t="str">
        <x:v>1-0</x:v>
      </x:c>
      <x:c r="L1426" s="65" t="str">
        <x:v>输</x:v>
      </x:c>
      <x:c r="M1426" s="65" t="str">
        <x:v>输</x:v>
      </x:c>
      <x:c r="N1426" s="67" t="n">
        <x:v>-1</x:v>
      </x:c>
      <x:c r="O1426" s="67" t="n">
        <x:v>-1</x:v>
      </x:c>
      <x:c r="P1426" s="67" t="n">
        <x:f>IF(COUNT(N1426:O1426)=0,"",SUM(N1426:O1426))</x:f>
        <x:v>-2</x:v>
      </x:c>
      <x:c r="Q1426" s="65" t="str">
        <x:v>https://www.espn.com/soccer/match/_/gameId/401850892/atletico-nacional-once-caldas | https://www.foxsports.com/soccer/columbian-primera-division-once-caldas-vs-atl-nacional-may-01-2026-game-boxscore-651360 | 查询时间：2026-07-15 23:40（北京时间）</x:v>
      </x:c>
      <x:c r="R1426" s="65" t="str">
        <x:v>历史积压补结：90分钟1-0；国民竞技平手与大2.5均未打出。</x:v>
      </x:c>
    </x:row>
    <x:row r="1427" ht="38" customHeight="1">
      <x:c r="A1427" s="65" t="str">
        <x:f>IF(B1427="","",TEXT(B1427,"yyyy-mm-dd")&amp;"|"&amp;D1427&amp;"|"&amp;E1427)</x:f>
        <x:v>2026-05-02|比萨（Pisa）|莱切（Lecce）</x:v>
      </x:c>
      <x:c r="B1427" s="66" t="n">
        <x:v>46144.114583333336</x:v>
      </x:c>
      <x:c r="C1427" s="65" t="str">
        <x:v>意大利甲级联赛（Serie A）</x:v>
      </x:c>
      <x:c r="D1427" s="65" t="str">
        <x:v>比萨（Pisa）</x:v>
      </x:c>
      <x:c r="E1427" s="65" t="str">
        <x:v>莱切（Lecce）</x:v>
      </x:c>
      <x:c r="F1427" s="65" t="str">
        <x:v>莱切 -0.25（约0.95水）</x:v>
      </x:c>
      <x:c r="G1427" s="65" t="str">
        <x:v>小2.0（亚洲盘，约0.98水，2球走水）</x:v>
      </x:c>
      <x:c r="H1427" s="65" t="str">
        <x:v>可选/加仓：莱切0球平手盘若临场0.85以上可作更稳替代；不追小2.5低水</x:v>
      </x:c>
      <x:c r="I1427" s="66" t="n">
        <x:v>46143.93236111111</x:v>
      </x:c>
      <x:c r="J1427" s="65" t="str">
        <x:v>已结算</x:v>
      </x:c>
      <x:c r="K1427" s="65" t="str">
        <x:v>1-2</x:v>
      </x:c>
      <x:c r="L1427" s="65" t="str">
        <x:v>赢</x:v>
      </x:c>
      <x:c r="M1427" s="65" t="str">
        <x:v>输</x:v>
      </x:c>
      <x:c r="N1427" s="67" t="n">
        <x:v>1</x:v>
      </x:c>
      <x:c r="O1427" s="67" t="n">
        <x:v>-1</x:v>
      </x:c>
      <x:c r="P1427" s="67" t="n">
        <x:f>IF(COUNT(N1427:O1427)=0,"",SUM(N1427:O1427))</x:f>
        <x:v>0</x:v>
      </x:c>
      <x:c r="Q1427" s="65"/>
      <x:c r="R1427" s="65" t="str">
        <x:v>FT 1-2；莱切 -0.25 赢；小2.0 输。</x:v>
      </x:c>
    </x:row>
    <x:row r="1428" ht="38" customHeight="1">
      <x:c r="A1428" s="65" t="str">
        <x:f>IF(B1428="","",TEXT(B1428,"yyyy-mm-dd")&amp;"|"&amp;D1428&amp;"|"&amp;E1428)</x:f>
        <x:v>2026-05-01|詹谢普尔FC（Jamshedpur FC）|果阿FC（FC Goa）</x:v>
      </x:c>
      <x:c r="B1428" s="66" t="n">
        <x:v>46143.916666666664</x:v>
      </x:c>
      <x:c r="C1428" s="65" t="str">
        <x:v>印度超级联赛（Indian Super League）</x:v>
      </x:c>
      <x:c r="D1428" s="65" t="str">
        <x:v>詹谢普尔FC（Jamshedpur FC）</x:v>
      </x:c>
      <x:c r="E1428" s="65" t="str">
        <x:v>果阿FC（FC Goa）</x:v>
      </x:c>
      <x:c r="F1428" s="65" t="str">
        <x:v>果阿FC 0（平手盘/DNB，约0.81–1.00水）</x:v>
      </x:c>
      <x:c r="G1428" s="65" t="str">
        <x:v>小2.5（约0.90水优先，低于0.80放弃）</x:v>
      </x:c>
      <x:c r="H1428" s="65" t="str">
        <x:v>可选/加仓：果阿FC平手盘若临场仍在0.85以上可小加；大小球不加仓，若小2.5降到0.80以下放弃</x:v>
      </x:c>
      <x:c r="I1428" s="66" t="n">
        <x:v>46143.86414351852</x:v>
      </x:c>
      <x:c r="J1428" s="65" t="str">
        <x:v>已结算</x:v>
      </x:c>
      <x:c r="K1428" s="65" t="str">
        <x:v>2-0</x:v>
      </x:c>
      <x:c r="L1428" s="65" t="str">
        <x:v>输</x:v>
      </x:c>
      <x:c r="M1428" s="65" t="str">
        <x:v>赢</x:v>
      </x:c>
      <x:c r="N1428" s="67" t="n">
        <x:v>-1</x:v>
      </x:c>
      <x:c r="O1428" s="67" t="n">
        <x:v>1</x:v>
      </x:c>
      <x:c r="P1428" s="67" t="n">
        <x:f>IF(COUNT(N1428:O1428)=0,"",SUM(N1428:O1428))</x:f>
        <x:v>0</x:v>
      </x:c>
      <x:c r="Q1428" s="65"/>
      <x:c r="R1428" s="65" t="str">
        <x:v>FT 2-0；果阿FC 0 输；小2.5 赢。</x:v>
      </x:c>
    </x:row>
    <x:row r="1429" ht="38" customHeight="1">
      <x:c r="A1429" s="65" t="str">
        <x:f>IF(B1429="","",TEXT(B1429,"yyyy-mm-dd")&amp;"|"&amp;D1429&amp;"|"&amp;E1429)</x:f>
        <x:v>2026-05-01|本特利绿茵（Bentleigh Greens）|圣奥尔本斯圣特斯（St Albans Saints Dinamo SC）</x:v>
      </x:c>
      <x:c r="B1429" s="66" t="n">
        <x:v>46143.770833333336</x:v>
      </x:c>
      <x:c r="C1429" s="65" t="str">
        <x:v>澳大利亚 维多利亚州超级联赛1（VPL1）</x:v>
      </x:c>
      <x:c r="D1429" s="65" t="str">
        <x:v>本特利绿茵（Bentleigh Greens）</x:v>
      </x:c>
      <x:c r="E1429" s="65" t="str">
        <x:v>圣奥尔本斯圣特斯（St Albans Saints Dinamo SC）</x:v>
      </x:c>
      <x:c r="F1429" s="65" t="str">
        <x:v>本特利绿茵 -1.25（约0.92水）</x:v>
      </x:c>
      <x:c r="G1429" s="65" t="str">
        <x:v>大2.5（约0.80水）</x:v>
      </x:c>
      <x:c r="H1429" s="65" t="str">
        <x:v>可选/加仓：本特利绿茵 -1.25 临场维持0.88以上可小注；不追-1低水；大小球只小注不追大3低水</x:v>
      </x:c>
      <x:c r="I1429" s="66" t="n">
        <x:v>46143.63831018518</x:v>
      </x:c>
      <x:c r="J1429" s="65" t="str">
        <x:v>已结算</x:v>
      </x:c>
      <x:c r="K1429" s="65" t="str">
        <x:v>2-4</x:v>
      </x:c>
      <x:c r="L1429" s="65" t="str">
        <x:v>输</x:v>
      </x:c>
      <x:c r="M1429" s="65" t="str">
        <x:v>赢</x:v>
      </x:c>
      <x:c r="N1429" s="67" t="n">
        <x:v>-1</x:v>
      </x:c>
      <x:c r="O1429" s="67" t="n">
        <x:v>1</x:v>
      </x:c>
      <x:c r="P1429" s="67" t="n">
        <x:f>IF(COUNT(N1429:O1429)=0,"",SUM(N1429:O1429))</x:f>
        <x:v>0</x:v>
      </x:c>
      <x:c r="Q1429" s="65"/>
      <x:c r="R1429" s="65" t="str">
        <x:v>FT 2-4；本特利绿茵 -1.25 输；大2.5 赢。</x:v>
      </x:c>
    </x:row>
    <x:row r="1430" ht="38" customHeight="1">
      <x:c r="A1430" s="65" t="str">
        <x:f>IF(B1430="","",TEXT(B1430,"yyyy-mm-dd")&amp;"|"&amp;D1430&amp;"|"&amp;E1430)</x:f>
        <x:v>2026-05-01|南墨尔本（South Melbourne）|墨尔本城青年队（Melbourne City II/U21）</x:v>
      </x:c>
      <x:c r="B1430" s="66" t="n">
        <x:v>46143.729166666664</x:v>
      </x:c>
      <x:c r="C1430" s="65" t="str">
        <x:v>澳大利亚 维多利亚州超级联赛1（VPL1）</x:v>
      </x:c>
      <x:c r="D1430" s="65" t="str">
        <x:v>南墨尔本（South Melbourne）</x:v>
      </x:c>
      <x:c r="E1430" s="65" t="str">
        <x:v>墨尔本城青年队（Melbourne City II/U21）</x:v>
      </x:c>
      <x:c r="F1430" s="65" t="str">
        <x:v>南墨尔本 -1（约0.95–1.00水）</x:v>
      </x:c>
      <x:c r="G1430" s="65" t="str">
        <x:v>大2.5（约0.85水）</x:v>
      </x:c>
      <x:c r="H1430" s="65" t="str">
        <x:v>可选/加仓：南墨尔本 -1.5 小注高水博穿；避开低水独赢</x:v>
      </x:c>
      <x:c r="I1430" s="66" t="n">
        <x:v>46143.61635416667</x:v>
      </x:c>
      <x:c r="J1430" s="65" t="str">
        <x:v>已结算</x:v>
      </x:c>
      <x:c r="K1430" s="65" t="str">
        <x:v>1-2</x:v>
      </x:c>
      <x:c r="L1430" s="65" t="str">
        <x:v>输</x:v>
      </x:c>
      <x:c r="M1430" s="65" t="str">
        <x:v>赢</x:v>
      </x:c>
      <x:c r="N1430" s="67" t="n">
        <x:v>-1</x:v>
      </x:c>
      <x:c r="O1430" s="67" t="n">
        <x:v>1</x:v>
      </x:c>
      <x:c r="P1430" s="67" t="n">
        <x:f>IF(COUNT(N1430:O1430)=0,"",SUM(N1430:O1430))</x:f>
        <x:v>0</x:v>
      </x:c>
      <x:c r="Q1430" s="65"/>
      <x:c r="R1430" s="65" t="str">
        <x:v>FT 1-2；南墨尔本 -1 输；大2.5 赢。</x:v>
      </x:c>
    </x:row>
    <x:row r="1431" ht="38" customHeight="1">
      <x:c r="A1431" s="65" t="str">
        <x:f>IF(B1431="","",TEXT(B1431,"yyyy-mm-dd")&amp;"|"&amp;D1431&amp;"|"&amp;E1431)</x:f>
        <x:v>2026-05-01|格林古利（Green Gully）|欧克莱卡诺（Oakleigh Cannons）</x:v>
      </x:c>
      <x:c r="B1431" s="66" t="n">
        <x:v>46143.729166666664</x:v>
      </x:c>
      <x:c r="C1431" s="65" t="str">
        <x:v>澳大利亚 维多利亚州超级联赛1（VPL1）</x:v>
      </x:c>
      <x:c r="D1431" s="65" t="str">
        <x:v>格林古利（Green Gully）</x:v>
      </x:c>
      <x:c r="E1431" s="65" t="str">
        <x:v>欧克莱卡诺（Oakleigh Cannons）</x:v>
      </x:c>
      <x:c r="F1431" s="65" t="str">
        <x:v>欧克莱卡诺 -1.25（约0.88–0.95水）</x:v>
      </x:c>
      <x:c r="G1431" s="65" t="str">
        <x:v>大3/3.5，即大3.25（约0.88–0.95水）</x:v>
      </x:c>
      <x:c r="H1431" s="65" t="str">
        <x:v>可选/加仓：欧克莱卡诺 -1.5 小注高水博穿盘；避开独赢和大2.5低水</x:v>
      </x:c>
      <x:c r="I1431" s="66" t="n">
        <x:v>46143.57350694444</x:v>
      </x:c>
      <x:c r="J1431" s="65" t="str">
        <x:v>已结算</x:v>
      </x:c>
      <x:c r="K1431" s="65" t="str">
        <x:v>0-5</x:v>
      </x:c>
      <x:c r="L1431" s="65" t="str">
        <x:v>赢</x:v>
      </x:c>
      <x:c r="M1431" s="65" t="str">
        <x:v>赢</x:v>
      </x:c>
      <x:c r="N1431" s="67" t="n">
        <x:v>1</x:v>
      </x:c>
      <x:c r="O1431" s="67" t="n">
        <x:v>1</x:v>
      </x:c>
      <x:c r="P1431" s="67" t="n">
        <x:f>IF(COUNT(N1431:O1431)=0,"",SUM(N1431:O1431))</x:f>
        <x:v>2</x:v>
      </x:c>
      <x:c r="Q1431" s="65"/>
      <x:c r="R1431" s="65" t="str">
        <x:v>FT 0-5；欧克莱卡诺 -1.25 赢；大3.25 赢。</x:v>
      </x:c>
    </x:row>
    <x:row r="1432" ht="38" customHeight="1">
      <x:c r="A1432" s="65" t="str">
        <x:f>IF(B1432="","",TEXT(B1432,"yyyy-mm-dd")&amp;"|"&amp;D1432&amp;"|"&amp;E1432)</x:f>
        <x:v>2026-05-01|哈依巴布拉瓦（坦皮科马德罗）|坎昆FC</x:v>
      </x:c>
      <x:c r="B1432" s="66" t="n">
        <x:v>46143.461805555555</x:v>
      </x:c>
      <x:c r="C1432" s="65" t="str">
        <x:v>墨西哥甲级扩展联赛（Liga de Expansión MX）</x:v>
      </x:c>
      <x:c r="D1432" s="65" t="str">
        <x:v>哈依巴布拉瓦（坦皮科马德罗）</x:v>
      </x:c>
      <x:c r="E1432" s="65" t="str">
        <x:v>坎昆FC</x:v>
      </x:c>
      <x:c r="F1432" s="65" t="str">
        <x:v>哈依巴布拉瓦 -0.5（约0.98水）</x:v>
      </x:c>
      <x:c r="G1432" s="65" t="str">
        <x:v>大2.5（约1.20水）</x:v>
      </x:c>
      <x:c r="H1432" s="65" t="str">
        <x:v>可选：哈依巴布拉瓦胜；加仓只考虑让球-0.5，大小球小注不加仓</x:v>
      </x:c>
      <x:c r="I1432" s="66" t="n">
        <x:v>46143.4581712963</x:v>
      </x:c>
      <x:c r="J1432" s="65" t="str">
        <x:v>已结算</x:v>
      </x:c>
      <x:c r="K1432" s="65" t="str">
        <x:v>2-1</x:v>
      </x:c>
      <x:c r="L1432" s="65" t="str">
        <x:v>赢</x:v>
      </x:c>
      <x:c r="M1432" s="65" t="str">
        <x:v>赢</x:v>
      </x:c>
      <x:c r="N1432" s="67" t="n">
        <x:v>1</x:v>
      </x:c>
      <x:c r="O1432" s="67" t="n">
        <x:v>1</x:v>
      </x:c>
      <x:c r="P1432" s="67" t="n">
        <x:f>IF(COUNT(N1432:O1432)=0,"",SUM(N1432:O1432))</x:f>
        <x:v>2</x:v>
      </x:c>
      <x:c r="Q1432" s="65"/>
      <x:c r="R1432" s="65" t="str">
        <x:v>FT 2-1；哈依巴布拉瓦 -0.5 赢；大2.5 赢。</x:v>
      </x:c>
    </x:row>
    <x:row r="1433" ht="38" customHeight="1">
      <x:c r="A1433" s="65" t="str">
        <x:f>IF(B1433="","",TEXT(B1433,"yyyy-mm-dd")&amp;"|"&amp;D1433&amp;"|"&amp;E1433)</x:f>
        <x:v>2026-05-01|麦德林独立|库斯科FC</x:v>
      </x:c>
      <x:c r="B1433" s="66" t="n">
        <x:v>46143.416666666664</x:v>
      </x:c>
      <x:c r="C1433" s="65" t="str">
        <x:v>南美解放者杯</x:v>
      </x:c>
      <x:c r="D1433" s="65" t="str">
        <x:v>麦德林独立</x:v>
      </x:c>
      <x:c r="E1433" s="65" t="str">
        <x:v>库斯科FC</x:v>
      </x:c>
      <x:c r="F1433" s="65" t="str">
        <x:v>麦德林独立 -1.25 @约0.82水</x:v>
      </x:c>
      <x:c r="G1433" s="65" t="str">
        <x:v>大 2.75 球 @约0.80-0.85水</x:v>
      </x:c>
      <x:c r="H1433" s="65" t="str">
        <x:v>不加仓；已开赛按赛前/临场盘口冻结，不碰滚球；让球只接受麦德林独立-1.25且水位≥0.80，若能拿-1且水位≥0.80更优，不追-1.5低容错；大小球只接受大2.75且水位≥0.80，若低于0.80放弃；比分参考3-0/3-1/2-1</x:v>
      </x:c>
      <x:c r="I1433" s="66" t="n">
        <x:v>46143.44017361111</x:v>
      </x:c>
      <x:c r="J1433" s="65" t="str">
        <x:v>已结算</x:v>
      </x:c>
      <x:c r="K1433" s="65" t="str">
        <x:v>1-0</x:v>
      </x:c>
      <x:c r="L1433" s="65" t="str">
        <x:v>输半</x:v>
      </x:c>
      <x:c r="M1433" s="65" t="str">
        <x:v>输</x:v>
      </x:c>
      <x:c r="N1433" s="67" t="n">
        <x:v>-0.5</x:v>
      </x:c>
      <x:c r="O1433" s="67" t="n">
        <x:v>-1</x:v>
      </x:c>
      <x:c r="P1433" s="67" t="n">
        <x:f>IF(COUNT(N1433:O1433)=0,"",SUM(N1433:O1433))</x:f>
        <x:v>-1.5</x:v>
      </x:c>
      <x:c r="Q1433" s="65"/>
      <x:c r="R1433" s="65" t="str">
        <x:v>FT 1-0；麦德林独立 -1.25 输半；大2.75 输。</x:v>
      </x:c>
    </x:row>
    <x:row r="1434" ht="38" customHeight="1">
      <x:c r="A1434" s="65" t="str">
        <x:f>IF(B1434="","",TEXT(B1434,"yyyy-mm-dd")&amp;"|"&amp;D1434&amp;"|"&amp;E1434)</x:f>
        <x:v>2026-05-01|红牛布拉甘蒂诺|河床</x:v>
      </x:c>
      <x:c r="B1434" s="66" t="n">
        <x:v>46143.354166666664</x:v>
      </x:c>
      <x:c r="C1434" s="65" t="str">
        <x:v>南美杯（Copa Sudamericana）资格赛</x:v>
      </x:c>
      <x:c r="D1434" s="65" t="str">
        <x:v>红牛布拉甘蒂诺</x:v>
      </x:c>
      <x:c r="E1434" s="65" t="str">
        <x:v>河床</x:v>
      </x:c>
      <x:c r="F1434" s="65" t="str">
        <x:v>河床 0（平手）@约0.88-0.95水</x:v>
      </x:c>
      <x:c r="G1434" s="65" t="str">
        <x:v>小 2.25 球 @约0.85-0.95水</x:v>
      </x:c>
      <x:c r="H1434" s="65" t="str">
        <x:v>不加仓；赛前盘冻结；让球只接受河床平手且水位≥0.80，不追河床-0.25高风险；布拉甘蒂诺+0.25若只有低于0.80水则放弃；大小球不碰低水小2.5，优先小2.25且水位≥0.80；比分参考0-1/1-1/0-0</x:v>
      </x:c>
      <x:c r="I1434" s="66" t="n">
        <x:v>46143.35134259259</x:v>
      </x:c>
      <x:c r="J1434" s="65" t="str">
        <x:v>已结算</x:v>
      </x:c>
      <x:c r="K1434" s="65" t="str">
        <x:v>0-1</x:v>
      </x:c>
      <x:c r="L1434" s="65" t="str">
        <x:v>赢</x:v>
      </x:c>
      <x:c r="M1434" s="65" t="str">
        <x:v>赢</x:v>
      </x:c>
      <x:c r="N1434" s="67" t="n">
        <x:v>1</x:v>
      </x:c>
      <x:c r="O1434" s="67" t="n">
        <x:v>1</x:v>
      </x:c>
      <x:c r="P1434" s="67" t="n">
        <x:f>IF(COUNT(N1434:O1434)=0,"",SUM(N1434:O1434))</x:f>
        <x:v>2</x:v>
      </x:c>
      <x:c r="Q1434" s="65" t="str">
        <x:v>https://www.espn.com/soccer/match/_/gameId/401865414/river-plate-red-bull-bragantino | https://www.youtube.com/watch?v=n11TQpm68n4 | 查询时间：2026-07-15 23:40（北京时间）</x:v>
      </x:c>
      <x:c r="R1434" s="65" t="str">
        <x:v>历史积压纠错：90分钟0-1；河床平手与小2.25均打出，修正原误填让球结果。</x:v>
      </x:c>
    </x:row>
    <x:row r="1435" ht="38" customHeight="1">
      <x:c r="A1435" s="65" t="str">
        <x:f>IF(B1435="","",TEXT(B1435,"yyyy-mm-dd")&amp;"|"&amp;D1435&amp;"|"&amp;E1435)</x:f>
        <x:v>2026-05-01|提格雷|卡利美洲</x:v>
      </x:c>
      <x:c r="B1435" s="66" t="n">
        <x:v>46143.333333333336</x:v>
      </x:c>
      <x:c r="C1435" s="65" t="str">
        <x:v>南美杯（Copa Sudamericana）资格赛</x:v>
      </x:c>
      <x:c r="D1435" s="65" t="str">
        <x:v>提格雷</x:v>
      </x:c>
      <x:c r="E1435" s="65" t="str">
        <x:v>卡利美洲</x:v>
      </x:c>
      <x:c r="F1435" s="65" t="str">
        <x:v>卡利美洲 +0.5 @约0.85水</x:v>
      </x:c>
      <x:c r="G1435" s="65" t="str">
        <x:v>小 2.0 球 @约0.87-0.90水</x:v>
      </x:c>
      <x:c r="H1435" s="65" t="str">
        <x:v>不加仓；赛前盘冻结；让球只接受卡利美洲+0.5且水位≥0.80，不追卡利美洲平手；若提格雷退到-0.25则放弃让球；大小球优先小2.0且水位≥0.85，若小2.25低于0.80不碰；比分参考0-0/1-1/0-1</x:v>
      </x:c>
      <x:c r="I1435" s="66" t="n">
        <x:v>46143.34423611111</x:v>
      </x:c>
      <x:c r="J1435" s="65" t="str">
        <x:v>已结算</x:v>
      </x:c>
      <x:c r="K1435" s="65" t="str">
        <x:v>2-0</x:v>
      </x:c>
      <x:c r="L1435" s="65" t="str">
        <x:v>输</x:v>
      </x:c>
      <x:c r="M1435" s="65" t="str">
        <x:v>走水</x:v>
      </x:c>
      <x:c r="N1435" s="67" t="n">
        <x:v>-1</x:v>
      </x:c>
      <x:c r="O1435" s="67" t="n">
        <x:v>0</x:v>
      </x:c>
      <x:c r="P1435" s="67" t="n">
        <x:f>IF(COUNT(N1435:O1435)=0,"",SUM(N1435:O1435))</x:f>
        <x:v>-1</x:v>
      </x:c>
      <x:c r="Q1435" s="65"/>
      <x:c r="R1435" s="65" t="str">
        <x:v>FT 2-0；卡利美洲 +0.5 输；小2.0 走水。</x:v>
      </x:c>
    </x:row>
    <x:row r="1436" ht="38" customHeight="1">
      <x:c r="A1436" s="65" t="str">
        <x:f>IF(B1436="","",TEXT(B1436,"yyyy-mm-dd")&amp;"|"&amp;D1436&amp;"|"&amp;E1436)</x:f>
        <x:v>2026-05-01|布拉加|弗赖堡（弗莱堡）</x:v>
      </x:c>
      <x:c r="B1436" s="66" t="n">
        <x:v>46143.125</x:v>
      </x:c>
      <x:c r="C1436" s="65" t="str">
        <x:v>欧联杯</x:v>
      </x:c>
      <x:c r="D1436" s="65" t="str">
        <x:v>布拉加</x:v>
      </x:c>
      <x:c r="E1436" s="65" t="str">
        <x:v>弗赖堡（弗莱堡）</x:v>
      </x:c>
      <x:c r="F1436" s="65" t="str">
        <x:v>布拉加 -0.25 @约0.88水</x:v>
      </x:c>
      <x:c r="G1436" s="65" t="str">
        <x:v>小 2.25 球 @约0.85-0.90水</x:v>
      </x:c>
      <x:c r="H1436" s="65" t="str">
        <x:v>不加仓；已开赛按赛前/临场盘口冻结，不碰滚球；让球只接受布拉加-0.25且水位≥0.80，不追-0.5；若退到布拉加平手但低于0.80则放弃；大小球不碰低水小2.5，优先小2.25且水位≥0.80；比分参考1-0/1-1/2-0</x:v>
      </x:c>
      <x:c r="I1436" s="66" t="n">
        <x:v>46143.142013888886</x:v>
      </x:c>
      <x:c r="J1436" s="65" t="str">
        <x:v>已结算</x:v>
      </x:c>
      <x:c r="K1436" s="65" t="str">
        <x:v>2-1</x:v>
      </x:c>
      <x:c r="L1436" s="65" t="str">
        <x:v>赢</x:v>
      </x:c>
      <x:c r="M1436" s="65" t="str">
        <x:v>输</x:v>
      </x:c>
      <x:c r="N1436" s="67" t="n">
        <x:v>1</x:v>
      </x:c>
      <x:c r="O1436" s="67" t="n">
        <x:v>-1</x:v>
      </x:c>
      <x:c r="P1436" s="67" t="n">
        <x:f>IF(COUNT(N1436:O1436)=0,"",SUM(N1436:O1436))</x:f>
        <x:v>0</x:v>
      </x:c>
      <x:c r="Q1436" s="65"/>
      <x:c r="R1436" s="65" t="str">
        <x:v>FT 2-1；布拉加 -0.25 赢；小2.25 输。</x:v>
      </x:c>
    </x:row>
    <x:row r="1437" ht="38" customHeight="1">
      <x:c r="A1437" s="65" t="str">
        <x:f>IF(B1437="","",TEXT(B1437,"yyyy-mm-dd")&amp;"|"&amp;D1437&amp;"|"&amp;E1437)</x:f>
        <x:v>2026-05-01|诺丁汉森林|阿斯顿维拉</x:v>
      </x:c>
      <x:c r="B1437" s="66" t="n">
        <x:v>46143.125</x:v>
      </x:c>
      <x:c r="C1437" s="65" t="str">
        <x:v>欧联杯</x:v>
      </x:c>
      <x:c r="D1437" s="65" t="str">
        <x:v>诺丁汉森林</x:v>
      </x:c>
      <x:c r="E1437" s="65" t="str">
        <x:v>阿斯顿维拉</x:v>
      </x:c>
      <x:c r="F1437" s="65" t="str">
        <x:v>诺丁汉森林 0（平手）@约0.90-0.95水</x:v>
      </x:c>
      <x:c r="G1437" s="65" t="str">
        <x:v>小 2.25 球 @约0.90-1.00水</x:v>
      </x:c>
      <x:c r="H1437" s="65" t="str">
        <x:v>不加仓；已开赛按赛前/临场盘口冻结，不碰滚球；让球只接受诺丁汉森林平手且水位≥0.88，不追森林-0.25；若只能拿维拉+0.25但低于0.80水则放弃；大小球不碰低水小2.5，优先小2.25且水位≥0.85；比分参考1-1/1-0/0-0</x:v>
      </x:c>
      <x:c r="I1437" s="66" t="n">
        <x:v>46143.1337037037</x:v>
      </x:c>
      <x:c r="J1437" s="65" t="str">
        <x:v>已结算</x:v>
      </x:c>
      <x:c r="K1437" s="65" t="str">
        <x:v>1-0</x:v>
      </x:c>
      <x:c r="L1437" s="65" t="str">
        <x:v>赢</x:v>
      </x:c>
      <x:c r="M1437" s="65" t="str">
        <x:v>赢</x:v>
      </x:c>
      <x:c r="N1437" s="67" t="n">
        <x:v>1</x:v>
      </x:c>
      <x:c r="O1437" s="67" t="n">
        <x:v>1</x:v>
      </x:c>
      <x:c r="P1437" s="67" t="n">
        <x:f>IF(COUNT(N1437:O1437)=0,"",SUM(N1437:O1437))</x:f>
        <x:v>2</x:v>
      </x:c>
      <x:c r="Q1437" s="65"/>
      <x:c r="R1437" s="65" t="str">
        <x:v>FT 1-0；诺丁汉森林 0 赢；小2.25 赢。</x:v>
      </x:c>
    </x:row>
    <x:row r="1438" ht="38" customHeight="1">
      <x:c r="A1438" s="65" t="str">
        <x:f>IF(B1438="","",TEXT(B1438,"yyyy-mm-dd")&amp;"|"&amp;D1438&amp;"|"&amp;E1438)</x:f>
        <x:v>2026-05-01|巴列卡诺|斯特拉斯堡</x:v>
      </x:c>
      <x:c r="B1438" s="66" t="n">
        <x:v>46143.125</x:v>
      </x:c>
      <x:c r="C1438" s="65" t="str">
        <x:v>欧协联</x:v>
      </x:c>
      <x:c r="D1438" s="65" t="str">
        <x:v>巴列卡诺</x:v>
      </x:c>
      <x:c r="E1438" s="65" t="str">
        <x:v>斯特拉斯堡</x:v>
      </x:c>
      <x:c r="F1438" s="65" t="str">
        <x:v>斯特拉斯堡 +0.25 @约0.98水</x:v>
      </x:c>
      <x:c r="G1438" s="65" t="str">
        <x:v>小 2.25 球 @约0.95-1.05水</x:v>
      </x:c>
      <x:c r="H1438" s="65" t="str">
        <x:v>不加仓；已开赛按赛前/临场盘口冻结，不碰滚球；让球只接受斯特拉斯堡+0.25且水位≥0.90，若只有+0.5且低于0.80不碰；大小球优先小2.25且水位≥0.85，若小2.5低于0.80则放弃；比分参考1-1/0-1/1-0</x:v>
      </x:c>
      <x:c r="I1438" s="66" t="n">
        <x:v>46143.13246527778</x:v>
      </x:c>
      <x:c r="J1438" s="65" t="str">
        <x:v>已结算</x:v>
      </x:c>
      <x:c r="K1438" s="65" t="str">
        <x:v>1-0</x:v>
      </x:c>
      <x:c r="L1438" s="65" t="str">
        <x:v>输</x:v>
      </x:c>
      <x:c r="M1438" s="65" t="str">
        <x:v>赢</x:v>
      </x:c>
      <x:c r="N1438" s="67" t="n">
        <x:v>-1</x:v>
      </x:c>
      <x:c r="O1438" s="67" t="n">
        <x:v>1</x:v>
      </x:c>
      <x:c r="P1438" s="67" t="n">
        <x:f>IF(COUNT(N1438:O1438)=0,"",SUM(N1438:O1438))</x:f>
        <x:v>0</x:v>
      </x:c>
      <x:c r="Q1438" s="65"/>
      <x:c r="R1438" s="65" t="str">
        <x:v>FT 1-0；斯特拉斯堡 +0.25 输；小2.25 赢。</x:v>
      </x:c>
    </x:row>
    <x:row r="1439" ht="38" customHeight="1">
      <x:c r="A1439" s="65" t="str">
        <x:f>IF(B1439="","",TEXT(B1439,"yyyy-mm-dd")&amp;"|"&amp;D1439&amp;"|"&amp;E1439)</x:f>
        <x:v>2026-04-30|突尼斯希望|斯法克斯</x:v>
      </x:c>
      <x:c r="B1439" s="66" t="n">
        <x:v>46142.9375</x:v>
      </x:c>
      <x:c r="C1439" s="65" t="str">
        <x:v>突尼斯甲级联赛</x:v>
      </x:c>
      <x:c r="D1439" s="65" t="str">
        <x:v>突尼斯希望</x:v>
      </x:c>
      <x:c r="E1439" s="65" t="str">
        <x:v>斯法克斯</x:v>
      </x:c>
      <x:c r="F1439" s="65" t="str">
        <x:v>斯法克斯 +0.5 @约0.86-0.92水</x:v>
      </x:c>
      <x:c r="G1439" s="65" t="str">
        <x:v>小 2.25 球 @约0.82-0.88水</x:v>
      </x:c>
      <x:c r="H1439" s="65" t="str">
        <x:v>不加仓；赛前盘冻结；让球只接受斯法克斯+0.5且水位≥0.80，不追低水+0.75；若只有+0.25且≥1.00可小注替代；大小球优先小2.25且水位≥0.80，若小2.5低于0.80则不用，比分参考1-1/1-0/0-0</x:v>
      </x:c>
      <x:c r="I1439" s="66" t="n">
        <x:v>46142.92018518518</x:v>
      </x:c>
      <x:c r="J1439" s="65" t="str">
        <x:v>已结算</x:v>
      </x:c>
      <x:c r="K1439" s="65" t="str">
        <x:v>0-0</x:v>
      </x:c>
      <x:c r="L1439" s="65" t="str">
        <x:v>赢</x:v>
      </x:c>
      <x:c r="M1439" s="65" t="str">
        <x:v>赢</x:v>
      </x:c>
      <x:c r="N1439" s="67" t="n">
        <x:v>1</x:v>
      </x:c>
      <x:c r="O1439" s="67" t="n">
        <x:v>1</x:v>
      </x:c>
      <x:c r="P1439" s="67" t="n">
        <x:f>IF(COUNT(N1439:O1439)=0,"",SUM(N1439:O1439))</x:f>
        <x:v>2</x:v>
      </x:c>
      <x:c r="Q1439" s="65"/>
      <x:c r="R1439" s="65" t="str">
        <x:v>FT 0-0；斯法克斯 +0.5 赢；小2.25 赢。</x:v>
      </x:c>
    </x:row>
    <x:row r="1440" ht="38" customHeight="1">
      <x:c r="A1440" s="65" t="str">
        <x:f>IF(B1440="","",TEXT(B1440,"yyyy-mm-dd")&amp;"|"&amp;D1440&amp;"|"&amp;E1440)</x:f>
        <x:v>2026-04-30|巴杨卡拉泗水联|万隆</x:v>
      </x:c>
      <x:c r="B1440" s="66" t="n">
        <x:v>46142.833333333336</x:v>
      </x:c>
      <x:c r="C1440" s="65" t="str">
        <x:v>印度尼西亚超级联赛（印尼超/Liga 1 Indonesia）</x:v>
      </x:c>
      <x:c r="D1440" s="65" t="str">
        <x:v>巴杨卡拉泗水联</x:v>
      </x:c>
      <x:c r="E1440" s="65" t="str">
        <x:v>万隆</x:v>
      </x:c>
      <x:c r="F1440" s="65" t="str">
        <x:v>巴杨卡拉泗水联 +0.75 @约0.86-0.92水</x:v>
      </x:c>
      <x:c r="G1440" s="65" t="str">
        <x:v>小 2.75 球 @约0.85-0.95水</x:v>
      </x:c>
      <x:c r="H1440" s="65" t="str">
        <x:v>不加仓；赛前盘冻结；让球只接受巴杨卡拉+0.75且水位≥0.80，若只有+0.5需≥0.95才小注；不追万隆-0.5低水；大小球优先小2.75，若小2.5≥0.90可小注替代；比分参考1-1/1-2/0-1</x:v>
      </x:c>
      <x:c r="I1440" s="66" t="n">
        <x:v>46142.816342592596</x:v>
      </x:c>
      <x:c r="J1440" s="65" t="str">
        <x:v>已结算</x:v>
      </x:c>
      <x:c r="K1440" s="65" t="str">
        <x:v>2-4</x:v>
      </x:c>
      <x:c r="L1440" s="65" t="str">
        <x:v>输</x:v>
      </x:c>
      <x:c r="M1440" s="65" t="str">
        <x:v>输</x:v>
      </x:c>
      <x:c r="N1440" s="67" t="n">
        <x:v>-1</x:v>
      </x:c>
      <x:c r="O1440" s="67" t="n">
        <x:v>-1</x:v>
      </x:c>
      <x:c r="P1440" s="67" t="n">
        <x:f>IF(COUNT(N1440:O1440)=0,"",SUM(N1440:O1440))</x:f>
        <x:v>-2</x:v>
      </x:c>
      <x:c r="Q1440" s="65"/>
      <x:c r="R1440" s="65" t="str">
        <x:v>FT 2-4；巴杨卡拉泗水联 +0.75 输；小2.75 输。</x:v>
      </x:c>
    </x:row>
    <x:row r="1441" ht="38" customHeight="1">
      <x:c r="A1441" s="65" t="str">
        <x:f>IF(B1441="","",TEXT(B1441,"yyyy-mm-dd")&amp;"|"&amp;D1441&amp;"|"&amp;E1441)</x:f>
        <x:v>2026-04-30|永亚卡达|培斯塔坦格朗</x:v>
      </x:c>
      <x:c r="B1441" s="66" t="n">
        <x:v>46142.6875</x:v>
      </x:c>
      <x:c r="C1441" s="65" t="str">
        <x:v>印度尼西亚超级联赛（印尼超/Liga 1 Indonesia）</x:v>
      </x:c>
      <x:c r="D1441" s="65" t="str">
        <x:v>永亚卡达</x:v>
      </x:c>
      <x:c r="E1441" s="65" t="str">
        <x:v>培斯塔坦格朗</x:v>
      </x:c>
      <x:c r="F1441" s="65" t="str">
        <x:v>培斯塔坦格朗 +0.25 @约0.88水</x:v>
      </x:c>
      <x:c r="G1441" s="65" t="str">
        <x:v>大 2.5 球 @约0.97水</x:v>
      </x:c>
      <x:c r="H1441" s="65" t="str">
        <x:v>不加仓；赛前盘冻结；让球只接受培斯塔坦格朗+0.25且水位≥0.80，不追客队平手；若临场有+0.5但低于0.75水不碰；大小球只接受大2.5且水位≥0.85，小注；比分参考1-1/1-2/2-2</x:v>
      </x:c>
      <x:c r="I1441" s="66" t="n">
        <x:v>46142.53805555555</x:v>
      </x:c>
      <x:c r="J1441" s="65" t="str">
        <x:v>已结算</x:v>
      </x:c>
      <x:c r="K1441" s="65" t="str">
        <x:v>0-1</x:v>
      </x:c>
      <x:c r="L1441" s="65" t="str">
        <x:v>赢</x:v>
      </x:c>
      <x:c r="M1441" s="65" t="str">
        <x:v>输</x:v>
      </x:c>
      <x:c r="N1441" s="67" t="n">
        <x:v>1</x:v>
      </x:c>
      <x:c r="O1441" s="67" t="n">
        <x:v>-1</x:v>
      </x:c>
      <x:c r="P1441" s="67" t="n">
        <x:f>IF(COUNT(N1441:O1441)=0,"",SUM(N1441:O1441))</x:f>
        <x:v>0</x:v>
      </x:c>
      <x:c r="Q1441" s="65"/>
      <x:c r="R1441" s="65" t="str">
        <x:v>FT 0-1；培斯塔坦格朗 +0.25 赢；大2.5 输。</x:v>
      </x:c>
    </x:row>
    <x:row r="1442" ht="38" customHeight="1">
      <x:c r="A1442" s="65" t="str">
        <x:f>IF(B1442="","",TEXT(B1442,"yyyy-mm-dd")&amp;"|"&amp;D1442&amp;"|"&amp;E1442)</x:f>
        <x:v>2026-04-30|洛杉矶FC|托卢卡</x:v>
      </x:c>
      <x:c r="B1442" s="66" t="n">
        <x:v>46142.4375</x:v>
      </x:c>
      <x:c r="C1442" s="65" t="str">
        <x:v>中北美冠军杯（CONCACAF Champions Cup）</x:v>
      </x:c>
      <x:c r="D1442" s="65" t="str">
        <x:v>洛杉矶FC</x:v>
      </x:c>
      <x:c r="E1442" s="65" t="str">
        <x:v>托卢卡</x:v>
      </x:c>
      <x:c r="F1442" s="65" t="str">
        <x:v>托卢卡 0（平手）@约1.10水</x:v>
      </x:c>
      <x:c r="G1442" s="65" t="str">
        <x:v>大 2.5 球 @约0.82-0.98水</x:v>
      </x:c>
      <x:c r="H1442" s="65" t="str">
        <x:v>不加仓；已开赛按赛前/临场盘口冻结，不碰滚球；让球只接受托卢卡平手且水位≥0.95，若只有托卢卡+0.25且水位≥0.80可替代；大小球只接受大2.5且水位≥0.80，小注；比分参考1-1/1-2/2-2</x:v>
      </x:c>
      <x:c r="I1442" s="66" t="n">
        <x:v>46142.44736111111</x:v>
      </x:c>
      <x:c r="J1442" s="65" t="str">
        <x:v>已结算</x:v>
      </x:c>
      <x:c r="K1442" s="65" t="str">
        <x:v>2-1</x:v>
      </x:c>
      <x:c r="L1442" s="65" t="str">
        <x:v>输</x:v>
      </x:c>
      <x:c r="M1442" s="65" t="str">
        <x:v>赢</x:v>
      </x:c>
      <x:c r="N1442" s="67" t="n">
        <x:v>-1</x:v>
      </x:c>
      <x:c r="O1442" s="67" t="n">
        <x:v>1</x:v>
      </x:c>
      <x:c r="P1442" s="67" t="n">
        <x:f>IF(COUNT(N1442:O1442)=0,"",SUM(N1442:O1442))</x:f>
        <x:v>0</x:v>
      </x:c>
      <x:c r="Q1442" s="65"/>
      <x:c r="R1442" s="65" t="str">
        <x:v>FT 2-1；托卢卡 0 输；大2.5 赢。</x:v>
      </x:c>
    </x:row>
    <x:row r="1443" ht="38" customHeight="1">
      <x:c r="A1443" s="65" t="str">
        <x:f>IF(B1443="","",TEXT(B1443,"yyyy-mm-dd")&amp;"|"&amp;D1443&amp;"|"&amp;E1443)</x:f>
        <x:v>2026-04-30|拉普拉塔大学生|弗拉门戈</x:v>
      </x:c>
      <x:c r="B1443" s="66" t="n">
        <x:v>46142.354166666664</x:v>
      </x:c>
      <x:c r="C1443" s="65" t="str">
        <x:v>南美解放者杯</x:v>
      </x:c>
      <x:c r="D1443" s="65" t="str">
        <x:v>拉普拉塔大学生</x:v>
      </x:c>
      <x:c r="E1443" s="65" t="str">
        <x:v>弗拉门戈</x:v>
      </x:c>
      <x:c r="F1443" s="65" t="str">
        <x:v>弗拉门戈 -0.25 @约0.96水</x:v>
      </x:c>
      <x:c r="G1443" s="65" t="str">
        <x:v>大 2.5 球 @约1.50水</x:v>
      </x:c>
      <x:c r="H1443" s="65" t="str">
        <x:v>不加仓；让球优先于大小球；只接受弗拉门戈-0.25且水位≥0.80，不追低水-0.5；若只能拿弗拉门戈-0.5需≥1.00水且小注；大小球只接受大2.5且水位≥1.20，小注，低水小2.5放弃；比分参考1-2/1-1/2-2</x:v>
      </x:c>
      <x:c r="I1443" s="66" t="n">
        <x:v>46142.35506944444</x:v>
      </x:c>
      <x:c r="J1443" s="65" t="str">
        <x:v>已结算</x:v>
      </x:c>
      <x:c r="K1443" s="65" t="str">
        <x:v>1-1</x:v>
      </x:c>
      <x:c r="L1443" s="65" t="str">
        <x:v>输半</x:v>
      </x:c>
      <x:c r="M1443" s="65" t="str">
        <x:v>输</x:v>
      </x:c>
      <x:c r="N1443" s="67" t="n">
        <x:v>-0.5</x:v>
      </x:c>
      <x:c r="O1443" s="67" t="n">
        <x:v>-1</x:v>
      </x:c>
      <x:c r="P1443" s="67" t="n">
        <x:f>IF(COUNT(N1443:O1443)=0,"",SUM(N1443:O1443))</x:f>
        <x:v>-1.5</x:v>
      </x:c>
      <x:c r="Q1443" s="65"/>
      <x:c r="R1443" s="65" t="str">
        <x:v>FT 1-1；弗拉门戈 -0.25 输半；大2.5 输。</x:v>
      </x:c>
    </x:row>
    <x:row r="1444" ht="38" customHeight="1">
      <x:c r="A1444" s="65" t="str">
        <x:f>IF(B1444="","",TEXT(B1444,"yyyy-mm-dd")&amp;"|"&amp;D1444&amp;"|"&amp;E1444)</x:f>
        <x:v>2026-04-30|波特诺山丘（Cerro Porteño）|帕尔梅拉斯（Palmeiras）</x:v>
      </x:c>
      <x:c r="B1444" s="66" t="n">
        <x:v>46142.354166666664</x:v>
      </x:c>
      <x:c r="C1444" s="65" t="str">
        <x:v>南美解放者杯</x:v>
      </x:c>
      <x:c r="D1444" s="65" t="str">
        <x:v>波特诺山丘（Cerro Porteño）</x:v>
      </x:c>
      <x:c r="E1444" s="65" t="str">
        <x:v>帕尔梅拉斯（Palmeiras）</x:v>
      </x:c>
      <x:c r="F1444" s="65" t="str">
        <x:v>帕尔梅拉斯 -0.5（参考欧赔约1.97/港水0.97；低于0.80放弃）</x:v>
      </x:c>
      <x:c r="G1444" s="65" t="str">
        <x:v>小2.25（只接受港水≥0.80；若低于0.80放弃，不追小2.5低水）</x:v>
      </x:c>
      <x:c r="H1444" s="65" t="str">
        <x:v>让球主推；大小球小注/中低仓；参考比分0-1、0-2；若临场帕尔梅拉斯退到-0.25且水位≥0.80可替代，不加仓。</x:v>
      </x:c>
      <x:c r="I1444" s="66" t="n">
        <x:v>46142.34505787037</x:v>
      </x:c>
      <x:c r="J1444" s="65" t="str">
        <x:v>已结算</x:v>
      </x:c>
      <x:c r="K1444" s="65" t="str">
        <x:v>1-1</x:v>
      </x:c>
      <x:c r="L1444" s="65" t="str">
        <x:v>输</x:v>
      </x:c>
      <x:c r="M1444" s="65" t="str">
        <x:v>赢半</x:v>
      </x:c>
      <x:c r="N1444" s="67" t="n">
        <x:v>-1</x:v>
      </x:c>
      <x:c r="O1444" s="67" t="n">
        <x:v>0.5</x:v>
      </x:c>
      <x:c r="P1444" s="67" t="n">
        <x:f>IF(COUNT(N1444:O1444)=0,"",SUM(N1444:O1444))</x:f>
        <x:v>-0.5</x:v>
      </x:c>
      <x:c r="Q1444" s="65"/>
      <x:c r="R1444" s="65" t="str">
        <x:v>FT 1-1；帕尔梅拉斯 -0.5 输；小2.25 赢半。</x:v>
      </x:c>
    </x:row>
    <x:row r="1445" ht="38" customHeight="1">
      <x:c r="A1445" s="65" t="str">
        <x:f>IF(B1445="","",TEXT(B1445,"yyyy-mm-dd")&amp;"|"&amp;D1445&amp;"|"&amp;E1445)</x:f>
        <x:v>2026-04-30|加拉加斯FC|竞技俱乐部（阿根廷）</x:v>
      </x:c>
      <x:c r="B1445" s="66" t="n">
        <x:v>46142.25</x:v>
      </x:c>
      <x:c r="C1445" s="65" t="str">
        <x:v>南美杯（Copa Sudamericana）资格赛</x:v>
      </x:c>
      <x:c r="D1445" s="65" t="str">
        <x:v>加拉加斯FC</x:v>
      </x:c>
      <x:c r="E1445" s="65" t="str">
        <x:v>竞技俱乐部（阿根廷）</x:v>
      </x:c>
      <x:c r="F1445" s="65" t="str">
        <x:v>加拉加斯FC +0.75 @约0.85水</x:v>
      </x:c>
      <x:c r="G1445" s="65" t="str">
        <x:v>大 2.25 球 @约0.90-1.00水</x:v>
      </x:c>
      <x:c r="H1445" s="65" t="str">
        <x:v>不加仓；已开赛按赛前/临场盘口冻结，不碰滚球；让球只接受加拉加斯+0.75且水位≥0.80，若只有+0.5需≥0.90才小注；大小球只接受大2.25且水位≥0.80，若大2.5≥1.00可小注替代；比分参考1-1/1-2/2-2</x:v>
      </x:c>
      <x:c r="I1445" s="66" t="n">
        <x:v>46142.294027777774</x:v>
      </x:c>
      <x:c r="J1445" s="65" t="str">
        <x:v>已结算</x:v>
      </x:c>
      <x:c r="K1445" s="65" t="str">
        <x:v>1-1</x:v>
      </x:c>
      <x:c r="L1445" s="65" t="str">
        <x:v>赢</x:v>
      </x:c>
      <x:c r="M1445" s="65" t="str">
        <x:v>输半</x:v>
      </x:c>
      <x:c r="N1445" s="67" t="n">
        <x:v>1</x:v>
      </x:c>
      <x:c r="O1445" s="67" t="n">
        <x:v>-0.5</x:v>
      </x:c>
      <x:c r="P1445" s="67" t="n">
        <x:f>IF(COUNT(N1445:O1445)=0,"",SUM(N1445:O1445))</x:f>
        <x:v>0.5</x:v>
      </x:c>
      <x:c r="Q1445" s="65"/>
      <x:c r="R1445" s="65" t="str">
        <x:v>FT 1-1；加拉加斯FC +0.75 赢；大2.25 输半。</x:v>
      </x:c>
    </x:row>
    <x:row r="1446" ht="38" customHeight="1">
      <x:c r="A1446" s="65" t="str">
        <x:f>IF(B1446="","",TEXT(B1446,"yyyy-mm-dd")&amp;"|"&amp;D1446&amp;"|"&amp;E1446)</x:f>
        <x:v>2026-04-30|普拉腾斯|独立圣塔菲</x:v>
      </x:c>
      <x:c r="B1446" s="66" t="n">
        <x:v>46142.25</x:v>
      </x:c>
      <x:c r="C1446" s="65" t="str">
        <x:v>南美解放者杯</x:v>
      </x:c>
      <x:c r="D1446" s="65" t="str">
        <x:v>普拉腾斯</x:v>
      </x:c>
      <x:c r="E1446" s="65" t="str">
        <x:v>独立圣塔菲</x:v>
      </x:c>
      <x:c r="F1446" s="65" t="str">
        <x:v>独立圣塔菲 +0.75 @约0.90水</x:v>
      </x:c>
      <x:c r="G1446" s="65" t="str">
        <x:v>小 1.75 球 @约1.15水</x:v>
      </x:c>
      <x:c r="H1446" s="65" t="str">
        <x:v>不加仓；已开赛按赛前/临场盘口冻结，不碰滚球；让球只接受独立圣塔菲+0.75且水位≥0.80，若只有+0.5且≥0.88可小注替代；大小球若有小2.0且≥0.80，优先用小2.0替代小1.75；比分参考0-0/1-0/1-1</x:v>
      </x:c>
      <x:c r="I1446" s="66" t="n">
        <x:v>46142.257048611114</x:v>
      </x:c>
      <x:c r="J1446" s="65" t="str">
        <x:v>已结算</x:v>
      </x:c>
      <x:c r="K1446" s="65" t="str">
        <x:v>2-1</x:v>
      </x:c>
      <x:c r="L1446" s="65" t="str">
        <x:v>输半</x:v>
      </x:c>
      <x:c r="M1446" s="65" t="str">
        <x:v>输</x:v>
      </x:c>
      <x:c r="N1446" s="67" t="n">
        <x:v>-0.5</x:v>
      </x:c>
      <x:c r="O1446" s="67" t="n">
        <x:v>-1</x:v>
      </x:c>
      <x:c r="P1446" s="67" t="n">
        <x:f>IF(COUNT(N1446:O1446)=0,"",SUM(N1446:O1446))</x:f>
        <x:v>-1.5</x:v>
      </x:c>
      <x:c r="Q1446" s="65"/>
      <x:c r="R1446" s="65" t="str">
        <x:v>FT 2-1；独立圣塔菲 +0.75 输半；小1.75 输。</x:v>
      </x:c>
    </x:row>
    <x:row r="1447" ht="38" customHeight="1">
      <x:c r="A1447" s="65" t="str">
        <x:f>IF(B1447="","",TEXT(B1447,"yyyy-mm-dd")&amp;"|"&amp;D1447&amp;"|"&amp;E1447)</x:f>
        <x:v>2026-04-30|马德里竞技|阿森纳</x:v>
      </x:c>
      <x:c r="B1447" s="66" t="n">
        <x:v>46142.125</x:v>
      </x:c>
      <x:c r="C1447" s="65" t="str">
        <x:v>欧洲冠军联赛（UEFA Champions League）</x:v>
      </x:c>
      <x:c r="D1447" s="65" t="str">
        <x:v>马德里竞技</x:v>
      </x:c>
      <x:c r="E1447" s="65" t="str">
        <x:v>阿森纳</x:v>
      </x:c>
      <x:c r="F1447" s="65" t="str">
        <x:v>马德里竞技 +0.25 @约0.83水</x:v>
      </x:c>
      <x:c r="G1447" s="65" t="str">
        <x:v>小 2.25 球 @约0.85-0.90水</x:v>
      </x:c>
      <x:c r="H1447" s="65" t="str">
        <x:v>不加仓；欧冠半决赛首回合小注；让球只接受马竞+0.25且水位≥0.80，不追马竞平手；大小球不碰低水小2.5，优先小2.25且水位≥0.80；比分参考1-1/1-0/0-0</x:v>
      </x:c>
      <x:c r="I1447" s="66" t="n">
        <x:v>46141.95460648148</x:v>
      </x:c>
      <x:c r="J1447" s="65" t="str">
        <x:v>已结算</x:v>
      </x:c>
      <x:c r="K1447" s="65" t="str">
        <x:v>1-1</x:v>
      </x:c>
      <x:c r="L1447" s="65" t="str">
        <x:v>赢半</x:v>
      </x:c>
      <x:c r="M1447" s="65" t="str">
        <x:v>赢半</x:v>
      </x:c>
      <x:c r="N1447" s="67" t="n">
        <x:v>0.5</x:v>
      </x:c>
      <x:c r="O1447" s="67" t="n">
        <x:v>0.5</x:v>
      </x:c>
      <x:c r="P1447" s="67" t="n">
        <x:f>IF(COUNT(N1447:O1447)=0,"",SUM(N1447:O1447))</x:f>
        <x:v>1</x:v>
      </x:c>
      <x:c r="Q1447" s="65"/>
      <x:c r="R1447" s="65" t="str">
        <x:v>FT 1-1；马德里竞技 +0.25 赢半；小2.25 赢半。</x:v>
      </x:c>
    </x:row>
    <x:row r="1448" ht="38" customHeight="1">
      <x:c r="A1448" s="65" t="str">
        <x:f>IF(B1448="","",TEXT(B1448,"yyyy-mm-dd")&amp;"|"&amp;D1448&amp;"|"&amp;E1448)</x:f>
        <x:v>2026-04-29|德瓦联|佩西贾普杰帕拉</x:v>
      </x:c>
      <x:c r="B1448" s="66" t="n">
        <x:v>46141.833333333336</x:v>
      </x:c>
      <x:c r="C1448" s="65" t="str">
        <x:v>印度尼西亚超级联赛（印尼超/Liga 1 Indonesia）</x:v>
      </x:c>
      <x:c r="D1448" s="65" t="str">
        <x:v>德瓦联</x:v>
      </x:c>
      <x:c r="E1448" s="65" t="str">
        <x:v>佩西贾普杰帕拉</x:v>
      </x:c>
      <x:c r="F1448" s="65" t="str">
        <x:v>德瓦联 -0.75 @约0.88水</x:v>
      </x:c>
      <x:c r="G1448" s="65" t="str">
        <x:v>小 2.75 球 @约0.86水</x:v>
      </x:c>
      <x:c r="H1448" s="65" t="str">
        <x:v>不加仓；赛前盘冻结；让球只接受德瓦联-0.75且水位≥0.80，不追-1；若只能拿德瓦联-0.5且低于0.80水则放弃；大小球优先小2.75，若小2.5≥0.95水可替代；比分参考2-0/1-0/2-1</x:v>
      </x:c>
      <x:c r="I1448" s="66" t="n">
        <x:v>46141.80517361111</x:v>
      </x:c>
      <x:c r="J1448" s="65" t="str">
        <x:v>已结算</x:v>
      </x:c>
      <x:c r="K1448" s="65" t="str">
        <x:v>1-0</x:v>
      </x:c>
      <x:c r="L1448" s="65" t="str">
        <x:v>赢半</x:v>
      </x:c>
      <x:c r="M1448" s="65" t="str">
        <x:v>赢</x:v>
      </x:c>
      <x:c r="N1448" s="67" t="n">
        <x:v>0.5</x:v>
      </x:c>
      <x:c r="O1448" s="67" t="n">
        <x:v>1</x:v>
      </x:c>
      <x:c r="P1448" s="67" t="n">
        <x:f>IF(COUNT(N1448:O1448)=0,"",SUM(N1448:O1448))</x:f>
        <x:v>1.5</x:v>
      </x:c>
      <x:c r="Q1448" s="65"/>
      <x:c r="R1448" s="65" t="str">
        <x:v>FT 1-0；德瓦联 -0.75 赢半；小2.75 赢。</x:v>
      </x:c>
    </x:row>
    <x:row r="1449" ht="38" customHeight="1">
      <x:c r="A1449" s="65" t="str">
        <x:f>IF(B1449="","",TEXT(B1449,"yyyy-mm-dd")&amp;"|"&amp;D1449&amp;"|"&amp;E1449)</x:f>
        <x:v>2026-04-29|佩斯克谏义里|婆罗洲FC</x:v>
      </x:c>
      <x:c r="B1449" s="66" t="n">
        <x:v>46141.6875</x:v>
      </x:c>
      <x:c r="C1449" s="65" t="str">
        <x:v>印度尼西亚超级联赛（印尼超/Liga 1 Indonesia）</x:v>
      </x:c>
      <x:c r="D1449" s="65" t="str">
        <x:v>佩斯克谏义里</x:v>
      </x:c>
      <x:c r="E1449" s="65" t="str">
        <x:v>婆罗洲FC</x:v>
      </x:c>
      <x:c r="F1449" s="65" t="str">
        <x:v>婆罗洲FC -0.5 @约0.87水</x:v>
      </x:c>
      <x:c r="G1449" s="65" t="str">
        <x:v>大 2.75 球 @约0.95水</x:v>
      </x:c>
      <x:c r="H1449" s="65" t="str">
        <x:v>不加仓；赛前盘冻结；让球只接受婆罗洲FC-0.5且水位≥0.80，不追-0.75；若退到-0.25且水位≥0.80可替代；大小球只接受大2.75且水位≥0.90，小注；比分参考0-2/1-2/1-3</x:v>
      </x:c>
      <x:c r="I1449" s="66" t="n">
        <x:v>46141.660405092596</x:v>
      </x:c>
      <x:c r="J1449" s="65" t="str">
        <x:v>已结算</x:v>
      </x:c>
      <x:c r="K1449" s="65" t="str">
        <x:v>0-1</x:v>
      </x:c>
      <x:c r="L1449" s="65" t="str">
        <x:v>赢</x:v>
      </x:c>
      <x:c r="M1449" s="65" t="str">
        <x:v>输</x:v>
      </x:c>
      <x:c r="N1449" s="67" t="n">
        <x:v>1</x:v>
      </x:c>
      <x:c r="O1449" s="67" t="n">
        <x:v>-1</x:v>
      </x:c>
      <x:c r="P1449" s="67" t="n">
        <x:f>IF(COUNT(N1449:O1449)=0,"",SUM(N1449:O1449))</x:f>
        <x:v>0</x:v>
      </x:c>
      <x:c r="Q1449" s="65"/>
      <x:c r="R1449" s="65" t="str">
        <x:v>FT 0-1；婆罗洲FC -0.5 赢；大2.75 输。</x:v>
      </x:c>
    </x:row>
    <x:row r="1450" ht="38" customHeight="1">
      <x:c r="A1450" s="65" t="str">
        <x:f>IF(B1450="","",TEXT(B1450,"yyyy-mm-dd")&amp;"|"&amp;D1450&amp;"|"&amp;E1450)</x:f>
        <x:v>2026-04-29|塞曼巴东|马都拉联</x:v>
      </x:c>
      <x:c r="B1450" s="66" t="n">
        <x:v>46141.6875</x:v>
      </x:c>
      <x:c r="C1450" s="65" t="str">
        <x:v>印度尼西亚超级联赛（印尼超/Liga 1 Indonesia）</x:v>
      </x:c>
      <x:c r="D1450" s="65" t="str">
        <x:v>塞曼巴东</x:v>
      </x:c>
      <x:c r="E1450" s="65" t="str">
        <x:v>马都拉联</x:v>
      </x:c>
      <x:c r="F1450" s="65" t="str">
        <x:v>马都拉联 +0.5 @约0.85-0.90水</x:v>
      </x:c>
      <x:c r="G1450" s="65" t="str">
        <x:v>大 2.5 球 @约0.83-0.92水</x:v>
      </x:c>
      <x:c r="H1450" s="65" t="str">
        <x:v>不加仓；让球优先于大小球；只接受马都拉联+0.5且水位≥0.80，不追马都拉联平手；大小球只接受大2.5且水位≥0.85，小注；比分参考1-1/1-2/2-2</x:v>
      </x:c>
      <x:c r="I1450" s="66" t="n">
        <x:v>46141.65604166667</x:v>
      </x:c>
      <x:c r="J1450" s="65" t="str">
        <x:v>已结算</x:v>
      </x:c>
      <x:c r="K1450" s="65" t="str">
        <x:v>0-1</x:v>
      </x:c>
      <x:c r="L1450" s="65" t="str">
        <x:v>赢</x:v>
      </x:c>
      <x:c r="M1450" s="65" t="str">
        <x:v>输</x:v>
      </x:c>
      <x:c r="N1450" s="67" t="n">
        <x:v>1</x:v>
      </x:c>
      <x:c r="O1450" s="67" t="n">
        <x:v>-1</x:v>
      </x:c>
      <x:c r="P1450" s="67" t="n">
        <x:f>IF(COUNT(N1450:O1450)=0,"",SUM(N1450:O1450))</x:f>
        <x:v>0</x:v>
      </x:c>
      <x:c r="Q1450" s="65"/>
      <x:c r="R1450" s="65" t="str">
        <x:v>FT 0-1；马都拉联 +0.5 赢；大2.5 输。</x:v>
      </x:c>
    </x:row>
    <x:row r="1451" ht="38" customHeight="1">
      <x:c r="A1451" s="65" t="str">
        <x:f>IF(B1451="","",TEXT(B1451,"yyyy-mm-dd")&amp;"|"&amp;D1451&amp;"|"&amp;E1451)</x:f>
        <x:v>2026-04-29|柏太阳神|FC东京</x:v>
      </x:c>
      <x:c r="B1451" s="66" t="n">
        <x:v>46141.625</x:v>
      </x:c>
      <x:c r="C1451" s="65" t="str">
        <x:v>日职联（J1 League）</x:v>
      </x:c>
      <x:c r="D1451" s="65" t="str">
        <x:v>柏太阳神</x:v>
      </x:c>
      <x:c r="E1451" s="65" t="str">
        <x:v>FC东京</x:v>
      </x:c>
      <x:c r="F1451" s="65" t="str">
        <x:v>FC东京 +0.25 @约0.86水</x:v>
      </x:c>
      <x:c r="G1451" s="65" t="str">
        <x:v>大 2.5 球 @约0.99-1.00水</x:v>
      </x:c>
      <x:c r="H1451" s="65" t="str">
        <x:v>不加仓；让球优先于大小球；只接受FC东京+0.25且水位≥0.80，不追FC东京-0.25；大小球只接受大2.5且水位≥0.90，小注；比分参考1-2/1-1/2-2</x:v>
      </x:c>
      <x:c r="I1451" s="66" t="n">
        <x:v>46141.64858796296</x:v>
      </x:c>
      <x:c r="J1451" s="65" t="str">
        <x:v>已结算</x:v>
      </x:c>
      <x:c r="K1451" s="65" t="str">
        <x:v>1-3</x:v>
      </x:c>
      <x:c r="L1451" s="65" t="str">
        <x:v>赢</x:v>
      </x:c>
      <x:c r="M1451" s="65" t="str">
        <x:v>赢</x:v>
      </x:c>
      <x:c r="N1451" s="67" t="n">
        <x:v>1</x:v>
      </x:c>
      <x:c r="O1451" s="67" t="n">
        <x:v>1</x:v>
      </x:c>
      <x:c r="P1451" s="67" t="n">
        <x:f>IF(COUNT(N1451:O1451)=0,"",SUM(N1451:O1451))</x:f>
        <x:v>2</x:v>
      </x:c>
      <x:c r="Q1451" s="65"/>
      <x:c r="R1451" s="65" t="str">
        <x:v>FT 1-3；FC东京 +0.25 赢；大2.5 赢。</x:v>
      </x:c>
    </x:row>
    <x:row r="1452" ht="38" customHeight="1">
      <x:c r="A1452" s="65" t="str">
        <x:f>IF(B1452="","",TEXT(B1452,"yyyy-mm-dd")&amp;"|"&amp;D1452&amp;"|"&amp;E1452)</x:f>
        <x:v>2026-04-29|浦和红钻|川崎前锋</x:v>
      </x:c>
      <x:c r="B1452" s="66" t="n">
        <x:v>46141.583333333336</x:v>
      </x:c>
      <x:c r="C1452" s="65" t="str">
        <x:v>日职联（J1 League）</x:v>
      </x:c>
      <x:c r="D1452" s="65" t="str">
        <x:v>浦和红钻</x:v>
      </x:c>
      <x:c r="E1452" s="65" t="str">
        <x:v>川崎前锋</x:v>
      </x:c>
      <x:c r="F1452" s="65" t="str">
        <x:v>川崎前锋 +0.25（参考美赔-116≈欧赔1.862/港水0.862；低于0.80水不追）</x:v>
      </x:c>
      <x:c r="G1452" s="65" t="str">
        <x:v>大2.5（参考欧赔1.84-1.88/港水0.84-0.88；低于0.80水不追）</x:v>
      </x:c>
      <x:c r="H1452" s="65" t="str">
        <x:v>可选/加仓：川崎前锋 +0.5 水位≥0.80更稳；若滚球降到大2.25且水位≥0.80可加，不追大2.5低水。</x:v>
      </x:c>
      <x:c r="I1452" s="66" t="n">
        <x:v>46141.60136574074</x:v>
      </x:c>
      <x:c r="J1452" s="65" t="str">
        <x:v>已结算</x:v>
      </x:c>
      <x:c r="K1452" s="65" t="str">
        <x:v>2-0</x:v>
      </x:c>
      <x:c r="L1452" s="65" t="str">
        <x:v>输</x:v>
      </x:c>
      <x:c r="M1452" s="65" t="str">
        <x:v>输</x:v>
      </x:c>
      <x:c r="N1452" s="67" t="n">
        <x:v>-1</x:v>
      </x:c>
      <x:c r="O1452" s="67" t="n">
        <x:v>-1</x:v>
      </x:c>
      <x:c r="P1452" s="67" t="n">
        <x:f>IF(COUNT(N1452:O1452)=0,"",SUM(N1452:O1452))</x:f>
        <x:v>-2</x:v>
      </x:c>
      <x:c r="Q1452" s="65"/>
      <x:c r="R1452" s="65" t="str">
        <x:v>FT 2-0；川崎前锋 +0.25 输；大2.5 输。</x:v>
      </x:c>
    </x:row>
    <x:row r="1453" ht="38" customHeight="1">
      <x:c r="A1453" s="65" t="str">
        <x:f>IF(B1453="","",TEXT(B1453,"yyyy-mm-dd")&amp;"|"&amp;D1453&amp;"|"&amp;E1453)</x:f>
        <x:v>2026-04-29|京都不死鸟|大阪钢巴</x:v>
      </x:c>
      <x:c r="B1453" s="66" t="n">
        <x:v>46141.583333333336</x:v>
      </x:c>
      <x:c r="C1453" s="65" t="str">
        <x:v>日职联（J1 League）</x:v>
      </x:c>
      <x:c r="D1453" s="65" t="str">
        <x:v>京都不死鸟</x:v>
      </x:c>
      <x:c r="E1453" s="65" t="str">
        <x:v>大阪钢巴</x:v>
      </x:c>
      <x:c r="F1453" s="65" t="str">
        <x:v>京都不死鸟 -0.25（参考欧赔2.08/港水1.08；低于0.80水不追）</x:v>
      </x:c>
      <x:c r="G1453" s="65" t="str">
        <x:v>大2.5（参考欧赔1.95/港水0.95；低于0.80水不追）</x:v>
      </x:c>
      <x:c r="H1453" s="65" t="str">
        <x:v>可选/加仓：京都平手(0)水位≥0.80可加；若已滚球，只接受大2.25水位≥0.80，不追低水。</x:v>
      </x:c>
      <x:c r="I1453" s="66" t="n">
        <x:v>46141.5984375</x:v>
      </x:c>
      <x:c r="J1453" s="65" t="str">
        <x:v>已结算</x:v>
      </x:c>
      <x:c r="K1453" s="65" t="str">
        <x:v>1-1</x:v>
      </x:c>
      <x:c r="L1453" s="65" t="str">
        <x:v>输半</x:v>
      </x:c>
      <x:c r="M1453" s="65" t="str">
        <x:v>输</x:v>
      </x:c>
      <x:c r="N1453" s="67" t="n">
        <x:v>-0.5</x:v>
      </x:c>
      <x:c r="O1453" s="67" t="n">
        <x:v>-1</x:v>
      </x:c>
      <x:c r="P1453" s="67" t="n">
        <x:f>IF(COUNT(N1453:O1453)=0,"",SUM(N1453:O1453))</x:f>
        <x:v>-1.5</x:v>
      </x:c>
      <x:c r="Q1453" s="65"/>
      <x:c r="R1453" s="65" t="str">
        <x:v>FT 1-1；京都不死鸟 -0.25 输半；大2.5 输。</x:v>
      </x:c>
    </x:row>
    <x:row r="1454" ht="38" customHeight="1">
      <x:c r="A1454" s="65" t="str">
        <x:f>IF(B1454="","",TEXT(B1454,"yyyy-mm-dd")&amp;"|"&amp;D1454&amp;"|"&amp;E1454)</x:f>
        <x:v>2026-04-29|秋田蓝闪电|山形山神</x:v>
      </x:c>
      <x:c r="B1454" s="66" t="n">
        <x:v>46141.541666666664</x:v>
      </x:c>
      <x:c r="C1454" s="65" t="str">
        <x:v>日职 明治安田J2·J3百年构想联赛</x:v>
      </x:c>
      <x:c r="D1454" s="65" t="str">
        <x:v>秋田蓝闪电</x:v>
      </x:c>
      <x:c r="E1454" s="65" t="str">
        <x:v>山形山神</x:v>
      </x:c>
      <x:c r="F1454" s="65" t="str">
        <x:v>山形山神 +0.25 @约0.88-0.95水</x:v>
      </x:c>
      <x:c r="G1454" s="65" t="str">
        <x:v>小 2.5 球 @约0.90-0.95水</x:v>
      </x:c>
      <x:c r="H1454" s="65" t="str">
        <x:v>不加仓；临近开球按赛前盘冻结；让球只接受山形山神+0.25且水位≥0.80，不追山形平手；大小球只接受小2.5且水位≥0.85，若低于0.80放弃；比分参考0-1/1-1/0-0</x:v>
      </x:c>
      <x:c r="I1454" s="66" t="n">
        <x:v>46141.533009259256</x:v>
      </x:c>
      <x:c r="J1454" s="65" t="str">
        <x:v>已结算</x:v>
      </x:c>
      <x:c r="K1454" s="65" t="str">
        <x:v>2-0</x:v>
      </x:c>
      <x:c r="L1454" s="65" t="str">
        <x:v>输</x:v>
      </x:c>
      <x:c r="M1454" s="65" t="str">
        <x:v>赢</x:v>
      </x:c>
      <x:c r="N1454" s="67" t="n">
        <x:v>-1</x:v>
      </x:c>
      <x:c r="O1454" s="67" t="n">
        <x:v>1</x:v>
      </x:c>
      <x:c r="P1454" s="67" t="n">
        <x:f>IF(COUNT(N1454:O1454)=0,"",SUM(N1454:O1454))</x:f>
        <x:v>0</x:v>
      </x:c>
      <x:c r="Q1454" s="65"/>
      <x:c r="R1454" s="65" t="str">
        <x:v>FT 2-0；山形山神 +0.25 输；小2.5 赢。</x:v>
      </x:c>
    </x:row>
    <x:row r="1455" ht="38" customHeight="1">
      <x:c r="A1455" s="65" t="str">
        <x:f>IF(B1455="","",TEXT(B1455,"yyyy-mm-dd")&amp;"|"&amp;D1455&amp;"|"&amp;E1455)</x:f>
        <x:v>2026-04-29|清水心跳|长崎成功丸</x:v>
      </x:c>
      <x:c r="B1455" s="66" t="n">
        <x:v>46141.5</x:v>
      </x:c>
      <x:c r="C1455" s="65" t="str">
        <x:v>日职联（J1 League）</x:v>
      </x:c>
      <x:c r="D1455" s="65" t="str">
        <x:v>清水心跳</x:v>
      </x:c>
      <x:c r="E1455" s="65" t="str">
        <x:v>长崎成功丸</x:v>
      </x:c>
      <x:c r="F1455" s="65" t="str">
        <x:v>清水心跳 -0.5 @约0.95水</x:v>
      </x:c>
      <x:c r="G1455" s="65" t="str">
        <x:v>大 2.5 球 @约1.02水</x:v>
      </x:c>
      <x:c r="H1455" s="65" t="str">
        <x:v>不加仓；让球优先于大小球；只接受清水-0.5且水位≥0.80，不追-0.75；大小球只接受大2.5且水位≥0.90，小注；比分参考2-1/3-1/2-0</x:v>
      </x:c>
      <x:c r="I1455" s="66" t="n">
        <x:v>46141.47096064815</x:v>
      </x:c>
      <x:c r="J1455" s="65" t="str">
        <x:v>已结算</x:v>
      </x:c>
      <x:c r="K1455" s="65" t="str">
        <x:v>1-3</x:v>
      </x:c>
      <x:c r="L1455" s="65" t="str">
        <x:v>输</x:v>
      </x:c>
      <x:c r="M1455" s="65" t="str">
        <x:v>赢</x:v>
      </x:c>
      <x:c r="N1455" s="67" t="n">
        <x:v>-1</x:v>
      </x:c>
      <x:c r="O1455" s="67" t="n">
        <x:v>1</x:v>
      </x:c>
      <x:c r="P1455" s="67" t="n">
        <x:f>IF(COUNT(N1455:O1455)=0,"",SUM(N1455:O1455))</x:f>
        <x:v>0</x:v>
      </x:c>
      <x:c r="Q1455" s="65"/>
      <x:c r="R1455" s="65" t="str">
        <x:v>FT 1-3；清水心跳 -0.5 输；大2.5 赢。</x:v>
      </x:c>
    </x:row>
    <x:row r="1456" ht="38" customHeight="1">
      <x:c r="A1456" s="65" t="str">
        <x:f>IF(B1456="","",TEXT(B1456,"yyyy-mm-dd")&amp;"|"&amp;D1456&amp;"|"&amp;E1456)</x:f>
        <x:v>2026-04-29|水晶竞技|巴兰基亚青年</x:v>
      </x:c>
      <x:c r="B1456" s="66" t="n">
        <x:v>46141.416666666664</x:v>
      </x:c>
      <x:c r="C1456" s="65" t="str">
        <x:v>南美解放者杯</x:v>
      </x:c>
      <x:c r="D1456" s="65" t="str">
        <x:v>水晶竞技</x:v>
      </x:c>
      <x:c r="E1456" s="65" t="str">
        <x:v>巴兰基亚青年</x:v>
      </x:c>
      <x:c r="F1456" s="65" t="str">
        <x:v>巴兰基亚青年 +0.25（参考欧赔约1.85/港水0.85；不败赢盘）</x:v>
      </x:c>
      <x:c r="G1456" s="65" t="str">
        <x:v>小 2.25（参考欧赔约1.90-1.97，港水0.90-0.97）</x:v>
      </x:c>
      <x:c r="H1456" s="65" t="str">
        <x:v>小2.25可小幅加仓；让球正常仓；不碰水晶竞技主胜和小2.5低水</x:v>
      </x:c>
      <x:c r="I1456" s="66" t="n">
        <x:v>46141.333761574075</x:v>
      </x:c>
      <x:c r="J1456" s="65" t="str">
        <x:v>已结算</x:v>
      </x:c>
      <x:c r="K1456" s="65" t="str">
        <x:v>2-0</x:v>
      </x:c>
      <x:c r="L1456" s="65" t="str">
        <x:v>输</x:v>
      </x:c>
      <x:c r="M1456" s="65" t="str">
        <x:v>赢</x:v>
      </x:c>
      <x:c r="N1456" s="67" t="n">
        <x:v>-1</x:v>
      </x:c>
      <x:c r="O1456" s="67" t="n">
        <x:v>1</x:v>
      </x:c>
      <x:c r="P1456" s="67" t="n">
        <x:f>IF(COUNT(N1456:O1456)=0,"",SUM(N1456:O1456))</x:f>
        <x:v>0</x:v>
      </x:c>
      <x:c r="Q1456" s="65"/>
      <x:c r="R1456" s="65" t="str">
        <x:v>FT 2-0；巴兰基亚青年 +0.25 输；小2.25 赢。</x:v>
      </x:c>
    </x:row>
    <x:row r="1457" ht="38" customHeight="1">
      <x:c r="A1457" s="65" t="str">
        <x:f>IF(B1457="","",TEXT(B1457,"yyyy-mm-dd")&amp;"|"&amp;D1457&amp;"|"&amp;E1457)</x:f>
        <x:v>2026-04-29|纳什维尔SC|老虎大学</x:v>
      </x:c>
      <x:c r="B1457" s="66" t="n">
        <x:v>46141.354166666664</x:v>
      </x:c>
      <x:c r="C1457" s="65" t="str">
        <x:v>中北美冠军杯（CONCACAF Champions Cup）</x:v>
      </x:c>
      <x:c r="D1457" s="65" t="str">
        <x:v>纳什维尔SC</x:v>
      </x:c>
      <x:c r="E1457" s="65" t="str">
        <x:v>老虎大学</x:v>
      </x:c>
      <x:c r="F1457" s="65" t="str">
        <x:v>纳什维尔SC -0.5（参考欧赔2.05，港水1.05）</x:v>
      </x:c>
      <x:c r="G1457" s="65" t="str">
        <x:v>小 2.25（参考欧赔1.884，港水0.884）</x:v>
      </x:c>
      <x:c r="H1457" s="65" t="str">
        <x:v>让球正常仓；小2.25可小幅加仓；不碰纳什维尔DNB低水和小2.5低水</x:v>
      </x:c>
      <x:c r="I1457" s="66" t="n">
        <x:v>46141.34100694444</x:v>
      </x:c>
      <x:c r="J1457" s="65" t="str">
        <x:v>已结算</x:v>
      </x:c>
      <x:c r="K1457" s="65" t="str">
        <x:v>0-1</x:v>
      </x:c>
      <x:c r="L1457" s="65" t="str">
        <x:v>输</x:v>
      </x:c>
      <x:c r="M1457" s="65" t="str">
        <x:v>赢</x:v>
      </x:c>
      <x:c r="N1457" s="67" t="n">
        <x:v>-1</x:v>
      </x:c>
      <x:c r="O1457" s="67" t="n">
        <x:v>1</x:v>
      </x:c>
      <x:c r="P1457" s="67" t="n">
        <x:f>IF(COUNT(N1457:O1457)=0,"",SUM(N1457:O1457))</x:f>
        <x:v>0</x:v>
      </x:c>
      <x:c r="Q1457" s="65"/>
      <x:c r="R1457" s="65" t="str">
        <x:v>FT 0-1；纳什维尔SC -0.5 输；小2.25 赢。</x:v>
      </x:c>
    </x:row>
    <x:row r="1458" ht="38" customHeight="1">
      <x:c r="A1458" s="65" t="str">
        <x:f>IF(B1458="","",TEXT(B1458,"yyyy-mm-dd")&amp;"|"&amp;D1458&amp;"|"&amp;E1458)</x:f>
        <x:v>2026-04-29|亚松森自由|山谷独立</x:v>
      </x:c>
      <x:c r="B1458" s="66" t="n">
        <x:v>46141.25</x:v>
      </x:c>
      <x:c r="C1458" s="65" t="str">
        <x:v>南美解放者杯</x:v>
      </x:c>
      <x:c r="D1458" s="65" t="str">
        <x:v>亚松森自由</x:v>
      </x:c>
      <x:c r="E1458" s="65" t="str">
        <x:v>山谷独立</x:v>
      </x:c>
      <x:c r="F1458" s="65" t="str">
        <x:v>山谷独立 0（平手盘/DNB，参考欧赔约1.80，港水0.80）</x:v>
      </x:c>
      <x:c r="G1458" s="65" t="str">
        <x:v>小 2.25（参考美赔+100/欧赔2.00，港水1.00）</x:v>
      </x:c>
      <x:c r="H1458" s="65" t="str">
        <x:v>小2.25可小幅加仓；让球正常仓偏小；不碰山谷独立双重机会低水和小2.5低水</x:v>
      </x:c>
      <x:c r="I1458" s="66" t="n">
        <x:v>46141.211006944446</x:v>
      </x:c>
      <x:c r="J1458" s="65" t="str">
        <x:v>已结算</x:v>
      </x:c>
      <x:c r="K1458" s="65" t="str">
        <x:v>2-3</x:v>
      </x:c>
      <x:c r="L1458" s="65" t="str">
        <x:v>赢</x:v>
      </x:c>
      <x:c r="M1458" s="65" t="str">
        <x:v>输</x:v>
      </x:c>
      <x:c r="N1458" s="67" t="n">
        <x:v>1</x:v>
      </x:c>
      <x:c r="O1458" s="67" t="n">
        <x:v>-1</x:v>
      </x:c>
      <x:c r="P1458" s="67" t="n">
        <x:f>IF(COUNT(N1458:O1458)=0,"",SUM(N1458:O1458))</x:f>
        <x:v>0</x:v>
      </x:c>
      <x:c r="Q1458" s="65"/>
      <x:c r="R1458" s="65" t="str">
        <x:v>FT 2-3；山谷独立 0 赢；小2.25 输。</x:v>
      </x:c>
    </x:row>
    <x:row r="1459" ht="38" customHeight="1">
      <x:c r="A1459" s="65" t="str">
        <x:f>IF(B1459="","",TEXT(B1459,"yyyy-mm-dd")&amp;"|"&amp;D1459&amp;"|"&amp;E1459)</x:f>
        <x:v>2026-04-29|巴黎圣日耳曼|拜仁慕尼黑</x:v>
      </x:c>
      <x:c r="B1459" s="66" t="n">
        <x:v>46141.125</x:v>
      </x:c>
      <x:c r="C1459" s="65" t="str">
        <x:v>欧洲冠军联赛（UEFA Champions League）</x:v>
      </x:c>
      <x:c r="D1459" s="65" t="str">
        <x:v>巴黎圣日耳曼</x:v>
      </x:c>
      <x:c r="E1459" s="65" t="str">
        <x:v>拜仁慕尼黑</x:v>
      </x:c>
      <x:c r="F1459" s="65" t="str">
        <x:v>巴黎圣日耳曼 0（平手盘/DNB，参考欧赔约1.90-1.95，港水0.90-0.95）</x:v>
      </x:c>
      <x:c r="G1459" s="65" t="str">
        <x:v>小 3.5（参考美赔-117/欧赔约1.85，港水0.85）</x:v>
      </x:c>
      <x:c r="H1459" s="65" t="str">
        <x:v>让球正常仓；小3.5正常仓或小幅加仓；不碰大2.5低赔和BTTS低赔</x:v>
      </x:c>
      <x:c r="I1459" s="66" t="n">
        <x:v>46141.17444444444</x:v>
      </x:c>
      <x:c r="J1459" s="65" t="str">
        <x:v>已结算</x:v>
      </x:c>
      <x:c r="K1459" s="65" t="str">
        <x:v>5-4</x:v>
      </x:c>
      <x:c r="L1459" s="65" t="str">
        <x:v>赢</x:v>
      </x:c>
      <x:c r="M1459" s="65" t="str">
        <x:v>输</x:v>
      </x:c>
      <x:c r="N1459" s="67" t="n">
        <x:v>1</x:v>
      </x:c>
      <x:c r="O1459" s="67" t="n">
        <x:v>-1</x:v>
      </x:c>
      <x:c r="P1459" s="67" t="n">
        <x:f>IF(COUNT(N1459:O1459)=0,"",SUM(N1459:O1459))</x:f>
        <x:v>0</x:v>
      </x:c>
      <x:c r="Q1459" s="65"/>
      <x:c r="R1459" s="65" t="str">
        <x:v>FT 5-4；巴黎圣日耳曼 0 赢；小3.5 输。</x:v>
      </x:c>
    </x:row>
    <x:row r="1460" ht="38" customHeight="1">
      <x:c r="A1460" s="65" t="str">
        <x:f>IF(B1460="","",TEXT(B1460,"yyyy-mm-dd")&amp;"|"&amp;D1460&amp;"|"&amp;E1460)</x:f>
        <x:v>2026-04-28|东孟加拉|奥迪萨</x:v>
      </x:c>
      <x:c r="B1460" s="66" t="n">
        <x:v>46140.916666666664</x:v>
      </x:c>
      <x:c r="C1460" s="65" t="str">
        <x:v>印度超级联赛（Indian Super League）</x:v>
      </x:c>
      <x:c r="D1460" s="65" t="str">
        <x:v>东孟加拉</x:v>
      </x:c>
      <x:c r="E1460" s="65" t="str">
        <x:v>奥迪萨</x:v>
      </x:c>
      <x:c r="F1460" s="65" t="str">
        <x:v>东孟加拉 -1.75（参考港水约0.94；赢2球半赢，赢3球全赢）</x:v>
      </x:c>
      <x:c r="G1460" s="65" t="str">
        <x:v>大 3.5（参考美赔-104/欧赔1.96，港水0.96）</x:v>
      </x:c>
      <x:c r="H1460" s="65" t="str">
        <x:v>让球正常仓偏小；大3.5正常仓；不碰东孟加拉独赢低赔和大2.5低赔</x:v>
      </x:c>
      <x:c r="I1460" s="66" t="n">
        <x:v>46140.919699074075</x:v>
      </x:c>
      <x:c r="J1460" s="65" t="str">
        <x:v>已结算</x:v>
      </x:c>
      <x:c r="K1460" s="65" t="str">
        <x:v>3-0</x:v>
      </x:c>
      <x:c r="L1460" s="65" t="str">
        <x:v>赢</x:v>
      </x:c>
      <x:c r="M1460" s="65" t="str">
        <x:v>输</x:v>
      </x:c>
      <x:c r="N1460" s="67" t="n">
        <x:v>1</x:v>
      </x:c>
      <x:c r="O1460" s="67" t="n">
        <x:v>-1</x:v>
      </x:c>
      <x:c r="P1460" s="67" t="n">
        <x:f>IF(COUNT(N1460:O1460)=0,"",SUM(N1460:O1460))</x:f>
        <x:v>0</x:v>
      </x:c>
      <x:c r="Q1460" s="65"/>
      <x:c r="R1460" s="65" t="str">
        <x:v>FT 3-0；东孟加拉 -1.75 赢；大3.5 输。</x:v>
      </x:c>
    </x:row>
    <x:row r="1461" ht="38" customHeight="1">
      <x:c r="A1461" s="65" t="str">
        <x:f>IF(B1461="","",TEXT(B1461,"yyyy-mm-dd")&amp;"|"&amp;D1461&amp;"|"&amp;E1461)</x:f>
        <x:v>2026-04-28|巴克伦佛（PSBS比亚克）|马鲁特联</x:v>
      </x:c>
      <x:c r="B1461" s="66" t="n">
        <x:v>46140.833333333336</x:v>
      </x:c>
      <x:c r="C1461" s="65" t="str">
        <x:v>印度尼西亚超级联赛（印尼超/Liga 1 Indonesia）</x:v>
      </x:c>
      <x:c r="D1461" s="65" t="str">
        <x:v>巴克伦佛（PSBS比亚克）</x:v>
      </x:c>
      <x:c r="E1461" s="65" t="str">
        <x:v>马鲁特联</x:v>
      </x:c>
      <x:c r="F1461" s="65" t="str">
        <x:v>马鲁特联 -3.0（参考欧赔1.80，港水0.80，赢3球走水）</x:v>
      </x:c>
      <x:c r="G1461" s="65" t="str">
        <x:v>大 4.5（参考欧赔1.85，港水0.85）</x:v>
      </x:c>
      <x:c r="H1461" s="65" t="str">
        <x:v>让球正常仓偏小；大4.5小注高水，不加仓；不碰马鲁特联独赢低赔和大3.5低水</x:v>
      </x:c>
      <x:c r="I1461" s="66" t="n">
        <x:v>46140.82528935185</x:v>
      </x:c>
      <x:c r="J1461" s="65" t="str">
        <x:v>已结算</x:v>
      </x:c>
      <x:c r="K1461" s="65" t="str">
        <x:v>0-7</x:v>
      </x:c>
      <x:c r="L1461" s="65" t="str">
        <x:v>赢</x:v>
      </x:c>
      <x:c r="M1461" s="65" t="str">
        <x:v>赢</x:v>
      </x:c>
      <x:c r="N1461" s="67" t="n">
        <x:v>1</x:v>
      </x:c>
      <x:c r="O1461" s="67" t="n">
        <x:v>1</x:v>
      </x:c>
      <x:c r="P1461" s="67" t="n">
        <x:f>IF(COUNT(N1461:O1461)=0,"",SUM(N1461:O1461))</x:f>
        <x:v>2</x:v>
      </x:c>
      <x:c r="Q1461" s="65"/>
      <x:c r="R1461" s="65" t="str">
        <x:v>FT 0-7；马鲁特联 -3.0 赢；大4.5 赢。</x:v>
      </x:c>
    </x:row>
    <x:row r="1462" ht="38" customHeight="1">
      <x:c r="A1462" s="65" t="str">
        <x:f>IF(B1462="","",TEXT(B1462,"yyyy-mm-dd")&amp;"|"&amp;D1462&amp;"|"&amp;E1462)</x:f>
        <x:v>2026-04-28|阿雷马|帕尔斯巴亚</x:v>
      </x:c>
      <x:c r="B1462" s="66" t="n">
        <x:v>46140.6875</x:v>
      </x:c>
      <x:c r="C1462" s="65" t="str">
        <x:v>印度尼西亚超级联赛（印尼超/Liga 1 Indonesia）</x:v>
      </x:c>
      <x:c r="D1462" s="65" t="str">
        <x:v>阿雷马</x:v>
      </x:c>
      <x:c r="E1462" s="65" t="str">
        <x:v>帕尔斯巴亚</x:v>
      </x:c>
      <x:c r="F1462" s="65" t="str">
        <x:v>帕尔斯巴亚 +0.25（参考水位约1.97，港水0.97）</x:v>
      </x:c>
      <x:c r="G1462" s="65" t="str">
        <x:v>小 2.5（参考水位约1.90-1.93，港水0.90-0.93）</x:v>
      </x:c>
      <x:c r="H1462" s="65" t="str">
        <x:v>让球正常仓；小2.5正常仓或小幅加仓；不碰帕尔斯巴亚+0.5低水和阿雷马独赢</x:v>
      </x:c>
      <x:c r="I1462" s="66" t="n">
        <x:v>46140.69211805556</x:v>
      </x:c>
      <x:c r="J1462" s="65" t="str">
        <x:v>已结算</x:v>
      </x:c>
      <x:c r="K1462" s="65" t="str">
        <x:v>0-4</x:v>
      </x:c>
      <x:c r="L1462" s="65" t="str">
        <x:v>赢</x:v>
      </x:c>
      <x:c r="M1462" s="65" t="str">
        <x:v>输</x:v>
      </x:c>
      <x:c r="N1462" s="67" t="n">
        <x:v>1</x:v>
      </x:c>
      <x:c r="O1462" s="67" t="n">
        <x:v>-1</x:v>
      </x:c>
      <x:c r="P1462" s="67" t="n">
        <x:f>IF(COUNT(N1462:O1462)=0,"",SUM(N1462:O1462))</x:f>
        <x:v>0</x:v>
      </x:c>
      <x:c r="Q1462" s="65"/>
      <x:c r="R1462" s="65" t="str">
        <x:v>FT 0-4；帕尔斯巴亚 +0.25 赢；小2.5 输。</x:v>
      </x:c>
    </x:row>
    <x:row r="1463" ht="38" customHeight="1">
      <x:c r="A1463" s="65" t="str">
        <x:f>IF(B1463="","",TEXT(B1463,"yyyy-mm-dd")&amp;"|"&amp;D1463&amp;"|"&amp;E1463)</x:f>
        <x:v>2026-04-28|飓风|阿根廷青年人</x:v>
      </x:c>
      <x:c r="B1463" s="66" t="n">
        <x:v>46140.333333333336</x:v>
      </x:c>
      <x:c r="C1463" s="65" t="str">
        <x:v>阿根廷职业联赛（Liga Profesional·Apertura）</x:v>
      </x:c>
      <x:c r="D1463" s="65" t="str">
        <x:v>飓风</x:v>
      </x:c>
      <x:c r="E1463" s="65" t="str">
        <x:v>阿根廷青年人</x:v>
      </x:c>
      <x:c r="F1463" s="65" t="str">
        <x:v>飓风 0（平手盘/DNB，参考水位约1.98，港水0.98）</x:v>
      </x:c>
      <x:c r="G1463" s="65" t="str">
        <x:v>小 1.5（参考水位约2.13，港水1.13）</x:v>
      </x:c>
      <x:c r="H1463" s="65" t="str">
        <x:v>让球正常仓；小1.5只小注高水，不加仓；不碰飓风+0.25低水和小2.5低水</x:v>
      </x:c>
      <x:c r="I1463" s="66" t="n">
        <x:v>46140.27648148148</x:v>
      </x:c>
      <x:c r="J1463" s="65" t="str">
        <x:v>已结算</x:v>
      </x:c>
      <x:c r="K1463" s="65" t="str">
        <x:v>1-2</x:v>
      </x:c>
      <x:c r="L1463" s="65" t="str">
        <x:v>输</x:v>
      </x:c>
      <x:c r="M1463" s="65" t="str">
        <x:v>输</x:v>
      </x:c>
      <x:c r="N1463" s="67" t="n">
        <x:v>-1</x:v>
      </x:c>
      <x:c r="O1463" s="67" t="n">
        <x:v>-1</x:v>
      </x:c>
      <x:c r="P1463" s="67" t="n">
        <x:f>IF(COUNT(N1463:O1463)=0,"",SUM(N1463:O1463))</x:f>
        <x:v>-2</x:v>
      </x:c>
      <x:c r="Q1463" s="65"/>
      <x:c r="R1463" s="65" t="str">
        <x:v>FT 1-2；飓风 0 输；小1.5 输。</x:v>
      </x:c>
    </x:row>
    <x:row r="1464" ht="38" customHeight="1">
      <x:c r="A1464" s="65" t="str">
        <x:f>IF(B1464="","",TEXT(B1464,"yyyy-mm-dd")&amp;"|"&amp;D1464&amp;"|"&amp;E1464)</x:f>
        <x:v>2026-04-28|奥罗拉|圣安东尼奥布鲁布鲁</x:v>
      </x:c>
      <x:c r="B1464" s="66" t="n">
        <x:v>46140.333333333336</x:v>
      </x:c>
      <x:c r="C1464" s="65" t="str">
        <x:v>玻利维亚甲级联赛</x:v>
      </x:c>
      <x:c r="D1464" s="65" t="str">
        <x:v>奥罗拉</x:v>
      </x:c>
      <x:c r="E1464" s="65" t="str">
        <x:v>圣安东尼奥布鲁布鲁</x:v>
      </x:c>
      <x:c r="F1464" s="65" t="str">
        <x:v>圣安东尼奥布鲁布鲁 +0.25（参考欧赔1.975，港水0.975）</x:v>
      </x:c>
      <x:c r="G1464" s="65" t="str">
        <x:v>小 3.25（参考欧赔2.00，港水1.00）</x:v>
      </x:c>
      <x:c r="H1464" s="65" t="str">
        <x:v>小3.25可小幅加仓；客队受让正常仓；不碰奥罗拉独赢/低赔大2.5</x:v>
      </x:c>
      <x:c r="I1464" s="66" t="n">
        <x:v>46140.25965277778</x:v>
      </x:c>
      <x:c r="J1464" s="65" t="str">
        <x:v>已结算</x:v>
      </x:c>
      <x:c r="K1464" s="65" t="str">
        <x:v>3-1</x:v>
      </x:c>
      <x:c r="L1464" s="65" t="str">
        <x:v>输</x:v>
      </x:c>
      <x:c r="M1464" s="65" t="str">
        <x:v>输</x:v>
      </x:c>
      <x:c r="N1464" s="67" t="n">
        <x:v>-1</x:v>
      </x:c>
      <x:c r="O1464" s="67" t="n">
        <x:v>-1</x:v>
      </x:c>
      <x:c r="P1464" s="67" t="n">
        <x:f>IF(COUNT(N1464:O1464)=0,"",SUM(N1464:O1464))</x:f>
        <x:v>-2</x:v>
      </x:c>
      <x:c r="Q1464" s="65"/>
      <x:c r="R1464" s="65" t="str">
        <x:v>FT 3-1；圣安东尼奥布鲁布鲁 +0.25 输；小3.25 输。</x:v>
      </x:c>
    </x:row>
    <x:row r="1465" ht="38" customHeight="1">
      <x:c r="A1465" s="65" t="str">
        <x:f>IF(B1465="","",TEXT(B1465,"yyyy-mm-dd")&amp;"|"&amp;D1465&amp;"|"&amp;E1465)</x:f>
        <x:v>2026-04-28|萨斯菲尔德|圣塔菲联</x:v>
      </x:c>
      <x:c r="B1465" s="66" t="n">
        <x:v>46140.239583333336</x:v>
      </x:c>
      <x:c r="C1465" s="65" t="str">
        <x:v>阿根廷职业联赛（Liga Profesional·Apertura）</x:v>
      </x:c>
      <x:c r="D1465" s="65" t="str">
        <x:v>萨斯菲尔德</x:v>
      </x:c>
      <x:c r="E1465" s="65" t="str">
        <x:v>圣塔菲联</x:v>
      </x:c>
      <x:c r="F1465" s="65" t="str">
        <x:v>圣塔菲联 +0.25（参考水位约1.93，港水0.93）</x:v>
      </x:c>
      <x:c r="G1465" s="65" t="str">
        <x:v>小 2.0（参考水位约1.90，港水0.90）</x:v>
      </x:c>
      <x:c r="H1465" s="65" t="str">
        <x:v>让球正常仓；小2.0正常仓或小幅加仓；不碰萨斯菲尔德独赢和小2.5低水</x:v>
      </x:c>
      <x:c r="I1465" s="66" t="n">
        <x:v>46140.27233796296</x:v>
      </x:c>
      <x:c r="J1465" s="65" t="str">
        <x:v>已结算</x:v>
      </x:c>
      <x:c r="K1465" s="65" t="str">
        <x:v>2-2</x:v>
      </x:c>
      <x:c r="L1465" s="65" t="str">
        <x:v>赢半</x:v>
      </x:c>
      <x:c r="M1465" s="65" t="str">
        <x:v>输</x:v>
      </x:c>
      <x:c r="N1465" s="67" t="n">
        <x:v>0.5</x:v>
      </x:c>
      <x:c r="O1465" s="67" t="n">
        <x:v>-1</x:v>
      </x:c>
      <x:c r="P1465" s="67" t="n">
        <x:f>IF(COUNT(N1465:O1465)=0,"",SUM(N1465:O1465))</x:f>
        <x:v>-0.5</x:v>
      </x:c>
      <x:c r="Q1465" s="65"/>
      <x:c r="R1465" s="65" t="str">
        <x:v>FT 2-2；圣塔菲联 +0.25 赢半；小2.0 输。</x:v>
      </x:c>
    </x:row>
    <x:row r="1466" ht="38" customHeight="1">
      <x:c r="A1466" s="65" t="str">
        <x:f>IF(B1466="","",TEXT(B1466,"yyyy-mm-dd")&amp;"|"&amp;D1466&amp;"|"&amp;E1466)</x:f>
        <x:v>2026-04-28|拉齐奥|乌迪内斯</x:v>
      </x:c>
      <x:c r="B1466" s="66" t="n">
        <x:v>46140.114583333336</x:v>
      </x:c>
      <x:c r="C1466" s="65" t="str">
        <x:v>意大利甲级联赛（Serie A）</x:v>
      </x:c>
      <x:c r="D1466" s="65" t="str">
        <x:v>拉齐奥</x:v>
      </x:c>
      <x:c r="E1466" s="65" t="str">
        <x:v>乌迪内斯</x:v>
      </x:c>
      <x:c r="F1466" s="65" t="str">
        <x:v>乌迪内斯 +0.25（参考美赔+105/欧赔2.05，港水1.05）</x:v>
      </x:c>
      <x:c r="G1466" s="65" t="str">
        <x:v>小 2.25（参考欧赔1.884，港水0.884）</x:v>
      </x:c>
      <x:c r="H1466" s="65" t="str">
        <x:v>小2.25可小幅加仓；让球正常仓；不碰小2.5低水与拉齐奥独赢</x:v>
      </x:c>
      <x:c r="I1466" s="66" t="n">
        <x:v>46140.028032407405</x:v>
      </x:c>
      <x:c r="J1466" s="65" t="str">
        <x:v>已结算</x:v>
      </x:c>
      <x:c r="K1466" s="65" t="str">
        <x:v>3-3</x:v>
      </x:c>
      <x:c r="L1466" s="65" t="str">
        <x:v>赢半</x:v>
      </x:c>
      <x:c r="M1466" s="65" t="str">
        <x:v>输</x:v>
      </x:c>
      <x:c r="N1466" s="67" t="n">
        <x:v>0.5</x:v>
      </x:c>
      <x:c r="O1466" s="67" t="n">
        <x:v>-1</x:v>
      </x:c>
      <x:c r="P1466" s="67" t="n">
        <x:f>IF(COUNT(N1466:O1466)=0,"",SUM(N1466:O1466))</x:f>
        <x:v>-0.5</x:v>
      </x:c>
      <x:c r="Q1466" s="65"/>
      <x:c r="R1466" s="65" t="str">
        <x:v>FT 3-3；乌迪内斯 +0.25 赢半；小2.25 输。</x:v>
      </x:c>
    </x:row>
    <x:row r="1467" ht="38" customHeight="1">
      <x:c r="A1467" s="65" t="str">
        <x:f>IF(B1467="","",TEXT(B1467,"yyyy-mm-dd")&amp;"|"&amp;D1467&amp;"|"&amp;E1467)</x:f>
        <x:v>2026-04-28|赫根（BK Häcken）|天狼星（IK Sirius）</x:v>
      </x:c>
      <x:c r="B1467" s="66" t="n">
        <x:v>46140.041666666664</x:v>
      </x:c>
      <x:c r="C1467" s="65" t="str">
        <x:v>瑞典超级联赛</x:v>
      </x:c>
      <x:c r="D1467" s="65" t="str">
        <x:v>赫根（BK Häcken）</x:v>
      </x:c>
      <x:c r="E1467" s="65" t="str">
        <x:v>天狼星（IK Sirius）</x:v>
      </x:c>
      <x:c r="F1467" s="65" t="str">
        <x:v>天狼星 -0.25 @约0.91水</x:v>
      </x:c>
      <x:c r="G1467" s="65" t="str">
        <x:v>大 3.0 球 @约0.85-0.90水</x:v>
      </x:c>
      <x:c r="H1467" s="65" t="str">
        <x:v>不加仓；让球只接受天狼星-0.25且水位≥0.80，不追-0.5；不推荐低水大2.5，若大3.0低于0.80水则放弃；比分参考1-2/2-2/2-3</x:v>
      </x:c>
      <x:c r="I1467" s="66" t="n">
        <x:v>46139.93247685185</x:v>
      </x:c>
      <x:c r="J1467" s="65" t="str">
        <x:v>已结算</x:v>
      </x:c>
      <x:c r="K1467" s="65" t="str">
        <x:v>2-2</x:v>
      </x:c>
      <x:c r="L1467" s="65" t="str">
        <x:v>输半</x:v>
      </x:c>
      <x:c r="M1467" s="65" t="str">
        <x:v>赢</x:v>
      </x:c>
      <x:c r="N1467" s="67" t="n">
        <x:v>-0.5</x:v>
      </x:c>
      <x:c r="O1467" s="67" t="n">
        <x:v>1</x:v>
      </x:c>
      <x:c r="P1467" s="67" t="n">
        <x:f>IF(COUNT(N1467:O1467)=0,"",SUM(N1467:O1467))</x:f>
        <x:v>0.5</x:v>
      </x:c>
      <x:c r="Q1467" s="65"/>
      <x:c r="R1467" s="65" t="str">
        <x:v>FT 2-2；天狼星 -0.25 输半；大3.0 赢。</x:v>
      </x:c>
    </x:row>
    <x:row r="1468" ht="38" customHeight="1">
      <x:c r="A1468" s="65" t="str">
        <x:f>IF(B1468="","",TEXT(B1468,"yyyy-mm-dd")&amp;"|"&amp;D1468&amp;"|"&amp;E1468)</x:f>
        <x:v>2026-04-28|卡利亚里|亚特兰大</x:v>
      </x:c>
      <x:c r="B1468" s="66" t="n">
        <x:v>46140.020833333336</x:v>
      </x:c>
      <x:c r="C1468" s="65" t="str">
        <x:v>意大利甲级联赛（Serie A）</x:v>
      </x:c>
      <x:c r="D1468" s="65" t="str">
        <x:v>卡利亚里</x:v>
      </x:c>
      <x:c r="E1468" s="65" t="str">
        <x:v>亚特兰大</x:v>
      </x:c>
      <x:c r="F1468" s="65" t="str">
        <x:v>亚特兰大 -0.75（参考水位约1.95，港水0.95）</x:v>
      </x:c>
      <x:c r="G1468" s="65" t="str">
        <x:v>小 2.5（参考水位约1.91，港水0.91）</x:v>
      </x:c>
      <x:c r="H1468" s="65" t="str">
        <x:v>小2.5可小幅加仓；让球仅正常仓；不碰亚特兰大独赢低水</x:v>
      </x:c>
      <x:c r="I1468" s="66" t="n">
        <x:v>46140.02270833333</x:v>
      </x:c>
      <x:c r="J1468" s="65" t="str">
        <x:v>已结算</x:v>
      </x:c>
      <x:c r="K1468" s="65" t="str">
        <x:v>3-2</x:v>
      </x:c>
      <x:c r="L1468" s="65" t="str">
        <x:v>输</x:v>
      </x:c>
      <x:c r="M1468" s="65" t="str">
        <x:v>输</x:v>
      </x:c>
      <x:c r="N1468" s="67" t="n">
        <x:v>-1</x:v>
      </x:c>
      <x:c r="O1468" s="67" t="n">
        <x:v>-1</x:v>
      </x:c>
      <x:c r="P1468" s="67" t="n">
        <x:f>IF(COUNT(N1468:O1468)=0,"",SUM(N1468:O1468))</x:f>
        <x:v>-2</x:v>
      </x:c>
      <x:c r="Q1468" s="65"/>
      <x:c r="R1468" s="65" t="str">
        <x:v>FT 3-2；亚特兰大 -0.75 输；小2.5 输。</x:v>
      </x:c>
    </x:row>
    <x:row r="1469" ht="38" customHeight="1">
      <x:c r="A1469" s="65" t="str">
        <x:f>IF(B1469="","",TEXT(B1469,"yyyy-mm-dd")&amp;"|"&amp;D1469&amp;"|"&amp;E1469)</x:f>
        <x:v>2026-04-27|卡塔尔体育|杜海勒</x:v>
      </x:c>
      <x:c r="B1469" s="66" t="n">
        <x:v>46139.927083333336</x:v>
      </x:c>
      <x:c r="C1469" s="65" t="str">
        <x:v>卡塔尔星联赛（Stars League）</x:v>
      </x:c>
      <x:c r="D1469" s="65" t="str">
        <x:v>卡塔尔体育</x:v>
      </x:c>
      <x:c r="E1469" s="65" t="str">
        <x:v>杜海勒</x:v>
      </x:c>
      <x:c r="F1469" s="65" t="str">
        <x:v>杜海勒 -0.75 @约0.95水</x:v>
      </x:c>
      <x:c r="G1469" s="65" t="str">
        <x:v>大 2.75 球 @约0.86水</x:v>
      </x:c>
      <x:c r="H1469" s="65" t="str">
        <x:v>不加仓；已开赛按赛前/临场盘口冻结，不碰滚球；只接受杜海勒-0.75且水位≥0.80，不追-1；若只能拿大2.5低于0.80水则放弃，优先大2.75；比分参考1-2/1-3/2-2</x:v>
      </x:c>
      <x:c r="I1469" s="66" t="n">
        <x:v>46139.9302662037</x:v>
      </x:c>
      <x:c r="J1469" s="65" t="str">
        <x:v>已结算</x:v>
      </x:c>
      <x:c r="K1469" s="65" t="str">
        <x:v>1-2</x:v>
      </x:c>
      <x:c r="L1469" s="65" t="str">
        <x:v>赢半</x:v>
      </x:c>
      <x:c r="M1469" s="65" t="str">
        <x:v>赢半</x:v>
      </x:c>
      <x:c r="N1469" s="67" t="n">
        <x:v>0.5</x:v>
      </x:c>
      <x:c r="O1469" s="67" t="n">
        <x:v>0.5</x:v>
      </x:c>
      <x:c r="P1469" s="67" t="n">
        <x:f>IF(COUNT(N1469:O1469)=0,"",SUM(N1469:O1469))</x:f>
        <x:v>1</x:v>
      </x:c>
      <x:c r="Q1469" s="65"/>
      <x:c r="R1469" s="65" t="str">
        <x:v>FT 1-2；杜海勒 -0.75 赢半；大2.75 赢半。</x:v>
      </x:c>
    </x:row>
    <x:row r="1470" ht="38" customHeight="1">
      <x:c r="A1470" s="65" t="str">
        <x:f>IF(B1470="","",TEXT(B1470,"yyyy-mm-dd")&amp;"|"&amp;D1470&amp;"|"&amp;E1470)</x:f>
        <x:v>2026-04-27|扎马雷克|恩比</x:v>
      </x:c>
      <x:c r="B1470" s="66" t="n">
        <x:v>46139.916666666664</x:v>
      </x:c>
      <x:c r="C1470" s="65" t="str">
        <x:v>埃及超级联赛（Egyptian Premier League）</x:v>
      </x:c>
      <x:c r="D1470" s="65" t="str">
        <x:v>扎马雷克</x:v>
      </x:c>
      <x:c r="E1470" s="65" t="str">
        <x:v>恩比</x:v>
      </x:c>
      <x:c r="F1470" s="65" t="str">
        <x:v>扎马雷克 -0.75（亚洲让球，参考水位约0.85-0.95/欧赔1.85-1.95；赢1球赢半，赢2球及以上全赢）</x:v>
      </x:c>
      <x:c r="G1470" s="65" t="str">
        <x:v>小2.25球（亚洲大小2.25球，参考水位约0.82-0.92/欧赔1.82-1.92；2球赢半）</x:v>
      </x:c>
      <x:c r="H1470" s="65" t="str">
        <x:v>可选：比分1-0、2-0、2-1；加仓：不加仓。小2.25优先级略高；若只能买小2.5且水位低于0.80则放弃</x:v>
      </x:c>
      <x:c r="I1470" s="66" t="n">
        <x:v>46139.92391203704</x:v>
      </x:c>
      <x:c r="J1470" s="65" t="str">
        <x:v>已结算</x:v>
      </x:c>
      <x:c r="K1470" s="65" t="str">
        <x:v>0-0</x:v>
      </x:c>
      <x:c r="L1470" s="65" t="str">
        <x:v>输</x:v>
      </x:c>
      <x:c r="M1470" s="65" t="str">
        <x:v>赢</x:v>
      </x:c>
      <x:c r="N1470" s="67" t="n">
        <x:v>-1</x:v>
      </x:c>
      <x:c r="O1470" s="67" t="n">
        <x:v>1</x:v>
      </x:c>
      <x:c r="P1470" s="67" t="n">
        <x:f>IF(COUNT(N1470:O1470)=0,"",SUM(N1470:O1470))</x:f>
        <x:v>0</x:v>
      </x:c>
      <x:c r="Q1470" s="65"/>
      <x:c r="R1470" s="65" t="str">
        <x:v>FT 0-0；扎马雷克 -0.75 输；小2.25 赢。</x:v>
      </x:c>
    </x:row>
    <x:row r="1471" ht="38" customHeight="1">
      <x:c r="A1471" s="65" t="str">
        <x:f>IF(B1471="","",TEXT(B1471,"yyyy-mm-dd")&amp;"|"&amp;D1471&amp;"|"&amp;E1471)</x:f>
        <x:v>2026-04-27|史莫哈|马斯里</x:v>
      </x:c>
      <x:c r="B1471" s="66" t="n">
        <x:v>46139.916666666664</x:v>
      </x:c>
      <x:c r="C1471" s="65" t="str">
        <x:v>埃及超级联赛（Egyptian Premier League）</x:v>
      </x:c>
      <x:c r="D1471" s="65" t="str">
        <x:v>史莫哈</x:v>
      </x:c>
      <x:c r="E1471" s="65" t="str">
        <x:v>马斯里</x:v>
      </x:c>
      <x:c r="F1471" s="65" t="str">
        <x:v>史莫哈 +0.25（亚洲让球，参考水位约0.82-0.90/欧赔1.82-1.90；平局赢半）</x:v>
      </x:c>
      <x:c r="G1471" s="65" t="str">
        <x:v>小2.0球（亚洲大小2球，参考水位约0.85-0.95/欧赔1.85-1.95；2球走水）</x:v>
      </x:c>
      <x:c r="H1471" s="65" t="str">
        <x:v>可选：比分0-0、1-1、1-0；加仓：不加仓。小2.0优先级略高；若只能买小2.5且水位低于0.80则放弃</x:v>
      </x:c>
      <x:c r="I1471" s="66" t="n">
        <x:v>46139.92052083334</x:v>
      </x:c>
      <x:c r="J1471" s="65" t="str">
        <x:v>已结算</x:v>
      </x:c>
      <x:c r="K1471" s="65" t="str">
        <x:v>0-1</x:v>
      </x:c>
      <x:c r="L1471" s="65" t="str">
        <x:v>输</x:v>
      </x:c>
      <x:c r="M1471" s="65" t="str">
        <x:v>赢</x:v>
      </x:c>
      <x:c r="N1471" s="67" t="n">
        <x:v>-1</x:v>
      </x:c>
      <x:c r="O1471" s="67" t="n">
        <x:v>1</x:v>
      </x:c>
      <x:c r="P1471" s="67" t="n">
        <x:f>IF(COUNT(N1471:O1471)=0,"",SUM(N1471:O1471))</x:f>
        <x:v>0</x:v>
      </x:c>
      <x:c r="Q1471" s="65"/>
      <x:c r="R1471" s="65" t="str">
        <x:v>FT 0-1；史莫哈 +0.25 输；小2.0 赢。</x:v>
      </x:c>
    </x:row>
    <x:row r="1472" ht="38" customHeight="1">
      <x:c r="A1472" s="65" t="str">
        <x:f>IF(B1472="","",TEXT(B1472,"yyyy-mm-dd")&amp;"|"&amp;D1472&amp;"|"&amp;E1472)</x:f>
        <x:v>2026-04-27|佩西加雅加达|佩斯索罗</x:v>
      </x:c>
      <x:c r="B1472" s="66" t="n">
        <x:v>46139.833333333336</x:v>
      </x:c>
      <x:c r="C1472" s="65" t="str">
        <x:v>印度尼西亚超级联赛（印尼超/Liga 1 Indonesia）</x:v>
      </x:c>
      <x:c r="D1472" s="65" t="str">
        <x:v>佩西加雅加达</x:v>
      </x:c>
      <x:c r="E1472" s="65" t="str">
        <x:v>佩斯索罗</x:v>
      </x:c>
      <x:c r="F1472" s="65" t="str">
        <x:v>佩西加雅加达 -1.5（亚洲让球，参考水位约0.86-1.04/欧赔1.86-2.04；赢2球及以上赢盘）</x:v>
      </x:c>
      <x:c r="G1472" s="65" t="str">
        <x:v>小3.0球（亚洲大小3球，参考水位约0.94/欧赔1.94；3球走水）</x:v>
      </x:c>
      <x:c r="H1472" s="65" t="str">
        <x:v>可选：比分2-0、3-0、2-1；加仓：不加仓。让球优先级高于大小球；若只能买到佩西加-1.25但水位低于0.80则放弃</x:v>
      </x:c>
      <x:c r="I1472" s="66" t="n">
        <x:v>46139.80787037037</x:v>
      </x:c>
      <x:c r="J1472" s="65" t="str">
        <x:v>已结算</x:v>
      </x:c>
      <x:c r="K1472" s="65" t="str">
        <x:v>4-0</x:v>
      </x:c>
      <x:c r="L1472" s="65" t="str">
        <x:v>赢</x:v>
      </x:c>
      <x:c r="M1472" s="65" t="str">
        <x:v>输</x:v>
      </x:c>
      <x:c r="N1472" s="67" t="n">
        <x:v>1</x:v>
      </x:c>
      <x:c r="O1472" s="67" t="n">
        <x:v>-1</x:v>
      </x:c>
      <x:c r="P1472" s="67" t="n">
        <x:f>IF(COUNT(N1472:O1472)=0,"",SUM(N1472:O1472))</x:f>
        <x:v>0</x:v>
      </x:c>
      <x:c r="Q1472" s="65"/>
      <x:c r="R1472" s="65" t="str">
        <x:v>FT 4-0；佩西加雅加达 -1.5 赢；小3.0 输。</x:v>
      </x:c>
    </x:row>
    <x:row r="1473" ht="38" customHeight="1">
      <x:c r="A1473" s="65" t="str">
        <x:f>IF(B1473="","",TEXT(B1473,"yyyy-mm-dd")&amp;"|"&amp;D1473&amp;"|"&amp;E1473)</x:f>
        <x:v>2026-04-27|巴厘联|PSM马卡萨</x:v>
      </x:c>
      <x:c r="B1473" s="66" t="n">
        <x:v>46139.6875</x:v>
      </x:c>
      <x:c r="C1473" s="65" t="str">
        <x:v>印度尼西亚超级联赛（印尼超/Liga 1 Indonesia）</x:v>
      </x:c>
      <x:c r="D1473" s="65" t="str">
        <x:v>巴厘联</x:v>
      </x:c>
      <x:c r="E1473" s="65" t="str">
        <x:v>PSM马卡萨</x:v>
      </x:c>
      <x:c r="F1473" s="65" t="str">
        <x:v>巴厘联 -0.5（亚洲让球，参考水位约0.90-0.99/欧赔1.90-1.99；主胜即赢）</x:v>
      </x:c>
      <x:c r="G1473" s="65" t="str">
        <x:v>大2.75球（亚洲大小2.75球，参考水位约0.88-0.95；3球赢半）</x:v>
      </x:c>
      <x:c r="H1473" s="65" t="str">
        <x:v>可选：比分2-1、3-1、2-2；加仓：不加仓。让球优先级高于大小球；若大2.75低于0.80水，改看大3.0高水或放弃</x:v>
      </x:c>
      <x:c r="I1473" s="66" t="n">
        <x:v>46139.53822916667</x:v>
      </x:c>
      <x:c r="J1473" s="65" t="str">
        <x:v>已结算</x:v>
      </x:c>
      <x:c r="K1473" s="65" t="str">
        <x:v>2-0</x:v>
      </x:c>
      <x:c r="L1473" s="65" t="str">
        <x:v>赢</x:v>
      </x:c>
      <x:c r="M1473" s="65" t="str">
        <x:v>输</x:v>
      </x:c>
      <x:c r="N1473" s="67" t="n">
        <x:v>1</x:v>
      </x:c>
      <x:c r="O1473" s="67" t="n">
        <x:v>-1</x:v>
      </x:c>
      <x:c r="P1473" s="67" t="n">
        <x:f>IF(COUNT(N1473:O1473)=0,"",SUM(N1473:O1473))</x:f>
        <x:v>0</x:v>
      </x:c>
      <x:c r="Q1473" s="65"/>
      <x:c r="R1473" s="65" t="str">
        <x:v>FT 2-0；巴厘联 -0.5 赢；大2.75 输。</x:v>
      </x:c>
    </x:row>
    <x:row r="1474" ht="38" customHeight="1">
      <x:c r="A1474" s="65" t="str">
        <x:f>IF(B1474="","",TEXT(B1474,"yyyy-mm-dd")&amp;"|"&amp;D1474&amp;"|"&amp;E1474)</x:f>
        <x:v>2026-04-27|拉尼罗斯|阿利安萨</x:v>
      </x:c>
      <x:c r="B1474" s="66" t="n">
        <x:v>46139.29861111111</x:v>
      </x:c>
      <x:c r="C1474" s="65" t="str">
        <x:v>哥伦比亚甲级联赛（Liga BetPlay DIMAYOR）</x:v>
      </x:c>
      <x:c r="D1474" s="65" t="str">
        <x:v>拉尼罗斯</x:v>
      </x:c>
      <x:c r="E1474" s="65" t="str">
        <x:v>阿利安萨</x:v>
      </x:c>
      <x:c r="F1474" s="65" t="str">
        <x:v>阿利安萨 +0.25（亚洲让球，参考水位约0.84/欧赔1.84；平局赢半）</x:v>
      </x:c>
      <x:c r="G1474" s="65" t="str">
        <x:v>小2.0球（亚洲大小2球，要求水位≥0.80，参考合理区间约0.90-1.00；2球走水）</x:v>
      </x:c>
      <x:c r="H1474" s="65" t="str">
        <x:v>可选：比分0-0、1-1、0-1；加仓：不加仓。让球优先级高于大小球；若只有小2.5且水位低于0.80则放弃</x:v>
      </x:c>
      <x:c r="I1474" s="66" t="n">
        <x:v>46139.27019675926</x:v>
      </x:c>
      <x:c r="J1474" s="65" t="str">
        <x:v>已结算</x:v>
      </x:c>
      <x:c r="K1474" s="65" t="str">
        <x:v>0-0</x:v>
      </x:c>
      <x:c r="L1474" s="65" t="str">
        <x:v>赢半</x:v>
      </x:c>
      <x:c r="M1474" s="65" t="str">
        <x:v>赢</x:v>
      </x:c>
      <x:c r="N1474" s="67" t="n">
        <x:v>0.5</x:v>
      </x:c>
      <x:c r="O1474" s="67" t="n">
        <x:v>1</x:v>
      </x:c>
      <x:c r="P1474" s="67" t="n">
        <x:f>IF(COUNT(N1474:O1474)=0,"",SUM(N1474:O1474))</x:f>
        <x:v>1.5</x:v>
      </x:c>
      <x:c r="Q1474" s="65"/>
      <x:c r="R1474" s="65" t="str">
        <x:v>FT 0-0；阿利安萨 +0.25 赢半；小2.0 赢。</x:v>
      </x:c>
    </x:row>
    <x:row r="1475" ht="38" customHeight="1">
      <x:c r="A1475" s="65" t="str">
        <x:f>IF(B1475="","",TEXT(B1475,"yyyy-mm-dd")&amp;"|"&amp;D1475&amp;"|"&amp;E1475)</x:f>
        <x:v>2026-04-27|桑托斯拉古纳|蒙特雷</x:v>
      </x:c>
      <x:c r="B1475" s="66" t="n">
        <x:v>46139.291666666664</x:v>
      </x:c>
      <x:c r="C1475" s="65" t="str">
        <x:v>墨西哥超（Liga MX，Clausura）</x:v>
      </x:c>
      <x:c r="D1475" s="65" t="str">
        <x:v>桑托斯拉古纳</x:v>
      </x:c>
      <x:c r="E1475" s="65" t="str">
        <x:v>蒙特雷</x:v>
      </x:c>
      <x:c r="F1475" s="65" t="str">
        <x:v>蒙特雷 -0.25（亚洲让球，参考水位约0.92/欧赔1.92；平局输半）</x:v>
      </x:c>
      <x:c r="G1475" s="65" t="str">
        <x:v>小3.25球（亚洲大小3.25球，参考水位约0.85/欧赔1.85；3球赢半）</x:v>
      </x:c>
      <x:c r="H1475" s="65" t="str">
        <x:v>可选：比分0-1、1-2、0-2；防冷1-1。加仓：不加仓；小3.25优先级略高，让球不追蒙特雷-0.5低容错</x:v>
      </x:c>
      <x:c r="I1475" s="66" t="n">
        <x:v>46139.52988425926</x:v>
      </x:c>
      <x:c r="J1475" s="65" t="str">
        <x:v>已结算</x:v>
      </x:c>
      <x:c r="K1475" s="65" t="str">
        <x:v>3-0</x:v>
      </x:c>
      <x:c r="L1475" s="65" t="str">
        <x:v>输</x:v>
      </x:c>
      <x:c r="M1475" s="65" t="str">
        <x:v>赢半</x:v>
      </x:c>
      <x:c r="N1475" s="67" t="n">
        <x:v>-1</x:v>
      </x:c>
      <x:c r="O1475" s="67" t="n">
        <x:v>0.5</x:v>
      </x:c>
      <x:c r="P1475" s="67" t="n">
        <x:f>IF(COUNT(N1475:O1475)=0,"",SUM(N1475:O1475))</x:f>
        <x:v>-0.5</x:v>
      </x:c>
      <x:c r="Q1475" s="65"/>
      <x:c r="R1475" s="65" t="str">
        <x:v>FT 3-0；蒙特雷 -0.25 输；小3.25 赢半。</x:v>
      </x:c>
    </x:row>
    <x:row r="1476" ht="38" customHeight="1">
      <x:c r="A1476" s="65" t="str">
        <x:f>IF(B1476="","",TEXT(B1476,"yyyy-mm-dd")&amp;"|"&amp;D1476&amp;"|"&amp;E1476)</x:f>
        <x:v>2026-04-25|石油独立（Independiente Petrolero）|澳尼塔（温托大学/Universitario de Vinto）</x:v>
      </x:c>
      <x:c r="B1476" s="66" t="n">
        <x:v>46137.333333333336</x:v>
      </x:c>
      <x:c r="C1476" s="65" t="str">
        <x:v>玻利维亚甲级联赛</x:v>
      </x:c>
      <x:c r="D1476" s="65" t="str">
        <x:v>石油独立（Independiente Petrolero）</x:v>
      </x:c>
      <x:c r="E1476" s="65" t="str">
        <x:v>澳尼塔（温托大学/Universitario de Vinto）</x:v>
      </x:c>
      <x:c r="F1476" s="65" t="str">
        <x:v>澳尼塔 +0.25（赛中早盘；参考1.85-1.90，水位达标）</x:v>
      </x:c>
      <x:c r="G1476" s="65" t="str">
        <x:v>小 3.25（即小3/3.5；赛中早盘参考1.85-1.90，水位达标）</x:v>
      </x:c>
      <x:c r="H1476" s="65" t="str">
        <x:v>可选/加仓：澳尼塔+0.25为主推；小3.25为次选小注。赛中冻结节点：约7分钟0-0；不追石油独立-0.25热盘，不追大2.5低水。比分倾向1-1/1-2，防2-1。</x:v>
      </x:c>
      <x:c r="I1476" s="66" t="n">
        <x:v>46137.33907407407</x:v>
      </x:c>
      <x:c r="J1476" s="65" t="str">
        <x:v>已结算</x:v>
      </x:c>
      <x:c r="K1476" s="65" t="str">
        <x:v>2-1</x:v>
      </x:c>
      <x:c r="L1476" s="65" t="str">
        <x:v>输</x:v>
      </x:c>
      <x:c r="M1476" s="65" t="str">
        <x:v>赢半</x:v>
      </x:c>
      <x:c r="N1476" s="67" t="n">
        <x:v>-1</x:v>
      </x:c>
      <x:c r="O1476" s="67" t="n">
        <x:v>0.5</x:v>
      </x:c>
      <x:c r="P1476" s="67" t="n">
        <x:f>IF(COUNT(N1476:O1476)=0,"",SUM(N1476:O1476))</x:f>
        <x:v>-0.5</x:v>
      </x:c>
      <x:c r="Q1476" s="65"/>
      <x:c r="R1476" s="65" t="str">
        <x:v>FT 2-1；澳尼塔 +0.25 输；小3.25 赢半。以 Futbol24 终场 2-1 为准。</x:v>
      </x:c>
    </x:row>
    <x:row r="1477" ht="38" customHeight="1">
      <x:c r="A1477" s="65" t="str">
        <x:f>IF(B1477="","",TEXT(B1477,"yyyy-mm-dd")&amp;"|"&amp;D1477&amp;"|"&amp;E1477)</x:f>
        <x:v>2026-04-25|桑德兰（Sunderland AFC）|诺丁汉森林（Nottingham Forest）</x:v>
      </x:c>
      <x:c r="B1477" s="66" t="n">
        <x:v>46137.125</x:v>
      </x:c>
      <x:c r="C1477" s="65" t="str">
        <x:v>英格兰超级联赛（Premier League）</x:v>
      </x:c>
      <x:c r="D1477" s="65" t="str">
        <x:v>桑德兰（Sunderland AFC）</x:v>
      </x:c>
      <x:c r="E1477" s="65" t="str">
        <x:v>诺丁汉森林（Nottingham Forest）</x:v>
      </x:c>
      <x:c r="F1477" s="65" t="str">
        <x:v>桑德兰 0（平手/DNB；参考1.86-1.98，水位达标）</x:v>
      </x:c>
      <x:c r="G1477" s="65" t="str">
        <x:v>大 2.5（参考2.10-2.12，水位达标）</x:v>
      </x:c>
      <x:c r="H1477" s="65" t="str">
        <x:v>可选/加仓：桑德兰0为主推；大2.5为高水价值盘小注。避开桑德兰+0.25低水、1X低水和小2.5低水；若临场大2.5跌破0.80水则放弃大小球。比分倾向2-1/1-1，防2-2。</x:v>
      </x:c>
      <x:c r="I1477" s="66" t="n">
        <x:v>46137.2908912037</x:v>
      </x:c>
      <x:c r="J1477" s="65" t="str">
        <x:v>已结算</x:v>
      </x:c>
      <x:c r="K1477" s="65" t="str">
        <x:v>0-5</x:v>
      </x:c>
      <x:c r="L1477" s="65" t="str">
        <x:v>输</x:v>
      </x:c>
      <x:c r="M1477" s="65" t="str">
        <x:v>赢</x:v>
      </x:c>
      <x:c r="N1477" s="67" t="n">
        <x:v>-1</x:v>
      </x:c>
      <x:c r="O1477" s="67" t="n">
        <x:v>1</x:v>
      </x:c>
      <x:c r="P1477" s="67" t="n">
        <x:f>IF(COUNT(N1477:O1477)=0,"",SUM(N1477:O1477))</x:f>
        <x:v>0</x:v>
      </x:c>
      <x:c r="Q1477" s="65"/>
      <x:c r="R1477" s="65" t="str">
        <x:v>FT 0-5；桑德兰 0 输；大2.5 赢。</x:v>
      </x:c>
    </x:row>
    <x:row r="1478" ht="38" customHeight="1">
      <x:c r="A1478" s="65" t="str">
        <x:f>IF(B1478="","",TEXT(B1478,"yyyy-mm-dd")&amp;"|"&amp;D1478&amp;"|"&amp;E1478)</x:f>
        <x:v>2026-04-25|凯泽斯劳滕（1. FC Kaiserslautern）|布伦瑞克（Eintracht Braunschweig）</x:v>
      </x:c>
      <x:c r="B1478" s="66" t="n">
        <x:v>46137.020833333336</x:v>
      </x:c>
      <x:c r="C1478" s="65" t="str">
        <x:v>德国乙级联赛（2. Bundesliga）</x:v>
      </x:c>
      <x:c r="D1478" s="65" t="str">
        <x:v>凯泽斯劳滕（1. FC Kaiserslautern）</x:v>
      </x:c>
      <x:c r="E1478" s="65" t="str">
        <x:v>布伦瑞克（Eintracht Braunschweig）</x:v>
      </x:c>
      <x:c r="F1478" s="65" t="str">
        <x:v>凯泽斯劳滕 -0.25（亚洲让球；参考2.00，水位达标）</x:v>
      </x:c>
      <x:c r="G1478" s="65" t="str">
        <x:v>小 2.75（亚洲大小球；参考2.10，水位达标）</x:v>
      </x:c>
      <x:c r="H1478" s="65" t="str">
        <x:v>可选/加仓：凯泽斯劳滕-0.25为主推；小2.75是逆热价值盘，仅小注。避开主胜过热和大2.75低水；比分倾向1-0/2-0，防2-1导致小球半输。</x:v>
      </x:c>
      <x:c r="I1478" s="66" t="n">
        <x:v>46136.9506712963</x:v>
      </x:c>
      <x:c r="J1478" s="65" t="str">
        <x:v>已结算</x:v>
      </x:c>
      <x:c r="K1478" s="65" t="str">
        <x:v>0-2</x:v>
      </x:c>
      <x:c r="L1478" s="65" t="str">
        <x:v>输</x:v>
      </x:c>
      <x:c r="M1478" s="65" t="str">
        <x:v>赢</x:v>
      </x:c>
      <x:c r="N1478" s="67" t="n">
        <x:v>-1</x:v>
      </x:c>
      <x:c r="O1478" s="67" t="n">
        <x:v>1</x:v>
      </x:c>
      <x:c r="P1478" s="67" t="n">
        <x:f>IF(COUNT(N1478:O1478)=0,"",SUM(N1478:O1478))</x:f>
        <x:v>0</x:v>
      </x:c>
      <x:c r="Q1478" s="65"/>
      <x:c r="R1478" s="65" t="str">
        <x:v>FT 0-2；凯泽斯劳滕 -0.25 输；小2.75 赢。</x:v>
      </x:c>
    </x:row>
    <x:row r="1479" ht="38" customHeight="1">
      <x:c r="A1479" s="65" t="str">
        <x:f>IF(B1479="","",TEXT(B1479,"yyyy-mm-dd")&amp;"|"&amp;D1479&amp;"|"&amp;E1479)</x:f>
        <x:v>2026-04-25|杜塞尔多夫（Fortuna Düsseldorf）|德累斯顿迪纳摩（Dynamo Dresden）</x:v>
      </x:c>
      <x:c r="B1479" s="66" t="n">
        <x:v>46137.020833333336</x:v>
      </x:c>
      <x:c r="C1479" s="65" t="str">
        <x:v>德国乙级联赛（2. Bundesliga）</x:v>
      </x:c>
      <x:c r="D1479" s="65" t="str">
        <x:v>杜塞尔多夫（Fortuna Düsseldorf）</x:v>
      </x:c>
      <x:c r="E1479" s="65" t="str">
        <x:v>德累斯顿迪纳摩（Dynamo Dresden）</x:v>
      </x:c>
      <x:c r="F1479" s="65" t="str">
        <x:v>德累斯顿迪纳摩 +0.25（亚洲让球；参考1.83-1.93，水位达标）</x:v>
      </x:c>
      <x:c r="G1479" s="65" t="str">
        <x:v>小 2.75（亚洲大小球；参考2.02左右，水位达标）</x:v>
      </x:c>
      <x:c r="H1479" s="65" t="str">
        <x:v>可选/加仓：德累斯顿迪纳摩+0.25为主推；小2.75为次主推小注。避开X2低水、小3.5低水和大2.5低水；比分倾向1-1/0-1/1-2，防2-1。</x:v>
      </x:c>
      <x:c r="I1479" s="66" t="n">
        <x:v>46136.92895833333</x:v>
      </x:c>
      <x:c r="J1479" s="65" t="str">
        <x:v>已结算</x:v>
      </x:c>
      <x:c r="K1479" s="65" t="str">
        <x:v>3-1</x:v>
      </x:c>
      <x:c r="L1479" s="65" t="str">
        <x:v>输</x:v>
      </x:c>
      <x:c r="M1479" s="65" t="str">
        <x:v>输</x:v>
      </x:c>
      <x:c r="N1479" s="67" t="n">
        <x:v>-1</x:v>
      </x:c>
      <x:c r="O1479" s="67" t="n">
        <x:v>-1</x:v>
      </x:c>
      <x:c r="P1479" s="67" t="n">
        <x:f>IF(COUNT(N1479:O1479)=0,"",SUM(N1479:O1479))</x:f>
        <x:v>-2</x:v>
      </x:c>
      <x:c r="Q1479" s="65"/>
      <x:c r="R1479" s="65" t="str">
        <x:v>FT 3-1；德累斯顿迪纳摩 +0.25 输；小2.75 输。</x:v>
      </x:c>
    </x:row>
    <x:row r="1480" ht="38" customHeight="1">
      <x:c r="A1480" s="65" t="str">
        <x:f>IF(B1480="","",TEXT(B1480,"yyyy-mm-dd")&amp;"|"&amp;D1480&amp;"|"&amp;E1480)</x:f>
        <x:v>2026-04-24|万隆（Persib Bandung）|阿雷马（Arema FC）</x:v>
      </x:c>
      <x:c r="B1480" s="66" t="n">
        <x:v>46136.833333333336</x:v>
      </x:c>
      <x:c r="C1480" s="65" t="str">
        <x:v>印度尼西亚超级联赛（印尼超/Liga 1 Indonesia）</x:v>
      </x:c>
      <x:c r="D1480" s="65" t="str">
        <x:v>万隆（Persib Bandung）</x:v>
      </x:c>
      <x:c r="E1480" s="65" t="str">
        <x:v>阿雷马（Arema FC）</x:v>
      </x:c>
      <x:c r="F1480" s="65" t="str">
        <x:v>阿雷马 +1.25（赛中早盘；参考1.89，水位达标）</x:v>
      </x:c>
      <x:c r="G1480" s="65" t="str">
        <x:v>大 2.5（赛中早盘；参考1.90，水位达标）</x:v>
      </x:c>
      <x:c r="H1480" s="65" t="str">
        <x:v>可选/加仓：阿雷马+1.25为主推；大2.5只做小注。赛中冻结节点：约15分钟0-0；不追万隆-1.25低水/热盘，若大2.5跌破0.80水则放弃大小球。比分倾向2-1/2-2，防3-1。</x:v>
      </x:c>
      <x:c r="I1480" s="66" t="n">
        <x:v>46136.84987268518</x:v>
      </x:c>
      <x:c r="J1480" s="65" t="str">
        <x:v>已结算</x:v>
      </x:c>
      <x:c r="K1480" s="65" t="str">
        <x:v>0-0</x:v>
      </x:c>
      <x:c r="L1480" s="65" t="str">
        <x:v>赢</x:v>
      </x:c>
      <x:c r="M1480" s="65" t="str">
        <x:v>输</x:v>
      </x:c>
      <x:c r="N1480" s="67" t="n">
        <x:v>1</x:v>
      </x:c>
      <x:c r="O1480" s="67" t="n">
        <x:v>-1</x:v>
      </x:c>
      <x:c r="P1480" s="67" t="n">
        <x:f>IF(COUNT(N1480:O1480)=0,"",SUM(N1480:O1480))</x:f>
        <x:v>0</x:v>
      </x:c>
      <x:c r="Q1480" s="65"/>
      <x:c r="R1480" s="65" t="str">
        <x:v>FT 0-0；阿雷马 +1.25 赢；大2.5 输。</x:v>
      </x:c>
    </x:row>
    <x:row r="1481" ht="38" customHeight="1">
      <x:c r="A1481" s="65" t="str">
        <x:f>IF(B1481="","",TEXT(B1481,"yyyy-mm-dd")&amp;"|"&amp;D1481&amp;"|"&amp;E1481)</x:f>
        <x:v>2026-04-24|东北联（NorthEast United FC）|果阿（FC Goa）</x:v>
      </x:c>
      <x:c r="B1481" s="66" t="n">
        <x:v>46136.8125</x:v>
      </x:c>
      <x:c r="C1481" s="65" t="str">
        <x:v>印度超级联赛（Indian Super League）</x:v>
      </x:c>
      <x:c r="D1481" s="65" t="str">
        <x:v>东北联（NorthEast United FC）</x:v>
      </x:c>
      <x:c r="E1481" s="65" t="str">
        <x:v>果阿（FC Goa）</x:v>
      </x:c>
      <x:c r="F1481" s="65" t="str">
        <x:v>东北联 +0.25（亚洲让球；参考1.90，水位达标）</x:v>
      </x:c>
      <x:c r="G1481" s="65" t="str">
        <x:v>小 2.5（参考1.85，水位达标；不追小3.5低水）</x:v>
      </x:c>
      <x:c r="H1481" s="65" t="str">
        <x:v>可选/加仓：东北联+0.25为主推；小2.5为次主推小注。比分倾向1-1/0-1，防1-2；若临场小2.5跌破0.80水则放弃大小球，只留受让。</x:v>
      </x:c>
      <x:c r="I1481" s="66" t="n">
        <x:v>46136.762719907405</x:v>
      </x:c>
      <x:c r="J1481" s="65" t="str">
        <x:v>已结算</x:v>
      </x:c>
      <x:c r="K1481" s="65" t="str">
        <x:v>0-2</x:v>
      </x:c>
      <x:c r="L1481" s="65" t="str">
        <x:v>输</x:v>
      </x:c>
      <x:c r="M1481" s="65" t="str">
        <x:v>赢</x:v>
      </x:c>
      <x:c r="N1481" s="67" t="n">
        <x:v>-1</x:v>
      </x:c>
      <x:c r="O1481" s="67" t="n">
        <x:v>1</x:v>
      </x:c>
      <x:c r="P1481" s="67" t="n">
        <x:f>IF(COUNT(N1481:O1481)=0,"",SUM(N1481:O1481))</x:f>
        <x:v>0</x:v>
      </x:c>
      <x:c r="Q1481" s="65"/>
      <x:c r="R1481" s="65" t="str">
        <x:v>FT 0-2；东北联 +0.25 输；小2.5 赢。</x:v>
      </x:c>
    </x:row>
    <x:row r="1482" ht="38" customHeight="1">
      <x:c r="A1482" s="65" t="str">
        <x:f>IF(B1482="","",TEXT(B1482,"yyyy-mm-dd")&amp;"|"&amp;D1482&amp;"|"&amp;E1482)</x:f>
        <x:v>2026-04-24|欧克莱卡诺（Oakleigh Cannons）|本特利绿茵（Bentleigh Greens）</x:v>
      </x:c>
      <x:c r="B1482" s="66" t="n">
        <x:v>46136.760416666664</x:v>
      </x:c>
      <x:c r="C1482" s="65" t="str">
        <x:v>澳大利亚 维多利亚州超级联赛1（VPL1）</x:v>
      </x:c>
      <x:c r="D1482" s="65" t="str">
        <x:v>欧克莱卡诺（Oakleigh Cannons）</x:v>
      </x:c>
      <x:c r="E1482" s="65" t="str">
        <x:v>本特利绿茵（Bentleigh Greens）</x:v>
      </x:c>
      <x:c r="F1482" s="65" t="str">
        <x:v>本特利绿茵 +0.75（亚洲让球；参考2.10，水位达标）</x:v>
      </x:c>
      <x:c r="G1482" s="65" t="str">
        <x:v>小 3.5（参考1.82左右，低于0.80水不追）</x:v>
      </x:c>
      <x:c r="H1482" s="65" t="str">
        <x:v>可选/加仓：小3.5为次主推，可小加；让球只做本特利绿茵+0.75，不追本特利+1.5低水；比分倾向1-1/2-1。</x:v>
      </x:c>
      <x:c r="I1482" s="66" t="n">
        <x:v>46136.70306712963</x:v>
      </x:c>
      <x:c r="J1482" s="65" t="str">
        <x:v>已结算</x:v>
      </x:c>
      <x:c r="K1482" s="65" t="str">
        <x:v>4-0</x:v>
      </x:c>
      <x:c r="L1482" s="65" t="str">
        <x:v>输</x:v>
      </x:c>
      <x:c r="M1482" s="65" t="str">
        <x:v>输</x:v>
      </x:c>
      <x:c r="N1482" s="67" t="n">
        <x:v>-1</x:v>
      </x:c>
      <x:c r="O1482" s="67" t="n">
        <x:v>-1</x:v>
      </x:c>
      <x:c r="P1482" s="67" t="n">
        <x:f>IF(COUNT(N1482:O1482)=0,"",SUM(N1482:O1482))</x:f>
        <x:v>-2</x:v>
      </x:c>
      <x:c r="Q1482" s="65"/>
      <x:c r="R1482" s="65" t="str">
        <x:v>FT 4-0；本特利绿茵 +0.75 输；小3.5 输。此为同场不同冻结盘口的重复记录，按该条盘口单独结算。</x:v>
      </x:c>
    </x:row>
    <x:row r="1483" ht="38" customHeight="1">
      <x:c r="A1483" s="65" t="str">
        <x:f>IF(B1483="","",TEXT(B1483,"yyyy-mm-dd")&amp;"|"&amp;D1483&amp;"|"&amp;E1483)</x:f>
        <x:v>2026-04-24|欧克莱卡诺|本特利绿茵</x:v>
      </x:c>
      <x:c r="B1483" s="66" t="n">
        <x:v>46136.760416666664</x:v>
      </x:c>
      <x:c r="C1483" s="65" t="str">
        <x:v>澳大利亚 维多利亚州超级联赛1（VPL1）</x:v>
      </x:c>
      <x:c r="D1483" s="65" t="str">
        <x:v>欧克莱卡诺</x:v>
      </x:c>
      <x:c r="E1483" s="65" t="str">
        <x:v>本特利绿茵</x:v>
      </x:c>
      <x:c r="F1483" s="65" t="str">
        <x:v>欧克莱卡诺 -1（主让一球，水位≥0.80；低于0.80放弃）</x:v>
      </x:c>
      <x:c r="G1483" s="65" t="str">
        <x:v>小 3.25（水位≥0.80；若降到小3.0需≥0.95小注）</x:v>
      </x:c>
      <x:c r="H1483" s="65" t="str">
        <x:v>可选：欧克莱卡诺 -1.25 高水小注；不追-1.5；不加仓</x:v>
      </x:c>
      <x:c r="I1483" s="66" t="n">
        <x:v>46136.70002314815</x:v>
      </x:c>
      <x:c r="J1483" s="65" t="str">
        <x:v>已结算</x:v>
      </x:c>
      <x:c r="K1483" s="65" t="str">
        <x:v>4-0</x:v>
      </x:c>
      <x:c r="L1483" s="65" t="str">
        <x:v>赢</x:v>
      </x:c>
      <x:c r="M1483" s="65" t="str">
        <x:v>输</x:v>
      </x:c>
      <x:c r="N1483" s="67" t="n">
        <x:v>1</x:v>
      </x:c>
      <x:c r="O1483" s="67" t="n">
        <x:v>-1</x:v>
      </x:c>
      <x:c r="P1483" s="67" t="n">
        <x:f>IF(COUNT(N1483:O1483)=0,"",SUM(N1483:O1483))</x:f>
        <x:v>0</x:v>
      </x:c>
      <x:c r="Q1483" s="65"/>
      <x:c r="R1483" s="65" t="str">
        <x:v>FT 4-0；欧克莱卡诺 -1 赢；小3.25 输。</x:v>
      </x:c>
    </x:row>
    <x:row r="1484" ht="38" customHeight="1">
      <x:c r="A1484" s="65" t="str">
        <x:f>IF(B1484="","",TEXT(B1484,"yyyy-mm-dd")&amp;"|"&amp;D1484&amp;"|"&amp;E1484)</x:f>
        <x:v>2026-04-24|麦克阿瑟|惠灵顿凤凰</x:v>
      </x:c>
      <x:c r="B1484" s="66" t="n">
        <x:v>46136.73263888889</x:v>
      </x:c>
      <x:c r="C1484" s="65" t="str">
        <x:v>澳大利亚A联赛（A-League Men）</x:v>
      </x:c>
      <x:c r="D1484" s="65" t="str">
        <x:v>麦克阿瑟</x:v>
      </x:c>
      <x:c r="E1484" s="65" t="str">
        <x:v>惠灵顿凤凰</x:v>
      </x:c>
      <x:c r="F1484" s="65" t="str">
        <x:v>惠灵顿凤凰 +0.5（受让半球，水位约0.80；低于0.80放弃）</x:v>
      </x:c>
      <x:c r="G1484" s="65" t="str">
        <x:v>大 3.0（水位≥0.80；若只有大3.25需≥0.95小注）</x:v>
      </x:c>
      <x:c r="H1484" s="65" t="str">
        <x:v>可选：惠灵顿凤凰 0（平手/DNB）水位≥0.95小注；不碰惠灵顿+0.25低水；不加仓</x:v>
      </x:c>
      <x:c r="I1484" s="66" t="n">
        <x:v>46136.647372685184</x:v>
      </x:c>
      <x:c r="J1484" s="65" t="str">
        <x:v>已结算</x:v>
      </x:c>
      <x:c r="K1484" s="65" t="str">
        <x:v>4-0</x:v>
      </x:c>
      <x:c r="L1484" s="65" t="str">
        <x:v>输</x:v>
      </x:c>
      <x:c r="M1484" s="65" t="str">
        <x:v>赢</x:v>
      </x:c>
      <x:c r="N1484" s="67" t="n">
        <x:v>-1</x:v>
      </x:c>
      <x:c r="O1484" s="67" t="n">
        <x:v>1</x:v>
      </x:c>
      <x:c r="P1484" s="67" t="n">
        <x:f>IF(COUNT(N1484:O1484)=0,"",SUM(N1484:O1484))</x:f>
        <x:v>0</x:v>
      </x:c>
      <x:c r="Q1484" s="65"/>
      <x:c r="R1484" s="65" t="str">
        <x:v>FT 4-0；惠灵顿凤凰 +0.5 输；大3.0 赢。</x:v>
      </x:c>
    </x:row>
    <x:row r="1485" ht="38" customHeight="1">
      <x:c r="A1485" s="65" t="str">
        <x:f>IF(B1485="","",TEXT(B1485,"yyyy-mm-dd")&amp;"|"&amp;D1485&amp;"|"&amp;E1485)</x:f>
        <x:v>2026-04-24|海德堡联|艾云达尔</x:v>
      </x:c>
      <x:c r="B1485" s="66" t="n">
        <x:v>46136.729166666664</x:v>
      </x:c>
      <x:c r="C1485" s="65" t="str">
        <x:v>澳大利亚 维多利亚州超级联赛1（VPL1）</x:v>
      </x:c>
      <x:c r="D1485" s="65" t="str">
        <x:v>海德堡联</x:v>
      </x:c>
      <x:c r="E1485" s="65" t="str">
        <x:v>艾云达尔</x:v>
      </x:c>
      <x:c r="F1485" s="65" t="str">
        <x:v>艾云达尔 +0.25（受让平/半，水位约0.93；低于0.80放弃）</x:v>
      </x:c>
      <x:c r="G1485" s="65" t="str">
        <x:v>大 2.75（水位约0.80；若只剩大3.0需≥0.90小注）</x:v>
      </x:c>
      <x:c r="H1485" s="65" t="str">
        <x:v>可选：艾云达尔 0（平手/DNB）高水小注；不加仓</x:v>
      </x:c>
      <x:c r="I1485" s="66" t="n">
        <x:v>46136.66365740741</x:v>
      </x:c>
      <x:c r="J1485" s="65" t="str">
        <x:v>已结算</x:v>
      </x:c>
      <x:c r="K1485" s="65" t="str">
        <x:v>2-1</x:v>
      </x:c>
      <x:c r="L1485" s="65" t="str">
        <x:v>输</x:v>
      </x:c>
      <x:c r="M1485" s="65" t="str">
        <x:v>赢半</x:v>
      </x:c>
      <x:c r="N1485" s="67" t="n">
        <x:v>-1</x:v>
      </x:c>
      <x:c r="O1485" s="67" t="n">
        <x:v>0.5</x:v>
      </x:c>
      <x:c r="P1485" s="67" t="n">
        <x:f>IF(COUNT(N1485:O1485)=0,"",SUM(N1485:O1485))</x:f>
        <x:v>-0.5</x:v>
      </x:c>
      <x:c r="Q1485" s="65"/>
      <x:c r="R1485" s="65" t="str">
        <x:v>FT 2-1；艾云达尔 +0.25 输；大2.75 赢半。</x:v>
      </x:c>
    </x:row>
    <x:row r="1486" ht="38" customHeight="1">
      <x:c r="A1486" s="65" t="str">
        <x:f>IF(B1486="","",TEXT(B1486,"yyyy-mm-dd")&amp;"|"&amp;D1486&amp;"|"&amp;E1486)</x:f>
        <x:v>2026-04-24|格林古利|普雷斯顿狮子</x:v>
      </x:c>
      <x:c r="B1486" s="66" t="n">
        <x:v>46136.729166666664</x:v>
      </x:c>
      <x:c r="C1486" s="65" t="str">
        <x:v>澳大利亚 维多利亚州超级联赛1（VPL1）</x:v>
      </x:c>
      <x:c r="D1486" s="65" t="str">
        <x:v>格林古利</x:v>
      </x:c>
      <x:c r="E1486" s="65" t="str">
        <x:v>普雷斯顿狮子</x:v>
      </x:c>
      <x:c r="F1486" s="65" t="str">
        <x:v>普雷斯顿狮子 -0.5（客胜，水位≥0.80）</x:v>
      </x:c>
      <x:c r="G1486" s="65" t="str">
        <x:v>小 2.5（水位≥0.90）</x:v>
      </x:c>
      <x:c r="H1486" s="65" t="str">
        <x:v>可选：普雷斯顿狮子 -1 高水小注；不加仓，若让球/大小低于0.80水位放弃</x:v>
      </x:c>
      <x:c r="I1486" s="66" t="n">
        <x:v>46136.64560185185</x:v>
      </x:c>
      <x:c r="J1486" s="65" t="str">
        <x:v>已结算</x:v>
      </x:c>
      <x:c r="K1486" s="65" t="str">
        <x:v>0-4</x:v>
      </x:c>
      <x:c r="L1486" s="65" t="str">
        <x:v>赢</x:v>
      </x:c>
      <x:c r="M1486" s="65" t="str">
        <x:v>输</x:v>
      </x:c>
      <x:c r="N1486" s="67" t="n">
        <x:v>1</x:v>
      </x:c>
      <x:c r="O1486" s="67" t="n">
        <x:v>-1</x:v>
      </x:c>
      <x:c r="P1486" s="67" t="n">
        <x:f>IF(COUNT(N1486:O1486)=0,"",SUM(N1486:O1486))</x:f>
        <x:v>0</x:v>
      </x:c>
      <x:c r="Q1486" s="65"/>
      <x:c r="R1486" s="65" t="str">
        <x:v>FT 0-4；普雷斯顿狮子 -0.5 赢；小2.5 输。</x:v>
      </x:c>
    </x:row>
    <x:row r="1487" ht="38" customHeight="1">
      <x:c r="A1487" s="65" t="str">
        <x:f>IF(B1487="","",TEXT(B1487,"yyyy-mm-dd")&amp;"|"&amp;D1487&amp;"|"&amp;E1487)</x:f>
        <x:v>2026-04-24|杰帕拉（Persijap Jepara）|巴克伦佛（PSBS Biak Numfor）</x:v>
      </x:c>
      <x:c r="B1487" s="66" t="n">
        <x:v>46136.6875</x:v>
      </x:c>
      <x:c r="C1487" s="65" t="str">
        <x:v>印度尼西亚超级联赛（印尼超/Liga 1 Indonesia）</x:v>
      </x:c>
      <x:c r="D1487" s="65" t="str">
        <x:v>杰帕拉（Persijap Jepara）</x:v>
      </x:c>
      <x:c r="E1487" s="65" t="str">
        <x:v>巴克伦佛（PSBS Biak Numfor）</x:v>
      </x:c>
      <x:c r="F1487" s="65" t="str">
        <x:v>杰帕拉 -0.75（半场赛中盘；参考1.825，水位达标）</x:v>
      </x:c>
      <x:c r="G1487" s="65" t="str">
        <x:v>小 2.75（半场赛中总进球盘；参考1.825，水位达标）</x:v>
      </x:c>
      <x:c r="H1487" s="65" t="str">
        <x:v>可选/加仓：主推杰帕拉-0.75；小2.75为次选小注，不追主胜1.13低价值，也不追杰帕拉-1.25/-1.5深盘。赛中冻结节点：HT 1-0，比分倾向2-0/2-1。</x:v>
      </x:c>
      <x:c r="I1487" s="66" t="n">
        <x:v>46136.73417824074</x:v>
      </x:c>
      <x:c r="J1487" s="65" t="str">
        <x:v>已结算</x:v>
      </x:c>
      <x:c r="K1487" s="65" t="str">
        <x:v>2-0</x:v>
      </x:c>
      <x:c r="L1487" s="65" t="str">
        <x:v>赢</x:v>
      </x:c>
      <x:c r="M1487" s="65" t="str">
        <x:v>赢</x:v>
      </x:c>
      <x:c r="N1487" s="67" t="n">
        <x:v>1</x:v>
      </x:c>
      <x:c r="O1487" s="67" t="n">
        <x:v>1</x:v>
      </x:c>
      <x:c r="P1487" s="67" t="n">
        <x:f>IF(COUNT(N1487:O1487)=0,"",SUM(N1487:O1487))</x:f>
        <x:v>2</x:v>
      </x:c>
      <x:c r="Q1487" s="65"/>
      <x:c r="R1487" s="65" t="str">
        <x:v>FT 2-0；杰帕拉 -0.75 赢；小2.75 赢。</x:v>
      </x:c>
    </x:row>
    <x:row r="1488" ht="38" customHeight="1">
      <x:c r="A1488" s="65" t="str">
        <x:f>IF(B1488="","",TEXT(B1488,"yyyy-mm-dd")&amp;"|"&amp;D1488&amp;"|"&amp;E1488)</x:f>
        <x:v>2026-04-24|百万富翁|托利马体育</x:v>
      </x:c>
      <x:c r="B1488" s="66" t="n">
        <x:v>46136.375</x:v>
      </x:c>
      <x:c r="C1488" s="65" t="str">
        <x:v>哥伦比亚甲级联赛（Liga BetPlay DIMAYOR）</x:v>
      </x:c>
      <x:c r="D1488" s="65" t="str">
        <x:v>百万富翁</x:v>
      </x:c>
      <x:c r="E1488" s="65" t="str">
        <x:v>托利马体育</x:v>
      </x:c>
      <x:c r="F1488" s="65" t="str">
        <x:v>百万富翁 -0.75</x:v>
      </x:c>
      <x:c r="G1488" s="65" t="str">
        <x:v>大 2.5</x:v>
      </x:c>
      <x:c r="H1488" s="65" t="str">
        <x:v>双方进球 是（小注）</x:v>
      </x:c>
      <x:c r="I1488" s="66" t="n">
        <x:v>46136.37771990741</x:v>
      </x:c>
      <x:c r="J1488" s="65" t="str">
        <x:v>已结算</x:v>
      </x:c>
      <x:c r="K1488" s="65" t="str">
        <x:v>2-0</x:v>
      </x:c>
      <x:c r="L1488" s="65" t="str">
        <x:v>赢</x:v>
      </x:c>
      <x:c r="M1488" s="65" t="str">
        <x:v>输</x:v>
      </x:c>
      <x:c r="N1488" s="67" t="n">
        <x:v>1</x:v>
      </x:c>
      <x:c r="O1488" s="67" t="n">
        <x:v>-1</x:v>
      </x:c>
      <x:c r="P1488" s="67" t="n">
        <x:f>IF(COUNT(N1488:O1488)=0,"",SUM(N1488:O1488))</x:f>
        <x:v>0</x:v>
      </x:c>
      <x:c r="Q1488" s="65"/>
      <x:c r="R1488" s="65" t="str">
        <x:v>FT 2-0；百万富翁 -0.75 赢；大2.5 输。</x:v>
      </x:c>
    </x:row>
    <x:row r="1489" ht="38" customHeight="1">
      <x:c r="A1489" s="65" t="str">
        <x:f>IF(B1489="","",TEXT(B1489,"yyyy-mm-dd")&amp;"|"&amp;D1489&amp;"|"&amp;E1489)</x:f>
        <x:v>2026-04-24|皇家托马亚波|最强者</x:v>
      </x:c>
      <x:c r="B1489" s="66" t="n">
        <x:v>46136.333333333336</x:v>
      </x:c>
      <x:c r="C1489" s="65" t="str">
        <x:v>玻利维亚甲级联赛</x:v>
      </x:c>
      <x:c r="D1489" s="65" t="str">
        <x:v>皇家托马亚波</x:v>
      </x:c>
      <x:c r="E1489" s="65" t="str">
        <x:v>最强者</x:v>
      </x:c>
      <x:c r="F1489" s="65" t="str">
        <x:v>皇家托马亚波 +0.75</x:v>
      </x:c>
      <x:c r="G1489" s="65" t="str">
        <x:v>小 3.5</x:v>
      </x:c>
      <x:c r="H1489" s="65" t="str">
        <x:v>双方进球 否（小注）</x:v>
      </x:c>
      <x:c r="I1489" s="66" t="n">
        <x:v>46136.336064814815</x:v>
      </x:c>
      <x:c r="J1489" s="65" t="str">
        <x:v>已结算</x:v>
      </x:c>
      <x:c r="K1489" s="65" t="str">
        <x:v>0-0</x:v>
      </x:c>
      <x:c r="L1489" s="65" t="str">
        <x:v>赢</x:v>
      </x:c>
      <x:c r="M1489" s="65" t="str">
        <x:v>赢</x:v>
      </x:c>
      <x:c r="N1489" s="67" t="n">
        <x:v>1</x:v>
      </x:c>
      <x:c r="O1489" s="67" t="n">
        <x:v>1</x:v>
      </x:c>
      <x:c r="P1489" s="67" t="n">
        <x:f>IF(COUNT(N1489:O1489)=0,"",SUM(N1489:O1489))</x:f>
        <x:v>2</x:v>
      </x:c>
      <x:c r="Q1489" s="65"/>
      <x:c r="R1489" s="65" t="str">
        <x:v>FT 0-0；皇家托马亚波 +0.75 赢；小3.5 赢。</x:v>
      </x:c>
    </x:row>
    <x:row r="1490" ht="38" customHeight="1">
      <x:c r="A1490" s="65" t="str">
        <x:f>IF(B1490="","",TEXT(B1490,"yyyy-mm-dd")&amp;"|"&amp;D1490&amp;"|"&amp;E1490)</x:f>
        <x:v>2026-04-24|帕斯托体育|圣塔菲独立</x:v>
      </x:c>
      <x:c r="B1490" s="66" t="n">
        <x:v>46136.291666666664</x:v>
      </x:c>
      <x:c r="C1490" s="65" t="str">
        <x:v>哥伦比亚甲级联赛（Liga BetPlay DIMAYOR）</x:v>
      </x:c>
      <x:c r="D1490" s="65" t="str">
        <x:v>帕斯托体育</x:v>
      </x:c>
      <x:c r="E1490" s="65" t="str">
        <x:v>圣塔菲独立</x:v>
      </x:c>
      <x:c r="F1490" s="65" t="str">
        <x:v>圣塔菲独立 +0.25</x:v>
      </x:c>
      <x:c r="G1490" s="65" t="str">
        <x:v>大 2.5</x:v>
      </x:c>
      <x:c r="H1490" s="65" t="str">
        <x:v>双方进球 是（小注）</x:v>
      </x:c>
      <x:c r="I1490" s="66" t="n">
        <x:v>46136.21704861111</x:v>
      </x:c>
      <x:c r="J1490" s="65" t="str">
        <x:v>已结算</x:v>
      </x:c>
      <x:c r="K1490" s="65" t="str">
        <x:v>1-2</x:v>
      </x:c>
      <x:c r="L1490" s="65" t="str">
        <x:v>赢</x:v>
      </x:c>
      <x:c r="M1490" s="65" t="str">
        <x:v>赢</x:v>
      </x:c>
      <x:c r="N1490" s="67" t="n">
        <x:v>1</x:v>
      </x:c>
      <x:c r="O1490" s="67" t="n">
        <x:v>1</x:v>
      </x:c>
      <x:c r="P1490" s="67" t="n">
        <x:f>IF(COUNT(N1490:O1490)=0,"",SUM(N1490:O1490))</x:f>
        <x:v>2</x:v>
      </x:c>
      <x:c r="Q1490" s="65"/>
      <x:c r="R1490" s="65" t="str">
        <x:v>FT 1-2；圣塔菲独立 +0.25 赢；大2.5 赢。</x:v>
      </x:c>
    </x:row>
    <x:row r="1491" ht="38" customHeight="1">
      <x:c r="A1491" s="65" t="str">
        <x:f>IF(B1491="","",TEXT(B1491,"yyyy-mm-dd")&amp;"|"&amp;D1491&amp;"|"&amp;E1491)</x:f>
        <x:v>2026-04-24|哥德堡盖斯|米亚尔比</x:v>
      </x:c>
      <x:c r="B1491" s="66" t="n">
        <x:v>46136.041666666664</x:v>
      </x:c>
      <x:c r="C1491" s="65" t="str">
        <x:v>瑞典超级联赛</x:v>
      </x:c>
      <x:c r="D1491" s="65" t="str">
        <x:v>哥德堡盖斯</x:v>
      </x:c>
      <x:c r="E1491" s="65" t="str">
        <x:v>米亚尔比</x:v>
      </x:c>
      <x:c r="F1491" s="65" t="str">
        <x:v>米亚尔比 -0.25</x:v>
      </x:c>
      <x:c r="G1491" s="65" t="str">
        <x:v>小 2.5</x:v>
      </x:c>
      <x:c r="H1491" s="65" t="str">
        <x:v>米亚尔比 独赢（小注）</x:v>
      </x:c>
      <x:c r="I1491" s="66" t="n">
        <x:v>46136.00056712963</x:v>
      </x:c>
      <x:c r="J1491" s="65" t="str">
        <x:v>已结算</x:v>
      </x:c>
      <x:c r="K1491" s="65" t="str">
        <x:v>0-0</x:v>
      </x:c>
      <x:c r="L1491" s="65" t="str">
        <x:v>输半</x:v>
      </x:c>
      <x:c r="M1491" s="65" t="str">
        <x:v>赢</x:v>
      </x:c>
      <x:c r="N1491" s="67" t="n">
        <x:v>-0.5</x:v>
      </x:c>
      <x:c r="O1491" s="67" t="n">
        <x:v>1</x:v>
      </x:c>
      <x:c r="P1491" s="67" t="n">
        <x:f>IF(COUNT(N1491:O1491)=0,"",SUM(N1491:O1491))</x:f>
        <x:v>0.5</x:v>
      </x:c>
      <x:c r="Q1491" s="65"/>
      <x:c r="R1491" s="65" t="str">
        <x:v>FT 0-0；米亚尔比 -0.25 输半；小2.5 赢。</x:v>
      </x:c>
    </x:row>
    <x:row r="1492" ht="38" customHeight="1">
      <x:c r="A1492" s="65" t="str">
        <x:f>IF(B1492="","",TEXT(B1492,"yyyy-mm-dd")&amp;"|"&amp;D1492&amp;"|"&amp;E1492)</x:f>
        <x:v>2026-04-23|喀拉拉爆破手|奥迪萨FC</x:v>
      </x:c>
      <x:c r="B1492" s="66" t="n">
        <x:v>46135.916666666664</x:v>
      </x:c>
      <x:c r="C1492" s="65" t="str">
        <x:v>印度超级联赛（Indian Super League）</x:v>
      </x:c>
      <x:c r="D1492" s="65" t="str">
        <x:v>喀拉拉爆破手</x:v>
      </x:c>
      <x:c r="E1492" s="65" t="str">
        <x:v>奥迪萨FC</x:v>
      </x:c>
      <x:c r="F1492" s="65" t="str">
        <x:v>奥迪萨FC +0.5</x:v>
      </x:c>
      <x:c r="G1492" s="65" t="str">
        <x:v>大 2.5</x:v>
      </x:c>
      <x:c r="H1492" s="65" t="str">
        <x:v>双方进球 是（小注）</x:v>
      </x:c>
      <x:c r="I1492" s="66" t="n">
        <x:v>46135.87583333333</x:v>
      </x:c>
      <x:c r="J1492" s="65" t="str">
        <x:v>已结算</x:v>
      </x:c>
      <x:c r="K1492" s="65" t="str">
        <x:v>2-1</x:v>
      </x:c>
      <x:c r="L1492" s="65" t="str">
        <x:v>输</x:v>
      </x:c>
      <x:c r="M1492" s="65" t="str">
        <x:v>赢</x:v>
      </x:c>
      <x:c r="N1492" s="67" t="n">
        <x:v>-1</x:v>
      </x:c>
      <x:c r="O1492" s="67" t="n">
        <x:v>1</x:v>
      </x:c>
      <x:c r="P1492" s="67" t="n">
        <x:f>IF(COUNT(N1492:O1492)=0,"",SUM(N1492:O1492))</x:f>
        <x:v>0</x:v>
      </x:c>
      <x:c r="Q1492" s="65"/>
      <x:c r="R1492" s="65" t="str">
        <x:v>FT 2-1；奥迪萨FC +0.5 输；大2.5 赢。</x:v>
      </x:c>
    </x:row>
    <x:row r="1493" ht="38" customHeight="1">
      <x:c r="A1493" s="65" t="str">
        <x:f>IF(B1493="","",TEXT(B1493,"yyyy-mm-dd")&amp;"|"&amp;D1493&amp;"|"&amp;E1493)</x:f>
        <x:v>2026-04-23|佩西塔坦格朗|巴厘联</x:v>
      </x:c>
      <x:c r="B1493" s="66" t="n">
        <x:v>46135.6875</x:v>
      </x:c>
      <x:c r="C1493" s="65" t="str">
        <x:v>印度尼西亚超级联赛（印尼超/Liga 1 Indonesia）</x:v>
      </x:c>
      <x:c r="D1493" s="65" t="str">
        <x:v>佩西塔坦格朗</x:v>
      </x:c>
      <x:c r="E1493" s="65" t="str">
        <x:v>巴厘联</x:v>
      </x:c>
      <x:c r="F1493" s="65" t="str">
        <x:v>佩西塔坦格朗 -0.25</x:v>
      </x:c>
      <x:c r="G1493" s="65" t="str">
        <x:v>大 2.5</x:v>
      </x:c>
      <x:c r="H1493" s="65" t="str">
        <x:v>佩西塔坦格朗 独赢（小注）</x:v>
      </x:c>
      <x:c r="I1493" s="66" t="n">
        <x:v>46135.66143518518</x:v>
      </x:c>
      <x:c r="J1493" s="65" t="str">
        <x:v>已结算</x:v>
      </x:c>
      <x:c r="K1493" s="65" t="str">
        <x:v>0-1</x:v>
      </x:c>
      <x:c r="L1493" s="65" t="str">
        <x:v>输</x:v>
      </x:c>
      <x:c r="M1493" s="65" t="str">
        <x:v>输</x:v>
      </x:c>
      <x:c r="N1493" s="67" t="n">
        <x:v>-1</x:v>
      </x:c>
      <x:c r="O1493" s="67" t="n">
        <x:v>-1</x:v>
      </x:c>
      <x:c r="P1493" s="67" t="n">
        <x:f>IF(COUNT(N1493:O1493)=0,"",SUM(N1493:O1493))</x:f>
        <x:v>-2</x:v>
      </x:c>
      <x:c r="Q1493" s="65"/>
      <x:c r="R1493" s="65" t="str">
        <x:v>FT 0-1；佩西塔坦格朗 -0.25 输；大2.5 输。</x:v>
      </x:c>
    </x:row>
    <x:row r="1494" ht="38" customHeight="1">
      <x:c r="A1494" s="65" t="str">
        <x:f>IF(B1494="","",TEXT(B1494,"yyyy-mm-dd")&amp;"|"&amp;D1494&amp;"|"&amp;E1494)</x:f>
        <x:v>2026-04-23|PSM马卡萨|佩西克谏义里</x:v>
      </x:c>
      <x:c r="B1494" s="66" t="n">
        <x:v>46135.6875</x:v>
      </x:c>
      <x:c r="C1494" s="65" t="str">
        <x:v>印度尼西亚超级联赛（印尼超/Liga 1 Indonesia）</x:v>
      </x:c>
      <x:c r="D1494" s="65" t="str">
        <x:v>PSM马卡萨</x:v>
      </x:c>
      <x:c r="E1494" s="65" t="str">
        <x:v>佩西克谏义里</x:v>
      </x:c>
      <x:c r="F1494" s="65" t="str">
        <x:v>PSM马卡萨 -0.25</x:v>
      </x:c>
      <x:c r="G1494" s="65" t="str">
        <x:v>大 2.5</x:v>
      </x:c>
      <x:c r="H1494" s="65" t="str">
        <x:v>平局（小注防守）</x:v>
      </x:c>
      <x:c r="I1494" s="66" t="n">
        <x:v>46135.64759259259</x:v>
      </x:c>
      <x:c r="J1494" s="65" t="str">
        <x:v>已结算</x:v>
      </x:c>
      <x:c r="K1494" s="65" t="str">
        <x:v>3-1</x:v>
      </x:c>
      <x:c r="L1494" s="65" t="str">
        <x:v>赢</x:v>
      </x:c>
      <x:c r="M1494" s="65" t="str">
        <x:v>赢</x:v>
      </x:c>
      <x:c r="N1494" s="67" t="n">
        <x:v>1</x:v>
      </x:c>
      <x:c r="O1494" s="67" t="n">
        <x:v>1</x:v>
      </x:c>
      <x:c r="P1494" s="67" t="n">
        <x:f>IF(COUNT(N1494:O1494)=0,"",SUM(N1494:O1494))</x:f>
        <x:v>2</x:v>
      </x:c>
      <x:c r="Q1494" s="65"/>
      <x:c r="R1494" s="65" t="str">
        <x:v>FT 3-1；PSM马卡萨 -0.25 赢；大2.5 赢。</x:v>
      </x:c>
    </x:row>
    <x:row r="1495" ht="38" customHeight="1">
      <x:c r="A1495" s="65" t="str">
        <x:f>IF(B1495="","",TEXT(B1495,"yyyy-mm-dd")&amp;"|"&amp;D1495&amp;"|"&amp;E1495)</x:f>
        <x:v>2026-04-23|蒂华纳|帕丘卡</x:v>
      </x:c>
      <x:c r="B1495" s="66" t="n">
        <x:v>46135.4625</x:v>
      </x:c>
      <x:c r="C1495" s="65" t="str">
        <x:v>墨西哥超（Liga MX，Clausura）</x:v>
      </x:c>
      <x:c r="D1495" s="65" t="str">
        <x:v>蒂华纳</x:v>
      </x:c>
      <x:c r="E1495" s="65" t="str">
        <x:v>帕丘卡</x:v>
      </x:c>
      <x:c r="F1495" s="65" t="str">
        <x:v>蒂华纳 +0.25</x:v>
      </x:c>
      <x:c r="G1495" s="65" t="str">
        <x:v>小 2.5</x:v>
      </x:c>
      <x:c r="H1495" s="65" t="str">
        <x:v>蒂华纳 平手(0)（小注）</x:v>
      </x:c>
      <x:c r="I1495" s="66" t="n">
        <x:v>46135.46839120371</x:v>
      </x:c>
      <x:c r="J1495" s="65" t="str">
        <x:v>已结算</x:v>
      </x:c>
      <x:c r="K1495" s="65" t="str">
        <x:v>3-1</x:v>
      </x:c>
      <x:c r="L1495" s="65" t="str">
        <x:v>赢</x:v>
      </x:c>
      <x:c r="M1495" s="65" t="str">
        <x:v>输</x:v>
      </x:c>
      <x:c r="N1495" s="67" t="n">
        <x:v>1</x:v>
      </x:c>
      <x:c r="O1495" s="67" t="n">
        <x:v>-1</x:v>
      </x:c>
      <x:c r="P1495" s="67" t="n">
        <x:f>IF(COUNT(N1495:O1495)=0,"",SUM(N1495:O1495))</x:f>
        <x:v>0</x:v>
      </x:c>
      <x:c r="Q1495" s="65"/>
      <x:c r="R1495" s="65" t="str">
        <x:v>FT 3-1；蒂华纳 +0.25 赢；小2.5 输。</x:v>
      </x:c>
    </x:row>
    <x:row r="1496" ht="38" customHeight="1">
      <x:c r="A1496" s="65" t="str">
        <x:f>IF(B1496="","",TEXT(B1496,"yyyy-mm-dd")&amp;"|"&amp;D1496&amp;"|"&amp;E1496)</x:f>
        <x:v>2026-04-23|内卡萨|瓜达拉哈拉</x:v>
      </x:c>
      <x:c r="B1496" s="66" t="n">
        <x:v>46135.461805555555</x:v>
      </x:c>
      <x:c r="C1496" s="65" t="str">
        <x:v>墨西哥超（Liga MX，Clausura）</x:v>
      </x:c>
      <x:c r="D1496" s="65" t="str">
        <x:v>内卡萨</x:v>
      </x:c>
      <x:c r="E1496" s="65" t="str">
        <x:v>瓜达拉哈拉</x:v>
      </x:c>
      <x:c r="F1496" s="65" t="str">
        <x:v>内卡萨 +0.75</x:v>
      </x:c>
      <x:c r="G1496" s="65" t="str">
        <x:v>小 2.5</x:v>
      </x:c>
      <x:c r="H1496" s="65" t="str">
        <x:v>平局（小注）</x:v>
      </x:c>
      <x:c r="I1496" s="66" t="n">
        <x:v>46135.453194444446</x:v>
      </x:c>
      <x:c r="J1496" s="65" t="str">
        <x:v>已结算</x:v>
      </x:c>
      <x:c r="K1496" s="65" t="str">
        <x:v>0-0</x:v>
      </x:c>
      <x:c r="L1496" s="65" t="str">
        <x:v>赢</x:v>
      </x:c>
      <x:c r="M1496" s="65" t="str">
        <x:v>赢</x:v>
      </x:c>
      <x:c r="N1496" s="67" t="n">
        <x:v>1</x:v>
      </x:c>
      <x:c r="O1496" s="67" t="n">
        <x:v>1</x:v>
      </x:c>
      <x:c r="P1496" s="67" t="n">
        <x:f>IF(COUNT(N1496:O1496)=0,"",SUM(N1496:O1496))</x:f>
        <x:v>2</x:v>
      </x:c>
      <x:c r="Q1496" s="65"/>
      <x:c r="R1496" s="65" t="str">
        <x:v>FT 0-0；内卡萨 +0.75 赢；小2.5 赢。</x:v>
      </x:c>
    </x:row>
    <x:row r="1497" ht="38" customHeight="1">
      <x:c r="A1497" s="65" t="str">
        <x:f>IF(B1497="","",TEXT(B1497,"yyyy-mm-dd")&amp;"|"&amp;D1497&amp;"|"&amp;E1497)</x:f>
        <x:v>2026-04-23|福塔雷萨CEIF|卡利美洲</x:v>
      </x:c>
      <x:c r="B1497" s="66" t="n">
        <x:v>46135.395833333336</x:v>
      </x:c>
      <x:c r="C1497" s="65" t="str">
        <x:v>哥伦比亚甲级联赛（Liga BetPlay DIMAYOR）</x:v>
      </x:c>
      <x:c r="D1497" s="65" t="str">
        <x:v>福塔雷萨CEIF</x:v>
      </x:c>
      <x:c r="E1497" s="65" t="str">
        <x:v>卡利美洲</x:v>
      </x:c>
      <x:c r="F1497" s="65" t="str">
        <x:v>福塔雷萨CEIF 平手(0)</x:v>
      </x:c>
      <x:c r="G1497" s="65" t="str">
        <x:v>大 2.5</x:v>
      </x:c>
      <x:c r="H1497" s="65" t="str">
        <x:v>双方进球 是（小注）</x:v>
      </x:c>
      <x:c r="I1497" s="66" t="n">
        <x:v>46135.43457175926</x:v>
      </x:c>
      <x:c r="J1497" s="65" t="str">
        <x:v>已结算</x:v>
      </x:c>
      <x:c r="K1497" s="65" t="str">
        <x:v>1-2</x:v>
      </x:c>
      <x:c r="L1497" s="65" t="str">
        <x:v>输</x:v>
      </x:c>
      <x:c r="M1497" s="65" t="str">
        <x:v>赢</x:v>
      </x:c>
      <x:c r="N1497" s="67" t="n">
        <x:v>-1</x:v>
      </x:c>
      <x:c r="O1497" s="67" t="n">
        <x:v>1</x:v>
      </x:c>
      <x:c r="P1497" s="67" t="n">
        <x:f>IF(COUNT(N1497:O1497)=0,"",SUM(N1497:O1497))</x:f>
        <x:v>0</x:v>
      </x:c>
      <x:c r="Q1497" s="65"/>
      <x:c r="R1497" s="65" t="str">
        <x:v>FT 1-2；福塔雷萨CEIF 0 输；大2.5 赢。</x:v>
      </x:c>
    </x:row>
    <x:row r="1498" ht="38" customHeight="1">
      <x:c r="A1498" s="65" t="str">
        <x:f>IF(B1498="","",TEXT(B1498,"yyyy-mm-dd")&amp;"|"&amp;D1498&amp;"|"&amp;E1498)</x:f>
        <x:v>2026-04-23|圣路易斯竞技|桑托斯拉古纳</x:v>
      </x:c>
      <x:c r="B1498" s="66" t="n">
        <x:v>46135.375</x:v>
      </x:c>
      <x:c r="C1498" s="65" t="str">
        <x:v>墨西哥超（Liga MX，Clausura）</x:v>
      </x:c>
      <x:c r="D1498" s="65" t="str">
        <x:v>圣路易斯竞技</x:v>
      </x:c>
      <x:c r="E1498" s="65" t="str">
        <x:v>桑托斯拉古纳</x:v>
      </x:c>
      <x:c r="F1498" s="65" t="str">
        <x:v>圣路易斯竞技 -0.75</x:v>
      </x:c>
      <x:c r="G1498" s="65" t="str">
        <x:v>小 2.5</x:v>
      </x:c>
      <x:c r="H1498" s="65" t="str">
        <x:v>双方进球 否（小注）</x:v>
      </x:c>
      <x:c r="I1498" s="66" t="n">
        <x:v>46135.38280092592</x:v>
      </x:c>
      <x:c r="J1498" s="65" t="str">
        <x:v>已结算</x:v>
      </x:c>
      <x:c r="K1498" s="65" t="str">
        <x:v>2-0</x:v>
      </x:c>
      <x:c r="L1498" s="65" t="str">
        <x:v>赢</x:v>
      </x:c>
      <x:c r="M1498" s="65" t="str">
        <x:v>赢</x:v>
      </x:c>
      <x:c r="N1498" s="67" t="n">
        <x:v>1</x:v>
      </x:c>
      <x:c r="O1498" s="67" t="n">
        <x:v>1</x:v>
      </x:c>
      <x:c r="P1498" s="67" t="n">
        <x:f>IF(COUNT(N1498:O1498)=0,"",SUM(N1498:O1498))</x:f>
        <x:v>2</x:v>
      </x:c>
      <x:c r="Q1498" s="65"/>
      <x:c r="R1498" s="65" t="str">
        <x:v>FT 2-0；圣路易斯竞技 -0.75 赢；小2.5 赢。</x:v>
      </x:c>
    </x:row>
    <x:row r="1499" ht="38" customHeight="1">
      <x:c r="A1499" s="65" t="str">
        <x:f>IF(B1499="","",TEXT(B1499,"yyyy-mm-dd")&amp;"|"&amp;D1499&amp;"|"&amp;E1499)</x:f>
        <x:v>2026-04-23|阿特拉斯|老虎大学（墨西哥老虎）</x:v>
      </x:c>
      <x:c r="B1499" s="66" t="n">
        <x:v>46135.375</x:v>
      </x:c>
      <x:c r="C1499" s="65" t="str">
        <x:v>墨西哥超（Liga MX，Clausura）</x:v>
      </x:c>
      <x:c r="D1499" s="65" t="str">
        <x:v>阿特拉斯</x:v>
      </x:c>
      <x:c r="E1499" s="65" t="str">
        <x:v>老虎大学（墨西哥老虎）</x:v>
      </x:c>
      <x:c r="F1499" s="65" t="str">
        <x:v>阿特拉斯 +0.5</x:v>
      </x:c>
      <x:c r="G1499" s="65" t="str">
        <x:v>大 2.5</x:v>
      </x:c>
      <x:c r="H1499" s="65" t="str">
        <x:v>双方进球 是（小注）</x:v>
      </x:c>
      <x:c r="I1499" s="66" t="n">
        <x:v>46135.378067129626</x:v>
      </x:c>
      <x:c r="J1499" s="65" t="str">
        <x:v>已结算</x:v>
      </x:c>
      <x:c r="K1499" s="65" t="str">
        <x:v>0-0</x:v>
      </x:c>
      <x:c r="L1499" s="65" t="str">
        <x:v>赢</x:v>
      </x:c>
      <x:c r="M1499" s="65" t="str">
        <x:v>输</x:v>
      </x:c>
      <x:c r="N1499" s="67" t="n">
        <x:v>1</x:v>
      </x:c>
      <x:c r="O1499" s="67" t="n">
        <x:v>-1</x:v>
      </x:c>
      <x:c r="P1499" s="67" t="n">
        <x:f>IF(COUNT(N1499:O1499)=0,"",SUM(N1499:O1499))</x:f>
        <x:v>0</x:v>
      </x:c>
      <x:c r="Q1499" s="65"/>
      <x:c r="R1499" s="65" t="str">
        <x:v>FT 0-0；阿特拉斯 +0.5 赢；大2.5 输。</x:v>
      </x:c>
    </x:row>
    <x:row r="1500" ht="38" customHeight="1">
      <x:c r="A1500" s="65" t="str">
        <x:f>IF(B1500="","",TEXT(B1500,"yyyy-mm-dd")&amp;"|"&amp;D1500&amp;"|"&amp;E1500)</x:f>
        <x:v>2026-04-23|麦德林独立|博亚卡奇科</x:v>
      </x:c>
      <x:c r="B1500" s="66" t="n">
        <x:v>46135.305555555555</x:v>
      </x:c>
      <x:c r="C1500" s="65" t="str">
        <x:v>哥伦比亚甲级联赛（Liga BetPlay DIMAYOR）</x:v>
      </x:c>
      <x:c r="D1500" s="65" t="str">
        <x:v>麦德林独立</x:v>
      </x:c>
      <x:c r="E1500" s="65" t="str">
        <x:v>博亚卡奇科</x:v>
      </x:c>
      <x:c r="F1500" s="65" t="str">
        <x:v>麦德林独立 -1.5</x:v>
      </x:c>
      <x:c r="G1500" s="65" t="str">
        <x:v>大 2.75</x:v>
      </x:c>
      <x:c r="H1500" s="65" t="str">
        <x:v>临场若大小退到2.5且水位≥0.85，可小注加仓大球</x:v>
      </x:c>
      <x:c r="I1500" s="66" t="n">
        <x:v>46135.29684027778</x:v>
      </x:c>
      <x:c r="J1500" s="65" t="str">
        <x:v>已结算</x:v>
      </x:c>
      <x:c r="K1500" s="65" t="str">
        <x:v>2-0</x:v>
      </x:c>
      <x:c r="L1500" s="65" t="str">
        <x:v>赢</x:v>
      </x:c>
      <x:c r="M1500" s="65" t="str">
        <x:v>输</x:v>
      </x:c>
      <x:c r="N1500" s="67" t="n">
        <x:v>1</x:v>
      </x:c>
      <x:c r="O1500" s="67" t="n">
        <x:v>-1</x:v>
      </x:c>
      <x:c r="P1500" s="67" t="n">
        <x:f>IF(COUNT(N1500:O1500)=0,"",SUM(N1500:O1500))</x:f>
        <x:v>0</x:v>
      </x:c>
      <x:c r="Q1500" s="65"/>
      <x:c r="R1500" s="65" t="str">
        <x:v>FT 2-0；麦德林独立 -1.5 赢；大2.75 输。</x:v>
      </x:c>
    </x:row>
    <x:row r="1501" ht="38" customHeight="1">
      <x:c r="A1501" s="65" t="str">
        <x:f>IF(B1501="","",TEXT(B1501,"yyyy-mm-dd")&amp;"|"&amp;D1501&amp;"|"&amp;E1501)</x:f>
        <x:v>2026-04-22|PSIM日惹|佩西加雅加达</x:v>
      </x:c>
      <x:c r="B1501" s="66" t="n">
        <x:v>46134.6875</x:v>
      </x:c>
      <x:c r="C1501" s="65" t="str">
        <x:v>印度尼西亚超级联赛（印尼超/Liga 1 Indonesia）</x:v>
      </x:c>
      <x:c r="D1501" s="65" t="str">
        <x:v>PSIM日惹</x:v>
      </x:c>
      <x:c r="E1501" s="65" t="str">
        <x:v>佩西加雅加达</x:v>
      </x:c>
      <x:c r="F1501" s="65" t="str">
        <x:v>佩西加雅加达 -0.75</x:v>
      </x:c>
      <x:c r="G1501" s="65" t="str">
        <x:v>大 2.5</x:v>
      </x:c>
      <x:c r="H1501" s="65" t="str">
        <x:v>佩西加雅加达独赢（小注）</x:v>
      </x:c>
      <x:c r="I1501" s="66" t="n">
        <x:v>46134.69899305556</x:v>
      </x:c>
      <x:c r="J1501" s="65" t="str">
        <x:v>已结算</x:v>
      </x:c>
      <x:c r="K1501" s="65" t="str">
        <x:v>1-1</x:v>
      </x:c>
      <x:c r="L1501" s="65" t="str">
        <x:v>输</x:v>
      </x:c>
      <x:c r="M1501" s="65" t="str">
        <x:v>输</x:v>
      </x:c>
      <x:c r="N1501" s="67" t="n">
        <x:v>-1</x:v>
      </x:c>
      <x:c r="O1501" s="67" t="n">
        <x:v>-1</x:v>
      </x:c>
      <x:c r="P1501" s="67" t="n">
        <x:f>IF(COUNT(N1501:O1501)=0,"",SUM(N1501:O1501))</x:f>
        <x:v>-2</x:v>
      </x:c>
      <x:c r="Q1501" s="65"/>
      <x:c r="R1501" s="65" t="str">
        <x:v>FT 1-1；佩西加雅加达 -0.75 输；大2.5 输。</x:v>
      </x:c>
    </x:row>
    <x:row r="1502" ht="38" customHeight="1">
      <x:c r="A1502" s="65" t="str">
        <x:f>IF(B1502="","",TEXT(B1502,"yyyy-mm-dd")&amp;"|"&amp;D1502&amp;"|"&amp;E1502)</x:f>
        <x:v>2026-04-22|佩斯索罗|巴杨卡拉泗水联</x:v>
      </x:c>
      <x:c r="B1502" s="66" t="n">
        <x:v>46134.6875</x:v>
      </x:c>
      <x:c r="C1502" s="65" t="str">
        <x:v>印度尼西亚超级联赛（印尼超/Liga 1 Indonesia）</x:v>
      </x:c>
      <x:c r="D1502" s="65" t="str">
        <x:v>佩斯索罗</x:v>
      </x:c>
      <x:c r="E1502" s="65" t="str">
        <x:v>巴杨卡拉泗水联</x:v>
      </x:c>
      <x:c r="F1502" s="65" t="str">
        <x:v>巴杨卡拉泗水联 0</x:v>
      </x:c>
      <x:c r="G1502" s="65" t="str">
        <x:v>大 2.25</x:v>
      </x:c>
      <x:c r="H1502" s="65" t="str">
        <x:v>双方进球 是</x:v>
      </x:c>
      <x:c r="I1502" s="66" t="n">
        <x:v>46134.64289351852</x:v>
      </x:c>
      <x:c r="J1502" s="65" t="str">
        <x:v>已结算</x:v>
      </x:c>
      <x:c r="K1502" s="65" t="str">
        <x:v>2-1</x:v>
      </x:c>
      <x:c r="L1502" s="65" t="str">
        <x:v>输</x:v>
      </x:c>
      <x:c r="M1502" s="65" t="str">
        <x:v>赢</x:v>
      </x:c>
      <x:c r="N1502" s="67" t="n">
        <x:v>-1</x:v>
      </x:c>
      <x:c r="O1502" s="67" t="n">
        <x:v>1</x:v>
      </x:c>
      <x:c r="P1502" s="67" t="n">
        <x:f>IF(COUNT(N1502:O1502)=0,"",SUM(N1502:O1502))</x:f>
        <x:v>0</x:v>
      </x:c>
      <x:c r="Q1502" s="65"/>
      <x:c r="R1502" s="65" t="str">
        <x:v>FT 2-1；巴杨卡拉泗水联 0 输；大2.25 赢。</x:v>
      </x:c>
    </x:row>
    <x:row r="1503" ht="38" customHeight="1">
      <x:c r="A1503" s="65" t="str">
        <x:f>IF(B1503="","",TEXT(B1503,"yyyy-mm-dd")&amp;"|"&amp;D1503&amp;"|"&amp;E1503)</x:f>
        <x:v>2026-04-22|莱昂|墨西哥美洲</x:v>
      </x:c>
      <x:c r="B1503" s="66" t="n">
        <x:v>46134.4625</x:v>
      </x:c>
      <x:c r="C1503" s="65" t="str">
        <x:v>墨西哥超（Liga MX，Clausura）</x:v>
      </x:c>
      <x:c r="D1503" s="65" t="str">
        <x:v>莱昂</x:v>
      </x:c>
      <x:c r="E1503" s="65" t="str">
        <x:v>墨西哥美洲</x:v>
      </x:c>
      <x:c r="F1503" s="65" t="str">
        <x:v>莱昂 +0.5</x:v>
      </x:c>
      <x:c r="G1503" s="65" t="str">
        <x:v>小 2.5</x:v>
      </x:c>
      <x:c r="H1503" s="65" t="str">
        <x:v>平局（小注）</x:v>
      </x:c>
      <x:c r="I1503" s="66" t="n">
        <x:v>46134.440775462965</x:v>
      </x:c>
      <x:c r="J1503" s="65" t="str">
        <x:v>已结算</x:v>
      </x:c>
      <x:c r="K1503" s="65" t="str">
        <x:v>2-3</x:v>
      </x:c>
      <x:c r="L1503" s="65" t="str">
        <x:v>输</x:v>
      </x:c>
      <x:c r="M1503" s="65" t="str">
        <x:v>输</x:v>
      </x:c>
      <x:c r="N1503" s="67" t="n">
        <x:v>-1</x:v>
      </x:c>
      <x:c r="O1503" s="67" t="n">
        <x:v>-1</x:v>
      </x:c>
      <x:c r="P1503" s="67" t="n">
        <x:f>IF(COUNT(N1503:O1503)=0,"",SUM(N1503:O1503))</x:f>
        <x:v>-2</x:v>
      </x:c>
      <x:c r="Q1503" s="65"/>
      <x:c r="R1503" s="65" t="str">
        <x:v>FT 2-3；莱昂 +0.5 输；小2.5 输。</x:v>
      </x:c>
    </x:row>
    <x:row r="1504" ht="38" customHeight="1">
      <x:c r="A1504" s="65" t="str">
        <x:f>IF(B1504="","",TEXT(B1504,"yyyy-mm-dd")&amp;"|"&amp;D1504&amp;"|"&amp;E1504)</x:f>
        <x:v>2026-04-22|蒙特雷|普埃布拉</x:v>
      </x:c>
      <x:c r="B1504" s="66" t="n">
        <x:v>46134.461805555555</x:v>
      </x:c>
      <x:c r="C1504" s="65" t="str">
        <x:v>墨西哥超（Liga MX，Clausura）</x:v>
      </x:c>
      <x:c r="D1504" s="65" t="str">
        <x:v>蒙特雷</x:v>
      </x:c>
      <x:c r="E1504" s="65" t="str">
        <x:v>普埃布拉</x:v>
      </x:c>
      <x:c r="F1504" s="65" t="str">
        <x:v>普埃布拉 +1</x:v>
      </x:c>
      <x:c r="G1504" s="65" t="str">
        <x:v>小 3</x:v>
      </x:c>
      <x:c r="H1504" s="65" t="str">
        <x:v>蒙特雷独赢（小注）</x:v>
      </x:c>
      <x:c r="I1504" s="66" t="n">
        <x:v>46134.4458912037</x:v>
      </x:c>
      <x:c r="J1504" s="65" t="str">
        <x:v>已结算</x:v>
      </x:c>
      <x:c r="K1504" s="65" t="str">
        <x:v>2-1</x:v>
      </x:c>
      <x:c r="L1504" s="65" t="str">
        <x:v>走水</x:v>
      </x:c>
      <x:c r="M1504" s="65" t="str">
        <x:v>走水</x:v>
      </x:c>
      <x:c r="N1504" s="67" t="n">
        <x:v>0</x:v>
      </x:c>
      <x:c r="O1504" s="67" t="n">
        <x:v>0</x:v>
      </x:c>
      <x:c r="P1504" s="67" t="n">
        <x:f>IF(COUNT(N1504:O1504)=0,"",SUM(N1504:O1504))</x:f>
        <x:v>0</x:v>
      </x:c>
      <x:c r="Q1504" s="65"/>
      <x:c r="R1504" s="65" t="str">
        <x:v>FT 2-1；普埃布拉 +1 走水；小3.0 走水。</x:v>
      </x:c>
    </x:row>
    <x:row r="1505" ht="38" customHeight="1">
      <x:c r="A1505" s="65" t="str">
        <x:f>IF(B1505="","",TEXT(B1505,"yyyy-mm-dd")&amp;"|"&amp;D1505&amp;"|"&amp;E1505)</x:f>
        <x:v>2026-04-22|肯塔吉内斯|圣卡洛斯</x:v>
      </x:c>
      <x:c r="B1505" s="66" t="n">
        <x:v>46134.416666666664</x:v>
      </x:c>
      <x:c r="C1505" s="65" t="str">
        <x:v>哥斯达黎加甲（Primera Division）</x:v>
      </x:c>
      <x:c r="D1505" s="65" t="str">
        <x:v>肯塔吉内斯</x:v>
      </x:c>
      <x:c r="E1505" s="65" t="str">
        <x:v>圣卡洛斯</x:v>
      </x:c>
      <x:c r="F1505" s="65" t="str">
        <x:v>肯塔吉内斯 -0.75</x:v>
      </x:c>
      <x:c r="G1505" s="65" t="str">
        <x:v>大 2.5</x:v>
      </x:c>
      <x:c r="H1505" s="65" t="str">
        <x:v>双方进球：是</x:v>
      </x:c>
      <x:c r="I1505" s="66" t="n">
        <x:v>46134.40127314815</x:v>
      </x:c>
      <x:c r="J1505" s="65" t="str">
        <x:v>已结算</x:v>
      </x:c>
      <x:c r="K1505" s="65" t="str">
        <x:v>2-1</x:v>
      </x:c>
      <x:c r="L1505" s="65" t="str">
        <x:v>赢半</x:v>
      </x:c>
      <x:c r="M1505" s="65" t="str">
        <x:v>赢</x:v>
      </x:c>
      <x:c r="N1505" s="67" t="n">
        <x:v>0.5</x:v>
      </x:c>
      <x:c r="O1505" s="67" t="n">
        <x:v>1</x:v>
      </x:c>
      <x:c r="P1505" s="67" t="n">
        <x:f>IF(COUNT(N1505:O1505)=0,"",SUM(N1505:O1505))</x:f>
        <x:v>1.5</x:v>
      </x:c>
      <x:c r="Q1505" s="65"/>
      <x:c r="R1505" s="65" t="str">
        <x:v>FT 2-1；肯塔吉内斯 -0.75 赢半；大2.5 赢。</x:v>
      </x:c>
    </x:row>
    <x:row r="1506" ht="38" customHeight="1">
      <x:c r="A1506" s="65" t="str">
        <x:f>IF(B1506="","",TEXT(B1506,"yyyy-mm-dd")&amp;"|"&amp;D1506&amp;"|"&amp;E1506)</x:f>
        <x:v>2026-04-22|美洲狮|华雷斯</x:v>
      </x:c>
      <x:c r="B1506" s="66" t="n">
        <x:v>46134.375</x:v>
      </x:c>
      <x:c r="C1506" s="65" t="str">
        <x:v>墨西哥超（Liga MX，Clausura）</x:v>
      </x:c>
      <x:c r="D1506" s="65" t="str">
        <x:v>美洲狮</x:v>
      </x:c>
      <x:c r="E1506" s="65" t="str">
        <x:v>华雷斯</x:v>
      </x:c>
      <x:c r="F1506" s="65" t="str">
        <x:v>美洲狮 -0.5</x:v>
      </x:c>
      <x:c r="G1506" s="65" t="str">
        <x:v>小 2.75</x:v>
      </x:c>
      <x:c r="H1506" s="65" t="str">
        <x:v>双方进球：否</x:v>
      </x:c>
      <x:c r="I1506" s="66" t="n">
        <x:v>46134.38883101852</x:v>
      </x:c>
      <x:c r="J1506" s="65" t="str">
        <x:v>已结算</x:v>
      </x:c>
      <x:c r="K1506" s="65" t="str">
        <x:v>4-2</x:v>
      </x:c>
      <x:c r="L1506" s="65" t="str">
        <x:v>赢</x:v>
      </x:c>
      <x:c r="M1506" s="65" t="str">
        <x:v>输</x:v>
      </x:c>
      <x:c r="N1506" s="67" t="n">
        <x:v>1</x:v>
      </x:c>
      <x:c r="O1506" s="67" t="n">
        <x:v>-1</x:v>
      </x:c>
      <x:c r="P1506" s="67" t="n">
        <x:f>IF(COUNT(N1506:O1506)=0,"",SUM(N1506:O1506))</x:f>
        <x:v>0</x:v>
      </x:c>
      <x:c r="Q1506" s="65"/>
      <x:c r="R1506" s="65" t="str">
        <x:v>FT 4-2；美洲狮 -0.5 赢；小2.75 输。</x:v>
      </x:c>
    </x:row>
    <x:row r="1507" ht="38" customHeight="1">
      <x:c r="A1507" s="65" t="str">
        <x:f>IF(B1507="","",TEXT(B1507,"yyyy-mm-dd")&amp;"|"&amp;D1507&amp;"|"&amp;E1507)</x:f>
        <x:v>2026-04-22|玻利瓦尔|佩特罗独立</x:v>
      </x:c>
      <x:c r="B1507" s="66" t="n">
        <x:v>46134.333333333336</x:v>
      </x:c>
      <x:c r="C1507" s="65" t="str">
        <x:v>玻利维亚甲级联赛</x:v>
      </x:c>
      <x:c r="D1507" s="65" t="str">
        <x:v>玻利瓦尔</x:v>
      </x:c>
      <x:c r="E1507" s="65" t="str">
        <x:v>佩特罗独立</x:v>
      </x:c>
      <x:c r="F1507" s="65" t="str">
        <x:v>玻利瓦尔 -2.75</x:v>
      </x:c>
      <x:c r="G1507" s="65" t="str">
        <x:v>大 4.25</x:v>
      </x:c>
      <x:c r="H1507" s="65" t="str">
        <x:v>双方进球：否</x:v>
      </x:c>
      <x:c r="I1507" s="66" t="n">
        <x:v>46134.358773148146</x:v>
      </x:c>
      <x:c r="J1507" s="65" t="str">
        <x:v>已结算</x:v>
      </x:c>
      <x:c r="K1507" s="65" t="str">
        <x:v>1-2</x:v>
      </x:c>
      <x:c r="L1507" s="65" t="str">
        <x:v>输</x:v>
      </x:c>
      <x:c r="M1507" s="65" t="str">
        <x:v>输</x:v>
      </x:c>
      <x:c r="N1507" s="67" t="n">
        <x:v>-1</x:v>
      </x:c>
      <x:c r="O1507" s="67" t="n">
        <x:v>-1</x:v>
      </x:c>
      <x:c r="P1507" s="67" t="n">
        <x:f>IF(COUNT(N1507:O1507)=0,"",SUM(N1507:O1507))</x:f>
        <x:v>-2</x:v>
      </x:c>
      <x:c r="Q1507" s="65"/>
      <x:c r="R1507" s="65" t="str">
        <x:v>FT 1-2；玻利瓦尔 -2.75 输；大4.25 输。</x:v>
      </x:c>
    </x:row>
    <x:row r="1508" ht="38" customHeight="1">
      <x:c r="A1508" s="65" t="str">
        <x:f>IF(B1508="","",TEXT(B1508,"yyyy-mm-dd")&amp;"|"&amp;D1508&amp;"|"&amp;E1508)</x:f>
        <x:v>2026-04-22|GV圣何塞|奥罗拉</x:v>
      </x:c>
      <x:c r="B1508" s="66" t="n">
        <x:v>46134.25</x:v>
      </x:c>
      <x:c r="C1508" s="65" t="str">
        <x:v>玻利维亚甲级联赛</x:v>
      </x:c>
      <x:c r="D1508" s="65" t="str">
        <x:v>GV圣何塞</x:v>
      </x:c>
      <x:c r="E1508" s="65" t="str">
        <x:v>奥罗拉</x:v>
      </x:c>
      <x:c r="F1508" s="65" t="str">
        <x:v>GV圣何塞 -0.5</x:v>
      </x:c>
      <x:c r="G1508" s="65" t="str">
        <x:v>小 3.5</x:v>
      </x:c>
      <x:c r="H1508" s="65" t="str">
        <x:v>平局</x:v>
      </x:c>
      <x:c r="I1508" s="66" t="n">
        <x:v>46134.24890046296</x:v>
      </x:c>
      <x:c r="J1508" s="65" t="str">
        <x:v>已结算</x:v>
      </x:c>
      <x:c r="K1508" s="65" t="str">
        <x:v>1-1</x:v>
      </x:c>
      <x:c r="L1508" s="65" t="str">
        <x:v>输</x:v>
      </x:c>
      <x:c r="M1508" s="65" t="str">
        <x:v>赢</x:v>
      </x:c>
      <x:c r="N1508" s="67" t="n">
        <x:v>-1</x:v>
      </x:c>
      <x:c r="O1508" s="67" t="n">
        <x:v>1</x:v>
      </x:c>
      <x:c r="P1508" s="67" t="n">
        <x:f>IF(COUNT(N1508:O1508)=0,"",SUM(N1508:O1508))</x:f>
        <x:v>0</x:v>
      </x:c>
      <x:c r="Q1508" s="65"/>
      <x:c r="R1508" s="65" t="str">
        <x:v>FT 1-1；GV圣何塞 -0.5 输；小3.5 赢。</x:v>
      </x:c>
    </x:row>
    <x:row r="1509" ht="38" customHeight="1">
      <x:c r="A1509" s="65" t="str">
        <x:f>IF(B1509="","",TEXT(B1509,"yyyy-mm-dd")&amp;"|"&amp;D1509&amp;"|"&amp;E1509)</x:f>
        <x:v>2026-04-21|钦奈泰坦|莫哈末丹</x:v>
      </x:c>
      <x:c r="B1509" s="66" t="n">
        <x:v>46133.916666666664</x:v>
      </x:c>
      <x:c r="C1509" s="65" t="str">
        <x:v>印度超级联赛（Indian Super League）</x:v>
      </x:c>
      <x:c r="D1509" s="65" t="str">
        <x:v>钦奈泰坦</x:v>
      </x:c>
      <x:c r="E1509" s="65" t="str">
        <x:v>莫哈末丹</x:v>
      </x:c>
      <x:c r="F1509" s="65" t="str">
        <x:v>钦奈泰坦 -1.25</x:v>
      </x:c>
      <x:c r="G1509" s="65" t="str">
        <x:v>小 2.5</x:v>
      </x:c>
      <x:c r="H1509" s="65" t="str">
        <x:v>双方进球：否</x:v>
      </x:c>
      <x:c r="I1509" s="66" t="n">
        <x:v>46133.90625</x:v>
      </x:c>
      <x:c r="J1509" s="65" t="str">
        <x:v>已结算</x:v>
      </x:c>
      <x:c r="K1509" s="65" t="str">
        <x:v>0-0</x:v>
      </x:c>
      <x:c r="L1509" s="65" t="str">
        <x:v>输</x:v>
      </x:c>
      <x:c r="M1509" s="65" t="str">
        <x:v>赢</x:v>
      </x:c>
      <x:c r="N1509" s="67" t="n">
        <x:v>-1</x:v>
      </x:c>
      <x:c r="O1509" s="67" t="n">
        <x:v>1</x:v>
      </x:c>
      <x:c r="P1509" s="67" t="n">
        <x:f>IF(COUNT(N1509:O1509)=0,"",SUM(N1509:O1509))</x:f>
        <x:v>0</x:v>
      </x:c>
      <x:c r="Q1509" s="65"/>
      <x:c r="R1509" s="65" t="str">
        <x:v>FT 0-0；钦奈泰坦 -1.25 输；小2.5 赢。</x:v>
      </x:c>
    </x:row>
    <x:row r="1510" ht="38" customHeight="1">
      <x:c r="A1510" s="65" t="str">
        <x:f>IF(B1510="","",TEXT(B1510,"yyyy-mm-dd")&amp;"|"&amp;D1510&amp;"|"&amp;E1510)</x:f>
        <x:v>2026-04-21|上海海港|重庆铜梁龙</x:v>
      </x:c>
      <x:c r="B1510" s="66" t="n">
        <x:v>46133.833333333336</x:v>
      </x:c>
      <x:c r="C1510" s="65" t="str">
        <x:v>中国足球超级联赛</x:v>
      </x:c>
      <x:c r="D1510" s="65" t="str">
        <x:v>上海海港</x:v>
      </x:c>
      <x:c r="E1510" s="65" t="str">
        <x:v>重庆铜梁龙</x:v>
      </x:c>
      <x:c r="F1510" s="65" t="str">
        <x:v>重庆铜梁龙 +0.75</x:v>
      </x:c>
      <x:c r="G1510" s="65" t="str">
        <x:v>小 3.0</x:v>
      </x:c>
      <x:c r="H1510" s="65" t="str">
        <x:v>平局</x:v>
      </x:c>
      <x:c r="I1510" s="66" t="n">
        <x:v>46133.81989583333</x:v>
      </x:c>
      <x:c r="J1510" s="65" t="str">
        <x:v>已结算</x:v>
      </x:c>
      <x:c r="K1510" s="65" t="str">
        <x:v>1-2</x:v>
      </x:c>
      <x:c r="L1510" s="65" t="str">
        <x:v>赢</x:v>
      </x:c>
      <x:c r="M1510" s="65" t="str">
        <x:v>走水</x:v>
      </x:c>
      <x:c r="N1510" s="67" t="n">
        <x:v>1</x:v>
      </x:c>
      <x:c r="O1510" s="67" t="n">
        <x:v>0</x:v>
      </x:c>
      <x:c r="P1510" s="67" t="n">
        <x:f>IF(COUNT(N1510:O1510)=0,"",SUM(N1510:O1510))</x:f>
        <x:v>1</x:v>
      </x:c>
      <x:c r="Q1510" s="65"/>
      <x:c r="R1510" s="65" t="str">
        <x:v>FT 1-2；重庆铜梁龙 +0.75 赢；小3.0 走水。</x:v>
      </x:c>
    </x:row>
    <x:row r="1511" ht="38" customHeight="1">
      <x:c r="A1511" s="65" t="str">
        <x:f>IF(B1511="","",TEXT(B1511,"yyyy-mm-dd")&amp;"|"&amp;D1511&amp;"|"&amp;E1511)</x:f>
        <x:v>2026-04-21|全北现代|仁川联</x:v>
      </x:c>
      <x:c r="B1511" s="66" t="n">
        <x:v>46133.770833333336</x:v>
      </x:c>
      <x:c r="C1511" s="65" t="str">
        <x:v>韩国K联赛1（K League 1）</x:v>
      </x:c>
      <x:c r="D1511" s="65" t="str">
        <x:v>全北现代</x:v>
      </x:c>
      <x:c r="E1511" s="65" t="str">
        <x:v>仁川联</x:v>
      </x:c>
      <x:c r="F1511" s="65" t="str">
        <x:v>全北现代 -0.5</x:v>
      </x:c>
      <x:c r="G1511" s="65" t="str">
        <x:v>大 2.5</x:v>
      </x:c>
      <x:c r="H1511" s="65" t="str">
        <x:v>全北现代全队大 1.5</x:v>
      </x:c>
      <x:c r="I1511" s="66" t="n">
        <x:v>46133.72554398148</x:v>
      </x:c>
      <x:c r="J1511" s="65" t="str">
        <x:v>已结算</x:v>
      </x:c>
      <x:c r="K1511" s="65" t="str">
        <x:v>1-2</x:v>
      </x:c>
      <x:c r="L1511" s="65" t="str">
        <x:v>输</x:v>
      </x:c>
      <x:c r="M1511" s="65" t="str">
        <x:v>赢</x:v>
      </x:c>
      <x:c r="N1511" s="67" t="n">
        <x:v>-1</x:v>
      </x:c>
      <x:c r="O1511" s="67" t="n">
        <x:v>1</x:v>
      </x:c>
      <x:c r="P1511" s="67" t="n">
        <x:f>IF(COUNT(N1511:O1511)=0,"",SUM(N1511:O1511))</x:f>
        <x:v>0</x:v>
      </x:c>
      <x:c r="Q1511" s="65"/>
      <x:c r="R1511" s="65" t="str">
        <x:v>FT 1-2；全北现代 -0.5 输；大2.5 赢。</x:v>
      </x:c>
    </x:row>
    <x:row r="1512" ht="38" customHeight="1">
      <x:c r="A1512" s="65" t="str">
        <x:f>IF(B1512="","",TEXT(B1512,"yyyy-mm-dd")&amp;"|"&amp;D1512&amp;"|"&amp;E1512)</x:f>
        <x:v>2026-04-21|休城|布洛瑞克尤文图斯</x:v>
      </x:c>
      <x:c r="B1512" s="66" t="n">
        <x:v>46133.729166666664</x:v>
      </x:c>
      <x:c r="C1512" s="65" t="str">
        <x:v>澳大利亚 维多利亚州超级联赛1（VPL1）</x:v>
      </x:c>
      <x:c r="D1512" s="65" t="str">
        <x:v>休城</x:v>
      </x:c>
      <x:c r="E1512" s="65" t="str">
        <x:v>布洛瑞克尤文图斯</x:v>
      </x:c>
      <x:c r="F1512" s="65" t="str">
        <x:v>休城 -1.0</x:v>
      </x:c>
      <x:c r="G1512" s="65" t="str">
        <x:v>小 2.5</x:v>
      </x:c>
      <x:c r="H1512" s="65" t="str">
        <x:v>休城零封胜</x:v>
      </x:c>
      <x:c r="I1512" s="66" t="n">
        <x:v>46133.71157407408</x:v>
      </x:c>
      <x:c r="J1512" s="65" t="str">
        <x:v>已结算</x:v>
      </x:c>
      <x:c r="K1512" s="65" t="str">
        <x:v>2-2</x:v>
      </x:c>
      <x:c r="L1512" s="65" t="str">
        <x:v>输</x:v>
      </x:c>
      <x:c r="M1512" s="65" t="str">
        <x:v>输</x:v>
      </x:c>
      <x:c r="N1512" s="67" t="n">
        <x:v>-1</x:v>
      </x:c>
      <x:c r="O1512" s="67" t="n">
        <x:v>-1</x:v>
      </x:c>
      <x:c r="P1512" s="67" t="n">
        <x:f>IF(COUNT(N1512:O1512)=0,"",SUM(N1512:O1512))</x:f>
        <x:v>-2</x:v>
      </x:c>
      <x:c r="Q1512" s="65"/>
      <x:c r="R1512" s="65" t="str">
        <x:v>FT 2-2；休城 -1.0 输；小2.5 输。90分钟常规时间结算。</x:v>
      </x:c>
    </x:row>
    <x:row r="1513" ht="38" customHeight="1">
      <x:c r="A1513" s="65" t="str">
        <x:f>IF(B1513="","",TEXT(B1513,"yyyy-mm-dd")&amp;"|"&amp;D1513&amp;"|"&amp;E1513)</x:f>
        <x:v>2026-04-21|国民竞技|布卡拉曼加竞技</x:v>
      </x:c>
      <x:c r="B1513" s="66" t="n">
        <x:v>46133.395833333336</x:v>
      </x:c>
      <x:c r="C1513" s="65" t="str">
        <x:v>哥伦比亚甲级联赛（Liga BetPlay DIMAYOR）</x:v>
      </x:c>
      <x:c r="D1513" s="65" t="str">
        <x:v>国民竞技</x:v>
      </x:c>
      <x:c r="E1513" s="65" t="str">
        <x:v>布卡拉曼加竞技</x:v>
      </x:c>
      <x:c r="F1513" s="65" t="str">
        <x:v>国民竞技 -0.5</x:v>
      </x:c>
      <x:c r="G1513" s="65" t="str">
        <x:v>大 2.5</x:v>
      </x:c>
      <x:c r="H1513" s="65" t="str">
        <x:v>双方进球：否</x:v>
      </x:c>
      <x:c r="I1513" s="66" t="n">
        <x:v>46133.392384259256</x:v>
      </x:c>
      <x:c r="J1513" s="65" t="str">
        <x:v>已结算</x:v>
      </x:c>
      <x:c r="K1513" s="65"/>
      <x:c r="L1513" s="65" t="str">
        <x:v>赢</x:v>
      </x:c>
      <x:c r="M1513" s="65" t="str">
        <x:v>输</x:v>
      </x:c>
      <x:c r="N1513" s="67" t="n">
        <x:v>1</x:v>
      </x:c>
      <x:c r="O1513" s="67" t="n">
        <x:v>-1</x:v>
      </x:c>
      <x:c r="P1513" s="67" t="n">
        <x:f>IF(COUNT(N1513:O1513)=0,"",SUM(N1513:O1513))</x:f>
        <x:v>0</x:v>
      </x:c>
      <x:c r="Q1513" s="65"/>
      <x:c r="R1513" s="65" t="str">
        <x:v>比分2-0</x:v>
      </x:c>
    </x:row>
    <x:row r="1514" ht="38" customHeight="1">
      <x:c r="A1514" s="65" t="str">
        <x:f>IF(B1514="","",TEXT(B1514,"yyyy-mm-dd")&amp;"|"&amp;D1514&amp;"|"&amp;E1514)</x:f>
        <x:v>2026-04-21|提格雷|飓风</x:v>
      </x:c>
      <x:c r="B1514" s="66" t="n">
        <x:v>46133.364583333336</x:v>
      </x:c>
      <x:c r="C1514" s="65" t="str">
        <x:v>阿根廷职业联赛（Liga Profesional·Apertura）</x:v>
      </x:c>
      <x:c r="D1514" s="65" t="str">
        <x:v>提格雷</x:v>
      </x:c>
      <x:c r="E1514" s="65" t="str">
        <x:v>飓风</x:v>
      </x:c>
      <x:c r="F1514" s="65" t="str">
        <x:v>飓风 +0.25</x:v>
      </x:c>
      <x:c r="G1514" s="65" t="str">
        <x:v>小 1.5</x:v>
      </x:c>
      <x:c r="H1514" s="65" t="str">
        <x:v>平局</x:v>
      </x:c>
      <x:c r="I1514" s="66" t="n">
        <x:v>46133.3640625</x:v>
      </x:c>
      <x:c r="J1514" s="65" t="str">
        <x:v>已结算</x:v>
      </x:c>
      <x:c r="K1514" s="65"/>
      <x:c r="L1514" s="65" t="str">
        <x:v>赢半</x:v>
      </x:c>
      <x:c r="M1514" s="65" t="str">
        <x:v>输</x:v>
      </x:c>
      <x:c r="N1514" s="67" t="n">
        <x:v>0.5</x:v>
      </x:c>
      <x:c r="O1514" s="67" t="n">
        <x:v>-1</x:v>
      </x:c>
      <x:c r="P1514" s="67" t="n">
        <x:f>IF(COUNT(N1514:O1514)=0,"",SUM(N1514:O1514))</x:f>
        <x:v>-0.5</x:v>
      </x:c>
      <x:c r="Q1514" s="65"/>
      <x:c r="R1514" s="65" t="str">
        <x:v>比分1-1</x:v>
      </x:c>
    </x:row>
    <x:row r="1515" ht="38" customHeight="1">
      <x:c r="A1515" s="65" t="str">
        <x:f>IF(B1515="","",TEXT(B1515,"yyyy-mm-dd")&amp;"|"&amp;D1515&amp;"|"&amp;E1515)</x:f>
        <x:v>2026-04-21|甘拿斯亚门多萨|拉努斯</x:v>
      </x:c>
      <x:c r="B1515" s="66" t="n">
        <x:v>46133.364583333336</x:v>
      </x:c>
      <x:c r="C1515" s="65" t="str">
        <x:v>阿根廷职业联赛（Liga Profesional·Apertura）</x:v>
      </x:c>
      <x:c r="D1515" s="65" t="str">
        <x:v>甘拿斯亚门多萨</x:v>
      </x:c>
      <x:c r="E1515" s="65" t="str">
        <x:v>拉努斯</x:v>
      </x:c>
      <x:c r="F1515" s="65" t="str">
        <x:v>拉努斯 -0.25</x:v>
      </x:c>
      <x:c r="G1515" s="65" t="str">
        <x:v>小 1.5</x:v>
      </x:c>
      <x:c r="H1515" s="65" t="str">
        <x:v>拉努斯胜且双方不进球</x:v>
      </x:c>
      <x:c r="I1515" s="66" t="n">
        <x:v>46133.36219907407</x:v>
      </x:c>
      <x:c r="J1515" s="65" t="str">
        <x:v>已结算</x:v>
      </x:c>
      <x:c r="K1515" s="65"/>
      <x:c r="L1515" s="65" t="str">
        <x:v>输</x:v>
      </x:c>
      <x:c r="M1515" s="65" t="str">
        <x:v>赢</x:v>
      </x:c>
      <x:c r="N1515" s="67" t="n">
        <x:v>-1</x:v>
      </x:c>
      <x:c r="O1515" s="67" t="n">
        <x:v>1</x:v>
      </x:c>
      <x:c r="P1515" s="67" t="n">
        <x:f>IF(COUNT(N1515:O1515)=0,"",SUM(N1515:O1515))</x:f>
        <x:v>0</x:v>
      </x:c>
      <x:c r="Q1515" s="65"/>
      <x:c r="R1515" s="65" t="str">
        <x:v>比分1-0</x:v>
      </x:c>
    </x:row>
    <x:row r="1516" ht="38" customHeight="1">
      <x:c r="A1516" s="65" t="str">
        <x:f>IF(B1516="","",TEXT(B1516,"yyyy-mm-dd")&amp;"|"&amp;D1516&amp;"|"&amp;E1516)</x:f>
        <x:v>2026-04-21|云斯卡尔达斯|波哥大国际</x:v>
      </x:c>
      <x:c r="B1516" s="66" t="n">
        <x:v>46133.305555555555</x:v>
      </x:c>
      <x:c r="C1516" s="65" t="str">
        <x:v>哥伦比亚甲级联赛（Liga BetPlay DIMAYOR）</x:v>
      </x:c>
      <x:c r="D1516" s="65" t="str">
        <x:v>云斯卡尔达斯</x:v>
      </x:c>
      <x:c r="E1516" s="65" t="str">
        <x:v>波哥大国际</x:v>
      </x:c>
      <x:c r="F1516" s="65" t="str">
        <x:v>波哥大国际 +0.5</x:v>
      </x:c>
      <x:c r="G1516" s="65" t="str">
        <x:v>小 2.5</x:v>
      </x:c>
      <x:c r="H1516" s="65" t="str">
        <x:v>平局</x:v>
      </x:c>
      <x:c r="I1516" s="66" t="n">
        <x:v>46133.25053240741</x:v>
      </x:c>
      <x:c r="J1516" s="65" t="str">
        <x:v>已结算</x:v>
      </x:c>
      <x:c r="K1516" s="65"/>
      <x:c r="L1516" s="65" t="str">
        <x:v>输</x:v>
      </x:c>
      <x:c r="M1516" s="65" t="str">
        <x:v>输</x:v>
      </x:c>
      <x:c r="N1516" s="67" t="n">
        <x:v>-1</x:v>
      </x:c>
      <x:c r="O1516" s="67" t="n">
        <x:v>-1</x:v>
      </x:c>
      <x:c r="P1516" s="67" t="n">
        <x:f>IF(COUNT(N1516:O1516)=0,"",SUM(N1516:O1516))</x:f>
        <x:v>-2</x:v>
      </x:c>
      <x:c r="Q1516" s="65"/>
      <x:c r="R1516" s="65" t="str">
        <x:v>比分2-1</x:v>
      </x:c>
    </x:row>
    <x:row r="1517" ht="38" customHeight="1">
      <x:c r="A1517" s="65" t="str">
        <x:f>IF(B1517="","",TEXT(B1517,"yyyy-mm-dd")&amp;"|"&amp;D1517&amp;"|"&amp;E1517)</x:f>
        <x:v>2026-04-21|圣洛伦索|萨斯菲尔德</x:v>
      </x:c>
      <x:c r="B1517" s="66" t="n">
        <x:v>46133.270833333336</x:v>
      </x:c>
      <x:c r="C1517" s="65" t="str">
        <x:v>阿根廷职业联赛（Liga Profesional·Apertura）</x:v>
      </x:c>
      <x:c r="D1517" s="65" t="str">
        <x:v>圣洛伦索</x:v>
      </x:c>
      <x:c r="E1517" s="65" t="str">
        <x:v>萨斯菲尔德</x:v>
      </x:c>
      <x:c r="F1517" s="65" t="str">
        <x:v>圣洛伦索 0</x:v>
      </x:c>
      <x:c r="G1517" s="65" t="str">
        <x:v>小 1.5</x:v>
      </x:c>
      <x:c r="H1517" s="65" t="str">
        <x:v>平局</x:v>
      </x:c>
      <x:c r="I1517" s="66" t="n">
        <x:v>46133.26787037037</x:v>
      </x:c>
      <x:c r="J1517" s="65" t="str">
        <x:v>已结算</x:v>
      </x:c>
      <x:c r="K1517" s="65"/>
      <x:c r="L1517" s="65" t="str">
        <x:v>走水</x:v>
      </x:c>
      <x:c r="M1517" s="65" t="str">
        <x:v>赢</x:v>
      </x:c>
      <x:c r="N1517" s="67" t="n">
        <x:v>0</x:v>
      </x:c>
      <x:c r="O1517" s="67" t="n">
        <x:v>1</x:v>
      </x:c>
      <x:c r="P1517" s="67" t="n">
        <x:f>IF(COUNT(N1517:O1517)=0,"",SUM(N1517:O1517))</x:f>
        <x:v>1</x:v>
      </x:c>
      <x:c r="Q1517" s="65"/>
      <x:c r="R1517" s="65" t="str">
        <x:v>比分0-0</x:v>
      </x:c>
    </x:row>
    <x:row r="1518" ht="38" customHeight="1">
      <x:c r="A1518" s="65" t="str">
        <x:f>IF(B1518="","",TEXT(B1518,"yyyy-mm-dd")&amp;"|"&amp;D1518&amp;"|"&amp;E1518)</x:f>
        <x:v>2026-04-21|班菲尔德|门多萨独立</x:v>
      </x:c>
      <x:c r="B1518" s="66" t="n">
        <x:v>46133.177083333336</x:v>
      </x:c>
      <x:c r="C1518" s="65" t="str">
        <x:v>阿根廷职业联赛（Liga Profesional·Apertura）</x:v>
      </x:c>
      <x:c r="D1518" s="65" t="str">
        <x:v>班菲尔德</x:v>
      </x:c>
      <x:c r="E1518" s="65" t="str">
        <x:v>门多萨独立</x:v>
      </x:c>
      <x:c r="F1518" s="65" t="str">
        <x:v>班菲尔德 0</x:v>
      </x:c>
      <x:c r="G1518" s="65" t="str">
        <x:v>小 2.0</x:v>
      </x:c>
      <x:c r="H1518" s="65" t="str">
        <x:v>平局</x:v>
      </x:c>
      <x:c r="I1518" s="66" t="n">
        <x:v>46133.21173611111</x:v>
      </x:c>
      <x:c r="J1518" s="65" t="str">
        <x:v>已结算</x:v>
      </x:c>
      <x:c r="K1518" s="65"/>
      <x:c r="L1518" s="65" t="str">
        <x:v>走水</x:v>
      </x:c>
      <x:c r="M1518" s="65" t="str">
        <x:v>赢</x:v>
      </x:c>
      <x:c r="N1518" s="67" t="n">
        <x:v>0</x:v>
      </x:c>
      <x:c r="O1518" s="67" t="n">
        <x:v>1</x:v>
      </x:c>
      <x:c r="P1518" s="67" t="n">
        <x:f>IF(COUNT(N1518:O1518)=0,"",SUM(N1518:O1518))</x:f>
        <x:v>1</x:v>
      </x:c>
      <x:c r="Q1518" s="65"/>
      <x:c r="R1518" s="65" t="str">
        <x:v>比分0-0</x:v>
      </x:c>
    </x:row>
    <x:row r="1519" ht="38" customHeight="1">
      <x:c r="A1519" s="65" t="str">
        <x:f>IF(B1519="","",TEXT(B1519,"yyyy-mm-dd")&amp;"|"&amp;D1519&amp;"|"&amp;E1519)</x:f>
        <x:v>2026-04-20|旁遮普FC|喀什国际</x:v>
      </x:c>
      <x:c r="B1519" s="66" t="n">
        <x:v>46132.916666666664</x:v>
      </x:c>
      <x:c r="C1519" s="65" t="str">
        <x:v>印度超级联赛（Indian Super League）</x:v>
      </x:c>
      <x:c r="D1519" s="65" t="str">
        <x:v>旁遮普FC</x:v>
      </x:c>
      <x:c r="E1519" s="65" t="str">
        <x:v>喀什国际</x:v>
      </x:c>
      <x:c r="F1519" s="65" t="str">
        <x:v>喀什国际 +0.75</x:v>
      </x:c>
      <x:c r="G1519" s="65" t="str">
        <x:v>大 2.5</x:v>
      </x:c>
      <x:c r="H1519" s="65" t="str">
        <x:v>双方进球：是</x:v>
      </x:c>
      <x:c r="I1519" s="66" t="n">
        <x:v>46132.91667824074</x:v>
      </x:c>
      <x:c r="J1519" s="65" t="str">
        <x:v>已结算</x:v>
      </x:c>
      <x:c r="K1519" s="65"/>
      <x:c r="L1519" s="65" t="str">
        <x:v>输</x:v>
      </x:c>
      <x:c r="M1519" s="65" t="str">
        <x:v>赢</x:v>
      </x:c>
      <x:c r="N1519" s="67" t="n">
        <x:v>-1</x:v>
      </x:c>
      <x:c r="O1519" s="67" t="n">
        <x:v>1</x:v>
      </x:c>
      <x:c r="P1519" s="67" t="n">
        <x:f>IF(COUNT(N1519:O1519)=0,"",SUM(N1519:O1519))</x:f>
        <x:v>0</x:v>
      </x:c>
      <x:c r="Q1519" s="65"/>
      <x:c r="R1519" s="65" t="str">
        <x:v>比分3-0</x:v>
      </x:c>
    </x:row>
    <x:row r="1520" ht="38" customHeight="1">
      <x:c r="A1520" s="65" t="str">
        <x:f>IF(B1520="","",TEXT(B1520,"yyyy-mm-dd")&amp;"|"&amp;D1520&amp;"|"&amp;E1520)</x:f>
        <x:v>2026-04-20|德瓦联|万隆</x:v>
      </x:c>
      <x:c r="B1520" s="66" t="n">
        <x:v>46132.833333333336</x:v>
      </x:c>
      <x:c r="C1520" s="65" t="str">
        <x:v>印度尼西亚超级联赛（印尼超/Liga 1 Indonesia）</x:v>
      </x:c>
      <x:c r="D1520" s="65" t="str">
        <x:v>德瓦联</x:v>
      </x:c>
      <x:c r="E1520" s="65" t="str">
        <x:v>万隆</x:v>
      </x:c>
      <x:c r="F1520" s="65" t="str">
        <x:v>万隆 -0.5 @1.87</x:v>
      </x:c>
      <x:c r="G1520" s="65" t="str">
        <x:v>大2.5 @1.96</x:v>
      </x:c>
      <x:c r="H1520" s="65" t="str">
        <x:v>加仓：大3.5 @2.11</x:v>
      </x:c>
      <x:c r="I1520" s="66" t="n">
        <x:v>46132.79645833333</x:v>
      </x:c>
      <x:c r="J1520" s="65" t="str">
        <x:v>已结算</x:v>
      </x:c>
      <x:c r="K1520" s="65"/>
      <x:c r="L1520" s="65" t="str">
        <x:v>输</x:v>
      </x:c>
      <x:c r="M1520" s="65" t="str">
        <x:v>赢</x:v>
      </x:c>
      <x:c r="N1520" s="67" t="n">
        <x:v>-1</x:v>
      </x:c>
      <x:c r="O1520" s="67" t="n">
        <x:v>1</x:v>
      </x:c>
      <x:c r="P1520" s="67" t="n">
        <x:f>IF(COUNT(N1520:O1520)=0,"",SUM(N1520:O1520))</x:f>
        <x:v>0</x:v>
      </x:c>
      <x:c r="Q1520" s="65"/>
      <x:c r="R1520" s="65" t="str">
        <x:v>比分2-2</x:v>
      </x:c>
    </x:row>
    <x:row r="1521" ht="38" customHeight="1">
      <x:c r="A1521" s="65" t="str">
        <x:f>IF(B1521="","",TEXT(B1521,"yyyy-mm-dd")&amp;"|"&amp;D1521&amp;"|"&amp;E1521)</x:f>
        <x:v>2026-04-20|塞曼巴东|杰帕拉（Persijap）</x:v>
      </x:c>
      <x:c r="B1521" s="66" t="n">
        <x:v>46132.6875</x:v>
      </x:c>
      <x:c r="C1521" s="65" t="str">
        <x:v>印度尼西亚超级联赛（印尼超/Liga 1 Indonesia）</x:v>
      </x:c>
      <x:c r="D1521" s="65" t="str">
        <x:v>塞曼巴东</x:v>
      </x:c>
      <x:c r="E1521" s="65" t="str">
        <x:v>杰帕拉（Persijap）</x:v>
      </x:c>
      <x:c r="F1521" s="65" t="str">
        <x:v>杰帕拉（Persijap） 平手(0) @1.86</x:v>
      </x:c>
      <x:c r="G1521" s="65" t="str">
        <x:v>小2.5 @1.83</x:v>
      </x:c>
      <x:c r="H1521" s="65" t="str">
        <x:v>加仓：双方不进球 @1.88</x:v>
      </x:c>
      <x:c r="I1521" s="66" t="n">
        <x:v>46132.65447916667</x:v>
      </x:c>
      <x:c r="J1521" s="65" t="str">
        <x:v>已结算</x:v>
      </x:c>
      <x:c r="K1521" s="65"/>
      <x:c r="L1521" s="65" t="str">
        <x:v>赢</x:v>
      </x:c>
      <x:c r="M1521" s="65" t="str">
        <x:v>赢</x:v>
      </x:c>
      <x:c r="N1521" s="67" t="n">
        <x:v>1</x:v>
      </x:c>
      <x:c r="O1521" s="67" t="n">
        <x:v>1</x:v>
      </x:c>
      <x:c r="P1521" s="67" t="n">
        <x:f>IF(COUNT(N1521:O1521)=0,"",SUM(N1521:O1521))</x:f>
        <x:v>2</x:v>
      </x:c>
      <x:c r="Q1521" s="65"/>
      <x:c r="R1521" s="65" t="str">
        <x:v>比分0-2</x:v>
      </x:c>
    </x:row>
    <x:row r="1522" ht="38" customHeight="1">
      <x:c r="A1522" s="65" t="str">
        <x:f>IF(B1522="","",TEXT(B1522,"yyyy-mm-dd")&amp;"|"&amp;D1522&amp;"|"&amp;E1522)</x:f>
        <x:v>2026-04-20|卡利美洲|百万富翁</x:v>
      </x:c>
      <x:c r="B1522" s="66" t="n">
        <x:v>46132.395833333336</x:v>
      </x:c>
      <x:c r="C1522" s="65" t="str">
        <x:v>哥伦比亚甲级联赛（Liga BetPlay DIMAYOR）</x:v>
      </x:c>
      <x:c r="D1522" s="65" t="str">
        <x:v>卡利美洲</x:v>
      </x:c>
      <x:c r="E1522" s="65" t="str">
        <x:v>百万富翁</x:v>
      </x:c>
      <x:c r="F1522" s="65" t="str">
        <x:v>百万富翁 +0.25 @2.05</x:v>
      </x:c>
      <x:c r="G1522" s="65" t="str">
        <x:v>小2 @2.08</x:v>
      </x:c>
      <x:c r="H1522" s="65" t="str">
        <x:v>加仓：平局 @3.25</x:v>
      </x:c>
      <x:c r="I1522" s="66" t="n">
        <x:v>46132.356307870374</x:v>
      </x:c>
      <x:c r="J1522" s="65" t="str">
        <x:v>已结算</x:v>
      </x:c>
      <x:c r="K1522" s="65"/>
      <x:c r="L1522" s="65" t="str">
        <x:v>输</x:v>
      </x:c>
      <x:c r="M1522" s="65" t="str">
        <x:v>输</x:v>
      </x:c>
      <x:c r="N1522" s="67" t="n">
        <x:v>-1</x:v>
      </x:c>
      <x:c r="O1522" s="67" t="n">
        <x:v>-1</x:v>
      </x:c>
      <x:c r="P1522" s="67" t="n">
        <x:f>IF(COUNT(N1522:O1522)=0,"",SUM(N1522:O1522))</x:f>
        <x:v>-2</x:v>
      </x:c>
      <x:c r="Q1522" s="65"/>
      <x:c r="R1522" s="65" t="str">
        <x:v>比分3-1</x:v>
      </x:c>
    </x:row>
    <x:row r="1523" ht="38" customHeight="1">
      <x:c r="A1523" s="65" t="str">
        <x:f>IF(B1523="","",TEXT(B1523,"yyyy-mm-dd")&amp;"|"&amp;D1523&amp;"|"&amp;E1523)</x:f>
        <x:v>2026-04-20|巴兰基亚青年|拉尼罗斯</x:v>
      </x:c>
      <x:c r="B1523" s="66" t="n">
        <x:v>46132.305555555555</x:v>
      </x:c>
      <x:c r="C1523" s="65" t="str">
        <x:v>哥伦比亚甲级联赛（Liga BetPlay DIMAYOR）</x:v>
      </x:c>
      <x:c r="D1523" s="65" t="str">
        <x:v>巴兰基亚青年</x:v>
      </x:c>
      <x:c r="E1523" s="65" t="str">
        <x:v>拉尼罗斯</x:v>
      </x:c>
      <x:c r="F1523" s="65" t="str">
        <x:v>巴兰基亚青年 -1 @1.83</x:v>
      </x:c>
      <x:c r="G1523" s="65" t="str">
        <x:v>小2.5 @1.85</x:v>
      </x:c>
      <x:c r="H1523" s="65" t="str">
        <x:v>加仓：巴兰基亚青年胜且双方不进球 @2.37</x:v>
      </x:c>
      <x:c r="I1523" s="66" t="n">
        <x:v>46132.30888888889</x:v>
      </x:c>
      <x:c r="J1523" s="65" t="str">
        <x:v>已结算</x:v>
      </x:c>
      <x:c r="K1523" s="65"/>
      <x:c r="L1523" s="65" t="str">
        <x:v>赢</x:v>
      </x:c>
      <x:c r="M1523" s="65" t="str">
        <x:v>赢</x:v>
      </x:c>
      <x:c r="N1523" s="67" t="n">
        <x:v>1</x:v>
      </x:c>
      <x:c r="O1523" s="67" t="n">
        <x:v>1</x:v>
      </x:c>
      <x:c r="P1523" s="67" t="n">
        <x:f>IF(COUNT(N1523:O1523)=0,"",SUM(N1523:O1523))</x:f>
        <x:v>2</x:v>
      </x:c>
      <x:c r="Q1523" s="65"/>
      <x:c r="R1523" s="65" t="str">
        <x:v>比分2-0</x:v>
      </x:c>
    </x:row>
    <x:row r="1524" ht="38" customHeight="1">
      <x:c r="A1524" s="65" t="str">
        <x:f>IF(B1524="","",TEXT(B1524,"yyyy-mm-dd")&amp;"|"&amp;D1524&amp;"|"&amp;E1524)</x:f>
        <x:v>2026-04-20|洛杉矶FC|圣何塞地震</x:v>
      </x:c>
      <x:c r="B1524" s="66" t="n">
        <x:v>46132.291666666664</x:v>
      </x:c>
      <x:c r="C1524" s="65" t="str">
        <x:v>美职联（MLS）</x:v>
      </x:c>
      <x:c r="D1524" s="65" t="str">
        <x:v>洛杉矶FC</x:v>
      </x:c>
      <x:c r="E1524" s="65" t="str">
        <x:v>圣何塞地震</x:v>
      </x:c>
      <x:c r="F1524" s="65" t="str">
        <x:v>圣何塞地震 +1 @1.97</x:v>
      </x:c>
      <x:c r="G1524" s="65" t="str">
        <x:v>小3 @2.00</x:v>
      </x:c>
      <x:c r="H1524" s="65" t="str">
        <x:v>加仓：比分 1-1 @7.00</x:v>
      </x:c>
      <x:c r="I1524" s="66" t="n">
        <x:v>46132.32303240741</x:v>
      </x:c>
      <x:c r="J1524" s="65" t="str">
        <x:v>已结算</x:v>
      </x:c>
      <x:c r="K1524" s="65"/>
      <x:c r="L1524" s="65" t="str">
        <x:v>赢</x:v>
      </x:c>
      <x:c r="M1524" s="65" t="str">
        <x:v>输</x:v>
      </x:c>
      <x:c r="N1524" s="67" t="n">
        <x:v>1</x:v>
      </x:c>
      <x:c r="O1524" s="67" t="n">
        <x:v>-1</x:v>
      </x:c>
      <x:c r="P1524" s="67" t="n">
        <x:f>IF(COUNT(N1524:O1524)=0,"",SUM(N1524:O1524))</x:f>
        <x:v>0</x:v>
      </x:c>
      <x:c r="Q1524" s="65"/>
      <x:c r="R1524" s="65" t="str">
        <x:v>比分1-4</x:v>
      </x:c>
    </x:row>
    <x:row r="1525" ht="38" customHeight="1">
      <x:c r="A1525" s="65" t="str">
        <x:f>IF(B1525="","",TEXT(B1525,"yyyy-mm-dd")&amp;"|"&amp;D1525&amp;"|"&amp;E1525)</x:f>
        <x:v>2026-04-20|哈伊巴布拉瓦（坦皮科马德罗）|莫雷利亚竞技</x:v>
      </x:c>
      <x:c r="B1525" s="66" t="n">
        <x:v>46132.291666666664</x:v>
      </x:c>
      <x:c r="C1525" s="65" t="str">
        <x:v>墨西哥甲级扩展联赛（Liga de Expansión MX）</x:v>
      </x:c>
      <x:c r="D1525" s="65" t="str">
        <x:v>哈伊巴布拉瓦（坦皮科马德罗）</x:v>
      </x:c>
      <x:c r="E1525" s="65" t="str">
        <x:v>莫雷利亚竞技</x:v>
      </x:c>
      <x:c r="F1525" s="65" t="str">
        <x:v>哈伊巴布拉瓦（坦皮科马德罗） -0.25 @2.05</x:v>
      </x:c>
      <x:c r="G1525" s="65" t="str">
        <x:v>小2.5 @1.89</x:v>
      </x:c>
      <x:c r="H1525" s="65" t="str">
        <x:v>加仓：比分 1-0 @7.00</x:v>
      </x:c>
      <x:c r="I1525" s="66" t="n">
        <x:v>46132.31318287037</x:v>
      </x:c>
      <x:c r="J1525" s="65" t="str">
        <x:v>已结算</x:v>
      </x:c>
      <x:c r="K1525" s="65"/>
      <x:c r="L1525" s="65" t="str">
        <x:v>赢</x:v>
      </x:c>
      <x:c r="M1525" s="65" t="str">
        <x:v>赢</x:v>
      </x:c>
      <x:c r="N1525" s="67" t="n">
        <x:v>1</x:v>
      </x:c>
      <x:c r="O1525" s="67" t="n">
        <x:v>1</x:v>
      </x:c>
      <x:c r="P1525" s="67" t="n">
        <x:f>IF(COUNT(N1525:O1525)=0,"",SUM(N1525:O1525))</x:f>
        <x:v>2</x:v>
      </x:c>
      <x:c r="Q1525" s="65"/>
      <x:c r="R1525" s="65" t="str">
        <x:v>比分1-0</x:v>
      </x:c>
    </x:row>
    <x:row r="1526" ht="38" customHeight="1">
      <x:c r="A1526" s="65" t="str">
        <x:f>IF(B1526="","",TEXT(B1526,"yyyy-mm-dd")&amp;"|"&amp;D1526&amp;"|"&amp;E1526)</x:f>
        <x:v>2026-04-20|桑托斯拉古纳|阿特拉斯</x:v>
      </x:c>
      <x:c r="B1526" s="66" t="n">
        <x:v>46132.291666666664</x:v>
      </x:c>
      <x:c r="C1526" s="65" t="str">
        <x:v>墨西哥超（Liga MX，Clausura）</x:v>
      </x:c>
      <x:c r="D1526" s="65" t="str">
        <x:v>桑托斯拉古纳</x:v>
      </x:c>
      <x:c r="E1526" s="65" t="str">
        <x:v>阿特拉斯</x:v>
      </x:c>
      <x:c r="F1526" s="65" t="str">
        <x:v>桑托斯拉古纳 -0.25 @2.15</x:v>
      </x:c>
      <x:c r="G1526" s="65" t="str">
        <x:v>小2.5 @2.05</x:v>
      </x:c>
      <x:c r="H1526" s="65" t="str">
        <x:v>加仓：桑托斯拉古纳 胜 @2.48</x:v>
      </x:c>
      <x:c r="I1526" s="66" t="n">
        <x:v>46132.27554398148</x:v>
      </x:c>
      <x:c r="J1526" s="65" t="str">
        <x:v>已结算</x:v>
      </x:c>
      <x:c r="K1526" s="65"/>
      <x:c r="L1526" s="65" t="str">
        <x:v>输</x:v>
      </x:c>
      <x:c r="M1526" s="65" t="str">
        <x:v>赢</x:v>
      </x:c>
      <x:c r="N1526" s="67" t="n">
        <x:v>-1</x:v>
      </x:c>
      <x:c r="O1526" s="67" t="n">
        <x:v>1</x:v>
      </x:c>
      <x:c r="P1526" s="67" t="n">
        <x:f>IF(COUNT(N1526:O1526)=0,"",SUM(N1526:O1526))</x:f>
        <x:v>0</x:v>
      </x:c>
      <x:c r="Q1526" s="65"/>
      <x:c r="R1526" s="65" t="str">
        <x:v>比分0-1</x:v>
      </x:c>
    </x:row>
    <x:row r="1527" ht="38" customHeight="1">
      <x:c r="A1527" s="65" t="str">
        <x:f>IF(B1527="","",TEXT(B1527,"yyyy-mm-dd")&amp;"|"&amp;D1527&amp;"|"&amp;E1527)</x:f>
        <x:v>2026-04-20|桑托斯|弗鲁米嫩塞</x:v>
      </x:c>
      <x:c r="B1527" s="66" t="n">
        <x:v>46132.125</x:v>
      </x:c>
      <x:c r="C1527" s="65" t="str">
        <x:v>巴西甲（Serie A）</x:v>
      </x:c>
      <x:c r="D1527" s="65" t="str">
        <x:v>桑托斯</x:v>
      </x:c>
      <x:c r="E1527" s="65" t="str">
        <x:v>弗鲁米嫩塞</x:v>
      </x:c>
      <x:c r="F1527" s="65" t="str">
        <x:v>桑托斯 -0.25 @2.02</x:v>
      </x:c>
      <x:c r="G1527" s="65" t="str">
        <x:v>大2.5 @2.15</x:v>
      </x:c>
      <x:c r="H1527" s="65" t="str">
        <x:v>加仓：双方进球 是 @1.90</x:v>
      </x:c>
      <x:c r="I1527" s="66" t="n">
        <x:v>46132.03857638889</x:v>
      </x:c>
      <x:c r="J1527" s="65" t="str">
        <x:v>已结算</x:v>
      </x:c>
      <x:c r="K1527" s="65"/>
      <x:c r="L1527" s="65" t="str">
        <x:v>输</x:v>
      </x:c>
      <x:c r="M1527" s="65" t="str">
        <x:v>赢</x:v>
      </x:c>
      <x:c r="N1527" s="67" t="n">
        <x:v>-1</x:v>
      </x:c>
      <x:c r="O1527" s="67" t="n">
        <x:v>1</x:v>
      </x:c>
      <x:c r="P1527" s="67" t="n">
        <x:f>IF(COUNT(N1527:O1527)=0,"",SUM(N1527:O1527))</x:f>
        <x:v>0</x:v>
      </x:c>
      <x:c r="Q1527" s="65"/>
      <x:c r="R1527" s="65" t="str">
        <x:v>比分2-3</x:v>
      </x:c>
    </x:row>
    <x:row r="1528" ht="38" customHeight="1">
      <x:c r="A1528" s="65" t="str">
        <x:f>IF(B1528="","",TEXT(B1528,"yyyy-mm-dd")&amp;"|"&amp;D1528&amp;"|"&amp;E1528)</x:f>
        <x:v>2026-04-20|尤文图斯|博洛尼亚</x:v>
      </x:c>
      <x:c r="B1528" s="66" t="n">
        <x:v>46132.114583333336</x:v>
      </x:c>
      <x:c r="C1528" s="65" t="str">
        <x:v>意大利甲级联赛（Serie A）</x:v>
      </x:c>
      <x:c r="D1528" s="65" t="str">
        <x:v>尤文图斯</x:v>
      </x:c>
      <x:c r="E1528" s="65" t="str">
        <x:v>博洛尼亚</x:v>
      </x:c>
      <x:c r="F1528" s="65" t="str">
        <x:v>博洛尼亚 +1.25 @1.94</x:v>
      </x:c>
      <x:c r="G1528" s="65" t="str">
        <x:v>小3 @1.82</x:v>
      </x:c>
      <x:c r="H1528" s="65" t="str">
        <x:v>加仓：比分 1-0 @7.00</x:v>
      </x:c>
      <x:c r="I1528" s="66" t="n">
        <x:v>46132.26006944444</x:v>
      </x:c>
      <x:c r="J1528" s="65" t="str">
        <x:v>已结算</x:v>
      </x:c>
      <x:c r="K1528" s="65"/>
      <x:c r="L1528" s="65" t="str">
        <x:v>输半</x:v>
      </x:c>
      <x:c r="M1528" s="65" t="str">
        <x:v>赢</x:v>
      </x:c>
      <x:c r="N1528" s="67" t="n">
        <x:v>-0.5</x:v>
      </x:c>
      <x:c r="O1528" s="67" t="n">
        <x:v>1</x:v>
      </x:c>
      <x:c r="P1528" s="67" t="n">
        <x:f>IF(COUNT(N1528:O1528)=0,"",SUM(N1528:O1528))</x:f>
        <x:v>0.5</x:v>
      </x:c>
      <x:c r="Q1528" s="65"/>
      <x:c r="R1528" s="65" t="str">
        <x:v>比分2-0</x:v>
      </x:c>
    </x:row>
    <x:row r="1529" ht="38" customHeight="1">
      <x:c r="A1529" s="65" t="str">
        <x:f>IF(B1529="","",TEXT(B1529,"yyyy-mm-dd")&amp;"|"&amp;D1529&amp;"|"&amp;E1529)</x:f>
        <x:v>2026-04-20|葡萄牙体育|本菲卡</x:v>
      </x:c>
      <x:c r="B1529" s="66" t="n">
        <x:v>46132.041666666664</x:v>
      </x:c>
      <x:c r="C1529" s="65" t="str">
        <x:v>葡萄牙超级联赛（Liga Portugal Betclic）</x:v>
      </x:c>
      <x:c r="D1529" s="65" t="str">
        <x:v>葡萄牙体育</x:v>
      </x:c>
      <x:c r="E1529" s="65" t="str">
        <x:v>本菲卡</x:v>
      </x:c>
      <x:c r="F1529" s="65" t="str">
        <x:v>本菲卡 +0.25 @2.07</x:v>
      </x:c>
      <x:c r="G1529" s="65" t="str">
        <x:v>小2.75 @1.88</x:v>
      </x:c>
      <x:c r="H1529" s="65" t="str">
        <x:v>加仓：平局 @3.70</x:v>
      </x:c>
      <x:c r="I1529" s="66" t="n">
        <x:v>46132.08693287037</x:v>
      </x:c>
      <x:c r="J1529" s="65" t="str">
        <x:v>已结算</x:v>
      </x:c>
      <x:c r="K1529" s="65"/>
      <x:c r="L1529" s="65" t="str">
        <x:v>赢</x:v>
      </x:c>
      <x:c r="M1529" s="65" t="str">
        <x:v>输半</x:v>
      </x:c>
      <x:c r="N1529" s="67" t="n">
        <x:v>1</x:v>
      </x:c>
      <x:c r="O1529" s="67" t="n">
        <x:v>-0.5</x:v>
      </x:c>
      <x:c r="P1529" s="67" t="n">
        <x:f>IF(COUNT(N1529:O1529)=0,"",SUM(N1529:O1529))</x:f>
        <x:v>0.5</x:v>
      </x:c>
      <x:c r="Q1529" s="65"/>
      <x:c r="R1529" s="65" t="str">
        <x:v>比分1-2</x:v>
      </x:c>
    </x:row>
    <x:row r="1530" ht="38" customHeight="1">
      <x:c r="A1530" s="65" t="str">
        <x:f>IF(B1530="","",TEXT(B1530,"yyyy-mm-dd")&amp;"|"&amp;D1530&amp;"|"&amp;E1530)</x:f>
        <x:v>2026-04-20|阿尔多斯维|竞技俱乐部</x:v>
      </x:c>
      <x:c r="B1530" s="66" t="n">
        <x:v>46132.020833333336</x:v>
      </x:c>
      <x:c r="C1530" s="65" t="str">
        <x:v>阿根廷职业联赛（Liga Profesional·Apertura）</x:v>
      </x:c>
      <x:c r="D1530" s="65" t="str">
        <x:v>阿尔多斯维</x:v>
      </x:c>
      <x:c r="E1530" s="65" t="str">
        <x:v>竞技俱乐部</x:v>
      </x:c>
      <x:c r="F1530" s="65" t="str">
        <x:v>阿尔多斯维 +0.5 @1.95</x:v>
      </x:c>
      <x:c r="G1530" s="65" t="str">
        <x:v>小2.25 @1.98</x:v>
      </x:c>
      <x:c r="H1530" s="65" t="str">
        <x:v>加仓：阿尔多斯维不进球 @1.80</x:v>
      </x:c>
      <x:c r="I1530" s="66" t="n">
        <x:v>46132.044594907406</x:v>
      </x:c>
      <x:c r="J1530" s="65" t="str">
        <x:v>已结算</x:v>
      </x:c>
      <x:c r="K1530" s="65"/>
      <x:c r="L1530" s="65" t="str">
        <x:v>赢</x:v>
      </x:c>
      <x:c r="M1530" s="65" t="str">
        <x:v>赢半</x:v>
      </x:c>
      <x:c r="N1530" s="67" t="n">
        <x:v>1</x:v>
      </x:c>
      <x:c r="O1530" s="67" t="n">
        <x:v>0.5</x:v>
      </x:c>
      <x:c r="P1530" s="67" t="n">
        <x:f>IF(COUNT(N1530:O1530)=0,"",SUM(N1530:O1530))</x:f>
        <x:v>1.5</x:v>
      </x:c>
      <x:c r="Q1530" s="65"/>
      <x:c r="R1530" s="65" t="str">
        <x:v>比分1-1</x:v>
      </x:c>
    </x:row>
    <x:row r="1531" ht="38" customHeight="1">
      <x:c r="A1531" s="65" t="str">
        <x:f>IF(B1531="","",TEXT(B1531,"yyyy-mm-dd")&amp;"|"&amp;D1531&amp;"|"&amp;E1531)</x:f>
        <x:v>2026-04-20|比萨|热那亚</x:v>
      </x:c>
      <x:c r="B1531" s="66" t="n">
        <x:v>46132</x:v>
      </x:c>
      <x:c r="C1531" s="65" t="str">
        <x:v>意大利甲级联赛（Serie A）</x:v>
      </x:c>
      <x:c r="D1531" s="65" t="str">
        <x:v>比萨</x:v>
      </x:c>
      <x:c r="E1531" s="65" t="str">
        <x:v>热那亚</x:v>
      </x:c>
      <x:c r="F1531" s="65" t="str">
        <x:v>热那亚 -0.25 @2.14</x:v>
      </x:c>
      <x:c r="G1531" s="65" t="str">
        <x:v>小2 @2.00</x:v>
      </x:c>
      <x:c r="H1531" s="65" t="str">
        <x:v>加仓：只有客队进球 @3.75</x:v>
      </x:c>
      <x:c r="I1531" s="66" t="n">
        <x:v>46131.98762731482</x:v>
      </x:c>
      <x:c r="J1531" s="65" t="str">
        <x:v>已结算</x:v>
      </x:c>
      <x:c r="K1531" s="65"/>
      <x:c r="L1531" s="65" t="str">
        <x:v>赢</x:v>
      </x:c>
      <x:c r="M1531" s="65" t="str">
        <x:v>输</x:v>
      </x:c>
      <x:c r="N1531" s="67" t="n">
        <x:v>1</x:v>
      </x:c>
      <x:c r="O1531" s="67" t="n">
        <x:v>-1</x:v>
      </x:c>
      <x:c r="P1531" s="67" t="n">
        <x:f>IF(COUNT(N1531:O1531)=0,"",SUM(N1531:O1531))</x:f>
        <x:v>0</x:v>
      </x:c>
      <x:c r="Q1531" s="65"/>
      <x:c r="R1531" s="65" t="str">
        <x:v>比分1-2</x:v>
      </x:c>
    </x:row>
    <x:row r="1532" ht="38" customHeight="1">
      <x:c r="A1532" s="65" t="str">
        <x:f>IF(B1532="","",TEXT(B1532,"yyyy-mm-dd")&amp;"|"&amp;D1532&amp;"|"&amp;E1532)</x:f>
        <x:v>2026-04-19|曼彻斯特城|阿森纳</x:v>
      </x:c>
      <x:c r="B1532" s="66" t="n">
        <x:v>46131.979166666664</x:v>
      </x:c>
      <x:c r="C1532" s="65" t="str">
        <x:v>英格兰超级联赛（Premier League）</x:v>
      </x:c>
      <x:c r="D1532" s="65" t="str">
        <x:v>曼彻斯特城</x:v>
      </x:c>
      <x:c r="E1532" s="65" t="str">
        <x:v>阿森纳</x:v>
      </x:c>
      <x:c r="F1532" s="65" t="str">
        <x:v>曼彻斯特城 -0.5（1.82）</x:v>
      </x:c>
      <x:c r="G1532" s="65" t="str">
        <x:v>小2.5（1.83）</x:v>
      </x:c>
      <x:c r="H1532" s="65" t="str">
        <x:v>两队均不进球（BTTS No，1.95，小注）</x:v>
      </x:c>
      <x:c r="I1532" s="66" t="n">
        <x:v>46131.75181712963</x:v>
      </x:c>
      <x:c r="J1532" s="65" t="str">
        <x:v>已结算</x:v>
      </x:c>
      <x:c r="K1532" s="65"/>
      <x:c r="L1532" s="65" t="str">
        <x:v>赢</x:v>
      </x:c>
      <x:c r="M1532" s="65" t="str">
        <x:v>输</x:v>
      </x:c>
      <x:c r="N1532" s="67" t="n">
        <x:v>1</x:v>
      </x:c>
      <x:c r="O1532" s="67" t="n">
        <x:v>-1</x:v>
      </x:c>
      <x:c r="P1532" s="67" t="n">
        <x:f>IF(COUNT(N1532:O1532)=0,"",SUM(N1532:O1532))</x:f>
        <x:v>0</x:v>
      </x:c>
      <x:c r="Q1532" s="65"/>
      <x:c r="R1532" s="65" t="str">
        <x:v>比分2-1</x:v>
      </x:c>
    </x:row>
    <x:row r="1533" ht="38" customHeight="1">
      <x:c r="A1533" s="65" t="str">
        <x:f>IF(B1533="","",TEXT(B1533,"yyyy-mm-dd")&amp;"|"&amp;D1533&amp;"|"&amp;E1533)</x:f>
        <x:v>2026-04-19|赫根|哥德堡盖斯</x:v>
      </x:c>
      <x:c r="B1533" s="66" t="n">
        <x:v>46131.9375</x:v>
      </x:c>
      <x:c r="C1533" s="65" t="str">
        <x:v>瑞典超级联赛</x:v>
      </x:c>
      <x:c r="D1533" s="65" t="str">
        <x:v>赫根</x:v>
      </x:c>
      <x:c r="E1533" s="65" t="str">
        <x:v>哥德堡盖斯</x:v>
      </x:c>
      <x:c r="F1533" s="65" t="str">
        <x:v>赫根 -0.25 @1.84</x:v>
      </x:c>
      <x:c r="G1533" s="65" t="str">
        <x:v>大2.75 @1.80</x:v>
      </x:c>
      <x:c r="H1533" s="65" t="str">
        <x:v>加仓：大3.25 @2.30</x:v>
      </x:c>
      <x:c r="I1533" s="66" t="n">
        <x:v>46131.94693287037</x:v>
      </x:c>
      <x:c r="J1533" s="65" t="str">
        <x:v>已结算</x:v>
      </x:c>
      <x:c r="K1533" s="65"/>
      <x:c r="L1533" s="65" t="str">
        <x:v>赢</x:v>
      </x:c>
      <x:c r="M1533" s="65" t="str">
        <x:v>赢半</x:v>
      </x:c>
      <x:c r="N1533" s="67" t="n">
        <x:v>1</x:v>
      </x:c>
      <x:c r="O1533" s="67" t="n">
        <x:v>0.5</x:v>
      </x:c>
      <x:c r="P1533" s="67" t="n">
        <x:f>IF(COUNT(N1533:O1533)=0,"",SUM(N1533:O1533))</x:f>
        <x:v>1.5</x:v>
      </x:c>
      <x:c r="Q1533" s="65"/>
      <x:c r="R1533" s="65" t="str">
        <x:v>比分2-1</x:v>
      </x:c>
    </x:row>
    <x:row r="1534" ht="38" customHeight="1">
      <x:c r="A1534" s="65" t="str">
        <x:f>IF(B1534="","",TEXT(B1534,"yyyy-mm-dd")&amp;"|"&amp;D1534&amp;"|"&amp;E1534)</x:f>
        <x:v>2026-04-19|东北联|莫亨巴根超级巨人</x:v>
      </x:c>
      <x:c r="B1534" s="66" t="n">
        <x:v>46131.916666666664</x:v>
      </x:c>
      <x:c r="C1534" s="65" t="str">
        <x:v>印度超级联赛（Indian Super League）</x:v>
      </x:c>
      <x:c r="D1534" s="65" t="str">
        <x:v>东北联</x:v>
      </x:c>
      <x:c r="E1534" s="65" t="str">
        <x:v>莫亨巴根超级巨人</x:v>
      </x:c>
      <x:c r="F1534" s="65" t="str">
        <x:v>东北联 +1.5 @1.82</x:v>
      </x:c>
      <x:c r="G1534" s="65" t="str">
        <x:v>大2.75 @1.98</x:v>
      </x:c>
      <x:c r="H1534" s="65" t="str">
        <x:v>加仓：莫亨巴根超级巨人胜且双方进球 是 @3.25</x:v>
      </x:c>
      <x:c r="I1534" s="66" t="n">
        <x:v>46131.91842592593</x:v>
      </x:c>
      <x:c r="J1534" s="65" t="str">
        <x:v>已结算</x:v>
      </x:c>
      <x:c r="K1534" s="65"/>
      <x:c r="L1534" s="65" t="str">
        <x:v>赢</x:v>
      </x:c>
      <x:c r="M1534" s="65" t="str">
        <x:v>输</x:v>
      </x:c>
      <x:c r="N1534" s="67" t="n">
        <x:v>1</x:v>
      </x:c>
      <x:c r="O1534" s="67" t="n">
        <x:v>-1</x:v>
      </x:c>
      <x:c r="P1534" s="67" t="n">
        <x:f>IF(COUNT(N1534:O1534)=0,"",SUM(N1534:O1534))</x:f>
        <x:v>0</x:v>
      </x:c>
      <x:c r="Q1534" s="65"/>
      <x:c r="R1534" s="65" t="str">
        <x:v>比分0-1</x:v>
      </x:c>
    </x:row>
    <x:row r="1535" ht="38" customHeight="1">
      <x:c r="A1535" s="65" t="str">
        <x:f>IF(B1535="","",TEXT(B1535,"yyyy-mm-dd")&amp;"|"&amp;D1535&amp;"|"&amp;E1535)</x:f>
        <x:v>2026-04-19|巴西国际|米拉索尔</x:v>
      </x:c>
      <x:c r="B1535" s="66" t="n">
        <x:v>46131.916666666664</x:v>
      </x:c>
      <x:c r="C1535" s="65" t="str">
        <x:v>巴西甲（Serie A）</x:v>
      </x:c>
      <x:c r="D1535" s="65" t="str">
        <x:v>巴西国际</x:v>
      </x:c>
      <x:c r="E1535" s="65" t="str">
        <x:v>米拉索尔</x:v>
      </x:c>
      <x:c r="F1535" s="65" t="str">
        <x:v>巴西国际 -0.75 @2.00</x:v>
      </x:c>
      <x:c r="G1535" s="65" t="str">
        <x:v>小2.5 @1.85</x:v>
      </x:c>
      <x:c r="H1535" s="65" t="str">
        <x:v>加仓：比分 1-0 @5.80</x:v>
      </x:c>
      <x:c r="I1535" s="66" t="n">
        <x:v>46131.90914351852</x:v>
      </x:c>
      <x:c r="J1535" s="65" t="str">
        <x:v>已结算</x:v>
      </x:c>
      <x:c r="K1535" s="65"/>
      <x:c r="L1535" s="65" t="str">
        <x:v>输</x:v>
      </x:c>
      <x:c r="M1535" s="65" t="str">
        <x:v>输</x:v>
      </x:c>
      <x:c r="N1535" s="67" t="n">
        <x:v>-1</x:v>
      </x:c>
      <x:c r="O1535" s="67" t="n">
        <x:v>-1</x:v>
      </x:c>
      <x:c r="P1535" s="67" t="n">
        <x:f>IF(COUNT(N1535:O1535)=0,"",SUM(N1535:O1535))</x:f>
        <x:v>-2</x:v>
      </x:c>
      <x:c r="Q1535" s="65"/>
      <x:c r="R1535" s="65" t="str">
        <x:v>比分1-2</x:v>
      </x:c>
    </x:row>
    <x:row r="1536" ht="38" customHeight="1">
      <x:c r="A1536" s="65" t="str">
        <x:f>IF(B1536="","",TEXT(B1536,"yyyy-mm-dd")&amp;"|"&amp;D1536&amp;"|"&amp;E1536)</x:f>
        <x:v>2026-04-19|维罗纳|AC米兰</x:v>
      </x:c>
      <x:c r="B1536" s="66" t="n">
        <x:v>46131.875</x:v>
      </x:c>
      <x:c r="C1536" s="65" t="str">
        <x:v>意大利甲级联赛（Serie A）</x:v>
      </x:c>
      <x:c r="D1536" s="65" t="str">
        <x:v>维罗纳</x:v>
      </x:c>
      <x:c r="E1536" s="65" t="str">
        <x:v>AC米兰</x:v>
      </x:c>
      <x:c r="F1536" s="65" t="str">
        <x:v>AC米兰 -0.5 @1.85</x:v>
      </x:c>
      <x:c r="G1536" s="65" t="str">
        <x:v>小2.5 @1.85</x:v>
      </x:c>
      <x:c r="H1536" s="65" t="str">
        <x:v>加仓：AC米兰 1-0/2-0/3-0 @2.60</x:v>
      </x:c>
      <x:c r="I1536" s="66" t="n">
        <x:v>46131.90074074074</x:v>
      </x:c>
      <x:c r="J1536" s="65" t="str">
        <x:v>已结算</x:v>
      </x:c>
      <x:c r="K1536" s="65"/>
      <x:c r="L1536" s="65" t="str">
        <x:v>赢</x:v>
      </x:c>
      <x:c r="M1536" s="65" t="str">
        <x:v>赢</x:v>
      </x:c>
      <x:c r="N1536" s="67" t="n">
        <x:v>1</x:v>
      </x:c>
      <x:c r="O1536" s="67" t="n">
        <x:v>1</x:v>
      </x:c>
      <x:c r="P1536" s="67" t="n">
        <x:f>IF(COUNT(N1536:O1536)=0,"",SUM(N1536:O1536))</x:f>
        <x:v>2</x:v>
      </x:c>
      <x:c r="Q1536" s="65"/>
      <x:c r="R1536" s="65" t="str">
        <x:v>比分0-1</x:v>
      </x:c>
    </x:row>
    <x:row r="1537" ht="38" customHeight="1">
      <x:c r="A1537" s="65" t="str">
        <x:f>IF(B1537="","",TEXT(B1537,"yyyy-mm-dd")&amp;"|"&amp;D1537&amp;"|"&amp;E1537)</x:f>
        <x:v>2026-04-19|巴厘联|马鲁特联</x:v>
      </x:c>
      <x:c r="B1537" s="66" t="n">
        <x:v>46131.833333333336</x:v>
      </x:c>
      <x:c r="C1537" s="65" t="str">
        <x:v>印度尼西亚超级联赛（印尼超/Liga 1 Indonesia）</x:v>
      </x:c>
      <x:c r="D1537" s="65" t="str">
        <x:v>巴厘联</x:v>
      </x:c>
      <x:c r="E1537" s="65" t="str">
        <x:v>马鲁特联</x:v>
      </x:c>
      <x:c r="F1537" s="65" t="str">
        <x:v>巴厘联 平手(0) @2.06</x:v>
      </x:c>
      <x:c r="G1537" s="65" t="str">
        <x:v>大2.75 @1.83</x:v>
      </x:c>
      <x:c r="H1537" s="65" t="str">
        <x:v>加仓：大3 @2.02</x:v>
      </x:c>
      <x:c r="I1537" s="66" t="n">
        <x:v>46131.84258101852</x:v>
      </x:c>
      <x:c r="J1537" s="65" t="str">
        <x:v>已结算</x:v>
      </x:c>
      <x:c r="K1537" s="65"/>
      <x:c r="L1537" s="65" t="str">
        <x:v>赢</x:v>
      </x:c>
      <x:c r="M1537" s="65" t="str">
        <x:v>赢</x:v>
      </x:c>
      <x:c r="N1537" s="67" t="n">
        <x:v>1</x:v>
      </x:c>
      <x:c r="O1537" s="67" t="n">
        <x:v>1</x:v>
      </x:c>
      <x:c r="P1537" s="67" t="n">
        <x:f>IF(COUNT(N1537:O1537)=0,"",SUM(N1537:O1537))</x:f>
        <x:v>2</x:v>
      </x:c>
      <x:c r="Q1537" s="65"/>
      <x:c r="R1537" s="65" t="str">
        <x:v>比分4-1</x:v>
      </x:c>
    </x:row>
    <x:row r="1538" ht="38" customHeight="1">
      <x:c r="A1538" s="65" t="str">
        <x:f>IF(B1538="","",TEXT(B1538,"yyyy-mm-dd")&amp;"|"&amp;D1538&amp;"|"&amp;E1538)</x:f>
        <x:v>2026-04-19|沙尔克04|普鲁士明斯特</x:v>
      </x:c>
      <x:c r="B1538" s="66" t="n">
        <x:v>46131.8125</x:v>
      </x:c>
      <x:c r="C1538" s="65" t="str">
        <x:v>德国乙级联赛（2. Bundesliga）</x:v>
      </x:c>
      <x:c r="D1538" s="65" t="str">
        <x:v>沙尔克04</x:v>
      </x:c>
      <x:c r="E1538" s="65" t="str">
        <x:v>普鲁士明斯特</x:v>
      </x:c>
      <x:c r="F1538" s="65" t="str">
        <x:v>沙尔克04 -1</x:v>
      </x:c>
      <x:c r="G1538" s="65" t="str">
        <x:v>小2.5</x:v>
      </x:c>
      <x:c r="H1538" s="65" t="str">
        <x:v>比分2-0（小注）</x:v>
      </x:c>
      <x:c r="I1538" s="66" t="n">
        <x:v>46131.83516203704</x:v>
      </x:c>
      <x:c r="J1538" s="65" t="str">
        <x:v>已结算</x:v>
      </x:c>
      <x:c r="K1538" s="65"/>
      <x:c r="L1538" s="65" t="str">
        <x:v>赢</x:v>
      </x:c>
      <x:c r="M1538" s="65" t="str">
        <x:v>输</x:v>
      </x:c>
      <x:c r="N1538" s="67" t="n">
        <x:v>1</x:v>
      </x:c>
      <x:c r="O1538" s="67" t="n">
        <x:v>-1</x:v>
      </x:c>
      <x:c r="P1538" s="67" t="n">
        <x:f>IF(COUNT(N1538:O1538)=0,"",SUM(N1538:O1538))</x:f>
        <x:v>0</x:v>
      </x:c>
      <x:c r="Q1538" s="65"/>
      <x:c r="R1538" s="65" t="str">
        <x:v>比分4-1</x:v>
      </x:c>
    </x:row>
    <x:row r="1539" ht="38" customHeight="1">
      <x:c r="A1539" s="65" t="str">
        <x:f>IF(B1539="","",TEXT(B1539,"yyyy-mm-dd")&amp;"|"&amp;D1539&amp;"|"&amp;E1539)</x:f>
        <x:v>2026-04-19|菲尔特|达姆施塔特</x:v>
      </x:c>
      <x:c r="B1539" s="66" t="n">
        <x:v>46131.8125</x:v>
      </x:c>
      <x:c r="C1539" s="65" t="str">
        <x:v>德国乙级联赛（2. Bundesliga）</x:v>
      </x:c>
      <x:c r="D1539" s="65" t="str">
        <x:v>菲尔特</x:v>
      </x:c>
      <x:c r="E1539" s="65" t="str">
        <x:v>达姆施塔特</x:v>
      </x:c>
      <x:c r="F1539" s="65" t="str">
        <x:v>菲尔特 +0.25</x:v>
      </x:c>
      <x:c r="G1539" s="65" t="str">
        <x:v>小2.5</x:v>
      </x:c>
      <x:c r="H1539" s="65" t="str">
        <x:v>平局</x:v>
      </x:c>
      <x:c r="I1539" s="66" t="n">
        <x:v>46131.81928240741</x:v>
      </x:c>
      <x:c r="J1539" s="65" t="str">
        <x:v>已结算</x:v>
      </x:c>
      <x:c r="K1539" s="65"/>
      <x:c r="L1539" s="65" t="str">
        <x:v>赢</x:v>
      </x:c>
      <x:c r="M1539" s="65" t="str">
        <x:v>输</x:v>
      </x:c>
      <x:c r="N1539" s="67" t="n">
        <x:v>1</x:v>
      </x:c>
      <x:c r="O1539" s="67" t="n">
        <x:v>-1</x:v>
      </x:c>
      <x:c r="P1539" s="67" t="n">
        <x:f>IF(COUNT(N1539:O1539)=0,"",SUM(N1539:O1539))</x:f>
        <x:v>0</x:v>
      </x:c>
      <x:c r="Q1539" s="65"/>
      <x:c r="R1539" s="65" t="str">
        <x:v>比分3-2</x:v>
      </x:c>
    </x:row>
    <x:row r="1540" ht="38" customHeight="1">
      <x:c r="A1540" s="65" t="str">
        <x:f>IF(B1540="","",TEXT(B1540,"yyyy-mm-dd")&amp;"|"&amp;D1540&amp;"|"&amp;E1540)</x:f>
        <x:v>2026-04-19|布伦瑞克|柏林赫塔</x:v>
      </x:c>
      <x:c r="B1540" s="66" t="n">
        <x:v>46131.8125</x:v>
      </x:c>
      <x:c r="C1540" s="65" t="str">
        <x:v>德国乙级联赛（2. Bundesliga）</x:v>
      </x:c>
      <x:c r="D1540" s="65" t="str">
        <x:v>布伦瑞克</x:v>
      </x:c>
      <x:c r="E1540" s="65" t="str">
        <x:v>柏林赫塔</x:v>
      </x:c>
      <x:c r="F1540" s="65" t="str">
        <x:v>柏林赫塔 -0.25</x:v>
      </x:c>
      <x:c r="G1540" s="65" t="str">
        <x:v>小2.5</x:v>
      </x:c>
      <x:c r="H1540" s="65" t="str">
        <x:v>双方进球-否</x:v>
      </x:c>
      <x:c r="I1540" s="66" t="n">
        <x:v>46131.813993055555</x:v>
      </x:c>
      <x:c r="J1540" s="65" t="str">
        <x:v>已结算</x:v>
      </x:c>
      <x:c r="K1540" s="65"/>
      <x:c r="L1540" s="65" t="str">
        <x:v>输半</x:v>
      </x:c>
      <x:c r="M1540" s="65" t="str">
        <x:v>赢</x:v>
      </x:c>
      <x:c r="N1540" s="67" t="n">
        <x:v>-0.5</x:v>
      </x:c>
      <x:c r="O1540" s="67" t="n">
        <x:v>1</x:v>
      </x:c>
      <x:c r="P1540" s="67" t="n">
        <x:f>IF(COUNT(N1540:O1540)=0,"",SUM(N1540:O1540))</x:f>
        <x:v>0.5</x:v>
      </x:c>
      <x:c r="Q1540" s="65"/>
      <x:c r="R1540" s="65" t="str">
        <x:v>比分1-1</x:v>
      </x:c>
    </x:row>
    <x:row r="1541" ht="38" customHeight="1">
      <x:c r="A1541" s="65" t="str">
        <x:f>IF(B1541="","",TEXT(B1541,"yyyy-mm-dd")&amp;"|"&amp;D1541&amp;"|"&amp;E1541)</x:f>
        <x:v>2026-04-19|伊普斯维奇|米德尔斯堡</x:v>
      </x:c>
      <x:c r="B1541" s="66" t="n">
        <x:v>46131.791666666664</x:v>
      </x:c>
      <x:c r="C1541" s="65" t="str">
        <x:v>英格兰冠军联赛（英冠）</x:v>
      </x:c>
      <x:c r="D1541" s="65" t="str">
        <x:v>伊普斯维奇</x:v>
      </x:c>
      <x:c r="E1541" s="65" t="str">
        <x:v>米德尔斯堡</x:v>
      </x:c>
      <x:c r="F1541" s="65" t="str">
        <x:v>伊普斯维奇 -0.25</x:v>
      </x:c>
      <x:c r="G1541" s="65" t="str">
        <x:v>小2.5</x:v>
      </x:c>
      <x:c r="H1541" s="65" t="str">
        <x:v>双方进球-否</x:v>
      </x:c>
      <x:c r="I1541" s="66" t="n">
        <x:v>46131.79329861111</x:v>
      </x:c>
      <x:c r="J1541" s="65" t="str">
        <x:v>已结算</x:v>
      </x:c>
      <x:c r="K1541" s="65"/>
      <x:c r="L1541" s="65" t="str">
        <x:v>输半</x:v>
      </x:c>
      <x:c r="M1541" s="65" t="str">
        <x:v>输</x:v>
      </x:c>
      <x:c r="N1541" s="67" t="n">
        <x:v>-0.5</x:v>
      </x:c>
      <x:c r="O1541" s="67" t="n">
        <x:v>-1</x:v>
      </x:c>
      <x:c r="P1541" s="67" t="n">
        <x:f>IF(COUNT(N1541:O1541)=0,"",SUM(N1541:O1541))</x:f>
        <x:v>-1.5</x:v>
      </x:c>
      <x:c r="Q1541" s="65"/>
      <x:c r="R1541" s="65" t="str">
        <x:v>比分2-2</x:v>
      </x:c>
    </x:row>
    <x:row r="1542" ht="38" customHeight="1">
      <x:c r="A1542" s="65" t="str">
        <x:f>IF(B1542="","",TEXT(B1542,"yyyy-mm-dd")&amp;"|"&amp;D1542&amp;"|"&amp;E1542)</x:f>
        <x:v>2026-04-19|克雷莫纳|都灵</x:v>
      </x:c>
      <x:c r="B1542" s="66" t="n">
        <x:v>46131.770833333336</x:v>
      </x:c>
      <x:c r="C1542" s="65" t="str">
        <x:v>意大利甲级联赛（Serie A）</x:v>
      </x:c>
      <x:c r="D1542" s="65" t="str">
        <x:v>克雷莫纳</x:v>
      </x:c>
      <x:c r="E1542" s="65" t="str">
        <x:v>都灵</x:v>
      </x:c>
      <x:c r="F1542" s="65" t="str">
        <x:v>都灵 平手(0)</x:v>
      </x:c>
      <x:c r="G1542" s="65" t="str">
        <x:v>大2.5</x:v>
      </x:c>
      <x:c r="H1542" s="65" t="str">
        <x:v>双方进球-是</x:v>
      </x:c>
      <x:c r="I1542" s="66" t="n">
        <x:v>46131.75711805555</x:v>
      </x:c>
      <x:c r="J1542" s="65" t="str">
        <x:v>已结算</x:v>
      </x:c>
      <x:c r="K1542" s="65"/>
      <x:c r="L1542" s="65" t="str">
        <x:v>走水</x:v>
      </x:c>
      <x:c r="M1542" s="65" t="str">
        <x:v>输</x:v>
      </x:c>
      <x:c r="N1542" s="67" t="n">
        <x:v>0</x:v>
      </x:c>
      <x:c r="O1542" s="67" t="n">
        <x:v>-1</x:v>
      </x:c>
      <x:c r="P1542" s="67" t="n">
        <x:f>IF(COUNT(N1542:O1542)=0,"",SUM(N1542:O1542))</x:f>
        <x:v>-1</x:v>
      </x:c>
      <x:c r="Q1542" s="65"/>
      <x:c r="R1542" s="65" t="str">
        <x:v>比分0-0</x:v>
      </x:c>
    </x:row>
    <x:row r="1543" ht="38" customHeight="1">
      <x:c r="A1543" s="65" t="str">
        <x:f>IF(B1543="","",TEXT(B1543,"yyyy-mm-dd")&amp;"|"&amp;D1543&amp;"|"&amp;E1543)</x:f>
        <x:v>2026-04-19|佩斯克谏义里|佩西塔唐格朗</x:v>
      </x:c>
      <x:c r="B1543" s="66" t="n">
        <x:v>46131.6875</x:v>
      </x:c>
      <x:c r="C1543" s="65" t="str">
        <x:v>印度尼西亚超级联赛（印尼超/Liga 1 Indonesia）</x:v>
      </x:c>
      <x:c r="D1543" s="65" t="str">
        <x:v>佩斯克谏义里</x:v>
      </x:c>
      <x:c r="E1543" s="65" t="str">
        <x:v>佩西塔唐格朗</x:v>
      </x:c>
      <x:c r="F1543" s="65" t="str">
        <x:v>佩斯克谏义里 -0.25（1.92）</x:v>
      </x:c>
      <x:c r="G1543" s="65" t="str">
        <x:v>小2.5（1.85）</x:v>
      </x:c>
      <x:c r="H1543" s="65" t="str">
        <x:v>佩斯克谏义里 -0.5（2.15，小注）</x:v>
      </x:c>
      <x:c r="I1543" s="66" t="n">
        <x:v>46131.68709490741</x:v>
      </x:c>
      <x:c r="J1543" s="65" t="str">
        <x:v>已结算</x:v>
      </x:c>
      <x:c r="K1543" s="65"/>
      <x:c r="L1543" s="65" t="str">
        <x:v>赢</x:v>
      </x:c>
      <x:c r="M1543" s="65" t="str">
        <x:v>赢</x:v>
      </x:c>
      <x:c r="N1543" s="67" t="n">
        <x:v>1</x:v>
      </x:c>
      <x:c r="O1543" s="67" t="n">
        <x:v>1</x:v>
      </x:c>
      <x:c r="P1543" s="67" t="n">
        <x:f>IF(COUNT(N1543:O1543)=0,"",SUM(N1543:O1543))</x:f>
        <x:v>2</x:v>
      </x:c>
      <x:c r="Q1543" s="65"/>
      <x:c r="R1543" s="65" t="str">
        <x:v>比分1-0</x:v>
      </x:c>
    </x:row>
    <x:row r="1544" ht="38" customHeight="1">
      <x:c r="A1544" s="65" t="str">
        <x:f>IF(B1544="","",TEXT(B1544,"yyyy-mm-dd")&amp;"|"&amp;D1544&amp;"|"&amp;E1544)</x:f>
        <x:v>2026-04-19|曼立联|洛克达尔伊林登</x:v>
      </x:c>
      <x:c r="B1544" s="66" t="n">
        <x:v>46131.625</x:v>
      </x:c>
      <x:c r="C1544" s="65" t="str">
        <x:v>澳大利亚 维多利亚州超级联赛1（VPL1）</x:v>
      </x:c>
      <x:c r="D1544" s="65" t="str">
        <x:v>曼立联</x:v>
      </x:c>
      <x:c r="E1544" s="65" t="str">
        <x:v>洛克达尔伊林登</x:v>
      </x:c>
      <x:c r="F1544" s="65" t="str">
        <x:v>洛克达尔伊林登 -0.25（1.85）</x:v>
      </x:c>
      <x:c r="G1544" s="65" t="str">
        <x:v>小2.5（2.05）</x:v>
      </x:c>
      <x:c r="H1544" s="65" t="str">
        <x:v>两队均不进球（BTTS No，2.25，小注）</x:v>
      </x:c>
      <x:c r="I1544" s="66" t="n">
        <x:v>46131.588738425926</x:v>
      </x:c>
      <x:c r="J1544" s="65" t="str">
        <x:v>已结算</x:v>
      </x:c>
      <x:c r="K1544" s="65"/>
      <x:c r="L1544" s="65" t="str">
        <x:v>输</x:v>
      </x:c>
      <x:c r="M1544" s="65" t="str">
        <x:v>输</x:v>
      </x:c>
      <x:c r="N1544" s="67" t="n">
        <x:v>-1</x:v>
      </x:c>
      <x:c r="O1544" s="67" t="n">
        <x:v>-1</x:v>
      </x:c>
      <x:c r="P1544" s="67" t="n">
        <x:f>IF(COUNT(N1544:O1544)=0,"",SUM(N1544:O1544))</x:f>
        <x:v>-2</x:v>
      </x:c>
      <x:c r="Q1544" s="65"/>
      <x:c r="R1544" s="65" t="str">
        <x:v>比分4-1</x:v>
      </x:c>
    </x:row>
    <x:row r="1545" ht="38" customHeight="1">
      <x:c r="A1545" s="65" t="str">
        <x:f>IF(B1545="","",TEXT(B1545,"yyyy-mm-dd")&amp;"|"&amp;D1545&amp;"|"&amp;E1545)</x:f>
        <x:v>2026-04-19|阿德莱德联|麦克阿瑟FC</x:v>
      </x:c>
      <x:c r="B1545" s="66" t="n">
        <x:v>46131.5625</x:v>
      </x:c>
      <x:c r="C1545" s="65" t="str">
        <x:v>澳大利亚A联赛（A-League Men）</x:v>
      </x:c>
      <x:c r="D1545" s="65" t="str">
        <x:v>阿德莱德联</x:v>
      </x:c>
      <x:c r="E1545" s="65" t="str">
        <x:v>麦克阿瑟FC</x:v>
      </x:c>
      <x:c r="F1545" s="65" t="str">
        <x:v>阿德莱德联 -0.5（1.82）</x:v>
      </x:c>
      <x:c r="G1545" s="65" t="str">
        <x:v>大3.5（2.10）</x:v>
      </x:c>
      <x:c r="H1545" s="65" t="str">
        <x:v>阿德莱德联胜且大2.5（2.40，小注）</x:v>
      </x:c>
      <x:c r="I1545" s="66" t="n">
        <x:v>46131.568344907406</x:v>
      </x:c>
      <x:c r="J1545" s="65" t="str">
        <x:v>已结算</x:v>
      </x:c>
      <x:c r="K1545" s="65"/>
      <x:c r="L1545" s="65" t="str">
        <x:v>赢</x:v>
      </x:c>
      <x:c r="M1545" s="65" t="str">
        <x:v>赢</x:v>
      </x:c>
      <x:c r="N1545" s="67" t="n">
        <x:v>1</x:v>
      </x:c>
      <x:c r="O1545" s="67" t="n">
        <x:v>1</x:v>
      </x:c>
      <x:c r="P1545" s="67" t="n">
        <x:f>IF(COUNT(N1545:O1545)=0,"",SUM(N1545:O1545))</x:f>
        <x:v>2</x:v>
      </x:c>
      <x:c r="Q1545" s="65"/>
      <x:c r="R1545" s="65" t="str">
        <x:v>比分3-1</x:v>
      </x:c>
    </x:row>
    <x:row r="1546" ht="38" customHeight="1">
      <x:c r="A1546" s="65" t="str">
        <x:f>IF(B1546="","",TEXT(B1546,"yyyy-mm-dd")&amp;"|"&amp;D1546&amp;"|"&amp;E1546)</x:f>
        <x:v>2026-04-19|南墨尔本|欧克莱卡诺</x:v>
      </x:c>
      <x:c r="B1546" s="66" t="n">
        <x:v>46131.5625</x:v>
      </x:c>
      <x:c r="C1546" s="65" t="str">
        <x:v>澳大利亚 维多利亚州超级联赛1（VPL1）</x:v>
      </x:c>
      <x:c r="D1546" s="65" t="str">
        <x:v>南墨尔本</x:v>
      </x:c>
      <x:c r="E1546" s="65" t="str">
        <x:v>欧克莱卡诺</x:v>
      </x:c>
      <x:c r="F1546" s="65" t="str">
        <x:v>欧克莱卡诺 -0.25（1.85）</x:v>
      </x:c>
      <x:c r="G1546" s="65" t="str">
        <x:v>大2.75（1.83）</x:v>
      </x:c>
      <x:c r="H1546" s="65" t="str">
        <x:v>欧克莱卡诺 独赢（2.05，小注）</x:v>
      </x:c>
      <x:c r="I1546" s="66" t="n">
        <x:v>46131.53637731481</x:v>
      </x:c>
      <x:c r="J1546" s="65" t="str">
        <x:v>已结算</x:v>
      </x:c>
      <x:c r="K1546" s="65"/>
      <x:c r="L1546" s="65" t="str">
        <x:v>赢</x:v>
      </x:c>
      <x:c r="M1546" s="65" t="str">
        <x:v>赢半</x:v>
      </x:c>
      <x:c r="N1546" s="67" t="n">
        <x:v>1</x:v>
      </x:c>
      <x:c r="O1546" s="67" t="n">
        <x:v>0.5</x:v>
      </x:c>
      <x:c r="P1546" s="67" t="n">
        <x:f>IF(COUNT(N1546:O1546)=0,"",SUM(N1546:O1546))</x:f>
        <x:v>1.5</x:v>
      </x:c>
      <x:c r="Q1546" s="65"/>
      <x:c r="R1546" s="65" t="str">
        <x:v>比分0-3</x:v>
      </x:c>
    </x:row>
    <x:row r="1547" ht="38" customHeight="1">
      <x:c r="A1547" s="65" t="str">
        <x:f>IF(B1547="","",TEXT(B1547,"yyyy-mm-dd")&amp;"|"&amp;D1547&amp;"|"&amp;E1547)</x:f>
        <x:v>2026-04-19|沼津青蓝|润梅尔青森</x:v>
      </x:c>
      <x:c r="B1547" s="66" t="n">
        <x:v>46131.541666666664</x:v>
      </x:c>
      <x:c r="C1547" s="65" t="str">
        <x:v>日本JFL杯</x:v>
      </x:c>
      <x:c r="D1547" s="65" t="str">
        <x:v>沼津青蓝</x:v>
      </x:c>
      <x:c r="E1547" s="65" t="str">
        <x:v>润梅尔青森</x:v>
      </x:c>
      <x:c r="F1547" s="65" t="str">
        <x:v>沼津青蓝 -0.25（1.92）</x:v>
      </x:c>
      <x:c r="G1547" s="65" t="str">
        <x:v>小2（1.96）</x:v>
      </x:c>
      <x:c r="H1547" s="65" t="str">
        <x:v>平局（3.57，小注）</x:v>
      </x:c>
      <x:c r="I1547" s="66" t="n">
        <x:v>46131.56384259259</x:v>
      </x:c>
      <x:c r="J1547" s="65" t="str">
        <x:v>已结算</x:v>
      </x:c>
      <x:c r="K1547" s="65"/>
      <x:c r="L1547" s="65" t="str">
        <x:v>输</x:v>
      </x:c>
      <x:c r="M1547" s="65" t="str">
        <x:v>输</x:v>
      </x:c>
      <x:c r="N1547" s="67" t="n">
        <x:v>-1</x:v>
      </x:c>
      <x:c r="O1547" s="67" t="n">
        <x:v>-1</x:v>
      </x:c>
      <x:c r="P1547" s="67" t="n">
        <x:f>IF(COUNT(N1547:O1547)=0,"",SUM(N1547:O1547))</x:f>
        <x:v>-2</x:v>
      </x:c>
      <x:c r="Q1547" s="65"/>
      <x:c r="R1547" s="65" t="str">
        <x:v>比分0-4</x:v>
      </x:c>
    </x:row>
    <x:row r="1548" ht="38" customHeight="1">
      <x:c r="A1548" s="65" t="str">
        <x:f>IF(B1548="","",TEXT(B1548,"yyyy-mm-dd")&amp;"|"&amp;D1548&amp;"|"&amp;E1548)</x:f>
        <x:v>2026-04-19|秋田蓝色闪电|横滨FC</x:v>
      </x:c>
      <x:c r="B1548" s="66" t="n">
        <x:v>46131.5</x:v>
      </x:c>
      <x:c r="C1548" s="65" t="str">
        <x:v>日职 明治安田J2·J3百年构想联赛</x:v>
      </x:c>
      <x:c r="D1548" s="65" t="str">
        <x:v>秋田蓝色闪电</x:v>
      </x:c>
      <x:c r="E1548" s="65" t="str">
        <x:v>横滨FC</x:v>
      </x:c>
      <x:c r="F1548" s="65" t="str">
        <x:v>秋田蓝色闪电 平手（1.90）</x:v>
      </x:c>
      <x:c r="G1548" s="65" t="str">
        <x:v>小2（1.91）</x:v>
      </x:c>
      <x:c r="H1548" s="65" t="str">
        <x:v>秋田蓝色闪电 独赢（2.50，小注）</x:v>
      </x:c>
      <x:c r="I1548" s="66" t="n">
        <x:v>46131.51206018519</x:v>
      </x:c>
      <x:c r="J1548" s="65" t="str">
        <x:v>已结算</x:v>
      </x:c>
      <x:c r="K1548" s="65"/>
      <x:c r="L1548" s="65" t="str">
        <x:v>输</x:v>
      </x:c>
      <x:c r="M1548" s="65" t="str">
        <x:v>输</x:v>
      </x:c>
      <x:c r="N1548" s="67" t="n">
        <x:v>-1</x:v>
      </x:c>
      <x:c r="O1548" s="67" t="n">
        <x:v>-1</x:v>
      </x:c>
      <x:c r="P1548" s="67" t="n">
        <x:f>IF(COUNT(N1548:O1548)=0,"",SUM(N1548:O1548))</x:f>
        <x:v>-2</x:v>
      </x:c>
      <x:c r="Q1548" s="65"/>
      <x:c r="R1548" s="65" t="str">
        <x:v>比分1-3</x:v>
      </x:c>
    </x:row>
    <x:row r="1549" ht="38" customHeight="1">
      <x:c r="A1549" s="65" t="str">
        <x:f>IF(B1549="","",TEXT(B1549,"yyyy-mm-dd")&amp;"|"&amp;D1549&amp;"|"&amp;E1549)</x:f>
        <x:v>2026-04-19|水户蜀葵|柏太阳神</x:v>
      </x:c>
      <x:c r="B1549" s="66" t="n">
        <x:v>46131.5</x:v>
      </x:c>
      <x:c r="C1549" s="65" t="str">
        <x:v>日职联（J1 League）</x:v>
      </x:c>
      <x:c r="D1549" s="65" t="str">
        <x:v>水户蜀葵</x:v>
      </x:c>
      <x:c r="E1549" s="65" t="str">
        <x:v>柏太阳神</x:v>
      </x:c>
      <x:c r="F1549" s="65" t="str">
        <x:v>柏太阳神 -0.5（1.95）</x:v>
      </x:c>
      <x:c r="G1549" s="65" t="str">
        <x:v>小2.25（1.83）</x:v>
      </x:c>
      <x:c r="H1549" s="65" t="str">
        <x:v>两队均不进球（BTTS No，1.82，小注）</x:v>
      </x:c>
      <x:c r="I1549" s="66" t="n">
        <x:v>46131.50775462963</x:v>
      </x:c>
      <x:c r="J1549" s="65" t="str">
        <x:v>已结算</x:v>
      </x:c>
      <x:c r="K1549" s="65"/>
      <x:c r="L1549" s="65" t="str">
        <x:v>输</x:v>
      </x:c>
      <x:c r="M1549" s="65" t="str">
        <x:v>赢半</x:v>
      </x:c>
      <x:c r="N1549" s="67" t="n">
        <x:v>-1</x:v>
      </x:c>
      <x:c r="O1549" s="67" t="n">
        <x:v>0.5</x:v>
      </x:c>
      <x:c r="P1549" s="67" t="n">
        <x:f>IF(COUNT(N1549:O1549)=0,"",SUM(N1549:O1549))</x:f>
        <x:v>-0.5</x:v>
      </x:c>
      <x:c r="Q1549" s="65"/>
      <x:c r="R1549" s="65" t="str">
        <x:v>比分2-0</x:v>
      </x:c>
    </x:row>
    <x:row r="1550" ht="38" customHeight="1">
      <x:c r="A1550" s="65" t="str">
        <x:f>IF(B1550="","",TEXT(B1550,"yyyy-mm-dd")&amp;"|"&amp;D1550&amp;"|"&amp;E1550)</x:f>
        <x:v>2026-04-19|墨西哥美洲|托卢卡</x:v>
      </x:c>
      <x:c r="B1550" s="66" t="n">
        <x:v>46131.46527777778</x:v>
      </x:c>
      <x:c r="C1550" s="65" t="str">
        <x:v>墨西哥超（Liga MX，Clausura）</x:v>
      </x:c>
      <x:c r="D1550" s="65" t="str">
        <x:v>墨西哥美洲</x:v>
      </x:c>
      <x:c r="E1550" s="65" t="str">
        <x:v>托卢卡</x:v>
      </x:c>
      <x:c r="F1550" s="65" t="str">
        <x:v>托卢卡 平手（DNB，1.80）</x:v>
      </x:c>
      <x:c r="G1550" s="65" t="str">
        <x:v>小2.5（1.88）</x:v>
      </x:c>
      <x:c r="H1550" s="65" t="str">
        <x:v>托卢卡独赢（2.50，小注）</x:v>
      </x:c>
      <x:c r="I1550" s="66" t="n">
        <x:v>46131.50195601852</x:v>
      </x:c>
      <x:c r="J1550" s="65" t="str">
        <x:v>已结算</x:v>
      </x:c>
      <x:c r="K1550" s="65"/>
      <x:c r="L1550" s="65" t="str">
        <x:v>输</x:v>
      </x:c>
      <x:c r="M1550" s="65" t="str">
        <x:v>输</x:v>
      </x:c>
      <x:c r="N1550" s="67" t="n">
        <x:v>-1</x:v>
      </x:c>
      <x:c r="O1550" s="67" t="n">
        <x:v>-1</x:v>
      </x:c>
      <x:c r="P1550" s="67" t="n">
        <x:f>IF(COUNT(N1550:O1550)=0,"",SUM(N1550:O1550))</x:f>
        <x:v>-2</x:v>
      </x:c>
      <x:c r="Q1550" s="65"/>
      <x:c r="R1550" s="65" t="str">
        <x:v>比分2-1</x:v>
      </x:c>
    </x:row>
    <x:row r="1551" ht="38" customHeight="1">
      <x:c r="A1551" s="65" t="str">
        <x:f>IF(B1551="","",TEXT(B1551,"yyyy-mm-dd")&amp;"|"&amp;D1551&amp;"|"&amp;E1551)</x:f>
        <x:v>2026-04-19|莱昂|华雷斯</x:v>
      </x:c>
      <x:c r="B1551" s="66" t="n">
        <x:v>46131.4625</x:v>
      </x:c>
      <x:c r="C1551" s="65" t="str">
        <x:v>墨西哥超（Liga MX，Clausura）</x:v>
      </x:c>
      <x:c r="D1551" s="65" t="str">
        <x:v>莱昂</x:v>
      </x:c>
      <x:c r="E1551" s="65" t="str">
        <x:v>华雷斯</x:v>
      </x:c>
      <x:c r="F1551" s="65" t="str">
        <x:v>莱昂 -0.25（1.85）</x:v>
      </x:c>
      <x:c r="G1551" s="65" t="str">
        <x:v>小2.75（2.03）</x:v>
      </x:c>
      <x:c r="H1551" s="65" t="str">
        <x:v>莱昂独赢（2.20，小注）</x:v>
      </x:c>
      <x:c r="I1551" s="66" t="n">
        <x:v>46131.43454861111</x:v>
      </x:c>
      <x:c r="J1551" s="65" t="str">
        <x:v>已结算</x:v>
      </x:c>
      <x:c r="K1551" s="65"/>
      <x:c r="L1551" s="65" t="str">
        <x:v>赢</x:v>
      </x:c>
      <x:c r="M1551" s="65" t="str">
        <x:v>输</x:v>
      </x:c>
      <x:c r="N1551" s="67" t="n">
        <x:v>1</x:v>
      </x:c>
      <x:c r="O1551" s="67" t="n">
        <x:v>-1</x:v>
      </x:c>
      <x:c r="P1551" s="67" t="n">
        <x:f>IF(COUNT(N1551:O1551)=0,"",SUM(N1551:O1551))</x:f>
        <x:v>0</x:v>
      </x:c>
      <x:c r="Q1551" s="65"/>
      <x:c r="R1551" s="65" t="str">
        <x:v>比分3-1</x:v>
      </x:c>
    </x:row>
    <x:row r="1552" ht="38" customHeight="1">
      <x:c r="A1552" s="65" t="str">
        <x:f>IF(B1552="","",TEXT(B1552,"yyyy-mm-dd")&amp;"|"&amp;D1552&amp;"|"&amp;E1552)</x:f>
        <x:v>2026-04-19|奥克兰FC|中央海岸水手</x:v>
      </x:c>
      <x:c r="B1552" s="66" t="n">
        <x:v>46131.458333333336</x:v>
      </x:c>
      <x:c r="C1552" s="65" t="str">
        <x:v>澳大利亚A联赛（A-League Men）</x:v>
      </x:c>
      <x:c r="D1552" s="65" t="str">
        <x:v>奥克兰FC</x:v>
      </x:c>
      <x:c r="E1552" s="65" t="str">
        <x:v>中央海岸水手</x:v>
      </x:c>
      <x:c r="F1552" s="65" t="str">
        <x:v>奥克兰FC -1（2.10）</x:v>
      </x:c>
      <x:c r="G1552" s="65" t="str">
        <x:v>大3.5（1.91）</x:v>
      </x:c>
      <x:c r="H1552" s="65" t="str">
        <x:v>奥克兰FC -1.5（2.00，小注）</x:v>
      </x:c>
      <x:c r="I1552" s="66" t="n">
        <x:v>46131.41496527778</x:v>
      </x:c>
      <x:c r="J1552" s="65" t="str">
        <x:v>已结算</x:v>
      </x:c>
      <x:c r="K1552" s="65"/>
      <x:c r="L1552" s="65" t="str">
        <x:v>输</x:v>
      </x:c>
      <x:c r="M1552" s="65" t="str">
        <x:v>输</x:v>
      </x:c>
      <x:c r="N1552" s="67" t="n">
        <x:v>-1</x:v>
      </x:c>
      <x:c r="O1552" s="67" t="n">
        <x:v>-1</x:v>
      </x:c>
      <x:c r="P1552" s="67" t="n">
        <x:f>IF(COUNT(N1552:O1552)=0,"",SUM(N1552:O1552))</x:f>
        <x:v>-2</x:v>
      </x:c>
      <x:c r="Q1552" s="65"/>
      <x:c r="R1552" s="65" t="str">
        <x:v>比分0-1</x:v>
      </x:c>
    </x:row>
    <x:row r="1553" ht="38" customHeight="1">
      <x:c r="A1553" s="65" t="str">
        <x:f>IF(B1553="","",TEXT(B1553,"yyyy-mm-dd")&amp;"|"&amp;D1553&amp;"|"&amp;E1553)</x:f>
        <x:v>2026-04-19|内卡萨|老虎大学</x:v>
      </x:c>
      <x:c r="B1553" s="66" t="n">
        <x:v>46131.416666666664</x:v>
      </x:c>
      <x:c r="C1553" s="65" t="str">
        <x:v>墨西哥超（Liga MX，Clausura）</x:v>
      </x:c>
      <x:c r="D1553" s="65" t="str">
        <x:v>内卡萨</x:v>
      </x:c>
      <x:c r="E1553" s="65" t="str">
        <x:v>老虎大学</x:v>
      </x:c>
      <x:c r="F1553" s="65" t="str">
        <x:v>老虎大学 -0/0.5（-0.25）</x:v>
      </x:c>
      <x:c r="G1553" s="65" t="str">
        <x:v>小 2/2.5（2.25）</x:v>
      </x:c>
      <x:c r="H1553" s="65" t="str">
        <x:v>可选：老虎大学 平手（0）</x:v>
      </x:c>
      <x:c r="I1553" s="66" t="n">
        <x:v>46131.27998842593</x:v>
      </x:c>
      <x:c r="J1553" s="65" t="str">
        <x:v>已结算</x:v>
      </x:c>
      <x:c r="K1553" s="65"/>
      <x:c r="L1553" s="65" t="str">
        <x:v>输半</x:v>
      </x:c>
      <x:c r="M1553" s="65" t="str">
        <x:v>赢半</x:v>
      </x:c>
      <x:c r="N1553" s="67" t="n">
        <x:v>-0.5</x:v>
      </x:c>
      <x:c r="O1553" s="67" t="n">
        <x:v>0.5</x:v>
      </x:c>
      <x:c r="P1553" s="67" t="n">
        <x:f>IF(COUNT(N1553:O1553)=0,"",SUM(N1553:O1553))</x:f>
        <x:v>0</x:v>
      </x:c>
      <x:c r="Q1553" s="65"/>
      <x:c r="R1553" s="65" t="str">
        <x:v>比分1-1</x:v>
      </x:c>
    </x:row>
    <x:row r="1554" ht="38" customHeight="1">
      <x:c r="A1554" s="65" t="str">
        <x:f>IF(B1554="","",TEXT(B1554,"yyyy-mm-dd")&amp;"|"&amp;D1554&amp;"|"&amp;E1554)</x:f>
        <x:v>2026-04-19|西雅图海湾人|圣路易斯城</x:v>
      </x:c>
      <x:c r="B1554" s="66" t="n">
        <x:v>46131.395833333336</x:v>
      </x:c>
      <x:c r="C1554" s="65" t="str">
        <x:v>美职联（MLS）</x:v>
      </x:c>
      <x:c r="D1554" s="65" t="str">
        <x:v>西雅图海湾人</x:v>
      </x:c>
      <x:c r="E1554" s="65" t="str">
        <x:v>圣路易斯城</x:v>
      </x:c>
      <x:c r="F1554" s="65" t="str">
        <x:v>西雅图海湾人 -0.25（1.83）</x:v>
      </x:c>
      <x:c r="G1554" s="65" t="str">
        <x:v>小2.75（1.92）</x:v>
      </x:c>
      <x:c r="H1554" s="65" t="str">
        <x:v>两队均不进球（BTTS No，2.10，小注）</x:v>
      </x:c>
      <x:c r="I1554" s="66" t="n">
        <x:v>46131.40096064815</x:v>
      </x:c>
      <x:c r="J1554" s="65" t="str">
        <x:v>已结算</x:v>
      </x:c>
      <x:c r="K1554" s="65"/>
      <x:c r="L1554" s="65" t="str">
        <x:v>赢</x:v>
      </x:c>
      <x:c r="M1554" s="65" t="str">
        <x:v>输</x:v>
      </x:c>
      <x:c r="N1554" s="67" t="n">
        <x:v>1</x:v>
      </x:c>
      <x:c r="O1554" s="67" t="n">
        <x:v>-1</x:v>
      </x:c>
      <x:c r="P1554" s="67" t="n">
        <x:f>IF(COUNT(N1554:O1554)=0,"",SUM(N1554:O1554))</x:f>
        <x:v>0</x:v>
      </x:c>
      <x:c r="Q1554" s="65"/>
      <x:c r="R1554" s="65" t="str">
        <x:v>比分4-1</x:v>
      </x:c>
    </x:row>
    <x:row r="1555" ht="38" customHeight="1">
      <x:c r="A1555" s="65" t="str">
        <x:f>IF(B1555="","",TEXT(B1555,"yyyy-mm-dd")&amp;"|"&amp;D1555&amp;"|"&amp;E1555)</x:f>
        <x:v>2026-04-19|福塔雷绍查（Fortaleza CEIF）|里奥内格罗老鹰（Águilas Doradas）</x:v>
      </x:c>
      <x:c r="B1555" s="66" t="n">
        <x:v>46131.395833333336</x:v>
      </x:c>
      <x:c r="C1555" s="65" t="str">
        <x:v>哥伦比亚甲级联赛（Liga BetPlay DIMAYOR）</x:v>
      </x:c>
      <x:c r="D1555" s="65" t="str">
        <x:v>福塔雷绍查（Fortaleza CEIF）</x:v>
      </x:c>
      <x:c r="E1555" s="65" t="str">
        <x:v>里奥内格罗老鹰（Águilas Doradas）</x:v>
      </x:c>
      <x:c r="F1555" s="65" t="str">
        <x:v>里奥内格罗老鹰（Águilas Doradas）+0.5</x:v>
      </x:c>
      <x:c r="G1555" s="65" t="str">
        <x:v>大2.25</x:v>
      </x:c>
      <x:c r="H1555" s="65" t="str">
        <x:v>两队进球（是）</x:v>
      </x:c>
      <x:c r="I1555" s="66" t="n">
        <x:v>46131.33725694445</x:v>
      </x:c>
      <x:c r="J1555" s="65" t="str">
        <x:v>已结算</x:v>
      </x:c>
      <x:c r="K1555" s="65"/>
      <x:c r="L1555" s="65" t="str">
        <x:v>输</x:v>
      </x:c>
      <x:c r="M1555" s="65" t="str">
        <x:v>输半</x:v>
      </x:c>
      <x:c r="N1555" s="67" t="n">
        <x:v>-1</x:v>
      </x:c>
      <x:c r="O1555" s="67" t="n">
        <x:v>-0.5</x:v>
      </x:c>
      <x:c r="P1555" s="67" t="n">
        <x:f>IF(COUNT(N1555:O1555)=0,"",SUM(N1555:O1555))</x:f>
        <x:v>-1.5</x:v>
      </x:c>
      <x:c r="Q1555" s="65"/>
      <x:c r="R1555" s="65" t="str">
        <x:v>比分2-0</x:v>
      </x:c>
    </x:row>
    <x:row r="1556" ht="38" customHeight="1">
      <x:c r="A1556" s="65" t="str">
        <x:f>IF(B1556="","",TEXT(B1556,"yyyy-mm-dd")&amp;"|"&amp;D1556&amp;"|"&amp;E1556)</x:f>
        <x:v>2026-04-19|阿根廷青年人|图库曼竞技</x:v>
      </x:c>
      <x:c r="B1556" s="66" t="n">
        <x:v>46131.364583333336</x:v>
      </x:c>
      <x:c r="C1556" s="65" t="str">
        <x:v>阿根廷职业联赛（Liga Profesional·Apertura）</x:v>
      </x:c>
      <x:c r="D1556" s="65" t="str">
        <x:v>阿根廷青年人</x:v>
      </x:c>
      <x:c r="E1556" s="65" t="str">
        <x:v>图库曼竞技</x:v>
      </x:c>
      <x:c r="F1556" s="65" t="str">
        <x:v>阿根廷青年人 -0.75（1.86）</x:v>
      </x:c>
      <x:c r="G1556" s="65" t="str">
        <x:v>小2（2.10）</x:v>
      </x:c>
      <x:c r="H1556" s="65" t="str">
        <x:v>阿根廷青年人 -1（2.22，小注）</x:v>
      </x:c>
      <x:c r="I1556" s="66" t="n">
        <x:v>46131.37378472222</x:v>
      </x:c>
      <x:c r="J1556" s="65" t="str">
        <x:v>已结算</x:v>
      </x:c>
      <x:c r="K1556" s="65"/>
      <x:c r="L1556" s="65" t="str">
        <x:v>赢半</x:v>
      </x:c>
      <x:c r="M1556" s="65" t="str">
        <x:v>赢</x:v>
      </x:c>
      <x:c r="N1556" s="67" t="n">
        <x:v>0.5</x:v>
      </x:c>
      <x:c r="O1556" s="67" t="n">
        <x:v>1</x:v>
      </x:c>
      <x:c r="P1556" s="67" t="n">
        <x:f>IF(COUNT(N1556:O1556)=0,"",SUM(N1556:O1556))</x:f>
        <x:v>1.5</x:v>
      </x:c>
      <x:c r="Q1556" s="65"/>
      <x:c r="R1556" s="65" t="str">
        <x:v>比分1-0</x:v>
      </x:c>
    </x:row>
    <x:row r="1557" ht="38" customHeight="1">
      <x:c r="A1557" s="65" t="str">
        <x:f>IF(B1557="","",TEXT(B1557,"yyyy-mm-dd")&amp;"|"&amp;D1557&amp;"|"&amp;E1557)</x:f>
        <x:v>2026-04-19|阿根廷独立|国防与司法</x:v>
      </x:c>
      <x:c r="B1557" s="66" t="n">
        <x:v>46131.354166666664</x:v>
      </x:c>
      <x:c r="C1557" s="65" t="str">
        <x:v>阿根廷职业联赛（Liga Profesional·Apertura）</x:v>
      </x:c>
      <x:c r="D1557" s="65" t="str">
        <x:v>阿根廷独立</x:v>
      </x:c>
      <x:c r="E1557" s="65" t="str">
        <x:v>国防与司法</x:v>
      </x:c>
      <x:c r="F1557" s="65" t="str">
        <x:v>国防与司法 +0/0.5（+0.25）</x:v>
      </x:c>
      <x:c r="G1557" s="65" t="str">
        <x:v>小 2/2.5（2.25）</x:v>
      </x:c>
      <x:c r="H1557" s="65" t="str">
        <x:v>可选：国防与司法 平手（0）</x:v>
      </x:c>
      <x:c r="I1557" s="66" t="n">
        <x:v>46131.24501157407</x:v>
      </x:c>
      <x:c r="J1557" s="65" t="str">
        <x:v>已结算</x:v>
      </x:c>
      <x:c r="K1557" s="65"/>
      <x:c r="L1557" s="65" t="str">
        <x:v>输</x:v>
      </x:c>
      <x:c r="M1557" s="65" t="str">
        <x:v>输</x:v>
      </x:c>
      <x:c r="N1557" s="67" t="n">
        <x:v>-1</x:v>
      </x:c>
      <x:c r="O1557" s="67" t="n">
        <x:v>-1</x:v>
      </x:c>
      <x:c r="P1557" s="67" t="n">
        <x:f>IF(COUNT(N1557:O1557)=0,"",SUM(N1557:O1557))</x:f>
        <x:v>-2</x:v>
      </x:c>
      <x:c r="Q1557" s="65"/>
      <x:c r="R1557" s="65" t="str">
        <x:v>比分3-1</x:v>
      </x:c>
    </x:row>
    <x:row r="1558" ht="38" customHeight="1">
      <x:c r="A1558" s="65" t="str">
        <x:f>IF(B1558="","",TEXT(B1558,"yyyy-mm-dd")&amp;"|"&amp;D1558&amp;"|"&amp;E1558)</x:f>
        <x:v>2026-04-19|托利马体育（Deportes Tolima）|佩雷拉体育（Deportivo Pereira）</x:v>
      </x:c>
      <x:c r="B1558" s="66" t="n">
        <x:v>46131.29861111111</x:v>
      </x:c>
      <x:c r="C1558" s="65" t="str">
        <x:v>哥伦比亚甲级联赛（Liga BetPlay DIMAYOR）</x:v>
      </x:c>
      <x:c r="D1558" s="65" t="str">
        <x:v>托利马体育（Deportes Tolima）</x:v>
      </x:c>
      <x:c r="E1558" s="65" t="str">
        <x:v>佩雷拉体育（Deportivo Pereira）</x:v>
      </x:c>
      <x:c r="F1558" s="65" t="str">
        <x:v>佩雷拉体育（Deportivo Pereira）+1.5</x:v>
      </x:c>
      <x:c r="G1558" s="65" t="str">
        <x:v>小2.5</x:v>
      </x:c>
      <x:c r="H1558" s="65" t="str">
        <x:v>激进可选：比分1-0</x:v>
      </x:c>
      <x:c r="I1558" s="66" t="n">
        <x:v>46131.29951388889</x:v>
      </x:c>
      <x:c r="J1558" s="65" t="str">
        <x:v>已结算</x:v>
      </x:c>
      <x:c r="K1558" s="65"/>
      <x:c r="L1558" s="65" t="str">
        <x:v>输</x:v>
      </x:c>
      <x:c r="M1558" s="65" t="str">
        <x:v>赢</x:v>
      </x:c>
      <x:c r="N1558" s="67" t="n">
        <x:v>-1</x:v>
      </x:c>
      <x:c r="O1558" s="67" t="n">
        <x:v>1</x:v>
      </x:c>
      <x:c r="P1558" s="67" t="n">
        <x:f>IF(COUNT(N1558:O1558)=0,"",SUM(N1558:O1558))</x:f>
        <x:v>0</x:v>
      </x:c>
      <x:c r="Q1558" s="65"/>
      <x:c r="R1558" s="65" t="str">
        <x:v>比分2-0</x:v>
      </x:c>
    </x:row>
    <x:row r="1559" ht="38" customHeight="1">
      <x:c r="A1559" s="65" t="str">
        <x:f>IF(B1559="","",TEXT(B1559,"yyyy-mm-dd")&amp;"|"&amp;D1559&amp;"|"&amp;E1559)</x:f>
        <x:v>2026-04-19|阿根廷独立|国防与司法（Defensa y Justicia）</x:v>
      </x:c>
      <x:c r="B1559" s="66" t="n">
        <x:v>46131.270833333336</x:v>
      </x:c>
      <x:c r="C1559" s="65" t="str">
        <x:v>阿根廷职业联赛（Liga Profesional·Apertura）</x:v>
      </x:c>
      <x:c r="D1559" s="65" t="str">
        <x:v>阿根廷独立</x:v>
      </x:c>
      <x:c r="E1559" s="65" t="str">
        <x:v>国防与司法（Defensa y Justicia）</x:v>
      </x:c>
      <x:c r="F1559" s="65" t="str">
        <x:v>国防与司法（Defensa y Justicia）+0.75</x:v>
      </x:c>
      <x:c r="G1559" s="65" t="str">
        <x:v>大2.5</x:v>
      </x:c>
      <x:c r="H1559" s="65" t="str">
        <x:v>两队进球（是）</x:v>
      </x:c>
      <x:c r="I1559" s="66" t="n">
        <x:v>46131.28923611111</x:v>
      </x:c>
      <x:c r="J1559" s="65" t="str">
        <x:v>已结算</x:v>
      </x:c>
      <x:c r="K1559" s="65"/>
      <x:c r="L1559" s="65" t="str">
        <x:v>输</x:v>
      </x:c>
      <x:c r="M1559" s="65" t="str">
        <x:v>赢</x:v>
      </x:c>
      <x:c r="N1559" s="67" t="n">
        <x:v>-1</x:v>
      </x:c>
      <x:c r="O1559" s="67" t="n">
        <x:v>1</x:v>
      </x:c>
      <x:c r="P1559" s="67" t="n">
        <x:f>IF(COUNT(N1559:O1559)=0,"",SUM(N1559:O1559))</x:f>
        <x:v>0</x:v>
      </x:c>
      <x:c r="Q1559" s="65"/>
      <x:c r="R1559" s="65" t="str">
        <x:v>比分3-1</x:v>
      </x:c>
    </x:row>
    <x:row r="1560" ht="38" customHeight="1">
      <x:c r="A1560" s="65" t="str">
        <x:f>IF(B1560="","",TEXT(B1560,"yyyy-mm-dd")&amp;"|"&amp;D1560&amp;"|"&amp;E1560)</x:f>
        <x:v>2026-04-19|沙佩科恩斯|博塔弗戈RJ</x:v>
      </x:c>
      <x:c r="B1560" s="66" t="n">
        <x:v>46131.25</x:v>
      </x:c>
      <x:c r="C1560" s="65" t="str">
        <x:v>巴西甲（Serie A）</x:v>
      </x:c>
      <x:c r="D1560" s="65" t="str">
        <x:v>沙佩科恩斯</x:v>
      </x:c>
      <x:c r="E1560" s="65" t="str">
        <x:v>博塔弗戈RJ</x:v>
      </x:c>
      <x:c r="F1560" s="65" t="str">
        <x:v>博塔弗戈RJ -0/0.5（-0.25）</x:v>
      </x:c>
      <x:c r="G1560" s="65" t="str">
        <x:v>小 2/2.5（2.25）</x:v>
      </x:c>
      <x:c r="H1560" s="65" t="str">
        <x:v>可选：博塔弗戈 平手（0）</x:v>
      </x:c>
      <x:c r="I1560" s="66" t="n">
        <x:v>46131.23210648148</x:v>
      </x:c>
      <x:c r="J1560" s="65" t="str">
        <x:v>已结算</x:v>
      </x:c>
      <x:c r="K1560" s="65"/>
      <x:c r="L1560" s="65" t="str">
        <x:v>赢</x:v>
      </x:c>
      <x:c r="M1560" s="65" t="str">
        <x:v>输</x:v>
      </x:c>
      <x:c r="N1560" s="67" t="n">
        <x:v>1</x:v>
      </x:c>
      <x:c r="O1560" s="67" t="n">
        <x:v>-1</x:v>
      </x:c>
      <x:c r="P1560" s="67" t="n">
        <x:f>IF(COUNT(N1560:O1560)=0,"",SUM(N1560:O1560))</x:f>
        <x:v>0</x:v>
      </x:c>
      <x:c r="Q1560" s="65"/>
      <x:c r="R1560" s="65" t="str">
        <x:v>比分1-4</x:v>
      </x:c>
    </x:row>
    <x:row r="1561" ht="38" customHeight="1">
      <x:c r="A1561" s="65" t="str">
        <x:f>IF(B1561="","",TEXT(B1561,"yyyy-mm-dd")&amp;"|"&amp;D1561&amp;"|"&amp;E1561)</x:f>
        <x:v>2026-04-19|切尔西|曼彻斯特联</x:v>
      </x:c>
      <x:c r="B1561" s="66" t="n">
        <x:v>46131.125</x:v>
      </x:c>
      <x:c r="C1561" s="65" t="str">
        <x:v>英格兰超级联赛（Premier League）</x:v>
      </x:c>
      <x:c r="D1561" s="65" t="str">
        <x:v>切尔西</x:v>
      </x:c>
      <x:c r="E1561" s="65" t="str">
        <x:v>曼彻斯特联</x:v>
      </x:c>
      <x:c r="F1561" s="65" t="str">
        <x:v>曼彻斯特联 +0/0.5（+0.25）</x:v>
      </x:c>
      <x:c r="G1561" s="65" t="str">
        <x:v>大 2.5</x:v>
      </x:c>
      <x:c r="H1561" s="65" t="str">
        <x:v>可选：曼彻斯特联 平手（0）（仅限临场仍有0.8以上水位）</x:v>
      </x:c>
      <x:c r="I1561" s="66" t="n">
        <x:v>46130.99851851852</x:v>
      </x:c>
      <x:c r="J1561" s="65" t="str">
        <x:v>已结算</x:v>
      </x:c>
      <x:c r="K1561" s="65"/>
      <x:c r="L1561" s="65" t="str">
        <x:v>赢</x:v>
      </x:c>
      <x:c r="M1561" s="65" t="str">
        <x:v>输</x:v>
      </x:c>
      <x:c r="N1561" s="67" t="n">
        <x:v>1</x:v>
      </x:c>
      <x:c r="O1561" s="67" t="n">
        <x:v>-1</x:v>
      </x:c>
      <x:c r="P1561" s="67" t="n">
        <x:f>IF(COUNT(N1561:O1561)=0,"",SUM(N1561:O1561))</x:f>
        <x:v>0</x:v>
      </x:c>
      <x:c r="Q1561" s="65"/>
      <x:c r="R1561" s="65" t="str">
        <x:v>比分0-1</x:v>
      </x:c>
    </x:row>
    <x:row r="1562" ht="38" customHeight="1">
      <x:c r="A1562" s="65" t="str">
        <x:f>IF(B1562="","",TEXT(B1562,"yyyy-mm-dd")&amp;"|"&amp;D1562&amp;"|"&amp;E1562)</x:f>
        <x:v>2026-04-19|托特纳姆热刺|布莱顿</x:v>
      </x:c>
      <x:c r="B1562" s="66" t="n">
        <x:v>46131.020833333336</x:v>
      </x:c>
      <x:c r="C1562" s="65" t="str">
        <x:v>英格兰超级联赛（Premier League）</x:v>
      </x:c>
      <x:c r="D1562" s="65" t="str">
        <x:v>托特纳姆热刺</x:v>
      </x:c>
      <x:c r="E1562" s="65" t="str">
        <x:v>布莱顿</x:v>
      </x:c>
      <x:c r="F1562" s="65" t="str">
        <x:v>布莱顿 -0/0.5（-0.25）</x:v>
      </x:c>
      <x:c r="G1562" s="65" t="str">
        <x:v>小 2.5</x:v>
      </x:c>
      <x:c r="H1562" s="65" t="str">
        <x:v>可选：布莱顿 独赢</x:v>
      </x:c>
      <x:c r="I1562" s="66" t="n">
        <x:v>46131.34013888889</x:v>
      </x:c>
      <x:c r="J1562" s="65" t="str">
        <x:v>已结算</x:v>
      </x:c>
      <x:c r="K1562" s="65"/>
      <x:c r="L1562" s="65" t="str">
        <x:v>输半</x:v>
      </x:c>
      <x:c r="M1562" s="65" t="str">
        <x:v>输</x:v>
      </x:c>
      <x:c r="N1562" s="67" t="n">
        <x:v>-0.5</x:v>
      </x:c>
      <x:c r="O1562" s="67" t="n">
        <x:v>-1</x:v>
      </x:c>
      <x:c r="P1562" s="67" t="n">
        <x:f>IF(COUNT(N1562:O1562)=0,"",SUM(N1562:O1562))</x:f>
        <x:v>-1.5</x:v>
      </x:c>
      <x:c r="Q1562" s="65"/>
      <x:c r="R1562" s="65" t="str">
        <x:v>比分2-2</x:v>
      </x:c>
    </x:row>
    <x:row r="1563" ht="38" customHeight="1">
      <x:c r="A1563" s="65" t="str">
        <x:f>IF(B1563="","",TEXT(B1563,"yyyy-mm-dd")&amp;"|"&amp;D1563&amp;"|"&amp;E1563)</x:f>
        <x:v>2026-04-19|那不勒斯|拉齐奥</x:v>
      </x:c>
      <x:c r="B1563" s="66" t="n">
        <x:v>46131</x:v>
      </x:c>
      <x:c r="C1563" s="65" t="str">
        <x:v>意大利甲级联赛（Serie A）</x:v>
      </x:c>
      <x:c r="D1563" s="65" t="str">
        <x:v>那不勒斯</x:v>
      </x:c>
      <x:c r="E1563" s="65" t="str">
        <x:v>拉齐奥</x:v>
      </x:c>
      <x:c r="F1563" s="65" t="str">
        <x:v>那不勒斯 -1</x:v>
      </x:c>
      <x:c r="G1563" s="65" t="str">
        <x:v>大 2.5</x:v>
      </x:c>
      <x:c r="H1563" s="65" t="str">
        <x:v>可选：那不勒斯 -0.75（若临场还能拿到0.8以上水位）</x:v>
      </x:c>
      <x:c r="I1563" s="66" t="n">
        <x:v>46130.97739583333</x:v>
      </x:c>
      <x:c r="J1563" s="65" t="str">
        <x:v>已结算</x:v>
      </x:c>
      <x:c r="K1563" s="65"/>
      <x:c r="L1563" s="65" t="str">
        <x:v>输</x:v>
      </x:c>
      <x:c r="M1563" s="65" t="str">
        <x:v>输</x:v>
      </x:c>
      <x:c r="N1563" s="67" t="n">
        <x:v>-1</x:v>
      </x:c>
      <x:c r="O1563" s="67" t="n">
        <x:v>-1</x:v>
      </x:c>
      <x:c r="P1563" s="67" t="n">
        <x:f>IF(COUNT(N1563:O1563)=0,"",SUM(N1563:O1563))</x:f>
        <x:v>-2</x:v>
      </x:c>
      <x:c r="Q1563" s="65"/>
      <x:c r="R1563" s="65" t="str">
        <x:v>比分0-2</x:v>
      </x:c>
    </x:row>
    <x:row r="1564" ht="38" customHeight="1">
      <x:c r="A1564" s="65" t="str">
        <x:f>IF(B1564="","",TEXT(B1564,"yyyy-mm-dd")&amp;"|"&amp;D1564&amp;"|"&amp;E1564)</x:f>
        <x:v>2026-04-18|普雷斯顿|西布罗姆维奇</x:v>
      </x:c>
      <x:c r="B1564" s="66" t="n">
        <x:v>46130.916666666664</x:v>
      </x:c>
      <x:c r="C1564" s="65" t="str">
        <x:v>英格兰冠军联赛（英冠）</x:v>
      </x:c>
      <x:c r="D1564" s="65" t="str">
        <x:v>普雷斯顿</x:v>
      </x:c>
      <x:c r="E1564" s="65" t="str">
        <x:v>西布罗姆维奇</x:v>
      </x:c>
      <x:c r="F1564" s="65" t="str">
        <x:v>普雷斯顿 +0/0.5（+0.25）</x:v>
      </x:c>
      <x:c r="G1564" s="65" t="str">
        <x:v>小 2/2.5（2.25）</x:v>
      </x:c>
      <x:c r="H1564" s="65" t="str">
        <x:v>可选：普雷斯顿 平手（0）</x:v>
      </x:c>
      <x:c r="I1564" s="66" t="n">
        <x:v>46130.92710648148</x:v>
      </x:c>
      <x:c r="J1564" s="65" t="str">
        <x:v>已结算</x:v>
      </x:c>
      <x:c r="K1564" s="65"/>
      <x:c r="L1564" s="65" t="str">
        <x:v>输</x:v>
      </x:c>
      <x:c r="M1564" s="65" t="str">
        <x:v>赢半</x:v>
      </x:c>
      <x:c r="N1564" s="67" t="n">
        <x:v>-1</x:v>
      </x:c>
      <x:c r="O1564" s="67" t="n">
        <x:v>0.5</x:v>
      </x:c>
      <x:c r="P1564" s="67" t="n">
        <x:f>IF(COUNT(N1564:O1564)=0,"",SUM(N1564:O1564))</x:f>
        <x:v>-0.5</x:v>
      </x:c>
      <x:c r="Q1564" s="65"/>
      <x:c r="R1564" s="65" t="str">
        <x:v>比分0-2</x:v>
      </x:c>
    </x:row>
    <x:row r="1565" ht="38" customHeight="1">
      <x:c r="A1565" s="65" t="str">
        <x:f>IF(B1565="","",TEXT(B1565,"yyyy-mm-dd")&amp;"|"&amp;D1565&amp;"|"&amp;E1565)</x:f>
        <x:v>2026-04-18|乌迪内斯|帕尔马</x:v>
      </x:c>
      <x:c r="B1565" s="66" t="n">
        <x:v>46130.875</x:v>
      </x:c>
      <x:c r="C1565" s="65" t="str">
        <x:v>意大利甲级联赛（Serie A）</x:v>
      </x:c>
      <x:c r="D1565" s="65" t="str">
        <x:v>乌迪内斯</x:v>
      </x:c>
      <x:c r="E1565" s="65" t="str">
        <x:v>帕尔马</x:v>
      </x:c>
      <x:c r="F1565" s="65" t="str">
        <x:v>帕尔马 +0/0.5（+0.25）</x:v>
      </x:c>
      <x:c r="G1565" s="65" t="str">
        <x:v>小 2/2.5（2.25）</x:v>
      </x:c>
      <x:c r="H1565" s="65" t="str">
        <x:v>可选：帕尔马 平手（0）</x:v>
      </x:c>
      <x:c r="I1565" s="66" t="n">
        <x:v>46130.872824074075</x:v>
      </x:c>
      <x:c r="J1565" s="65" t="str">
        <x:v>已结算</x:v>
      </x:c>
      <x:c r="K1565" s="65"/>
      <x:c r="L1565" s="65" t="str">
        <x:v>赢</x:v>
      </x:c>
      <x:c r="M1565" s="65" t="str">
        <x:v>赢</x:v>
      </x:c>
      <x:c r="N1565" s="67" t="n">
        <x:v>1</x:v>
      </x:c>
      <x:c r="O1565" s="67" t="n">
        <x:v>1</x:v>
      </x:c>
      <x:c r="P1565" s="67" t="n">
        <x:f>IF(COUNT(N1565:O1565)=0,"",SUM(N1565:O1565))</x:f>
        <x:v>2</x:v>
      </x:c>
      <x:c r="Q1565" s="65"/>
      <x:c r="R1565" s="65" t="str">
        <x:v>比分0-1</x:v>
      </x:c>
    </x:row>
    <x:row r="1566" ht="38" customHeight="1">
      <x:c r="A1566" s="65" t="str">
        <x:f>IF(B1566="","",TEXT(B1566,"yyyy-mm-dd")&amp;"|"&amp;D1566&amp;"|"&amp;E1566)</x:f>
        <x:v>2026-04-18|喀拉拉邦冲击波|詹普谢尔FC</x:v>
      </x:c>
      <x:c r="B1566" s="66" t="n">
        <x:v>46130.8125</x:v>
      </x:c>
      <x:c r="C1566" s="65" t="str">
        <x:v>印度超级联赛（Indian Super League）</x:v>
      </x:c>
      <x:c r="D1566" s="65" t="str">
        <x:v>喀拉拉邦冲击波</x:v>
      </x:c>
      <x:c r="E1566" s="65" t="str">
        <x:v>詹普谢尔FC</x:v>
      </x:c>
      <x:c r="F1566" s="65" t="str">
        <x:v>喀拉拉邦冲击波 +0/0.5（+0.25）</x:v>
      </x:c>
      <x:c r="G1566" s="65" t="str">
        <x:v>大 2.5</x:v>
      </x:c>
      <x:c r="H1566" s="65" t="str">
        <x:v>可选：喀拉拉邦冲击波 平手（0）</x:v>
      </x:c>
      <x:c r="I1566" s="66" t="n">
        <x:v>46130.86023148148</x:v>
      </x:c>
      <x:c r="J1566" s="65" t="str">
        <x:v>已结算</x:v>
      </x:c>
      <x:c r="K1566" s="65"/>
      <x:c r="L1566" s="65" t="str">
        <x:v>赢</x:v>
      </x:c>
      <x:c r="M1566" s="65" t="str">
        <x:v>输</x:v>
      </x:c>
      <x:c r="N1566" s="67" t="n">
        <x:v>1</x:v>
      </x:c>
      <x:c r="O1566" s="67" t="n">
        <x:v>-1</x:v>
      </x:c>
      <x:c r="P1566" s="67" t="n">
        <x:f>IF(COUNT(N1566:O1566)=0,"",SUM(N1566:O1566))</x:f>
        <x:v>0</x:v>
      </x:c>
      <x:c r="Q1566" s="65"/>
      <x:c r="R1566" s="65" t="str">
        <x:v>比分2-0</x:v>
      </x:c>
    </x:row>
    <x:row r="1567" ht="38" customHeight="1">
      <x:c r="A1567" s="65" t="str">
        <x:f>IF(B1567="","",TEXT(B1567,"yyyy-mm-dd")&amp;"|"&amp;D1567&amp;"|"&amp;E1567)</x:f>
        <x:v>2026-04-18|米尔沃尔|女王公园巡游者（QPR）</x:v>
      </x:c>
      <x:c r="B1567" s="66" t="n">
        <x:v>46130.8125</x:v>
      </x:c>
      <x:c r="C1567" s="65" t="str">
        <x:v>英格兰冠军联赛（英冠）</x:v>
      </x:c>
      <x:c r="D1567" s="65" t="str">
        <x:v>米尔沃尔</x:v>
      </x:c>
      <x:c r="E1567" s="65" t="str">
        <x:v>女王公园巡游者（QPR）</x:v>
      </x:c>
      <x:c r="F1567" s="65" t="str">
        <x:v>米尔沃尔 -0.75 @1.87</x:v>
      </x:c>
      <x:c r="G1567" s="65" t="str">
        <x:v>小2.5 @2.03</x:v>
      </x:c>
      <x:c r="H1567" s="65" t="str">
        <x:v>双方进球 否 @2.05</x:v>
      </x:c>
      <x:c r="I1567" s="66" t="n">
        <x:v>46130.83224537037</x:v>
      </x:c>
      <x:c r="J1567" s="65" t="str">
        <x:v>已结算</x:v>
      </x:c>
      <x:c r="K1567" s="65"/>
      <x:c r="L1567" s="65" t="str">
        <x:v>赢</x:v>
      </x:c>
      <x:c r="M1567" s="65" t="str">
        <x:v>赢</x:v>
      </x:c>
      <x:c r="N1567" s="67" t="n">
        <x:v>1</x:v>
      </x:c>
      <x:c r="O1567" s="67" t="n">
        <x:v>1</x:v>
      </x:c>
      <x:c r="P1567" s="67" t="n">
        <x:f>IF(COUNT(N1567:O1567)=0,"",SUM(N1567:O1567))</x:f>
        <x:v>2</x:v>
      </x:c>
      <x:c r="Q1567" s="65"/>
      <x:c r="R1567" s="65" t="str">
        <x:v>比分2-0</x:v>
      </x:c>
    </x:row>
    <x:row r="1568" ht="38" customHeight="1">
      <x:c r="A1568" s="65" t="str">
        <x:f>IF(B1568="","",TEXT(B1568,"yyyy-mm-dd")&amp;"|"&amp;D1568&amp;"|"&amp;E1568)</x:f>
        <x:v>2026-04-18|PSM马卡萨|婆罗洲FC萨马林达</x:v>
      </x:c>
      <x:c r="B1568" s="66" t="n">
        <x:v>46130.791666666664</x:v>
      </x:c>
      <x:c r="C1568" s="65" t="str">
        <x:v>印度尼西亚超级联赛（印尼超/Liga 1 Indonesia）</x:v>
      </x:c>
      <x:c r="D1568" s="65" t="str">
        <x:v>PSM马卡萨</x:v>
      </x:c>
      <x:c r="E1568" s="65" t="str">
        <x:v>婆罗洲FC萨马林达</x:v>
      </x:c>
      <x:c r="F1568" s="65" t="str">
        <x:v>婆罗洲FC萨马林达 -0/0.5（-0.25）</x:v>
      </x:c>
      <x:c r="G1568" s="65" t="str">
        <x:v>小 2.5/3（2.75）</x:v>
      </x:c>
      <x:c r="H1568" s="65" t="str">
        <x:v>可选：婆罗洲FC萨马林达 平手（0）或不败（X2）</x:v>
      </x:c>
      <x:c r="I1568" s="66" t="n">
        <x:v>46130.83837962963</x:v>
      </x:c>
      <x:c r="J1568" s="65" t="str">
        <x:v>已结算</x:v>
      </x:c>
      <x:c r="K1568" s="65"/>
      <x:c r="L1568" s="65" t="str">
        <x:v>赢</x:v>
      </x:c>
      <x:c r="M1568" s="65" t="str">
        <x:v>输半</x:v>
      </x:c>
      <x:c r="N1568" s="67" t="n">
        <x:v>1</x:v>
      </x:c>
      <x:c r="O1568" s="67" t="n">
        <x:v>-0.5</x:v>
      </x:c>
      <x:c r="P1568" s="67" t="n">
        <x:f>IF(COUNT(N1568:O1568)=0,"",SUM(N1568:O1568))</x:f>
        <x:v>0.5</x:v>
      </x:c>
      <x:c r="Q1568" s="65"/>
      <x:c r="R1568" s="65" t="str">
        <x:v>比分1-2</x:v>
      </x:c>
    </x:row>
    <x:row r="1569" ht="38" customHeight="1">
      <x:c r="A1569" s="65" t="str">
        <x:f>IF(B1569="","",TEXT(B1569,"yyyy-mm-dd")&amp;"|"&amp;D1569&amp;"|"&amp;E1569)</x:f>
        <x:v>2026-04-18|德累斯顿迪纳摩|波鸿</x:v>
      </x:c>
      <x:c r="B1569" s="66" t="n">
        <x:v>46130.791666666664</x:v>
      </x:c>
      <x:c r="C1569" s="65" t="str">
        <x:v>德国乙级联赛（2. Bundesliga）</x:v>
      </x:c>
      <x:c r="D1569" s="65" t="str">
        <x:v>德累斯顿迪纳摩</x:v>
      </x:c>
      <x:c r="E1569" s="65" t="str">
        <x:v>波鸿</x:v>
      </x:c>
      <x:c r="F1569" s="65" t="str">
        <x:v>德累斯顿迪纳摩 -0.25 @1.95</x:v>
      </x:c>
      <x:c r="G1569" s="65" t="str">
        <x:v>小2.5 @2.25</x:v>
      </x:c>
      <x:c r="H1569" s="65" t="str">
        <x:v>双方进球 否 @2.60</x:v>
      </x:c>
      <x:c r="I1569" s="66" t="n">
        <x:v>46130.80101851852</x:v>
      </x:c>
      <x:c r="J1569" s="65" t="str">
        <x:v>已结算</x:v>
      </x:c>
      <x:c r="K1569" s="65"/>
      <x:c r="L1569" s="65" t="str">
        <x:v>赢</x:v>
      </x:c>
      <x:c r="M1569" s="65" t="str">
        <x:v>赢</x:v>
      </x:c>
      <x:c r="N1569" s="67" t="n">
        <x:v>1</x:v>
      </x:c>
      <x:c r="O1569" s="67" t="n">
        <x:v>1</x:v>
      </x:c>
      <x:c r="P1569" s="67" t="n">
        <x:f>IF(COUNT(N1569:O1569)=0,"",SUM(N1569:O1569))</x:f>
        <x:v>2</x:v>
      </x:c>
      <x:c r="Q1569" s="65"/>
      <x:c r="R1569" s="65" t="str">
        <x:v>比分2-0</x:v>
      </x:c>
    </x:row>
    <x:row r="1570" ht="38" customHeight="1">
      <x:c r="A1570" s="65" t="str">
        <x:f>IF(B1570="","",TEXT(B1570,"yyyy-mm-dd")&amp;"|"&amp;D1570&amp;"|"&amp;E1570)</x:f>
        <x:v>2026-04-18|江原FC|全北现代汽车</x:v>
      </x:c>
      <x:c r="B1570" s="66" t="n">
        <x:v>46130.541666666664</x:v>
      </x:c>
      <x:c r="C1570" s="65" t="str">
        <x:v>韩国K联赛1（K League 1）</x:v>
      </x:c>
      <x:c r="D1570" s="65" t="str">
        <x:v>江原FC</x:v>
      </x:c>
      <x:c r="E1570" s="65" t="str">
        <x:v>全北现代汽车</x:v>
      </x:c>
      <x:c r="F1570" s="65" t="str">
        <x:v>全北现代汽车 0（平手/DNB，约2.00-2.04）</x:v>
      </x:c>
      <x:c r="G1570" s="65" t="str">
        <x:v>小 2.5（约1.79-1.80）</x:v>
      </x:c>
      <x:c r="H1570" s="65" t="str">
        <x:v>可选加仓：双方不进球（BTTS No，约1.87）</x:v>
      </x:c>
      <x:c r="I1570" s="66" t="n">
        <x:v>46130.47421296296</x:v>
      </x:c>
      <x:c r="J1570" s="65" t="str">
        <x:v>已结算</x:v>
      </x:c>
      <x:c r="K1570" s="65"/>
      <x:c r="L1570" s="65" t="str">
        <x:v>走水</x:v>
      </x:c>
      <x:c r="M1570" s="65" t="str">
        <x:v>赢</x:v>
      </x:c>
      <x:c r="N1570" s="67" t="n">
        <x:v>0</x:v>
      </x:c>
      <x:c r="O1570" s="67" t="n">
        <x:v>1</x:v>
      </x:c>
      <x:c r="P1570" s="67" t="n">
        <x:f>IF(COUNT(N1570:O1570)=0,"",SUM(N1570:O1570))</x:f>
        <x:v>1</x:v>
      </x:c>
      <x:c r="Q1570" s="65"/>
      <x:c r="R1570" s="65" t="str">
        <x:v>比分1-1</x:v>
      </x:c>
    </x:row>
    <x:row r="1571" ht="38" customHeight="1">
      <x:c r="A1571" s="65" t="str">
        <x:f>IF(B1571="","",TEXT(B1571,"yyyy-mm-dd")&amp;"|"&amp;D1571&amp;"|"&amp;E1571)</x:f>
        <x:v>2026-04-18|惠灵顿凤凰|西悉尼流浪者</x:v>
      </x:c>
      <x:c r="B1571" s="66" t="n">
        <x:v>46130.541666666664</x:v>
      </x:c>
      <x:c r="C1571" s="65" t="str">
        <x:v>澳大利亚A联赛（A-League Men）</x:v>
      </x:c>
      <x:c r="D1571" s="65" t="str">
        <x:v>惠灵顿凤凰</x:v>
      </x:c>
      <x:c r="E1571" s="65" t="str">
        <x:v>西悉尼流浪者</x:v>
      </x:c>
      <x:c r="F1571" s="65" t="str">
        <x:v>西悉尼流浪者 0（平手/DNB，约2.06-2.10）</x:v>
      </x:c>
      <x:c r="G1571" s="65" t="str">
        <x:v>大 3.5（约2.21）</x:v>
      </x:c>
      <x:c r="H1571" s="65" t="str">
        <x:v>进取加仓：西悉尼流浪者胜（约2.75-2.82）</x:v>
      </x:c>
      <x:c r="I1571" s="66" t="n">
        <x:v>46130.4597337963</x:v>
      </x:c>
      <x:c r="J1571" s="65" t="str">
        <x:v>已结算</x:v>
      </x:c>
      <x:c r="K1571" s="65"/>
      <x:c r="L1571" s="65" t="str">
        <x:v>输</x:v>
      </x:c>
      <x:c r="M1571" s="65" t="str">
        <x:v>输</x:v>
      </x:c>
      <x:c r="N1571" s="67" t="n">
        <x:v>-1</x:v>
      </x:c>
      <x:c r="O1571" s="67" t="n">
        <x:v>-1</x:v>
      </x:c>
      <x:c r="P1571" s="67" t="n">
        <x:f>IF(COUNT(N1571:O1571)=0,"",SUM(N1571:O1571))</x:f>
        <x:v>-2</x:v>
      </x:c>
      <x:c r="Q1571" s="65"/>
      <x:c r="R1571" s="65" t="str">
        <x:v>比分2-1</x:v>
      </x:c>
    </x:row>
    <x:row r="1572" ht="38" customHeight="1">
      <x:c r="A1572" s="65" t="str">
        <x:f>IF(B1572="","",TEXT(B1572,"yyyy-mm-dd")&amp;"|"&amp;D1572&amp;"|"&amp;E1572)</x:f>
        <x:v>2026-04-18|休城|圣安尔本斯圣特斯</x:v>
      </x:c>
      <x:c r="B1572" s="66" t="n">
        <x:v>46130.5</x:v>
      </x:c>
      <x:c r="C1572" s="65" t="str">
        <x:v>澳大利亚 维多利亚州超级联赛1（VPL1）</x:v>
      </x:c>
      <x:c r="D1572" s="65" t="str">
        <x:v>休城</x:v>
      </x:c>
      <x:c r="E1572" s="65" t="str">
        <x:v>圣安尔本斯圣特斯</x:v>
      </x:c>
      <x:c r="F1572" s="65" t="str">
        <x:v>休城 -1（约1.82-1.84）</x:v>
      </x:c>
      <x:c r="G1572" s="65" t="str">
        <x:v>大 3.5（约2.60）</x:v>
      </x:c>
      <x:c r="H1572" s="65" t="str">
        <x:v>进取加仓：休城胜且大 2.5（约2.09）</x:v>
      </x:c>
      <x:c r="I1572" s="66" t="n">
        <x:v>46130.4896875</x:v>
      </x:c>
      <x:c r="J1572" s="65" t="str">
        <x:v>已结算</x:v>
      </x:c>
      <x:c r="K1572" s="65"/>
      <x:c r="L1572" s="65" t="str">
        <x:v>输</x:v>
      </x:c>
      <x:c r="M1572" s="65" t="str">
        <x:v>输</x:v>
      </x:c>
      <x:c r="N1572" s="67" t="n">
        <x:v>-1</x:v>
      </x:c>
      <x:c r="O1572" s="67" t="n">
        <x:v>-1</x:v>
      </x:c>
      <x:c r="P1572" s="67" t="n">
        <x:f>IF(COUNT(N1572:O1572)=0,"",SUM(N1572:O1572))</x:f>
        <x:v>-2</x:v>
      </x:c>
      <x:c r="Q1572" s="65"/>
      <x:c r="R1572" s="65" t="str">
        <x:v>比分0-1</x:v>
      </x:c>
    </x:row>
    <x:row r="1573" ht="38" customHeight="1">
      <x:c r="A1573" s="65" t="str">
        <x:f>IF(B1573="","",TEXT(B1573,"yyyy-mm-dd")&amp;"|"&amp;D1573&amp;"|"&amp;E1573)</x:f>
        <x:v>2026-04-18|横滨水手|川崎前锋</x:v>
      </x:c>
      <x:c r="B1573" s="66" t="n">
        <x:v>46130.5</x:v>
      </x:c>
      <x:c r="C1573" s="65" t="str">
        <x:v>日职联（J1 League）</x:v>
      </x:c>
      <x:c r="D1573" s="65" t="str">
        <x:v>横滨水手</x:v>
      </x:c>
      <x:c r="E1573" s="65" t="str">
        <x:v>川崎前锋</x:v>
      </x:c>
      <x:c r="F1573" s="65" t="str">
        <x:v>川崎前锋 0（平手/DNB，约1.83）</x:v>
      </x:c>
      <x:c r="G1573" s="65" t="str">
        <x:v>小 2.5（约2.24）</x:v>
      </x:c>
      <x:c r="H1573" s="65" t="str">
        <x:v>进取加仓：川崎前锋胜（约2.62）</x:v>
      </x:c>
      <x:c r="I1573" s="66" t="n">
        <x:v>46130.48</x:v>
      </x:c>
      <x:c r="J1573" s="65" t="str">
        <x:v>已结算</x:v>
      </x:c>
      <x:c r="K1573" s="65"/>
      <x:c r="L1573" s="65" t="str">
        <x:v>赢</x:v>
      </x:c>
      <x:c r="M1573" s="65" t="str">
        <x:v>输</x:v>
      </x:c>
      <x:c r="N1573" s="67" t="n">
        <x:v>1</x:v>
      </x:c>
      <x:c r="O1573" s="67" t="n">
        <x:v>-1</x:v>
      </x:c>
      <x:c r="P1573" s="67" t="n">
        <x:f>IF(COUNT(N1573:O1573)=0,"",SUM(N1573:O1573))</x:f>
        <x:v>0</x:v>
      </x:c>
      <x:c r="Q1573" s="65"/>
      <x:c r="R1573" s="65" t="str">
        <x:v>比分1-2</x:v>
      </x:c>
    </x:row>
    <x:row r="1574" ht="38" customHeight="1">
      <x:c r="A1574" s="65" t="str">
        <x:f>IF(B1574="","",TEXT(B1574,"yyyy-mm-dd")&amp;"|"&amp;D1574&amp;"|"&amp;E1574)</x:f>
        <x:v>2026-04-18|多拉多斯|塔巴蒂奥</x:v>
      </x:c>
      <x:c r="B1574" s="66" t="n">
        <x:v>46130.458333333336</x:v>
      </x:c>
      <x:c r="C1574" s="65" t="str">
        <x:v>墨西哥甲级扩展联赛（Liga de Expansión MX）</x:v>
      </x:c>
      <x:c r="D1574" s="65" t="str">
        <x:v>多拉多斯</x:v>
      </x:c>
      <x:c r="E1574" s="65" t="str">
        <x:v>塔巴蒂奥</x:v>
      </x:c>
      <x:c r="F1574" s="65" t="str">
        <x:v>多拉多斯 +0.5（约2.20）</x:v>
      </x:c>
      <x:c r="G1574" s="65" t="str">
        <x:v>大 2.5（约1.82-1.85）</x:v>
      </x:c>
      <x:c r="H1574" s="65" t="str">
        <x:v>进取加仓：平局（约3.90）</x:v>
      </x:c>
      <x:c r="I1574" s="66" t="n">
        <x:v>46130.443333333336</x:v>
      </x:c>
      <x:c r="J1574" s="65" t="str">
        <x:v>已结算</x:v>
      </x:c>
      <x:c r="K1574" s="65"/>
      <x:c r="L1574" s="65" t="str">
        <x:v>赢</x:v>
      </x:c>
      <x:c r="M1574" s="65" t="str">
        <x:v>赢</x:v>
      </x:c>
      <x:c r="N1574" s="67" t="n">
        <x:v>1</x:v>
      </x:c>
      <x:c r="O1574" s="67" t="n">
        <x:v>1</x:v>
      </x:c>
      <x:c r="P1574" s="67" t="n">
        <x:f>IF(COUNT(N1574:O1574)=0,"",SUM(N1574:O1574))</x:f>
        <x:v>2</x:v>
      </x:c>
      <x:c r="Q1574" s="65"/>
      <x:c r="R1574" s="65" t="str">
        <x:v>比分3-1</x:v>
      </x:c>
    </x:row>
    <x:row r="1575" ht="38" customHeight="1">
      <x:c r="A1575" s="65" t="str">
        <x:f>IF(B1575="","",TEXT(B1575,"yyyy-mm-dd")&amp;"|"&amp;D1575&amp;"|"&amp;E1575)</x:f>
        <x:v>2026-04-18|马萨特兰|克雷塔罗</x:v>
      </x:c>
      <x:c r="B1575" s="66" t="n">
        <x:v>46130.375</x:v>
      </x:c>
      <x:c r="C1575" s="65" t="str">
        <x:v>墨西哥超（Liga MX，Clausura）</x:v>
      </x:c>
      <x:c r="D1575" s="65" t="str">
        <x:v>马萨特兰</x:v>
      </x:c>
      <x:c r="E1575" s="65" t="str">
        <x:v>克雷塔罗</x:v>
      </x:c>
      <x:c r="F1575" s="65" t="str">
        <x:v>马萨特兰 0（平手/DNB，约2.10）</x:v>
      </x:c>
      <x:c r="G1575" s="65" t="str">
        <x:v>小 2.5（约2.05）</x:v>
      </x:c>
      <x:c r="H1575" s="65" t="str">
        <x:v>可选加仓：双方不进球（BTTS No，约2.22）</x:v>
      </x:c>
      <x:c r="I1575" s="66" t="n">
        <x:v>46130.306539351855</x:v>
      </x:c>
      <x:c r="J1575" s="65" t="str">
        <x:v>已结算</x:v>
      </x:c>
      <x:c r="K1575" s="65"/>
      <x:c r="L1575" s="65" t="str">
        <x:v>走水</x:v>
      </x:c>
      <x:c r="M1575" s="65" t="str">
        <x:v>赢</x:v>
      </x:c>
      <x:c r="N1575" s="67" t="n">
        <x:v>0</x:v>
      </x:c>
      <x:c r="O1575" s="67" t="n">
        <x:v>1</x:v>
      </x:c>
      <x:c r="P1575" s="67" t="n">
        <x:f>IF(COUNT(N1575:O1575)=0,"",SUM(N1575:O1575))</x:f>
        <x:v>1</x:v>
      </x:c>
      <x:c r="Q1575" s="65"/>
      <x:c r="R1575" s="65" t="str">
        <x:v>比分1-1</x:v>
      </x:c>
    </x:row>
    <x:row r="1576" ht="38" customHeight="1">
      <x:c r="A1576" s="65" t="str">
        <x:f>IF(B1576="","",TEXT(B1576,"yyyy-mm-dd")&amp;"|"&amp;D1576&amp;"|"&amp;E1576)</x:f>
        <x:v>2026-04-18|亚特兰特|拉巴斯竞技</x:v>
      </x:c>
      <x:c r="B1576" s="66" t="n">
        <x:v>46130.291666666664</x:v>
      </x:c>
      <x:c r="C1576" s="65" t="str">
        <x:v>墨西哥甲级扩展联赛（Liga de Expansión MX）</x:v>
      </x:c>
      <x:c r="D1576" s="65" t="str">
        <x:v>亚特兰特</x:v>
      </x:c>
      <x:c r="E1576" s="65" t="str">
        <x:v>拉巴斯竞技</x:v>
      </x:c>
      <x:c r="F1576" s="65" t="str">
        <x:v>拉巴斯竞技 +1.25（约2.20）</x:v>
      </x:c>
      <x:c r="G1576" s="65" t="str">
        <x:v>小 2.5（约2.40-2.50）</x:v>
      </x:c>
      <x:c r="H1576" s="65" t="str">
        <x:v>进取加仓：平局（约4.75）</x:v>
      </x:c>
      <x:c r="I1576" s="66" t="n">
        <x:v>46130.26997685185</x:v>
      </x:c>
      <x:c r="J1576" s="65" t="str">
        <x:v>已结算</x:v>
      </x:c>
      <x:c r="K1576" s="65"/>
      <x:c r="L1576" s="65" t="str">
        <x:v>赢</x:v>
      </x:c>
      <x:c r="M1576" s="65" t="str">
        <x:v>赢</x:v>
      </x:c>
      <x:c r="N1576" s="67" t="n">
        <x:v>1</x:v>
      </x:c>
      <x:c r="O1576" s="67" t="n">
        <x:v>1</x:v>
      </x:c>
      <x:c r="P1576" s="67" t="n">
        <x:f>IF(COUNT(N1576:O1576)=0,"",SUM(N1576:O1576))</x:f>
        <x:v>2</x:v>
      </x:c>
      <x:c r="Q1576" s="65"/>
      <x:c r="R1576" s="65" t="str">
        <x:v>比分1-1</x:v>
      </x:c>
    </x:row>
    <x:row r="1577" ht="38" customHeight="1">
      <x:c r="A1577" s="65" t="str">
        <x:f>IF(B1577="","",TEXT(B1577,"yyyy-mm-dd")&amp;"|"&amp;D1577&amp;"|"&amp;E1577)</x:f>
        <x:v>2026-04-18|布莱克本|考文垂</x:v>
      </x:c>
      <x:c r="B1577" s="66" t="n">
        <x:v>46130.125</x:v>
      </x:c>
      <x:c r="C1577" s="65" t="str">
        <x:v>英格兰冠军联赛（英冠）</x:v>
      </x:c>
      <x:c r="D1577" s="65" t="str">
        <x:v>布莱克本</x:v>
      </x:c>
      <x:c r="E1577" s="65" t="str">
        <x:v>考文垂</x:v>
      </x:c>
      <x:c r="F1577" s="65" t="str">
        <x:v>布莱克本 +0.5（约1.82）</x:v>
      </x:c>
      <x:c r="G1577" s="65" t="str">
        <x:v>小 2.5（约1.81）</x:v>
      </x:c>
      <x:c r="H1577" s="65" t="str">
        <x:v>进取加仓：平局（约3.30）</x:v>
      </x:c>
      <x:c r="I1577" s="66" t="n">
        <x:v>46130.24337962963</x:v>
      </x:c>
      <x:c r="J1577" s="65" t="str">
        <x:v>已结算</x:v>
      </x:c>
      <x:c r="K1577" s="65"/>
      <x:c r="L1577" s="65" t="str">
        <x:v>赢</x:v>
      </x:c>
      <x:c r="M1577" s="65" t="str">
        <x:v>赢</x:v>
      </x:c>
      <x:c r="N1577" s="67" t="n">
        <x:v>1</x:v>
      </x:c>
      <x:c r="O1577" s="67" t="n">
        <x:v>1</x:v>
      </x:c>
      <x:c r="P1577" s="67" t="n">
        <x:f>IF(COUNT(N1577:O1577)=0,"",SUM(N1577:O1577))</x:f>
        <x:v>2</x:v>
      </x:c>
      <x:c r="Q1577" s="65"/>
      <x:c r="R1577" s="65" t="str">
        <x:v>比分1-1</x:v>
      </x:c>
    </x:row>
    <x:row r="1578" ht="38" customHeight="1">
      <x:c r="A1578" s="65" t="str">
        <x:f>IF(B1578="","",TEXT(B1578,"yyyy-mm-dd")&amp;"|"&amp;D1578&amp;"|"&amp;E1578)</x:f>
        <x:v>2026-04-18|艾禾斯堡|卡尔斯鲁厄</x:v>
      </x:c>
      <x:c r="B1578" s="66" t="n">
        <x:v>46130.020833333336</x:v>
      </x:c>
      <x:c r="C1578" s="65" t="str">
        <x:v>德国乙级联赛（2. Bundesliga）</x:v>
      </x:c>
      <x:c r="D1578" s="65" t="str">
        <x:v>艾禾斯堡</x:v>
      </x:c>
      <x:c r="E1578" s="65" t="str">
        <x:v>卡尔斯鲁厄</x:v>
      </x:c>
      <x:c r="F1578" s="65" t="str">
        <x:v>卡尔斯鲁厄 +1.25（约1.83）</x:v>
      </x:c>
      <x:c r="G1578" s="65" t="str">
        <x:v>小 3.25（约1.84-1.88）</x:v>
      </x:c>
      <x:c r="H1578" s="65" t="str">
        <x:v>进取加仓：卡尔斯鲁厄 +1.0（约1.90）</x:v>
      </x:c>
      <x:c r="I1578" s="66" t="n">
        <x:v>46129.981886574074</x:v>
      </x:c>
      <x:c r="J1578" s="65" t="str">
        <x:v>已结算</x:v>
      </x:c>
      <x:c r="K1578" s="65"/>
      <x:c r="L1578" s="65" t="str">
        <x:v>输</x:v>
      </x:c>
      <x:c r="M1578" s="65" t="str">
        <x:v>赢半</x:v>
      </x:c>
      <x:c r="N1578" s="67" t="n">
        <x:v>-1</x:v>
      </x:c>
      <x:c r="O1578" s="67" t="n">
        <x:v>0.5</x:v>
      </x:c>
      <x:c r="P1578" s="67" t="n">
        <x:f>IF(COUNT(N1578:O1578)=0,"",SUM(N1578:O1578))</x:f>
        <x:v>-0.5</x:v>
      </x:c>
      <x:c r="Q1578" s="65"/>
      <x:c r="R1578" s="65" t="str">
        <x:v>比分3-0</x:v>
      </x:c>
    </x:row>
    <x:row r="1579" ht="38" customHeight="1">
      <x:c r="A1579" s="65" t="str">
        <x:f>IF(B1579="","",TEXT(B1579,"yyyy-mm-dd")&amp;"|"&amp;D1579&amp;"|"&amp;E1579)</x:f>
        <x:v>2026-04-18|荷尔施泰因基尔|凯泽斯劳滕</x:v>
      </x:c>
      <x:c r="B1579" s="66" t="n">
        <x:v>46130.020833333336</x:v>
      </x:c>
      <x:c r="C1579" s="65" t="str">
        <x:v>德国乙级联赛（2. Bundesliga）</x:v>
      </x:c>
      <x:c r="D1579" s="65" t="str">
        <x:v>荷尔施泰因基尔</x:v>
      </x:c>
      <x:c r="E1579" s="65" t="str">
        <x:v>凯泽斯劳滕</x:v>
      </x:c>
      <x:c r="F1579" s="65" t="str">
        <x:v>凯泽斯劳滕 +0.25</x:v>
      </x:c>
      <x:c r="G1579" s="65" t="str">
        <x:v>小 2.75</x:v>
      </x:c>
      <x:c r="H1579" s="65" t="str">
        <x:v>平局（小注）</x:v>
      </x:c>
      <x:c r="I1579" s="66" t="n">
        <x:v>46129.972337962965</x:v>
      </x:c>
      <x:c r="J1579" s="65" t="str">
        <x:v>已结算</x:v>
      </x:c>
      <x:c r="K1579" s="65"/>
      <x:c r="L1579" s="65" t="str">
        <x:v>输</x:v>
      </x:c>
      <x:c r="M1579" s="65" t="str">
        <x:v>输半</x:v>
      </x:c>
      <x:c r="N1579" s="67" t="n">
        <x:v>-1</x:v>
      </x:c>
      <x:c r="O1579" s="67" t="n">
        <x:v>-0.5</x:v>
      </x:c>
      <x:c r="P1579" s="67" t="n">
        <x:f>IF(COUNT(N1579:O1579)=0,"",SUM(N1579:O1579))</x:f>
        <x:v>-1.5</x:v>
      </x:c>
      <x:c r="Q1579" s="65"/>
      <x:c r="R1579" s="65" t="str">
        <x:v>比分3-0</x:v>
      </x:c>
    </x:row>
    <x:row r="1580" ht="38" customHeight="1">
      <x:c r="A1580" s="65" t="str">
        <x:f>IF(B1580="","",TEXT(B1580,"yyyy-mm-dd")&amp;"|"&amp;D1580&amp;"|"&amp;E1580)</x:f>
        <x:v>2026-04-17|奥迪萨FC|莫哈末丹SC</x:v>
      </x:c>
      <x:c r="B1580" s="66" t="n">
        <x:v>46129.916666666664</x:v>
      </x:c>
      <x:c r="C1580" s="65" t="str">
        <x:v>印度超级联赛（Indian Super League）</x:v>
      </x:c>
      <x:c r="D1580" s="65" t="str">
        <x:v>奥迪萨FC</x:v>
      </x:c>
      <x:c r="E1580" s="65" t="str">
        <x:v>莫哈末丹SC</x:v>
      </x:c>
      <x:c r="F1580" s="65" t="str">
        <x:v>奥迪萨FC -1</x:v>
      </x:c>
      <x:c r="G1580" s="65" t="str">
        <x:v>小 2.75</x:v>
      </x:c>
      <x:c r="H1580" s="65" t="str">
        <x:v>奥迪萨FC零封取胜（小注）</x:v>
      </x:c>
      <x:c r="I1580" s="66" t="n">
        <x:v>46129.8884375</x:v>
      </x:c>
      <x:c r="J1580" s="65" t="str">
        <x:v>已结算</x:v>
      </x:c>
      <x:c r="K1580" s="65"/>
      <x:c r="L1580" s="65" t="str">
        <x:v>输</x:v>
      </x:c>
      <x:c r="M1580" s="65" t="str">
        <x:v>赢</x:v>
      </x:c>
      <x:c r="N1580" s="67" t="n">
        <x:v>-1</x:v>
      </x:c>
      <x:c r="O1580" s="67" t="n">
        <x:v>1</x:v>
      </x:c>
      <x:c r="P1580" s="67" t="n">
        <x:f>IF(COUNT(N1580:O1580)=0,"",SUM(N1580:O1580))</x:f>
        <x:v>0</x:v>
      </x:c>
      <x:c r="Q1580" s="65"/>
      <x:c r="R1580" s="65" t="str">
        <x:v>比分1-1</x:v>
      </x:c>
    </x:row>
    <x:row r="1581" ht="38" customHeight="1">
      <x:c r="A1581" s="65" t="str">
        <x:f>IF(B1581="","",TEXT(B1581,"yyyy-mm-dd")&amp;"|"&amp;D1581&amp;"|"&amp;E1581)</x:f>
        <x:v>2026-04-17|帕尔斯巴亚（Persebaya Surabaya）|马都拉联（Madura United）</x:v>
      </x:c>
      <x:c r="B1581" s="66" t="n">
        <x:v>46129.833333333336</x:v>
      </x:c>
      <x:c r="C1581" s="65" t="str">
        <x:v>印度尼西亚超级联赛（印尼超/Liga 1 Indonesia）</x:v>
      </x:c>
      <x:c r="D1581" s="65" t="str">
        <x:v>帕尔斯巴亚（Persebaya Surabaya）</x:v>
      </x:c>
      <x:c r="E1581" s="65" t="str">
        <x:v>马都拉联（Madura United）</x:v>
      </x:c>
      <x:c r="F1581" s="65" t="str">
        <x:v>马都拉联（Madura United） +0.5</x:v>
      </x:c>
      <x:c r="G1581" s="65" t="str">
        <x:v>小 2.5</x:v>
      </x:c>
      <x:c r="H1581" s="65" t="str">
        <x:v>平局（小注）</x:v>
      </x:c>
      <x:c r="I1581" s="66" t="n">
        <x:v>46129.834398148145</x:v>
      </x:c>
      <x:c r="J1581" s="65" t="str">
        <x:v>已结算</x:v>
      </x:c>
      <x:c r="K1581" s="65"/>
      <x:c r="L1581" s="65" t="str">
        <x:v>赢</x:v>
      </x:c>
      <x:c r="M1581" s="65" t="str">
        <x:v>输</x:v>
      </x:c>
      <x:c r="N1581" s="67" t="n">
        <x:v>1</x:v>
      </x:c>
      <x:c r="O1581" s="67" t="n">
        <x:v>-1</x:v>
      </x:c>
      <x:c r="P1581" s="67" t="n">
        <x:f>IF(COUNT(N1581:O1581)=0,"",SUM(N1581:O1581))</x:f>
        <x:v>0</x:v>
      </x:c>
      <x:c r="Q1581" s="65"/>
      <x:c r="R1581" s="65" t="str">
        <x:v>比分1-2</x:v>
      </x:c>
    </x:row>
    <x:row r="1582" ht="38" customHeight="1">
      <x:c r="A1582" s="65" t="str">
        <x:f>IF(B1582="","",TEXT(B1582,"yyyy-mm-dd")&amp;"|"&amp;D1582&amp;"|"&amp;E1582)</x:f>
        <x:v>2026-04-17|清奈泰坦（Chennaiyin FC）|德里体育（SC Delhi）</x:v>
      </x:c>
      <x:c r="B1582" s="66" t="n">
        <x:v>46129.8125</x:v>
      </x:c>
      <x:c r="C1582" s="65" t="str">
        <x:v>印度超级联赛（Indian Super League）</x:v>
      </x:c>
      <x:c r="D1582" s="65" t="str">
        <x:v>清奈泰坦（Chennaiyin FC）</x:v>
      </x:c>
      <x:c r="E1582" s="65" t="str">
        <x:v>德里体育（SC Delhi）</x:v>
      </x:c>
      <x:c r="F1582" s="65" t="str">
        <x:v>德里体育（SC Delhi） +0.25</x:v>
      </x:c>
      <x:c r="G1582" s="65" t="str">
        <x:v>小 2.5</x:v>
      </x:c>
      <x:c r="H1582" s="65" t="str">
        <x:v>德里体育（SC Delhi）不败（小注）</x:v>
      </x:c>
      <x:c r="I1582" s="66" t="n">
        <x:v>46129.77668981482</x:v>
      </x:c>
      <x:c r="J1582" s="65" t="str">
        <x:v>已结算</x:v>
      </x:c>
      <x:c r="K1582" s="65"/>
      <x:c r="L1582" s="65" t="str">
        <x:v>输</x:v>
      </x:c>
      <x:c r="M1582" s="65" t="str">
        <x:v>赢</x:v>
      </x:c>
      <x:c r="N1582" s="67" t="n">
        <x:v>-1</x:v>
      </x:c>
      <x:c r="O1582" s="67" t="n">
        <x:v>1</x:v>
      </x:c>
      <x:c r="P1582" s="67" t="n">
        <x:f>IF(COUNT(N1582:O1582)=0,"",SUM(N1582:O1582))</x:f>
        <x:v>0</x:v>
      </x:c>
      <x:c r="Q1582" s="65"/>
      <x:c r="R1582" s="65" t="str">
        <x:v>比分1-0</x:v>
      </x:c>
    </x:row>
    <x:row r="1583" ht="38" customHeight="1">
      <x:c r="A1583" s="65" t="str">
        <x:f>IF(B1583="","",TEXT(B1583,"yyyy-mm-dd")&amp;"|"&amp;D1583&amp;"|"&amp;E1583)</x:f>
        <x:v>2026-04-17|墨尔本胜利|纽卡斯尔喷气机</x:v>
      </x:c>
      <x:c r="B1583" s="66" t="n">
        <x:v>46129.73263888889</x:v>
      </x:c>
      <x:c r="C1583" s="65" t="str">
        <x:v>澳大利亚A联赛（A-League Men）</x:v>
      </x:c>
      <x:c r="D1583" s="65" t="str">
        <x:v>墨尔本胜利</x:v>
      </x:c>
      <x:c r="E1583" s="65" t="str">
        <x:v>纽卡斯尔喷气机</x:v>
      </x:c>
      <x:c r="F1583" s="65" t="str">
        <x:v>纽卡斯尔喷气机 +0.5</x:v>
      </x:c>
      <x:c r="G1583" s="65" t="str">
        <x:v>小 3</x:v>
      </x:c>
      <x:c r="H1583" s="65" t="str">
        <x:v>平局（小注）</x:v>
      </x:c>
      <x:c r="I1583" s="66" t="n">
        <x:v>46129.680555555555</x:v>
      </x:c>
      <x:c r="J1583" s="65" t="str">
        <x:v>已结算</x:v>
      </x:c>
      <x:c r="K1583" s="65"/>
      <x:c r="L1583" s="65" t="str">
        <x:v>赢</x:v>
      </x:c>
      <x:c r="M1583" s="65" t="str">
        <x:v>输</x:v>
      </x:c>
      <x:c r="N1583" s="67" t="n">
        <x:v>1</x:v>
      </x:c>
      <x:c r="O1583" s="67" t="n">
        <x:v>-1</x:v>
      </x:c>
      <x:c r="P1583" s="67" t="n">
        <x:f>IF(COUNT(N1583:O1583)=0,"",SUM(N1583:O1583))</x:f>
        <x:v>0</x:v>
      </x:c>
      <x:c r="Q1583" s="65"/>
      <x:c r="R1583" s="65" t="str">
        <x:v>比分2-2</x:v>
      </x:c>
    </x:row>
    <x:row r="1584" ht="38" customHeight="1">
      <x:c r="A1584" s="65" t="str">
        <x:f>IF(B1584="","",TEXT(B1584,"yyyy-mm-dd")&amp;"|"&amp;D1584&amp;"|"&amp;E1584)</x:f>
        <x:v>2026-04-17|本特利绿茵（Bentleigh Greens）|普雷斯顿狮子（Preston Lions）</x:v>
      </x:c>
      <x:c r="B1584" s="66" t="n">
        <x:v>46129.729166666664</x:v>
      </x:c>
      <x:c r="C1584" s="65" t="str">
        <x:v>澳大利亚 维多利亚州超级联赛1（VPL1）</x:v>
      </x:c>
      <x:c r="D1584" s="65" t="str">
        <x:v>本特利绿茵（Bentleigh Greens）</x:v>
      </x:c>
      <x:c r="E1584" s="65" t="str">
        <x:v>普雷斯顿狮子（Preston Lions）</x:v>
      </x:c>
      <x:c r="F1584" s="65" t="str">
        <x:v>本特利绿茵（Bentleigh Greens） 0</x:v>
      </x:c>
      <x:c r="G1584" s="65" t="str">
        <x:v>大 2.5</x:v>
      </x:c>
      <x:c r="H1584" s="65" t="str">
        <x:v>本特利绿茵独赢（小注）</x:v>
      </x:c>
      <x:c r="I1584" s="66" t="n">
        <x:v>46129.73375</x:v>
      </x:c>
      <x:c r="J1584" s="65" t="str">
        <x:v>已结算</x:v>
      </x:c>
      <x:c r="K1584" s="65"/>
      <x:c r="L1584" s="65" t="str">
        <x:v>走水</x:v>
      </x:c>
      <x:c r="M1584" s="65" t="str">
        <x:v>输</x:v>
      </x:c>
      <x:c r="N1584" s="67" t="n">
        <x:v>0</x:v>
      </x:c>
      <x:c r="O1584" s="67" t="n">
        <x:v>-1</x:v>
      </x:c>
      <x:c r="P1584" s="67" t="n">
        <x:f>IF(COUNT(N1584:O1584)=0,"",SUM(N1584:O1584))</x:f>
        <x:v>-1</x:v>
      </x:c>
      <x:c r="Q1584" s="65"/>
      <x:c r="R1584" s="65" t="str">
        <x:v>比分1-1</x:v>
      </x:c>
    </x:row>
    <x:row r="1585" ht="38" customHeight="1">
      <x:c r="A1585" s="65" t="str">
        <x:f>IF(B1585="","",TEXT(B1585,"yyyy-mm-dd")&amp;"|"&amp;D1585&amp;"|"&amp;E1585)</x:f>
        <x:v>2026-04-17|兰沃里林（Langwarrin）|布林狮子（FC Bulleen Lions）</x:v>
      </x:c>
      <x:c r="B1585" s="66" t="n">
        <x:v>46129.729166666664</x:v>
      </x:c>
      <x:c r="C1585" s="65" t="str">
        <x:v>澳大利亚 维多利亚州超级联赛1（VPL1）</x:v>
      </x:c>
      <x:c r="D1585" s="65" t="str">
        <x:v>兰沃里林（Langwarrin）</x:v>
      </x:c>
      <x:c r="E1585" s="65" t="str">
        <x:v>布林狮子（FC Bulleen Lions）</x:v>
      </x:c>
      <x:c r="F1585" s="65" t="str">
        <x:v>布林狮子（FC Bulleen Lions） -0.25</x:v>
      </x:c>
      <x:c r="G1585" s="65" t="str">
        <x:v>小 3</x:v>
      </x:c>
      <x:c r="H1585" s="65" t="str">
        <x:v>布林狮子独赢（小注）</x:v>
      </x:c>
      <x:c r="I1585" s="66" t="n">
        <x:v>46129.6746875</x:v>
      </x:c>
      <x:c r="J1585" s="65" t="str">
        <x:v>已结算</x:v>
      </x:c>
      <x:c r="K1585" s="65"/>
      <x:c r="L1585" s="65" t="str">
        <x:v>输半</x:v>
      </x:c>
      <x:c r="M1585" s="65" t="str">
        <x:v>输</x:v>
      </x:c>
      <x:c r="N1585" s="67" t="n">
        <x:v>-0.5</x:v>
      </x:c>
      <x:c r="O1585" s="67" t="n">
        <x:v>-1</x:v>
      </x:c>
      <x:c r="P1585" s="67" t="n">
        <x:f>IF(COUNT(N1585:O1585)=0,"",SUM(N1585:O1585))</x:f>
        <x:v>-1.5</x:v>
      </x:c>
      <x:c r="Q1585" s="65"/>
      <x:c r="R1585" s="65" t="str">
        <x:v>比分2-2</x:v>
      </x:c>
    </x:row>
    <x:row r="1586" ht="38" customHeight="1">
      <x:c r="A1586" s="65" t="str">
        <x:f>IF(B1586="","",TEXT(B1586,"yyyy-mm-dd")&amp;"|"&amp;D1586&amp;"|"&amp;E1586)</x:f>
        <x:v>2026-04-17|巴杨卡拉泗水联|永亚卡达</x:v>
      </x:c>
      <x:c r="B1586" s="66" t="n">
        <x:v>46129.6875</x:v>
      </x:c>
      <x:c r="C1586" s="65" t="str">
        <x:v>印度尼西亚超级联赛（印尼超/Liga 1 Indonesia）</x:v>
      </x:c>
      <x:c r="D1586" s="65" t="str">
        <x:v>巴杨卡拉泗水联</x:v>
      </x:c>
      <x:c r="E1586" s="65" t="str">
        <x:v>永亚卡达</x:v>
      </x:c>
      <x:c r="F1586" s="65" t="str">
        <x:v>巴杨卡拉泗水联 -0.75</x:v>
      </x:c>
      <x:c r="G1586" s="65" t="str">
        <x:v>小 2.25</x:v>
      </x:c>
      <x:c r="H1586" s="65" t="str">
        <x:v>巴杨卡拉泗水联独赢（小注）</x:v>
      </x:c>
      <x:c r="I1586" s="66" t="n">
        <x:v>46129.57959490741</x:v>
      </x:c>
      <x:c r="J1586" s="65" t="str">
        <x:v>已结算</x:v>
      </x:c>
      <x:c r="K1586" s="65"/>
      <x:c r="L1586" s="65" t="str">
        <x:v>赢半</x:v>
      </x:c>
      <x:c r="M1586" s="65" t="str">
        <x:v>输</x:v>
      </x:c>
      <x:c r="N1586" s="67" t="n">
        <x:v>0.5</x:v>
      </x:c>
      <x:c r="O1586" s="67" t="n">
        <x:v>-1</x:v>
      </x:c>
      <x:c r="P1586" s="67" t="n">
        <x:f>IF(COUNT(N1586:O1586)=0,"",SUM(N1586:O1586))</x:f>
        <x:v>-0.5</x:v>
      </x:c>
      <x:c r="Q1586" s="65"/>
      <x:c r="R1586" s="65" t="str">
        <x:v>比分2-1</x:v>
      </x:c>
    </x:row>
    <x:row r="1587" ht="38" customHeight="1">
      <x:c r="A1587" s="65" t="str">
        <x:f>IF(B1587="","",TEXT(B1587,"yyyy-mm-dd")&amp;"|"&amp;D1587&amp;"|"&amp;E1587)</x:f>
        <x:v>2026-04-17|弗拉门戈|麦德林独立</x:v>
      </x:c>
      <x:c r="B1587" s="66" t="n">
        <x:v>46129.354166666664</x:v>
      </x:c>
      <x:c r="C1587" s="65" t="str">
        <x:v>南美解放者杯</x:v>
      </x:c>
      <x:c r="D1587" s="65" t="str">
        <x:v>弗拉门戈</x:v>
      </x:c>
      <x:c r="E1587" s="65" t="str">
        <x:v>麦德林独立</x:v>
      </x:c>
      <x:c r="F1587" s="65" t="str">
        <x:v>麦德林独立 +2</x:v>
      </x:c>
      <x:c r="G1587" s="65" t="str">
        <x:v>小 3</x:v>
      </x:c>
      <x:c r="H1587" s="65" t="str">
        <x:v>弗拉门戈零封取胜（小注）</x:v>
      </x:c>
      <x:c r="I1587" s="66" t="n">
        <x:v>46129.364224537036</x:v>
      </x:c>
      <x:c r="J1587" s="65" t="str">
        <x:v>已结算</x:v>
      </x:c>
      <x:c r="K1587" s="65"/>
      <x:c r="L1587" s="65" t="str">
        <x:v>输</x:v>
      </x:c>
      <x:c r="M1587" s="65" t="str">
        <x:v>输</x:v>
      </x:c>
      <x:c r="N1587" s="67" t="n">
        <x:v>-1</x:v>
      </x:c>
      <x:c r="O1587" s="67" t="n">
        <x:v>-1</x:v>
      </x:c>
      <x:c r="P1587" s="67" t="n">
        <x:f>IF(COUNT(N1587:O1587)=0,"",SUM(N1587:O1587))</x:f>
        <x:v>-2</x:v>
      </x:c>
      <x:c r="Q1587" s="65"/>
      <x:c r="R1587" s="65" t="str">
        <x:v>比分4-1</x:v>
      </x:c>
    </x:row>
    <x:row r="1588" ht="38" customHeight="1">
      <x:c r="A1588" s="65" t="str">
        <x:f>IF(B1588="","",TEXT(B1588,"yyyy-mm-dd")&amp;"|"&amp;D1588&amp;"|"&amp;E1588)</x:f>
        <x:v>2026-04-16|东孟加拉|班加罗尔</x:v>
      </x:c>
      <x:c r="B1588" s="66" t="n">
        <x:v>46128.916666666664</x:v>
      </x:c>
      <x:c r="C1588" s="65" t="str">
        <x:v>印度超级联赛（Indian Super League）</x:v>
      </x:c>
      <x:c r="D1588" s="65" t="str">
        <x:v>东孟加拉</x:v>
      </x:c>
      <x:c r="E1588" s="65" t="str">
        <x:v>班加罗尔</x:v>
      </x:c>
      <x:c r="F1588" s="65" t="str">
        <x:v>班加罗尔 +0.75</x:v>
      </x:c>
      <x:c r="G1588" s="65" t="str">
        <x:v>小 2.5</x:v>
      </x:c>
      <x:c r="H1588" s="65" t="str">
        <x:v>平局（小注）</x:v>
      </x:c>
      <x:c r="I1588" s="66" t="n">
        <x:v>46128.89145833333</x:v>
      </x:c>
      <x:c r="J1588" s="65" t="str">
        <x:v>已结算</x:v>
      </x:c>
      <x:c r="K1588" s="65" t="str">
        <x:v>3-3</x:v>
      </x:c>
      <x:c r="L1588" s="65" t="str">
        <x:v>赢</x:v>
      </x:c>
      <x:c r="M1588" s="65" t="str">
        <x:v>输</x:v>
      </x:c>
      <x:c r="N1588" s="67" t="n">
        <x:v>1</x:v>
      </x:c>
      <x:c r="O1588" s="67" t="n">
        <x:v>-1</x:v>
      </x:c>
      <x:c r="P1588" s="67" t="n">
        <x:f>IF(COUNT(N1588:O1588)=0,"",SUM(N1588:O1588))</x:f>
        <x:v>0</x:v>
      </x:c>
      <x:c r="Q1588" s="65"/>
      <x:c r="R1588" s="65" t="str">
        <x:v>完场 3-3；推荐：班加罗尔 +0.75 / 小 2.5</x:v>
      </x:c>
    </x:row>
    <x:row r="1589" ht="38" customHeight="1">
      <x:c r="A1589" s="65" t="str">
        <x:f>IF(B1589="","",TEXT(B1589,"yyyy-mm-dd")&amp;"|"&amp;D1589&amp;"|"&amp;E1589)</x:f>
        <x:v>2026-04-16|西雅图海湾人|老虎大学</x:v>
      </x:c>
      <x:c r="B1589" s="66" t="n">
        <x:v>46128.479166666664</x:v>
      </x:c>
      <x:c r="C1589" s="65" t="str">
        <x:v>中北美冠军杯（CONCACAF Champions Cup）</x:v>
      </x:c>
      <x:c r="D1589" s="65" t="str">
        <x:v>西雅图海湾人</x:v>
      </x:c>
      <x:c r="E1589" s="65" t="str">
        <x:v>老虎大学</x:v>
      </x:c>
      <x:c r="F1589" s="65" t="str">
        <x:v>老虎大学 -0/0.5（-0.25）</x:v>
      </x:c>
      <x:c r="G1589" s="65" t="str">
        <x:v>大 2.5/3（2.75）</x:v>
      </x:c>
      <x:c r="H1589" s="65" t="str">
        <x:v>老虎大学 平手（DNB）</x:v>
      </x:c>
      <x:c r="I1589" s="66" t="n">
        <x:v>46128.48305555555</x:v>
      </x:c>
      <x:c r="J1589" s="65" t="str">
        <x:v>已结算</x:v>
      </x:c>
      <x:c r="K1589" s="65" t="str">
        <x:v>3-1</x:v>
      </x:c>
      <x:c r="L1589" s="65" t="str">
        <x:v>输</x:v>
      </x:c>
      <x:c r="M1589" s="65" t="str">
        <x:v>赢</x:v>
      </x:c>
      <x:c r="N1589" s="67" t="n">
        <x:v>-1</x:v>
      </x:c>
      <x:c r="O1589" s="67" t="n">
        <x:v>1</x:v>
      </x:c>
      <x:c r="P1589" s="67" t="n">
        <x:f>IF(COUNT(N1589:O1589)=0,"",SUM(N1589:O1589))</x:f>
        <x:v>0</x:v>
      </x:c>
      <x:c r="Q1589" s="65"/>
      <x:c r="R1589" s="65" t="str">
        <x:v>完场 3-1；推荐：老虎大学 -0.25 / 大 2.75</x:v>
      </x:c>
    </x:row>
    <x:row r="1590" ht="38" customHeight="1">
      <x:c r="A1590" s="65" t="str">
        <x:f>IF(B1590="","",TEXT(B1590,"yyyy-mm-dd")&amp;"|"&amp;D1590&amp;"|"&amp;E1590)</x:f>
        <x:v>2026-04-16|洛杉矶银河|托卢卡</x:v>
      </x:c>
      <x:c r="B1590" s="66" t="n">
        <x:v>46128.375</x:v>
      </x:c>
      <x:c r="C1590" s="65" t="str">
        <x:v>中北美冠军杯（CONCACAF Champions Cup）</x:v>
      </x:c>
      <x:c r="D1590" s="65" t="str">
        <x:v>洛杉矶银河</x:v>
      </x:c>
      <x:c r="E1590" s="65" t="str">
        <x:v>托卢卡</x:v>
      </x:c>
      <x:c r="F1590" s="65" t="str">
        <x:v>托卢卡 -0/0.5（-0.25）</x:v>
      </x:c>
      <x:c r="G1590" s="65" t="str">
        <x:v>大 3</x:v>
      </x:c>
      <x:c r="H1590" s="65" t="str">
        <x:v>托卢卡 平手（DNB）</x:v>
      </x:c>
      <x:c r="I1590" s="66" t="n">
        <x:v>46128.4609837963</x:v>
      </x:c>
      <x:c r="J1590" s="65" t="str">
        <x:v>已结算</x:v>
      </x:c>
      <x:c r="K1590" s="65" t="str">
        <x:v>0-3</x:v>
      </x:c>
      <x:c r="L1590" s="65" t="str">
        <x:v>赢</x:v>
      </x:c>
      <x:c r="M1590" s="65" t="str">
        <x:v>走水</x:v>
      </x:c>
      <x:c r="N1590" s="67" t="n">
        <x:v>1</x:v>
      </x:c>
      <x:c r="O1590" s="67" t="n">
        <x:v>0</x:v>
      </x:c>
      <x:c r="P1590" s="67" t="n">
        <x:f>IF(COUNT(N1590:O1590)=0,"",SUM(N1590:O1590))</x:f>
        <x:v>1</x:v>
      </x:c>
      <x:c r="Q1590" s="65"/>
      <x:c r="R1590" s="65" t="str">
        <x:v>完场 0-3；推荐：托卢卡 -0.25 / 大 3</x:v>
      </x:c>
    </x:row>
    <x:row r="1591" ht="38" customHeight="1">
      <x:c r="A1591" s="65" t="str">
        <x:f>IF(B1591="","",TEXT(B1591,"yyyy-mm-dd")&amp;"|"&amp;D1591&amp;"|"&amp;E1591)</x:f>
        <x:v>2026-04-15|喀拉拉爆破手|东北联</x:v>
      </x:c>
      <x:c r="B1591" s="66" t="n">
        <x:v>46127.916666666664</x:v>
      </x:c>
      <x:c r="C1591" s="65" t="str">
        <x:v>印度超级联赛（Indian Super League）</x:v>
      </x:c>
      <x:c r="D1591" s="65" t="str">
        <x:v>喀拉拉爆破手</x:v>
      </x:c>
      <x:c r="E1591" s="65" t="str">
        <x:v>东北联</x:v>
      </x:c>
      <x:c r="F1591" s="65" t="str">
        <x:v>东北联 +0.25</x:v>
      </x:c>
      <x:c r="G1591" s="65" t="str">
        <x:v>小 2.5</x:v>
      </x:c>
      <x:c r="H1591" s="65" t="str">
        <x:v>平局（小注）</x:v>
      </x:c>
      <x:c r="I1591" s="66" t="n">
        <x:v>46127.89796296296</x:v>
      </x:c>
      <x:c r="J1591" s="65" t="str">
        <x:v>已结算</x:v>
      </x:c>
      <x:c r="K1591" s="65" t="str">
        <x:v>1-1</x:v>
      </x:c>
      <x:c r="L1591" s="65" t="str">
        <x:v>赢半</x:v>
      </x:c>
      <x:c r="M1591" s="65" t="str">
        <x:v>赢</x:v>
      </x:c>
      <x:c r="N1591" s="67" t="n">
        <x:v>0.5</x:v>
      </x:c>
      <x:c r="O1591" s="67" t="n">
        <x:v>1</x:v>
      </x:c>
      <x:c r="P1591" s="67" t="n">
        <x:f>IF(COUNT(N1591:O1591)=0,"",SUM(N1591:O1591))</x:f>
        <x:v>1.5</x:v>
      </x:c>
      <x:c r="Q1591" s="65"/>
      <x:c r="R1591" s="65" t="str">
        <x:v>完场 1-1；推荐：东北联 +0.25 / 小 2.5</x:v>
      </x:c>
    </x:row>
    <x:row r="1592" ht="38" customHeight="1">
      <x:c r="A1592" s="65" t="str">
        <x:f>IF(B1592="","",TEXT(B1592,"yyyy-mm-dd")&amp;"|"&amp;D1592&amp;"|"&amp;E1592)</x:f>
        <x:v>2026-04-15|马可尼（Marconi Stallions）|达尔维奇希尔</x:v>
      </x:c>
      <x:c r="B1592" s="66" t="n">
        <x:v>46127.729166666664</x:v>
      </x:c>
      <x:c r="C1592" s="65" t="str">
        <x:v>澳大利亚 维多利亚州超级联赛1（VPL1）</x:v>
      </x:c>
      <x:c r="D1592" s="65" t="str">
        <x:v>马可尼（Marconi Stallions）</x:v>
      </x:c>
      <x:c r="E1592" s="65" t="str">
        <x:v>达尔维奇希尔</x:v>
      </x:c>
      <x:c r="F1592" s="65" t="str">
        <x:v>马可尼（Marconi Stallions） -2.5</x:v>
      </x:c>
      <x:c r="G1592" s="65" t="str">
        <x:v>小 3.5/4（3.75）</x:v>
      </x:c>
      <x:c r="H1592" s="65" t="str">
        <x:v>马可尼（Marconi Stallions） -2（若临场仍≥0.80）</x:v>
      </x:c>
      <x:c r="I1592" s="66" t="n">
        <x:v>46126.713159722225</x:v>
      </x:c>
      <x:c r="J1592" s="65" t="str">
        <x:v>已结算</x:v>
      </x:c>
      <x:c r="K1592" s="65" t="str">
        <x:v>4-1</x:v>
      </x:c>
      <x:c r="L1592" s="65" t="str">
        <x:v>赢</x:v>
      </x:c>
      <x:c r="M1592" s="65" t="str">
        <x:v>输</x:v>
      </x:c>
      <x:c r="N1592" s="67" t="n">
        <x:v>1</x:v>
      </x:c>
      <x:c r="O1592" s="67" t="n">
        <x:v>-1</x:v>
      </x:c>
      <x:c r="P1592" s="67" t="n">
        <x:f>IF(COUNT(N1592:O1592)=0,"",SUM(N1592:O1592))</x:f>
        <x:v>0</x:v>
      </x:c>
      <x:c r="Q1592" s="65"/>
      <x:c r="R1592" s="65" t="str">
        <x:v>完场 4-1；推荐：马可尼（Marconi Stallions） -2.5 / 小 3.75</x:v>
      </x:c>
    </x:row>
    <x:row r="1593" ht="38" customHeight="1">
      <x:c r="A1593" s="65" t="str">
        <x:f>IF(B1593="","",TEXT(B1593,"yyyy-mm-dd")&amp;"|"&amp;D1593&amp;"|"&amp;E1593)</x:f>
        <x:v>2026-04-15|墨西哥美洲|纳什维尔</x:v>
      </x:c>
      <x:c r="B1593" s="66" t="n">
        <x:v>46127.479166666664</x:v>
      </x:c>
      <x:c r="C1593" s="65" t="str">
        <x:v>中北美冠军杯（CONCACAF Champions Cup）</x:v>
      </x:c>
      <x:c r="D1593" s="65" t="str">
        <x:v>墨西哥美洲</x:v>
      </x:c>
      <x:c r="E1593" s="65" t="str">
        <x:v>纳什维尔</x:v>
      </x:c>
      <x:c r="F1593" s="65" t="str">
        <x:v>墨西哥美洲 -0.5/1（-0.75）</x:v>
      </x:c>
      <x:c r="G1593" s="65" t="str">
        <x:v>小 2.5</x:v>
      </x:c>
      <x:c r="H1593" s="65" t="str">
        <x:v>纳什维尔 +1（若临场仍≥0.80）</x:v>
      </x:c>
      <x:c r="I1593" s="66" t="n">
        <x:v>46127.434282407405</x:v>
      </x:c>
      <x:c r="J1593" s="65" t="str">
        <x:v>已结算</x:v>
      </x:c>
      <x:c r="K1593" s="65" t="str">
        <x:v>0-1</x:v>
      </x:c>
      <x:c r="L1593" s="65" t="str">
        <x:v>输</x:v>
      </x:c>
      <x:c r="M1593" s="65" t="str">
        <x:v>赢</x:v>
      </x:c>
      <x:c r="N1593" s="67" t="n">
        <x:v>-1</x:v>
      </x:c>
      <x:c r="O1593" s="67" t="n">
        <x:v>1</x:v>
      </x:c>
      <x:c r="P1593" s="67" t="n">
        <x:f>IF(COUNT(N1593:O1593)=0,"",SUM(N1593:O1593))</x:f>
        <x:v>0</x:v>
      </x:c>
      <x:c r="Q1593" s="65"/>
      <x:c r="R1593" s="65" t="str">
        <x:v>完场 0-1；推荐：墨西哥美洲 -0.75 / 小 2.5</x:v>
      </x:c>
    </x:row>
    <x:row r="1594" ht="38" customHeight="1">
      <x:c r="A1594" s="65" t="str">
        <x:f>IF(B1594="","",TEXT(B1594,"yyyy-mm-dd")&amp;"|"&amp;D1594&amp;"|"&amp;E1594)</x:f>
        <x:v>2026-04-15|蓝十字|洛杉矶FC</x:v>
      </x:c>
      <x:c r="B1594" s="66" t="n">
        <x:v>46127.375</x:v>
      </x:c>
      <x:c r="C1594" s="65" t="str">
        <x:v>中北美冠军杯（CONCACAF Champions Cup）</x:v>
      </x:c>
      <x:c r="D1594" s="65" t="str">
        <x:v>蓝十字</x:v>
      </x:c>
      <x:c r="E1594" s="65" t="str">
        <x:v>洛杉矶FC</x:v>
      </x:c>
      <x:c r="F1594" s="65" t="str">
        <x:v>蓝十字 -0.5/1（-0.75）</x:v>
      </x:c>
      <x:c r="G1594" s="65" t="str">
        <x:v>大 3</x:v>
      </x:c>
      <x:c r="H1594" s="65" t="str">
        <x:v>蓝十字 -0.5（若临场仍≥0.80）</x:v>
      </x:c>
      <x:c r="I1594" s="66" t="n">
        <x:v>46127.33284722222</x:v>
      </x:c>
      <x:c r="J1594" s="65" t="str">
        <x:v>已结算</x:v>
      </x:c>
      <x:c r="K1594" s="65" t="str">
        <x:v>1-1</x:v>
      </x:c>
      <x:c r="L1594" s="65" t="str">
        <x:v>输</x:v>
      </x:c>
      <x:c r="M1594" s="65" t="str">
        <x:v>输</x:v>
      </x:c>
      <x:c r="N1594" s="67" t="n">
        <x:v>-1</x:v>
      </x:c>
      <x:c r="O1594" s="67" t="n">
        <x:v>-1</x:v>
      </x:c>
      <x:c r="P1594" s="67" t="n">
        <x:f>IF(COUNT(N1594:O1594)=0,"",SUM(N1594:O1594))</x:f>
        <x:v>-2</x:v>
      </x:c>
      <x:c r="Q1594" s="65"/>
      <x:c r="R1594" s="65" t="str">
        <x:v>完场 1-1；推荐：蓝十字 -0.75 / 大 3</x:v>
      </x:c>
    </x:row>
    <x:row r="1595" ht="38" customHeight="1">
      <x:c r="A1595" s="65" t="str">
        <x:f>IF(B1595="","",TEXT(B1595,"yyyy-mm-dd")&amp;"|"&amp;D1595&amp;"|"&amp;E1595)</x:f>
        <x:v>2026-04-15|朴茨茅斯|伊普斯维奇</x:v>
      </x:c>
      <x:c r="B1595" s="66" t="n">
        <x:v>46127.125</x:v>
      </x:c>
      <x:c r="C1595" s="65" t="str">
        <x:v>英格兰冠军联赛（英冠）</x:v>
      </x:c>
      <x:c r="D1595" s="65" t="str">
        <x:v>朴茨茅斯</x:v>
      </x:c>
      <x:c r="E1595" s="65" t="str">
        <x:v>伊普斯维奇</x:v>
      </x:c>
      <x:c r="F1595" s="65" t="str">
        <x:v>伊普斯维奇 -0.5</x:v>
      </x:c>
      <x:c r="G1595" s="65" t="str">
        <x:v>小 2/2.5（2.25）</x:v>
      </x:c>
      <x:c r="H1595" s="65" t="str">
        <x:v>双方进球 否</x:v>
      </x:c>
      <x:c r="I1595" s="66" t="n">
        <x:v>46127.09795138889</x:v>
      </x:c>
      <x:c r="J1595" s="65" t="str">
        <x:v>已结算</x:v>
      </x:c>
      <x:c r="K1595" s="65" t="str">
        <x:v>2-0</x:v>
      </x:c>
      <x:c r="L1595" s="65" t="str">
        <x:v>输</x:v>
      </x:c>
      <x:c r="M1595" s="65" t="str">
        <x:v>赢半</x:v>
      </x:c>
      <x:c r="N1595" s="67" t="n">
        <x:v>-1</x:v>
      </x:c>
      <x:c r="O1595" s="67" t="n">
        <x:v>0.5</x:v>
      </x:c>
      <x:c r="P1595" s="67" t="n">
        <x:f>IF(COUNT(N1595:O1595)=0,"",SUM(N1595:O1595))</x:f>
        <x:v>-0.5</x:v>
      </x:c>
      <x:c r="Q1595" s="65"/>
      <x:c r="R1595" s="65" t="str">
        <x:v>完场 2-0；推荐：伊普斯维奇 -0.5 / 小 2.25</x:v>
      </x:c>
    </x:row>
    <x:row r="1596" ht="38" customHeight="1">
      <x:c r="A1596" s="65" t="str">
        <x:f>IF(B1596="","",TEXT(B1596,"yyyy-mm-dd")&amp;"|"&amp;D1596&amp;"|"&amp;E1596)</x:f>
        <x:v>2026-04-15|南安普顿|布莱克本流浪者</x:v>
      </x:c>
      <x:c r="B1596" s="66" t="n">
        <x:v>46127.125</x:v>
      </x:c>
      <x:c r="C1596" s="65" t="str">
        <x:v>英格兰冠军联赛（英冠）</x:v>
      </x:c>
      <x:c r="D1596" s="65" t="str">
        <x:v>南安普顿</x:v>
      </x:c>
      <x:c r="E1596" s="65" t="str">
        <x:v>布莱克本流浪者</x:v>
      </x:c>
      <x:c r="F1596" s="65" t="str">
        <x:v>南安普顿 -1</x:v>
      </x:c>
      <x:c r="G1596" s="65" t="str">
        <x:v>小 2.5</x:v>
      </x:c>
      <x:c r="H1596" s="65" t="str">
        <x:v>南安普顿 零封获胜</x:v>
      </x:c>
      <x:c r="I1596" s="66" t="n">
        <x:v>46127.046875</x:v>
      </x:c>
      <x:c r="J1596" s="65" t="str">
        <x:v>已结算</x:v>
      </x:c>
      <x:c r="K1596" s="65" t="str">
        <x:v>3-0</x:v>
      </x:c>
      <x:c r="L1596" s="65" t="str">
        <x:v>赢</x:v>
      </x:c>
      <x:c r="M1596" s="65" t="str">
        <x:v>输</x:v>
      </x:c>
      <x:c r="N1596" s="67" t="n">
        <x:v>1</x:v>
      </x:c>
      <x:c r="O1596" s="67" t="n">
        <x:v>-1</x:v>
      </x:c>
      <x:c r="P1596" s="67" t="n">
        <x:f>IF(COUNT(N1596:O1596)=0,"",SUM(N1596:O1596))</x:f>
        <x:v>0</x:v>
      </x:c>
      <x:c r="Q1596" s="65"/>
      <x:c r="R1596" s="65" t="str">
        <x:v>完场 3-0；推荐：南安普顿 -1 / 小 2.5</x:v>
      </x:c>
    </x:row>
    <x:row r="1597" ht="38" customHeight="1">
      <x:c r="A1597" s="65" t="str">
        <x:f>IF(B1597="","",TEXT(B1597,"yyyy-mm-dd")&amp;"|"&amp;D1597&amp;"|"&amp;E1597)</x:f>
        <x:v>2026-04-15|马德里竞技|巴塞罗那</x:v>
      </x:c>
      <x:c r="B1597" s="66" t="n">
        <x:v>46127.125</x:v>
      </x:c>
      <x:c r="C1597" s="65" t="str">
        <x:v>欧洲冠军联赛（UEFA Champions League）</x:v>
      </x:c>
      <x:c r="D1597" s="65" t="str">
        <x:v>马德里竞技</x:v>
      </x:c>
      <x:c r="E1597" s="65" t="str">
        <x:v>巴塞罗那</x:v>
      </x:c>
      <x:c r="F1597" s="65" t="str">
        <x:v>马德里竞技 +0.5/1（+0.75）</x:v>
      </x:c>
      <x:c r="G1597" s="65" t="str">
        <x:v>小 3/3.5（3.25）</x:v>
      </x:c>
      <x:c r="H1597" s="65" t="str">
        <x:v>马德里竞技 +0.5（若临场仍≥0.80）</x:v>
      </x:c>
      <x:c r="I1597" s="66" t="n">
        <x:v>46126.800520833334</x:v>
      </x:c>
      <x:c r="J1597" s="65" t="str">
        <x:v>已结算</x:v>
      </x:c>
      <x:c r="K1597" s="65" t="str">
        <x:v>1-2</x:v>
      </x:c>
      <x:c r="L1597" s="65" t="str">
        <x:v>输半</x:v>
      </x:c>
      <x:c r="M1597" s="65" t="str">
        <x:v>赢半</x:v>
      </x:c>
      <x:c r="N1597" s="67" t="n">
        <x:v>-0.5</x:v>
      </x:c>
      <x:c r="O1597" s="67" t="n">
        <x:v>0.5</x:v>
      </x:c>
      <x:c r="P1597" s="67" t="n">
        <x:f>IF(COUNT(N1597:O1597)=0,"",SUM(N1597:O1597))</x:f>
        <x:v>0</x:v>
      </x:c>
      <x:c r="Q1597" s="65"/>
      <x:c r="R1597" s="65" t="str">
        <x:v>完场 1-2；推荐：马德里竞技 +0.75 / 小 3.25</x:v>
      </x:c>
    </x:row>
    <x:row r="1598" ht="38" customHeight="1">
      <x:c r="A1598" s="65" t="str">
        <x:f>IF(B1598="","",TEXT(B1598,"yyyy-mm-dd")&amp;"|"&amp;D1598&amp;"|"&amp;E1598)</x:f>
        <x:v>2026-04-14|萨斯菲尔德|科尔多瓦中央（圣地亚哥）</x:v>
      </x:c>
      <x:c r="B1598" s="66" t="n">
        <x:v>46126.354166666664</x:v>
      </x:c>
      <x:c r="C1598" s="65" t="str">
        <x:v>阿根廷职业联赛（Liga Profesional·Apertura）</x:v>
      </x:c>
      <x:c r="D1598" s="65" t="str">
        <x:v>萨斯菲尔德</x:v>
      </x:c>
      <x:c r="E1598" s="65" t="str">
        <x:v>科尔多瓦中央（圣地亚哥）</x:v>
      </x:c>
      <x:c r="F1598" s="65" t="str">
        <x:v>萨斯菲尔德 -1/1.5（-1.25）</x:v>
      </x:c>
      <x:c r="G1598" s="65" t="str">
        <x:v>小 2/2.5（2.25）</x:v>
      </x:c>
      <x:c r="H1598" s="65" t="str">
        <x:v>萨斯菲尔德 -1（若临场仍≥0.80）</x:v>
      </x:c>
      <x:c r="I1598" s="66" t="n">
        <x:v>46126.32027777778</x:v>
      </x:c>
      <x:c r="J1598" s="65" t="str">
        <x:v>已结算</x:v>
      </x:c>
      <x:c r="K1598" s="65" t="str">
        <x:v>1-0</x:v>
      </x:c>
      <x:c r="L1598" s="65" t="str">
        <x:v>输半</x:v>
      </x:c>
      <x:c r="M1598" s="65" t="str">
        <x:v>赢</x:v>
      </x:c>
      <x:c r="N1598" s="67" t="n">
        <x:v>-0.5</x:v>
      </x:c>
      <x:c r="O1598" s="67" t="n">
        <x:v>1</x:v>
      </x:c>
      <x:c r="P1598" s="67" t="n">
        <x:f>IF(COUNT(N1598:O1598)=0,"",SUM(N1598:O1598))</x:f>
        <x:v>0.5</x:v>
      </x:c>
      <x:c r="Q1598" s="65"/>
      <x:c r="R1598" s="65" t="str">
        <x:v>完场 1-0；推荐：萨斯菲尔德 -1.25 / 小 2.25</x:v>
      </x:c>
    </x:row>
    <x:row r="1599" ht="38" customHeight="1">
      <x:c r="A1599" s="65" t="str">
        <x:f>IF(B1599="","",TEXT(B1599,"yyyy-mm-dd")&amp;"|"&amp;D1599&amp;"|"&amp;E1599)</x:f>
        <x:v>2026-04-14|皇家托马亚波|皇家波托斯</x:v>
      </x:c>
      <x:c r="B1599" s="66" t="n">
        <x:v>46126.333333333336</x:v>
      </x:c>
      <x:c r="C1599" s="65" t="str">
        <x:v>玻利维亚甲级联赛</x:v>
      </x:c>
      <x:c r="D1599" s="65" t="str">
        <x:v>皇家托马亚波</x:v>
      </x:c>
      <x:c r="E1599" s="65" t="str">
        <x:v>皇家波托斯</x:v>
      </x:c>
      <x:c r="F1599" s="65" t="str">
        <x:v>皇家托马亚波 -0.5/1（-0.75）</x:v>
      </x:c>
      <x:c r="G1599" s="65" t="str">
        <x:v>小 3/3.5（3.25）</x:v>
      </x:c>
      <x:c r="H1599" s="65" t="str">
        <x:v>双方进球 否</x:v>
      </x:c>
      <x:c r="I1599" s="66" t="n">
        <x:v>46126.296793981484</x:v>
      </x:c>
      <x:c r="J1599" s="65" t="str">
        <x:v>已结算</x:v>
      </x:c>
      <x:c r="K1599" s="65" t="str">
        <x:v>1-1</x:v>
      </x:c>
      <x:c r="L1599" s="65" t="str">
        <x:v>输</x:v>
      </x:c>
      <x:c r="M1599" s="65" t="str">
        <x:v>赢</x:v>
      </x:c>
      <x:c r="N1599" s="67" t="n">
        <x:v>-1</x:v>
      </x:c>
      <x:c r="O1599" s="67" t="n">
        <x:v>1</x:v>
      </x:c>
      <x:c r="P1599" s="67" t="n">
        <x:f>IF(COUNT(N1599:O1599)=0,"",SUM(N1599:O1599))</x:f>
        <x:v>0</x:v>
      </x:c>
      <x:c r="Q1599" s="65"/>
      <x:c r="R1599" s="65" t="str">
        <x:v>完场 1-1；推荐：皇家托马亚波 -0.75 / 小 3.25</x:v>
      </x:c>
    </x:row>
    <x:row r="1600" ht="38" customHeight="1">
      <x:c r="A1600" s="65" t="str">
        <x:f>IF(B1600="","",TEXT(B1600,"yyyy-mm-dd")&amp;"|"&amp;D1600&amp;"|"&amp;E1600)</x:f>
        <x:v>2026-04-13|吉达国民|杜海勒</x:v>
      </x:c>
      <x:c r="B1600" s="66" t="n">
        <x:v>46125.947916666664</x:v>
      </x:c>
      <x:c r="C1600" s="65" t="str">
        <x:v>亚冠精英</x:v>
      </x:c>
      <x:c r="D1600" s="65" t="str">
        <x:v>吉达国民</x:v>
      </x:c>
      <x:c r="E1600" s="65" t="str">
        <x:v>杜海勒</x:v>
      </x:c>
      <x:c r="F1600" s="65" t="str">
        <x:v>吉达国民 -1/1.5（-1.25）</x:v>
      </x:c>
      <x:c r="G1600" s="65" t="str">
        <x:v>大 2.75</x:v>
      </x:c>
      <x:c r="H1600" s="65" t="str">
        <x:v>双方进球 是</x:v>
      </x:c>
      <x:c r="I1600" s="66" t="n">
        <x:v>46126.030497685184</x:v>
      </x:c>
      <x:c r="J1600" s="65" t="str">
        <x:v>已结算</x:v>
      </x:c>
      <x:c r="K1600" s="65" t="str">
        <x:v>1-0</x:v>
      </x:c>
      <x:c r="L1600" s="65" t="str">
        <x:v>输半</x:v>
      </x:c>
      <x:c r="M1600" s="65" t="str">
        <x:v>输</x:v>
      </x:c>
      <x:c r="N1600" s="67" t="n">
        <x:v>-0.5</x:v>
      </x:c>
      <x:c r="O1600" s="67" t="n">
        <x:v>-1</x:v>
      </x:c>
      <x:c r="P1600" s="67" t="n">
        <x:f>IF(COUNT(N1600:O1600)=0,"",SUM(N1600:O1600))</x:f>
        <x:v>-1.5</x:v>
      </x:c>
      <x:c r="Q1600" s="65"/>
      <x:c r="R1600" s="65" t="str">
        <x:v>完场 1-0（加时）；推荐：吉达国民 -1.25 / 大 2.75</x:v>
      </x:c>
    </x:row>
    <x:row r="1601" ht="38" customHeight="1">
      <x:c r="A1601" s="65" t="str">
        <x:f>IF(B1601="","",TEXT(B1601,"yyyy-mm-dd")&amp;"|"&amp;D1601&amp;"|"&amp;E1601)</x:f>
        <x:v>2026-04-13|波哥大国际|阿利安萨</x:v>
      </x:c>
      <x:c r="B1601" s="66" t="n">
        <x:v>46125.395833333336</x:v>
      </x:c>
      <x:c r="C1601" s="65" t="str">
        <x:v>哥伦比亚甲级联赛（Liga BetPlay DIMAYOR）</x:v>
      </x:c>
      <x:c r="D1601" s="65" t="str">
        <x:v>波哥大国际</x:v>
      </x:c>
      <x:c r="E1601" s="65" t="str">
        <x:v>阿利安萨</x:v>
      </x:c>
      <x:c r="F1601" s="65" t="str">
        <x:v>阿利安萨 +0.5</x:v>
      </x:c>
      <x:c r="G1601" s="65" t="str">
        <x:v>小 2.25</x:v>
      </x:c>
      <x:c r="H1601" s="65" t="str">
        <x:v>平局小注 0-0、1-1</x:v>
      </x:c>
      <x:c r="I1601" s="66" t="n">
        <x:v>46125.3771875</x:v>
      </x:c>
      <x:c r="J1601" s="65" t="str">
        <x:v>已结算</x:v>
      </x:c>
      <x:c r="K1601" s="65" t="str">
        <x:v>2-1</x:v>
      </x:c>
      <x:c r="L1601" s="65" t="str">
        <x:v>输</x:v>
      </x:c>
      <x:c r="M1601" s="65" t="str">
        <x:v>输</x:v>
      </x:c>
      <x:c r="N1601" s="67" t="n">
        <x:v>-1</x:v>
      </x:c>
      <x:c r="O1601" s="67" t="n">
        <x:v>-1</x:v>
      </x:c>
      <x:c r="P1601" s="67" t="n">
        <x:f>IF(COUNT(N1601:O1601)=0,"",SUM(N1601:O1601))</x:f>
        <x:v>-2</x:v>
      </x:c>
      <x:c r="Q1601" s="65"/>
      <x:c r="R1601" s="65" t="str">
        <x:v>完场 2-1；推荐：阿利安萨 +0.5 / 小 2.25</x:v>
      </x:c>
    </x:row>
    <x:row r="1602" ht="38" customHeight="1">
      <x:c r="A1602" s="65" t="str">
        <x:f>IF(B1602="","",TEXT(B1602,"yyyy-mm-dd")&amp;"|"&amp;D1602&amp;"|"&amp;E1602)</x:f>
        <x:v>2026-04-13|托卢卡|圣路易斯竞技</x:v>
      </x:c>
      <x:c r="B1602" s="66" t="n">
        <x:v>46125.375</x:v>
      </x:c>
      <x:c r="C1602" s="65" t="str">
        <x:v>墨西哥超（Liga MX，Clausura）</x:v>
      </x:c>
      <x:c r="D1602" s="65" t="str">
        <x:v>托卢卡</x:v>
      </x:c>
      <x:c r="E1602" s="65" t="str">
        <x:v>圣路易斯竞技</x:v>
      </x:c>
      <x:c r="F1602" s="65" t="str">
        <x:v>托卢卡 -1.25</x:v>
      </x:c>
      <x:c r="G1602" s="65" t="str">
        <x:v>大 3.0</x:v>
      </x:c>
      <x:c r="H1602" s="65" t="str">
        <x:v>比分小注 2-1、3-1</x:v>
      </x:c>
      <x:c r="I1602" s="66" t="n">
        <x:v>46125.38165509259</x:v>
      </x:c>
      <x:c r="J1602" s="65" t="str">
        <x:v>已结算</x:v>
      </x:c>
      <x:c r="K1602" s="65" t="str">
        <x:v>1-1</x:v>
      </x:c>
      <x:c r="L1602" s="65" t="str">
        <x:v>输</x:v>
      </x:c>
      <x:c r="M1602" s="65" t="str">
        <x:v>输</x:v>
      </x:c>
      <x:c r="N1602" s="67" t="n">
        <x:v>-1</x:v>
      </x:c>
      <x:c r="O1602" s="67" t="n">
        <x:v>-1</x:v>
      </x:c>
      <x:c r="P1602" s="67" t="n">
        <x:f>IF(COUNT(N1602:O1602)=0,"",SUM(N1602:O1602))</x:f>
        <x:v>-2</x:v>
      </x:c>
      <x:c r="Q1602" s="65"/>
      <x:c r="R1602" s="65" t="str">
        <x:v>完场 1-1；推荐：托卢卡 -1.25 / 大 3.0</x:v>
      </x:c>
    </x:row>
    <x:row r="1603" ht="38" customHeight="1">
      <x:c r="A1603" s="65" t="str">
        <x:f>IF(B1603="","",TEXT(B1603,"yyyy-mm-dd")&amp;"|"&amp;D1603&amp;"|"&amp;E1603)</x:f>
        <x:v>2026-04-13|布卡拉曼加|博亚卡奇科</x:v>
      </x:c>
      <x:c r="B1603" s="66" t="n">
        <x:v>46125.305555555555</x:v>
      </x:c>
      <x:c r="C1603" s="65" t="str">
        <x:v>哥伦比亚甲级联赛（Liga BetPlay DIMAYOR）</x:v>
      </x:c>
      <x:c r="D1603" s="65" t="str">
        <x:v>布卡拉曼加</x:v>
      </x:c>
      <x:c r="E1603" s="65" t="str">
        <x:v>博亚卡奇科</x:v>
      </x:c>
      <x:c r="F1603" s="65" t="str">
        <x:v>博亚卡奇科 +1.5</x:v>
      </x:c>
      <x:c r="G1603" s="65" t="str">
        <x:v>小 2.5</x:v>
      </x:c>
      <x:c r="H1603" s="65" t="str">
        <x:v>比分小注 1-0、1-1</x:v>
      </x:c>
      <x:c r="I1603" s="66" t="n">
        <x:v>46125.28818287037</x:v>
      </x:c>
      <x:c r="J1603" s="65" t="str">
        <x:v>已结算</x:v>
      </x:c>
      <x:c r="K1603" s="65" t="str">
        <x:v>5-0</x:v>
      </x:c>
      <x:c r="L1603" s="65" t="str">
        <x:v>输</x:v>
      </x:c>
      <x:c r="M1603" s="65" t="str">
        <x:v>输</x:v>
      </x:c>
      <x:c r="N1603" s="67" t="n">
        <x:v>-1</x:v>
      </x:c>
      <x:c r="O1603" s="67" t="n">
        <x:v>-1</x:v>
      </x:c>
      <x:c r="P1603" s="67" t="n">
        <x:f>IF(COUNT(N1603:O1603)=0,"",SUM(N1603:O1603))</x:f>
        <x:v>-2</x:v>
      </x:c>
      <x:c r="Q1603" s="65"/>
      <x:c r="R1603" s="65" t="str">
        <x:v>完场 5-0；推荐：博亚卡奇科 +1.5 / 小 2.5</x:v>
      </x:c>
    </x:row>
    <x:row r="1604" ht="38" customHeight="1">
      <x:c r="A1604" s="65" t="str">
        <x:f>IF(B1604="","",TEXT(B1604,"yyyy-mm-dd")&amp;"|"&amp;D1604&amp;"|"&amp;E1604)</x:f>
        <x:v>2026-04-12|万隆|巴厘联</x:v>
      </x:c>
      <x:c r="B1604" s="66" t="n">
        <x:v>46124.833333333336</x:v>
      </x:c>
      <x:c r="C1604" s="65" t="str">
        <x:v>印度尼西亚超级联赛（印尼超/Liga 1 Indonesia）</x:v>
      </x:c>
      <x:c r="D1604" s="65" t="str">
        <x:v>万隆</x:v>
      </x:c>
      <x:c r="E1604" s="65" t="str">
        <x:v>巴厘联</x:v>
      </x:c>
      <x:c r="F1604" s="65" t="str">
        <x:v>万隆 -1</x:v>
      </x:c>
      <x:c r="G1604" s="65" t="str">
        <x:v>大 3.0</x:v>
      </x:c>
      <x:c r="H1604" s="65" t="str">
        <x:v>比分小注 2-1、3-1</x:v>
      </x:c>
      <x:c r="I1604" s="66" t="n">
        <x:v>46124.84</x:v>
      </x:c>
      <x:c r="J1604" s="65" t="str">
        <x:v>已结算</x:v>
      </x:c>
      <x:c r="K1604" s="65"/>
      <x:c r="L1604" s="65" t="str">
        <x:v>走水</x:v>
      </x:c>
      <x:c r="M1604" s="65" t="str">
        <x:v>赢</x:v>
      </x:c>
      <x:c r="N1604" s="67" t="n">
        <x:v>0</x:v>
      </x:c>
      <x:c r="O1604" s="67" t="n">
        <x:v>1</x:v>
      </x:c>
      <x:c r="P1604" s="67" t="n">
        <x:f>IF(COUNT(N1604:O1604)=0,"",SUM(N1604:O1604))</x:f>
        <x:v>1</x:v>
      </x:c>
      <x:c r="Q1604" s="65"/>
      <x:c r="R1604" s="65" t="str">
        <x:v>终场 3比2；让球：万隆 -1 走水；大小：大 3.0 赢。</x:v>
      </x:c>
    </x:row>
    <x:row r="1605" ht="38" customHeight="1">
      <x:c r="A1605" s="65" t="str">
        <x:f>IF(B1605="","",TEXT(B1605,"yyyy-mm-dd")&amp;"|"&amp;D1605&amp;"|"&amp;E1605)</x:f>
        <x:v>2026-04-12|马鲁特联|德瓦联</x:v>
      </x:c>
      <x:c r="B1605" s="66" t="n">
        <x:v>46124.833333333336</x:v>
      </x:c>
      <x:c r="C1605" s="65" t="str">
        <x:v>印度尼西亚超级联赛（印尼超/Liga 1 Indonesia）</x:v>
      </x:c>
      <x:c r="D1605" s="65" t="str">
        <x:v>马鲁特联</x:v>
      </x:c>
      <x:c r="E1605" s="65" t="str">
        <x:v>德瓦联</x:v>
      </x:c>
      <x:c r="F1605" s="65" t="str">
        <x:v>马鲁特联 -0.5</x:v>
      </x:c>
      <x:c r="G1605" s="65" t="str">
        <x:v>大 3.0</x:v>
      </x:c>
      <x:c r="H1605" s="65" t="str">
        <x:v>双方进球 是</x:v>
      </x:c>
      <x:c r="I1605" s="66" t="n">
        <x:v>46124.836388888885</x:v>
      </x:c>
      <x:c r="J1605" s="65" t="str">
        <x:v>已结算</x:v>
      </x:c>
      <x:c r="K1605" s="65"/>
      <x:c r="L1605" s="65" t="str">
        <x:v>输</x:v>
      </x:c>
      <x:c r="M1605" s="65" t="str">
        <x:v>走水</x:v>
      </x:c>
      <x:c r="N1605" s="67" t="n">
        <x:v>-1</x:v>
      </x:c>
      <x:c r="O1605" s="67" t="n">
        <x:v>0</x:v>
      </x:c>
      <x:c r="P1605" s="67" t="n">
        <x:f>IF(COUNT(N1605:O1605)=0,"",SUM(N1605:O1605))</x:f>
        <x:v>-1</x:v>
      </x:c>
      <x:c r="Q1605" s="65"/>
      <x:c r="R1605" s="65" t="str">
        <x:v>终场 1比2；让球：马鲁特联 -0.5 输；大小：大 3.0 走水。</x:v>
      </x:c>
    </x:row>
    <x:row r="1606" ht="38" customHeight="1">
      <x:c r="A1606" s="65" t="str">
        <x:f>IF(B1606="","",TEXT(B1606,"yyyy-mm-dd")&amp;"|"&amp;D1606&amp;"|"&amp;E1606)</x:f>
        <x:v>2026-04-12|莫亨巴根|旁遮普</x:v>
      </x:c>
      <x:c r="B1606" s="66" t="n">
        <x:v>46124.8125</x:v>
      </x:c>
      <x:c r="C1606" s="65" t="str">
        <x:v>印度超级联赛（Indian Super League）</x:v>
      </x:c>
      <x:c r="D1606" s="65" t="str">
        <x:v>莫亨巴根</x:v>
      </x:c>
      <x:c r="E1606" s="65" t="str">
        <x:v>旁遮普</x:v>
      </x:c>
      <x:c r="F1606" s="65" t="str">
        <x:v>莫亨巴根 -1</x:v>
      </x:c>
      <x:c r="G1606" s="65" t="str">
        <x:v>大 2.5</x:v>
      </x:c>
      <x:c r="H1606" s="65" t="str">
        <x:v>莫亨巴根胜 &amp; 大1.5</x:v>
      </x:c>
      <x:c r="I1606" s="66" t="n">
        <x:v>46124.92626157407</x:v>
      </x:c>
      <x:c r="J1606" s="65" t="str">
        <x:v>已结算</x:v>
      </x:c>
      <x:c r="K1606" s="65"/>
      <x:c r="L1606" s="65" t="str">
        <x:v>走水</x:v>
      </x:c>
      <x:c r="M1606" s="65" t="str">
        <x:v>赢</x:v>
      </x:c>
      <x:c r="N1606" s="67" t="n">
        <x:v>0</x:v>
      </x:c>
      <x:c r="O1606" s="67" t="n">
        <x:v>1</x:v>
      </x:c>
      <x:c r="P1606" s="67" t="n">
        <x:f>IF(COUNT(N1606:O1606)=0,"",SUM(N1606:O1606))</x:f>
        <x:v>1</x:v>
      </x:c>
      <x:c r="Q1606" s="65"/>
      <x:c r="R1606" s="65" t="str">
        <x:v>终场 3比2；让球：莫亨巴根 -1 走水；大小：大 2.5 赢。</x:v>
      </x:c>
    </x:row>
    <x:row r="1607" ht="38" customHeight="1">
      <x:c r="A1607" s="65" t="str">
        <x:f>IF(B1607="","",TEXT(B1607,"yyyy-mm-dd")&amp;"|"&amp;D1607&amp;"|"&amp;E1607)</x:f>
        <x:v>2026-04-12|波鸿|布伦瑞克</x:v>
      </x:c>
      <x:c r="B1607" s="66" t="n">
        <x:v>46124.8125</x:v>
      </x:c>
      <x:c r="C1607" s="65" t="str">
        <x:v>德国乙级联赛（2. Bundesliga）</x:v>
      </x:c>
      <x:c r="D1607" s="65" t="str">
        <x:v>波鸿</x:v>
      </x:c>
      <x:c r="E1607" s="65" t="str">
        <x:v>布伦瑞克</x:v>
      </x:c>
      <x:c r="F1607" s="65" t="str">
        <x:v>波鸿 -0.75</x:v>
      </x:c>
      <x:c r="G1607" s="65" t="str">
        <x:v>小 2.5</x:v>
      </x:c>
      <x:c r="H1607" s="65" t="str">
        <x:v>双方进球 否</x:v>
      </x:c>
      <x:c r="I1607" s="66" t="n">
        <x:v>46124.829560185186</x:v>
      </x:c>
      <x:c r="J1607" s="65" t="str">
        <x:v>已结算</x:v>
      </x:c>
      <x:c r="K1607" s="65"/>
      <x:c r="L1607" s="65" t="str">
        <x:v>赢</x:v>
      </x:c>
      <x:c r="M1607" s="65" t="str">
        <x:v>输</x:v>
      </x:c>
      <x:c r="N1607" s="67" t="n">
        <x:v>1</x:v>
      </x:c>
      <x:c r="O1607" s="67" t="n">
        <x:v>-1</x:v>
      </x:c>
      <x:c r="P1607" s="67" t="n">
        <x:f>IF(COUNT(N1607:O1607)=0,"",SUM(N1607:O1607))</x:f>
        <x:v>0</x:v>
      </x:c>
      <x:c r="Q1607" s="65"/>
      <x:c r="R1607" s="65" t="str">
        <x:v>终场 4比1；让球：波鸿 -0.75 赢；大小：小 2.5 输。</x:v>
      </x:c>
    </x:row>
    <x:row r="1608" ht="38" customHeight="1">
      <x:c r="A1608" s="65" t="str">
        <x:f>IF(B1608="","",TEXT(B1608,"yyyy-mm-dd")&amp;"|"&amp;D1608&amp;"|"&amp;E1608)</x:f>
        <x:v>2026-04-12|艾禾斯堡|沙尔克04</x:v>
      </x:c>
      <x:c r="B1608" s="66" t="n">
        <x:v>46124.8125</x:v>
      </x:c>
      <x:c r="C1608" s="65" t="str">
        <x:v>德国乙级联赛（2. Bundesliga）</x:v>
      </x:c>
      <x:c r="D1608" s="65" t="str">
        <x:v>艾禾斯堡</x:v>
      </x:c>
      <x:c r="E1608" s="65" t="str">
        <x:v>沙尔克04</x:v>
      </x:c>
      <x:c r="F1608" s="65" t="str">
        <x:v>艾禾斯堡 -0.5</x:v>
      </x:c>
      <x:c r="G1608" s="65" t="str">
        <x:v>小 2.75</x:v>
      </x:c>
      <x:c r="H1608" s="65" t="str">
        <x:v>比分小注 1-0、2-0</x:v>
      </x:c>
      <x:c r="I1608" s="66" t="n">
        <x:v>46124.821493055555</x:v>
      </x:c>
      <x:c r="J1608" s="65" t="str">
        <x:v>已结算</x:v>
      </x:c>
      <x:c r="K1608" s="65"/>
      <x:c r="L1608" s="65" t="str">
        <x:v>输</x:v>
      </x:c>
      <x:c r="M1608" s="65" t="str">
        <x:v>输</x:v>
      </x:c>
      <x:c r="N1608" s="67" t="n">
        <x:v>-1</x:v>
      </x:c>
      <x:c r="O1608" s="67" t="n">
        <x:v>-1</x:v>
      </x:c>
      <x:c r="P1608" s="67" t="n">
        <x:f>IF(COUNT(N1608:O1608)=0,"",SUM(N1608:O1608))</x:f>
        <x:v>-2</x:v>
      </x:c>
      <x:c r="Q1608" s="65"/>
      <x:c r="R1608" s="65" t="str">
        <x:v>终场 1比2；让球：艾禾斯堡 -0.5 输；大小：小 2.75 输。</x:v>
      </x:c>
    </x:row>
    <x:row r="1609" ht="38" customHeight="1">
      <x:c r="A1609" s="65" t="str">
        <x:f>IF(B1609="","",TEXT(B1609,"yyyy-mm-dd")&amp;"|"&amp;D1609&amp;"|"&amp;E1609)</x:f>
        <x:v>2026-04-12|帕德博恩|马格德堡</x:v>
      </x:c>
      <x:c r="B1609" s="66" t="n">
        <x:v>46124.8125</x:v>
      </x:c>
      <x:c r="C1609" s="65" t="str">
        <x:v>德国乙级联赛（2. Bundesliga）</x:v>
      </x:c>
      <x:c r="D1609" s="65" t="str">
        <x:v>帕德博恩</x:v>
      </x:c>
      <x:c r="E1609" s="65" t="str">
        <x:v>马格德堡</x:v>
      </x:c>
      <x:c r="F1609" s="65" t="str">
        <x:v>帕德博恩 -0.5（参考欧赔1.81–1.86，港水0.81–0.86；低于0.80不追）</x:v>
      </x:c>
      <x:c r="G1609" s="65" t="str">
        <x:v>大3.5（参考欧赔2.10，港水1.10）</x:v>
      </x:c>
      <x:c r="H1609" s="65" t="str">
        <x:v>帕德博恩胜；比分参考2-1、3-1，防2-2</x:v>
      </x:c>
      <x:c r="I1609" s="66" t="n">
        <x:v>46124.80873842593</x:v>
      </x:c>
      <x:c r="J1609" s="65" t="str">
        <x:v>已结算</x:v>
      </x:c>
      <x:c r="K1609" s="65"/>
      <x:c r="L1609" s="65" t="str">
        <x:v>赢</x:v>
      </x:c>
      <x:c r="M1609" s="65" t="str">
        <x:v>赢</x:v>
      </x:c>
      <x:c r="N1609" s="67" t="n">
        <x:v>1</x:v>
      </x:c>
      <x:c r="O1609" s="67" t="n">
        <x:v>1</x:v>
      </x:c>
      <x:c r="P1609" s="67" t="n">
        <x:f>IF(COUNT(N1609:O1609)=0,"",SUM(N1609:O1609))</x:f>
        <x:v>2</x:v>
      </x:c>
      <x:c r="Q1609" s="65"/>
      <x:c r="R1609" s="65" t="str">
        <x:v>终场 4比3；让球：帕德博恩 -0.5 赢；大小：大 3.5 赢。</x:v>
      </x:c>
    </x:row>
    <x:row r="1610" ht="38" customHeight="1">
      <x:c r="A1610" s="65" t="str">
        <x:f>IF(B1610="","",TEXT(B1610,"yyyy-mm-dd")&amp;"|"&amp;D1610&amp;"|"&amp;E1610)</x:f>
        <x:v>2026-04-12|喀什国际（Inter Kashi）|莫哈末丹</x:v>
      </x:c>
      <x:c r="B1610" s="66" t="n">
        <x:v>46124.8125</x:v>
      </x:c>
      <x:c r="C1610" s="65" t="str">
        <x:v>印度超级联赛（Indian Super League）</x:v>
      </x:c>
      <x:c r="D1610" s="65" t="str">
        <x:v>喀什国际（Inter Kashi）</x:v>
      </x:c>
      <x:c r="E1610" s="65" t="str">
        <x:v>莫哈末丹</x:v>
      </x:c>
      <x:c r="F1610" s="65" t="str">
        <x:v>莫哈末丹 +1（参考欧赔2.20–2.29，港水1.20–1.29；低于0.80不追）</x:v>
      </x:c>
      <x:c r="G1610" s="65" t="str">
        <x:v>小2.5（参考欧赔2.08–2.24，港水1.08–1.24）</x:v>
      </x:c>
      <x:c r="H1610" s="65" t="str">
        <x:v>喀什国际（Inter Kashi）胜；比分参考1-0、1-1，防2-0</x:v>
      </x:c>
      <x:c r="I1610" s="66" t="n">
        <x:v>46124.80585648148</x:v>
      </x:c>
      <x:c r="J1610" s="65" t="str">
        <x:v>已结算</x:v>
      </x:c>
      <x:c r="K1610" s="65"/>
      <x:c r="L1610" s="65" t="str">
        <x:v>走水</x:v>
      </x:c>
      <x:c r="M1610" s="65" t="str">
        <x:v>赢</x:v>
      </x:c>
      <x:c r="N1610" s="67" t="n">
        <x:v>0</x:v>
      </x:c>
      <x:c r="O1610" s="67" t="n">
        <x:v>1</x:v>
      </x:c>
      <x:c r="P1610" s="67" t="n">
        <x:f>IF(COUNT(N1610:O1610)=0,"",SUM(N1610:O1610))</x:f>
        <x:v>1</x:v>
      </x:c>
      <x:c r="Q1610" s="65"/>
      <x:c r="R1610" s="65" t="str">
        <x:v>终场 1比0；让球：莫哈末丹 +1 走水；大小：小 2.5 赢。</x:v>
      </x:c>
    </x:row>
    <x:row r="1611" ht="38" customHeight="1">
      <x:c r="A1611" s="65" t="str">
        <x:f>IF(B1611="","",TEXT(B1611,"yyyy-mm-dd")&amp;"|"&amp;D1611&amp;"|"&amp;E1611)</x:f>
        <x:v>2026-04-12|热那亚|萨索洛</x:v>
      </x:c>
      <x:c r="B1611" s="66" t="n">
        <x:v>46124.770833333336</x:v>
      </x:c>
      <x:c r="C1611" s="65" t="str">
        <x:v>意大利甲级联赛（Serie A）</x:v>
      </x:c>
      <x:c r="D1611" s="65" t="str">
        <x:v>热那亚</x:v>
      </x:c>
      <x:c r="E1611" s="65" t="str">
        <x:v>萨索洛</x:v>
      </x:c>
      <x:c r="F1611" s="65" t="str">
        <x:v>萨索洛 +0.25（参考欧赔2.00，港水1.00；低于0.80不追）</x:v>
      </x:c>
      <x:c r="G1611" s="65" t="str">
        <x:v>大2.5（参考欧赔2.18，港水1.18）</x:v>
      </x:c>
      <x:c r="H1611" s="65" t="str">
        <x:v>双方进球；比分参考1-1、1-2，防2-1</x:v>
      </x:c>
      <x:c r="I1611" s="66" t="n">
        <x:v>46124.77265046296</x:v>
      </x:c>
      <x:c r="J1611" s="65" t="str">
        <x:v>已结算</x:v>
      </x:c>
      <x:c r="K1611" s="65"/>
      <x:c r="L1611" s="65" t="str">
        <x:v>输</x:v>
      </x:c>
      <x:c r="M1611" s="65" t="str">
        <x:v>赢</x:v>
      </x:c>
      <x:c r="N1611" s="67" t="n">
        <x:v>-1</x:v>
      </x:c>
      <x:c r="O1611" s="67" t="n">
        <x:v>1</x:v>
      </x:c>
      <x:c r="P1611" s="67" t="n">
        <x:f>IF(COUNT(N1611:O1611)=0,"",SUM(N1611:O1611))</x:f>
        <x:v>0</x:v>
      </x:c>
      <x:c r="Q1611" s="65"/>
      <x:c r="R1611" s="65" t="str">
        <x:v>终场 2比1；让球：萨索洛 +0.25 输；大小：大 2.5 赢。</x:v>
      </x:c>
    </x:row>
    <x:row r="1612" ht="38" customHeight="1">
      <x:c r="A1612" s="65" t="str">
        <x:f>IF(B1612="","",TEXT(B1612,"yyyy-mm-dd")&amp;"|"&amp;D1612&amp;"|"&amp;E1612)</x:f>
        <x:v>2026-04-12|珀斯光荣|麦克阿瑟</x:v>
      </x:c>
      <x:c r="B1612" s="66" t="n">
        <x:v>46124.708333333336</x:v>
      </x:c>
      <x:c r="C1612" s="65" t="str">
        <x:v>澳大利亚A联赛（A-League Men）</x:v>
      </x:c>
      <x:c r="D1612" s="65" t="str">
        <x:v>珀斯光荣</x:v>
      </x:c>
      <x:c r="E1612" s="65" t="str">
        <x:v>麦克阿瑟</x:v>
      </x:c>
      <x:c r="F1612" s="65" t="str">
        <x:v>珀斯光荣 +0.25（参考欧赔2.01，港水1.01；低于0.80不追）</x:v>
      </x:c>
      <x:c r="G1612" s="65" t="str">
        <x:v>小3.0（参考欧赔1.96，港水0.96）</x:v>
      </x:c>
      <x:c r="H1612" s="65" t="str">
        <x:v>珀斯光荣不败；比分参考1-1、1-0，防1-2</x:v>
      </x:c>
      <x:c r="I1612" s="66" t="n">
        <x:v>46124.679918981485</x:v>
      </x:c>
      <x:c r="J1612" s="65" t="str">
        <x:v>已结算</x:v>
      </x:c>
      <x:c r="K1612" s="65"/>
      <x:c r="L1612" s="65" t="str">
        <x:v>赢</x:v>
      </x:c>
      <x:c r="M1612" s="65" t="str">
        <x:v>输</x:v>
      </x:c>
      <x:c r="N1612" s="67" t="n">
        <x:v>1</x:v>
      </x:c>
      <x:c r="O1612" s="67" t="n">
        <x:v>-1</x:v>
      </x:c>
      <x:c r="P1612" s="67" t="n">
        <x:f>IF(COUNT(N1612:O1612)=0,"",SUM(N1612:O1612))</x:f>
        <x:v>0</x:v>
      </x:c>
      <x:c r="Q1612" s="65"/>
      <x:c r="R1612" s="65" t="str">
        <x:v>终场 3比1；让球：珀斯光荣 +0.25 赢；大小：小 3.0 输。</x:v>
      </x:c>
    </x:row>
    <x:row r="1613" ht="38" customHeight="1">
      <x:c r="A1613" s="65" t="str">
        <x:f>IF(B1613="","",TEXT(B1613,"yyyy-mm-dd")&amp;"|"&amp;D1613&amp;"|"&amp;E1613)</x:f>
        <x:v>2026-04-12|佩斯索罗（Persis Solo）|赛曼巴东（Semen Padang）</x:v>
      </x:c>
      <x:c r="B1613" s="66" t="n">
        <x:v>46124.6875</x:v>
      </x:c>
      <x:c r="C1613" s="65" t="str">
        <x:v>印度尼西亚超级联赛（印尼超/Liga 1 Indonesia）</x:v>
      </x:c>
      <x:c r="D1613" s="65" t="str">
        <x:v>佩斯索罗（Persis Solo）</x:v>
      </x:c>
      <x:c r="E1613" s="65" t="str">
        <x:v>赛曼巴东（Semen Padang）</x:v>
      </x:c>
      <x:c r="F1613" s="65" t="str">
        <x:v>佩斯索罗（Persis Solo） -0.25（参考欧赔1.86–1.92，港水0.86–0.92；低于0.80不追）</x:v>
      </x:c>
      <x:c r="G1613" s="65" t="str">
        <x:v>小2.5（参考欧赔1.96，港水0.96）</x:v>
      </x:c>
      <x:c r="H1613" s="65" t="str">
        <x:v>主队不败；比分参考1-0、1-1，防2-0</x:v>
      </x:c>
      <x:c r="I1613" s="66" t="n">
        <x:v>46124.65016203704</x:v>
      </x:c>
      <x:c r="J1613" s="65" t="str">
        <x:v>已结算</x:v>
      </x:c>
      <x:c r="K1613" s="65"/>
      <x:c r="L1613" s="65" t="str">
        <x:v>赢</x:v>
      </x:c>
      <x:c r="M1613" s="65" t="str">
        <x:v>输</x:v>
      </x:c>
      <x:c r="N1613" s="67" t="n">
        <x:v>1</x:v>
      </x:c>
      <x:c r="O1613" s="67" t="n">
        <x:v>-1</x:v>
      </x:c>
      <x:c r="P1613" s="67" t="n">
        <x:f>IF(COUNT(N1613:O1613)=0,"",SUM(N1613:O1613))</x:f>
        <x:v>0</x:v>
      </x:c>
      <x:c r="Q1613" s="65"/>
      <x:c r="R1613" s="65" t="str">
        <x:v>终场 2比1；让球：佩斯索罗（Persis Solo） -0.25 赢；大小：小 2.5 输。</x:v>
      </x:c>
    </x:row>
    <x:row r="1614" ht="38" customHeight="1">
      <x:c r="A1614" s="65" t="str">
        <x:f>IF(B1614="","",TEXT(B1614,"yyyy-mm-dd")&amp;"|"&amp;D1614&amp;"|"&amp;E1614)</x:f>
        <x:v>2026-04-12|西悉尼流浪者青年队|新南威尔士精神</x:v>
      </x:c>
      <x:c r="B1614" s="66" t="n">
        <x:v>46124.541666666664</x:v>
      </x:c>
      <x:c r="C1614" s="65" t="str">
        <x:v>澳大利亚 维多利亚州超级联赛1（VPL1）</x:v>
      </x:c>
      <x:c r="D1614" s="65" t="str">
        <x:v>西悉尼流浪者青年队</x:v>
      </x:c>
      <x:c r="E1614" s="65" t="str">
        <x:v>新南威尔士精神</x:v>
      </x:c>
      <x:c r="F1614" s="65" t="str">
        <x:v>西悉尼流浪者青年队 +0.25（参考欧赔1.80–1.86，港水0.80–0.86；低于0.80不追）</x:v>
      </x:c>
      <x:c r="G1614" s="65" t="str">
        <x:v>小2.5（参考欧赔2.38，港水1.38）</x:v>
      </x:c>
      <x:c r="H1614" s="65" t="str">
        <x:v>平局；比分参考0-0、1-1，防1-0</x:v>
      </x:c>
      <x:c r="I1614" s="66" t="n">
        <x:v>46124.571064814816</x:v>
      </x:c>
      <x:c r="J1614" s="65" t="str">
        <x:v>已结算</x:v>
      </x:c>
      <x:c r="K1614" s="65"/>
      <x:c r="L1614" s="65" t="str">
        <x:v>赢半</x:v>
      </x:c>
      <x:c r="M1614" s="65" t="str">
        <x:v>赢</x:v>
      </x:c>
      <x:c r="N1614" s="67" t="n">
        <x:v>0.5</x:v>
      </x:c>
      <x:c r="O1614" s="67" t="n">
        <x:v>1</x:v>
      </x:c>
      <x:c r="P1614" s="67" t="n">
        <x:f>IF(COUNT(N1614:O1614)=0,"",SUM(N1614:O1614))</x:f>
        <x:v>1.5</x:v>
      </x:c>
      <x:c r="Q1614" s="65"/>
      <x:c r="R1614" s="65" t="str">
        <x:v>终场 1比1；让球：西悉尼流浪者青年队 +0.25 赢半；大小：小 2.5 赢。</x:v>
      </x:c>
    </x:row>
    <x:row r="1615" ht="38" customHeight="1">
      <x:c r="A1615" s="65" t="str">
        <x:f>IF(B1615="","",TEXT(B1615,"yyyy-mm-dd")&amp;"|"&amp;D1615&amp;"|"&amp;E1615)</x:f>
        <x:v>2026-04-12|秋田蓝色闪电|湘南海洋</x:v>
      </x:c>
      <x:c r="B1615" s="66" t="n">
        <x:v>46124.541666666664</x:v>
      </x:c>
      <x:c r="C1615" s="65" t="str">
        <x:v>日职 明治安田J2·J3百年构想联赛</x:v>
      </x:c>
      <x:c r="D1615" s="65" t="str">
        <x:v>秋田蓝色闪电</x:v>
      </x:c>
      <x:c r="E1615" s="65" t="str">
        <x:v>湘南海洋</x:v>
      </x:c>
      <x:c r="F1615" s="65" t="str">
        <x:v>秋田蓝色闪电 平手（0）（参考欧赔1.98，港水0.98；低于0.80不追）</x:v>
      </x:c>
      <x:c r="G1615" s="65" t="str">
        <x:v>小2.25（参考欧赔1.84；低于1.80不追）</x:v>
      </x:c>
      <x:c r="H1615" s="65" t="str">
        <x:v>秋田蓝色闪电不败；比分参考1-0、1-1，防0-1</x:v>
      </x:c>
      <x:c r="I1615" s="66" t="n">
        <x:v>46124.547476851854</x:v>
      </x:c>
      <x:c r="J1615" s="65" t="str">
        <x:v>已结算</x:v>
      </x:c>
      <x:c r="K1615" s="65"/>
      <x:c r="L1615" s="65" t="str">
        <x:v>输</x:v>
      </x:c>
      <x:c r="M1615" s="65" t="str">
        <x:v>赢</x:v>
      </x:c>
      <x:c r="N1615" s="67" t="n">
        <x:v>-1</x:v>
      </x:c>
      <x:c r="O1615" s="67" t="n">
        <x:v>1</x:v>
      </x:c>
      <x:c r="P1615" s="67" t="n">
        <x:f>IF(COUNT(N1615:O1615)=0,"",SUM(N1615:O1615))</x:f>
        <x:v>0</x:v>
      </x:c>
      <x:c r="Q1615" s="65"/>
      <x:c r="R1615" s="65" t="str">
        <x:v>终场 0比1；让球：秋田蓝色闪电 平手（0）输；大小：小 2.25 赢。</x:v>
      </x:c>
    </x:row>
    <x:row r="1616" ht="38" customHeight="1">
      <x:c r="A1616" s="65" t="str">
        <x:f>IF(B1616="","",TEXT(B1616,"yyyy-mm-dd")&amp;"|"&amp;D1616&amp;"|"&amp;E1616)</x:f>
        <x:v>2026-04-12|墨尔本城|惠灵顿凤凰</x:v>
      </x:c>
      <x:c r="B1616" s="66" t="n">
        <x:v>46124.541666666664</x:v>
      </x:c>
      <x:c r="C1616" s="65" t="str">
        <x:v>澳大利亚A联赛（A-League Men）</x:v>
      </x:c>
      <x:c r="D1616" s="65" t="str">
        <x:v>墨尔本城</x:v>
      </x:c>
      <x:c r="E1616" s="65" t="str">
        <x:v>惠灵顿凤凰</x:v>
      </x:c>
      <x:c r="F1616" s="65" t="str">
        <x:v>惠灵顿凤凰 +0.75（参考欧赔1.90，港水0.90；低于0.80不追）</x:v>
      </x:c>
      <x:c r="G1616" s="65" t="str">
        <x:v>小2.5（参考欧赔2.10–2.20，港水1.10–1.20）</x:v>
      </x:c>
      <x:c r="H1616" s="65" t="str">
        <x:v>惠灵顿凤凰不败；比分参考1-1、1-0，防0-1</x:v>
      </x:c>
      <x:c r="I1616" s="66" t="n">
        <x:v>46124.51762731482</x:v>
      </x:c>
      <x:c r="J1616" s="65" t="str">
        <x:v>已结算</x:v>
      </x:c>
      <x:c r="K1616" s="65"/>
      <x:c r="L1616" s="65" t="str">
        <x:v>输</x:v>
      </x:c>
      <x:c r="M1616" s="65" t="str">
        <x:v>赢</x:v>
      </x:c>
      <x:c r="N1616" s="67" t="n">
        <x:v>-1</x:v>
      </x:c>
      <x:c r="O1616" s="67" t="n">
        <x:v>1</x:v>
      </x:c>
      <x:c r="P1616" s="67" t="n">
        <x:f>IF(COUNT(N1616:O1616)=0,"",SUM(N1616:O1616))</x:f>
        <x:v>0</x:v>
      </x:c>
      <x:c r="Q1616" s="65"/>
      <x:c r="R1616" s="65" t="str">
        <x:v>终场 2比0；让球：惠灵顿凤凰 +0.75 输；大小：小 2.5 赢。</x:v>
      </x:c>
    </x:row>
    <x:row r="1617" ht="38" customHeight="1">
      <x:c r="A1617" s="65" t="str">
        <x:f>IF(B1617="","",TEXT(B1617,"yyyy-mm-dd")&amp;"|"&amp;D1617&amp;"|"&amp;E1617)</x:f>
        <x:v>2026-04-12|墨西哥美洲|蓝十字</x:v>
      </x:c>
      <x:c r="B1617" s="66" t="n">
        <x:v>46124.461805555555</x:v>
      </x:c>
      <x:c r="C1617" s="65" t="str">
        <x:v>墨西哥超（Liga MX，Clausura）</x:v>
      </x:c>
      <x:c r="D1617" s="65" t="str">
        <x:v>墨西哥美洲</x:v>
      </x:c>
      <x:c r="E1617" s="65" t="str">
        <x:v>蓝十字</x:v>
      </x:c>
      <x:c r="F1617" s="65" t="str">
        <x:v>蓝十字 平手（0）（参考欧赔1.89，港水0.89；低于0.80不追）</x:v>
      </x:c>
      <x:c r="G1617" s="65" t="str">
        <x:v>小2.5（参考欧赔1.87，港水0.87）</x:v>
      </x:c>
      <x:c r="H1617" s="65" t="str">
        <x:v>蓝十字不败；比分参考0-1、1-1，防1-0</x:v>
      </x:c>
      <x:c r="I1617" s="66" t="n">
        <x:v>46124.45271990741</x:v>
      </x:c>
      <x:c r="J1617" s="65" t="str">
        <x:v>已结算</x:v>
      </x:c>
      <x:c r="K1617" s="65"/>
      <x:c r="L1617" s="65" t="str">
        <x:v>走水</x:v>
      </x:c>
      <x:c r="M1617" s="65" t="str">
        <x:v>赢</x:v>
      </x:c>
      <x:c r="N1617" s="67" t="n">
        <x:v>0</x:v>
      </x:c>
      <x:c r="O1617" s="67" t="n">
        <x:v>1</x:v>
      </x:c>
      <x:c r="P1617" s="67" t="n">
        <x:f>IF(COUNT(N1617:O1617)=0,"",SUM(N1617:O1617))</x:f>
        <x:v>1</x:v>
      </x:c>
      <x:c r="Q1617" s="65"/>
      <x:c r="R1617" s="65" t="str">
        <x:v>终场 1比1；让球：蓝十字 平手（0）走水；大小：小 2.5 赢。</x:v>
      </x:c>
    </x:row>
    <x:row r="1618" ht="38" customHeight="1">
      <x:c r="A1618" s="65" t="str">
        <x:f>IF(B1618="","",TEXT(B1618,"yyyy-mm-dd")&amp;"|"&amp;D1618&amp;"|"&amp;E1618)</x:f>
        <x:v>2026-04-12|麦德林独立|国民竞技</x:v>
      </x:c>
      <x:c r="B1618" s="66" t="n">
        <x:v>46124.38888888889</x:v>
      </x:c>
      <x:c r="C1618" s="65" t="str">
        <x:v>哥伦比亚甲级联赛（Liga BetPlay DIMAYOR）</x:v>
      </x:c>
      <x:c r="D1618" s="65" t="str">
        <x:v>麦德林独立</x:v>
      </x:c>
      <x:c r="E1618" s="65" t="str">
        <x:v>国民竞技</x:v>
      </x:c>
      <x:c r="F1618" s="65" t="str">
        <x:v>国民竞技 -0.25（参考欧赔1.80，港水0.80；若临场跌破0.80不追）</x:v>
      </x:c>
      <x:c r="G1618" s="65" t="str">
        <x:v>小2.5（参考欧赔1.95–2.00，港水0.95–1.00）</x:v>
      </x:c>
      <x:c r="H1618" s="65" t="str">
        <x:v>国民竞技胜；比分参考0-1、0-2，防1-1</x:v>
      </x:c>
      <x:c r="I1618" s="66" t="n">
        <x:v>46124.37097222222</x:v>
      </x:c>
      <x:c r="J1618" s="65" t="str">
        <x:v>已结算</x:v>
      </x:c>
      <x:c r="K1618" s="65"/>
      <x:c r="L1618" s="65" t="str">
        <x:v>赢</x:v>
      </x:c>
      <x:c r="M1618" s="65" t="str">
        <x:v>输</x:v>
      </x:c>
      <x:c r="N1618" s="67" t="n">
        <x:v>1</x:v>
      </x:c>
      <x:c r="O1618" s="67" t="n">
        <x:v>-1</x:v>
      </x:c>
      <x:c r="P1618" s="67" t="n">
        <x:f>IF(COUNT(N1618:O1618)=0,"",SUM(N1618:O1618))</x:f>
        <x:v>0</x:v>
      </x:c>
      <x:c r="Q1618" s="65"/>
      <x:c r="R1618" s="65" t="str">
        <x:v>终场 2比3；让球：国民竞技 -0.25 赢；大小：小 2.5 输。</x:v>
      </x:c>
    </x:row>
    <x:row r="1619" ht="38" customHeight="1">
      <x:c r="A1619" s="65" t="str">
        <x:f>IF(B1619="","",TEXT(B1619,"yyyy-mm-dd")&amp;"|"&amp;D1619&amp;"|"&amp;E1619)</x:f>
        <x:v>2026-04-12|阿特拉斯|蒙特雷</x:v>
      </x:c>
      <x:c r="B1619" s="66" t="n">
        <x:v>46124.375</x:v>
      </x:c>
      <x:c r="C1619" s="65" t="str">
        <x:v>墨西哥超（Liga MX，Clausura）</x:v>
      </x:c>
      <x:c r="D1619" s="65" t="str">
        <x:v>阿特拉斯</x:v>
      </x:c>
      <x:c r="E1619" s="65" t="str">
        <x:v>蒙特雷</x:v>
      </x:c>
      <x:c r="F1619" s="65" t="str">
        <x:v>阿特拉斯 平手（0）（参考欧赔2.02，港水1.02；低于0.80不追）</x:v>
      </x:c>
      <x:c r="G1619" s="65" t="str">
        <x:v>小2.5（参考欧赔1.90–1.98，港水0.90–0.98）</x:v>
      </x:c>
      <x:c r="H1619" s="65" t="str">
        <x:v>阿特拉斯不败；比分参考1-0、1-1，防1-2</x:v>
      </x:c>
      <x:c r="I1619" s="66" t="n">
        <x:v>46124.38859953704</x:v>
      </x:c>
      <x:c r="J1619" s="65" t="str">
        <x:v>已结算</x:v>
      </x:c>
      <x:c r="K1619" s="65"/>
      <x:c r="L1619" s="65" t="str">
        <x:v>走水</x:v>
      </x:c>
      <x:c r="M1619" s="65" t="str">
        <x:v>赢</x:v>
      </x:c>
      <x:c r="N1619" s="67" t="n">
        <x:v>0</x:v>
      </x:c>
      <x:c r="O1619" s="67" t="n">
        <x:v>1</x:v>
      </x:c>
      <x:c r="P1619" s="67" t="n">
        <x:f>IF(COUNT(N1619:O1619)=0,"",SUM(N1619:O1619))</x:f>
        <x:v>1</x:v>
      </x:c>
      <x:c r="Q1619" s="65"/>
      <x:c r="R1619" s="65" t="str">
        <x:v>终场 0比0；让球：阿特拉斯 平手（0）走水；大小：小 2.5 赢。</x:v>
      </x:c>
    </x:row>
    <x:row r="1620" ht="38" customHeight="1">
      <x:c r="A1620" s="65" t="str">
        <x:f>IF(B1620="","",TEXT(B1620,"yyyy-mm-dd")&amp;"|"&amp;D1620&amp;"|"&amp;E1620)</x:f>
        <x:v>2026-04-12|老虎大学|瓜达拉哈拉</x:v>
      </x:c>
      <x:c r="B1620" s="66" t="n">
        <x:v>46124.291666666664</x:v>
      </x:c>
      <x:c r="C1620" s="65" t="str">
        <x:v>墨西哥超（Liga MX，Clausura）</x:v>
      </x:c>
      <x:c r="D1620" s="65" t="str">
        <x:v>老虎大学</x:v>
      </x:c>
      <x:c r="E1620" s="65" t="str">
        <x:v>瓜达拉哈拉</x:v>
      </x:c>
      <x:c r="F1620" s="65" t="str">
        <x:v>瓜达拉哈拉 平手（0）（参考欧赔1.85，港水0.85；低于0.80不追）</x:v>
      </x:c>
      <x:c r="G1620" s="65" t="str">
        <x:v>小2.5（参考欧赔1.95–1.98，港水0.95–0.98）</x:v>
      </x:c>
      <x:c r="H1620" s="65" t="str">
        <x:v>瓜达拉哈拉不败；比分参考1-1、0-1，防1-0</x:v>
      </x:c>
      <x:c r="I1620" s="66" t="n">
        <x:v>46124.30394675926</x:v>
      </x:c>
      <x:c r="J1620" s="65" t="str">
        <x:v>已结算</x:v>
      </x:c>
      <x:c r="K1620" s="65"/>
      <x:c r="L1620" s="65" t="str">
        <x:v>输</x:v>
      </x:c>
      <x:c r="M1620" s="65" t="str">
        <x:v>输</x:v>
      </x:c>
      <x:c r="N1620" s="67" t="n">
        <x:v>-1</x:v>
      </x:c>
      <x:c r="O1620" s="67" t="n">
        <x:v>-1</x:v>
      </x:c>
      <x:c r="P1620" s="67" t="n">
        <x:f>IF(COUNT(N1620:O1620)=0,"",SUM(N1620:O1620))</x:f>
        <x:v>-2</x:v>
      </x:c>
      <x:c r="Q1620" s="65"/>
      <x:c r="R1620" s="65" t="str">
        <x:v>终场 4比1；让球：瓜达拉哈拉 平手（0）输；大小：小 2.5 输。</x:v>
      </x:c>
    </x:row>
    <x:row r="1621" ht="38" customHeight="1">
      <x:c r="A1621" s="65" t="str">
        <x:f>IF(B1621="","",TEXT(B1621,"yyyy-mm-dd")&amp;"|"&amp;D1621&amp;"|"&amp;E1621)</x:f>
        <x:v>2026-04-12|克雷塔罗|内卡萨</x:v>
      </x:c>
      <x:c r="B1621" s="66" t="n">
        <x:v>46124.291666666664</x:v>
      </x:c>
      <x:c r="C1621" s="65" t="str">
        <x:v>墨西哥超（Liga MX，Clausura）</x:v>
      </x:c>
      <x:c r="D1621" s="65" t="str">
        <x:v>克雷塔罗</x:v>
      </x:c>
      <x:c r="E1621" s="65" t="str">
        <x:v>内卡萨</x:v>
      </x:c>
      <x:c r="F1621" s="65" t="str">
        <x:v>内卡萨 平手（0）（参考欧赔2.08，港水1.08；低于0.80不追）</x:v>
      </x:c>
      <x:c r="G1621" s="65" t="str">
        <x:v>小2.5（参考欧赔1.87–2.00，港水0.87–1.00）</x:v>
      </x:c>
      <x:c r="H1621" s="65" t="str">
        <x:v>内卡萨不败；比分参考0-1、0-0，防1-1</x:v>
      </x:c>
      <x:c r="I1621" s="66" t="n">
        <x:v>46124.30190972222</x:v>
      </x:c>
      <x:c r="J1621" s="65" t="str">
        <x:v>已结算</x:v>
      </x:c>
      <x:c r="K1621" s="65"/>
      <x:c r="L1621" s="65" t="str">
        <x:v>输</x:v>
      </x:c>
      <x:c r="M1621" s="65" t="str">
        <x:v>输</x:v>
      </x:c>
      <x:c r="N1621" s="67" t="n">
        <x:v>-1</x:v>
      </x:c>
      <x:c r="O1621" s="67" t="n">
        <x:v>-1</x:v>
      </x:c>
      <x:c r="P1621" s="67" t="n">
        <x:f>IF(COUNT(N1621:O1621)=0,"",SUM(N1621:O1621))</x:f>
        <x:v>-2</x:v>
      </x:c>
      <x:c r="Q1621" s="65"/>
      <x:c r="R1621" s="65" t="str">
        <x:v>终场 3比1；让球：内卡萨 平手（0）输；大小：小 2.5 输。</x:v>
      </x:c>
    </x:row>
    <x:row r="1622" ht="38" customHeight="1">
      <x:c r="A1622" s="65" t="str">
        <x:f>IF(B1622="","",TEXT(B1622,"yyyy-mm-dd")&amp;"|"&amp;D1622&amp;"|"&amp;E1622)</x:f>
        <x:v>2026-04-12|里奥内格罗老鹰|巴兰基亚青年</x:v>
      </x:c>
      <x:c r="B1622" s="66" t="n">
        <x:v>46124.208333333336</x:v>
      </x:c>
      <x:c r="C1622" s="65" t="str">
        <x:v>哥伦比亚甲级联赛（Liga BetPlay DIMAYOR）</x:v>
      </x:c>
      <x:c r="D1622" s="65" t="str">
        <x:v>里奥内格罗老鹰</x:v>
      </x:c>
      <x:c r="E1622" s="65" t="str">
        <x:v>巴兰基亚青年</x:v>
      </x:c>
      <x:c r="F1622" s="65" t="str">
        <x:v>里奥内格罗老鹰 -0.25（参考欧赔1.93，港水0.93；低于0.80不追）</x:v>
      </x:c>
      <x:c r="G1622" s="65" t="str">
        <x:v>大2.5（参考欧赔2.03–2.17，港水1.03–1.17）</x:v>
      </x:c>
      <x:c r="H1622" s="65" t="str">
        <x:v>双方进球；比分参考2-1、1-1，防1-2</x:v>
      </x:c>
      <x:c r="I1622" s="66" t="n">
        <x:v>46124.22950231482</x:v>
      </x:c>
      <x:c r="J1622" s="65" t="str">
        <x:v>已结算</x:v>
      </x:c>
      <x:c r="K1622" s="65"/>
      <x:c r="L1622" s="65" t="str">
        <x:v>输</x:v>
      </x:c>
      <x:c r="M1622" s="65" t="str">
        <x:v>赢</x:v>
      </x:c>
      <x:c r="N1622" s="67" t="n">
        <x:v>-1</x:v>
      </x:c>
      <x:c r="O1622" s="67" t="n">
        <x:v>1</x:v>
      </x:c>
      <x:c r="P1622" s="67" t="n">
        <x:f>IF(COUNT(N1622:O1622)=0,"",SUM(N1622:O1622))</x:f>
        <x:v>0</x:v>
      </x:c>
      <x:c r="Q1622" s="65"/>
      <x:c r="R1622" s="65" t="str">
        <x:v>终场 0比3；让球：里奥内格罗老鹰 -0.25 输；大小：大 2.5 赢。</x:v>
      </x:c>
    </x:row>
    <x:row r="1623" ht="38" customHeight="1">
      <x:c r="A1623" s="65" t="str">
        <x:f>IF(B1623="","",TEXT(B1623,"yyyy-mm-dd")&amp;"|"&amp;D1623&amp;"|"&amp;E1623)</x:f>
        <x:v>2026-04-12|瑞模贝雷|瓦斯科达伽马</x:v>
      </x:c>
      <x:c r="B1623" s="66" t="n">
        <x:v>46124.145833333336</x:v>
      </x:c>
      <x:c r="C1623" s="65" t="str">
        <x:v>巴西甲（Serie A）</x:v>
      </x:c>
      <x:c r="D1623" s="65" t="str">
        <x:v>瑞模贝雷</x:v>
      </x:c>
      <x:c r="E1623" s="65" t="str">
        <x:v>瓦斯科达伽马</x:v>
      </x:c>
      <x:c r="F1623" s="65" t="str">
        <x:v>瑞模贝雷 平手（0）（参考欧赔2.00–2.08，港水1.00–1.08；低于0.80不追）</x:v>
      </x:c>
      <x:c r="G1623" s="65" t="str">
        <x:v>小2.5（参考欧赔1.80，港水0.80）</x:v>
      </x:c>
      <x:c r="H1623" s="65" t="str">
        <x:v>瑞模贝雷不败；比分参考1-0、1-1，防2-1</x:v>
      </x:c>
      <x:c r="I1623" s="66" t="n">
        <x:v>46124.024826388886</x:v>
      </x:c>
      <x:c r="J1623" s="65" t="str">
        <x:v>已结算</x:v>
      </x:c>
      <x:c r="K1623" s="65"/>
      <x:c r="L1623" s="65" t="str">
        <x:v>走水</x:v>
      </x:c>
      <x:c r="M1623" s="65" t="str">
        <x:v>赢</x:v>
      </x:c>
      <x:c r="N1623" s="67" t="n">
        <x:v>0</x:v>
      </x:c>
      <x:c r="O1623" s="67" t="n">
        <x:v>1</x:v>
      </x:c>
      <x:c r="P1623" s="67" t="n">
        <x:f>IF(COUNT(N1623:O1623)=0,"",SUM(N1623:O1623))</x:f>
        <x:v>1</x:v>
      </x:c>
      <x:c r="Q1623" s="65"/>
      <x:c r="R1623" s="65" t="str">
        <x:v>终场 1比1；让球：瑞模贝雷 平手（0）走水；大小：小 2.5 赢。</x:v>
      </x:c>
    </x:row>
    <x:row r="1624" ht="38" customHeight="1">
      <x:c r="A1624" s="65" t="str">
        <x:f>IF(B1624="","",TEXT(B1624,"yyyy-mm-dd")&amp;"|"&amp;D1624&amp;"|"&amp;E1624)</x:f>
        <x:v>2026-04-12|利斯特雷|科尔多瓦学院</x:v>
      </x:c>
      <x:c r="B1624" s="66" t="n">
        <x:v>46124.083333333336</x:v>
      </x:c>
      <x:c r="C1624" s="65" t="str">
        <x:v>阿根廷职业联赛（Liga Profesional·Apertura）</x:v>
      </x:c>
      <x:c r="D1624" s="65" t="str">
        <x:v>利斯特雷</x:v>
      </x:c>
      <x:c r="E1624" s="65" t="str">
        <x:v>科尔多瓦学院</x:v>
      </x:c>
      <x:c r="F1624" s="65" t="str">
        <x:v>利斯特雷 平手（0）（参考欧赔1.80–1.85，港水0.80–0.85；低于0.80不追）</x:v>
      </x:c>
      <x:c r="G1624" s="65" t="str">
        <x:v>小1.5（参考欧赔2.04–2.18，港水1.04–1.18）</x:v>
      </x:c>
      <x:c r="H1624" s="65" t="str">
        <x:v>平局；比分参考0-0、1-0，防0-1</x:v>
      </x:c>
      <x:c r="I1624" s="66" t="n">
        <x:v>46123.995034722226</x:v>
      </x:c>
      <x:c r="J1624" s="65" t="str">
        <x:v>已结算</x:v>
      </x:c>
      <x:c r="K1624" s="65"/>
      <x:c r="L1624" s="65" t="str">
        <x:v>输</x:v>
      </x:c>
      <x:c r="M1624" s="65" t="str">
        <x:v>赢</x:v>
      </x:c>
      <x:c r="N1624" s="67" t="n">
        <x:v>-1</x:v>
      </x:c>
      <x:c r="O1624" s="67" t="n">
        <x:v>1</x:v>
      </x:c>
      <x:c r="P1624" s="67" t="n">
        <x:f>IF(COUNT(N1624:O1624)=0,"",SUM(N1624:O1624))</x:f>
        <x:v>0</x:v>
      </x:c>
      <x:c r="Q1624" s="65"/>
      <x:c r="R1624" s="65" t="str">
        <x:v>终场 0比1；让球：利斯特雷 平手（0）输；大小：小 1.5 赢。</x:v>
      </x:c>
    </x:row>
    <x:row r="1625" ht="38" customHeight="1">
      <x:c r="A1625" s="65" t="str">
        <x:f>IF(B1625="","",TEXT(B1625,"yyyy-mm-dd")&amp;"|"&amp;D1625&amp;"|"&amp;E1625)</x:f>
        <x:v>2026-04-12|AC米兰|乌迪内斯</x:v>
      </x:c>
      <x:c r="B1625" s="66" t="n">
        <x:v>46124</x:v>
      </x:c>
      <x:c r="C1625" s="65" t="str">
        <x:v>意大利甲级联赛（Serie A）</x:v>
      </x:c>
      <x:c r="D1625" s="65" t="str">
        <x:v>AC米兰</x:v>
      </x:c>
      <x:c r="E1625" s="65" t="str">
        <x:v>乌迪内斯</x:v>
      </x:c>
      <x:c r="F1625" s="65" t="str">
        <x:v>乌迪内斯 +1.25（参考欧赔1.90–1.96，港水0.90–0.96；低于0.80不追）</x:v>
      </x:c>
      <x:c r="G1625" s="65" t="str">
        <x:v>小2.5（参考欧赔2.02–2.06，港水1.02–1.06）</x:v>
      </x:c>
      <x:c r="H1625" s="65" t="str">
        <x:v>比分参考1-0、1-1，防2-0</x:v>
      </x:c>
      <x:c r="I1625" s="66" t="n">
        <x:v>46123.9990625</x:v>
      </x:c>
      <x:c r="J1625" s="65" t="str">
        <x:v>已结算</x:v>
      </x:c>
      <x:c r="K1625" s="65"/>
      <x:c r="L1625" s="65" t="str">
        <x:v>赢</x:v>
      </x:c>
      <x:c r="M1625" s="65" t="str">
        <x:v>输</x:v>
      </x:c>
      <x:c r="N1625" s="67" t="n">
        <x:v>1</x:v>
      </x:c>
      <x:c r="O1625" s="67" t="n">
        <x:v>-1</x:v>
      </x:c>
      <x:c r="P1625" s="67" t="n">
        <x:f>IF(COUNT(N1625:O1625)=0,"",SUM(N1625:O1625))</x:f>
        <x:v>0</x:v>
      </x:c>
      <x:c r="Q1625" s="65"/>
      <x:c r="R1625" s="65" t="str">
        <x:v>终场 0比3；让球：乌迪内斯 +1.25 赢；大小：小 2.5 输。</x:v>
      </x:c>
    </x:row>
    <x:row r="1626" ht="38" customHeight="1">
      <x:c r="A1626" s="65" t="str">
        <x:f>IF(B1626="","",TEXT(B1626,"yyyy-mm-dd")&amp;"|"&amp;D1626&amp;"|"&amp;E1626)</x:f>
        <x:v>2026-04-11|金字塔|马斯里</x:v>
      </x:c>
      <x:c r="B1626" s="66" t="n">
        <x:v>46123.958333333336</x:v>
      </x:c>
      <x:c r="C1626" s="65" t="str">
        <x:v>埃及超级联赛（Egyptian Premier League）</x:v>
      </x:c>
      <x:c r="D1626" s="65" t="str">
        <x:v>金字塔</x:v>
      </x:c>
      <x:c r="E1626" s="65" t="str">
        <x:v>马斯里</x:v>
      </x:c>
      <x:c r="F1626" s="65" t="str">
        <x:v>马斯里 +0.5（=X2，参考欧赔2.05，港水1.05；低于0.80不追）</x:v>
      </x:c>
      <x:c r="G1626" s="65" t="str">
        <x:v>小2.5（参考欧赔1.80–1.82，港水0.80–0.82）</x:v>
      </x:c>
      <x:c r="H1626" s="65" t="str">
        <x:v>平局；比分参考0-0、1-1，防1-0</x:v>
      </x:c>
      <x:c r="I1626" s="66" t="n">
        <x:v>46124.01094907407</x:v>
      </x:c>
      <x:c r="J1626" s="65" t="str">
        <x:v>已结算</x:v>
      </x:c>
      <x:c r="K1626" s="65"/>
      <x:c r="L1626" s="65" t="str">
        <x:v>赢</x:v>
      </x:c>
      <x:c r="M1626" s="65" t="str">
        <x:v>赢</x:v>
      </x:c>
      <x:c r="N1626" s="67" t="n">
        <x:v>1</x:v>
      </x:c>
      <x:c r="O1626" s="67" t="n">
        <x:v>1</x:v>
      </x:c>
      <x:c r="P1626" s="67" t="n">
        <x:f>IF(COUNT(N1626:O1626)=0,"",SUM(N1626:O1626))</x:f>
        <x:v>2</x:v>
      </x:c>
      <x:c r="Q1626" s="65"/>
      <x:c r="R1626" s="65" t="str">
        <x:v>终场 1比1；让球：马斯里 +0.5 赢；大小：小 2.5 赢。</x:v>
      </x:c>
    </x:row>
    <x:row r="1627" ht="38" customHeight="1">
      <x:c r="A1627" s="65" t="str">
        <x:f>IF(B1627="","",TEXT(B1627,"yyyy-mm-dd")&amp;"|"&amp;D1627&amp;"|"&amp;E1627)</x:f>
        <x:v>2026-04-11|班加罗尔|喀拉拉爆破手</x:v>
      </x:c>
      <x:c r="B1627" s="66" t="n">
        <x:v>46123.916666666664</x:v>
      </x:c>
      <x:c r="C1627" s="65" t="str">
        <x:v>印度超级联赛（Indian Super League）</x:v>
      </x:c>
      <x:c r="D1627" s="65" t="str">
        <x:v>班加罗尔</x:v>
      </x:c>
      <x:c r="E1627" s="65" t="str">
        <x:v>喀拉拉爆破手</x:v>
      </x:c>
      <x:c r="F1627" s="65" t="str">
        <x:v>班加罗尔 -0.5（参考欧赔1.83–1.88，港水0.83–0.88；低于0.80不追）</x:v>
      </x:c>
      <x:c r="G1627" s="65" t="str">
        <x:v>小2.5（参考欧赔1.91，港水0.91）</x:v>
      </x:c>
      <x:c r="H1627" s="65" t="str">
        <x:v>班加罗尔胜；比分参考1-0、2-0，防1-1</x:v>
      </x:c>
      <x:c r="I1627" s="66" t="n">
        <x:v>46123.890543981484</x:v>
      </x:c>
      <x:c r="J1627" s="65" t="str">
        <x:v>已结算</x:v>
      </x:c>
      <x:c r="K1627" s="65"/>
      <x:c r="L1627" s="65" t="str">
        <x:v>输</x:v>
      </x:c>
      <x:c r="M1627" s="65" t="str">
        <x:v>输</x:v>
      </x:c>
      <x:c r="N1627" s="67" t="n">
        <x:v>-1</x:v>
      </x:c>
      <x:c r="O1627" s="67" t="n">
        <x:v>-1</x:v>
      </x:c>
      <x:c r="P1627" s="67" t="n">
        <x:f>IF(COUNT(N1627:O1627)=0,"",SUM(N1627:O1627))</x:f>
        <x:v>-2</x:v>
      </x:c>
      <x:c r="Q1627" s="65"/>
      <x:c r="R1627" s="65" t="str">
        <x:v>终场 1比2；让球：班加罗尔 -0.5 输；大小：小 2.5 输。</x:v>
      </x:c>
    </x:row>
    <x:row r="1628" ht="38" customHeight="1">
      <x:c r="A1628" s="65" t="str">
        <x:f>IF(B1628="","",TEXT(B1628,"yyyy-mm-dd")&amp;"|"&amp;D1628&amp;"|"&amp;E1628)</x:f>
        <x:v>2026-04-11|都灵|维罗纳</x:v>
      </x:c>
      <x:c r="B1628" s="66" t="n">
        <x:v>46123.875</x:v>
      </x:c>
      <x:c r="C1628" s="65" t="str">
        <x:v>意大利甲级联赛（Serie A）</x:v>
      </x:c>
      <x:c r="D1628" s="65" t="str">
        <x:v>都灵</x:v>
      </x:c>
      <x:c r="E1628" s="65" t="str">
        <x:v>维罗纳</x:v>
      </x:c>
      <x:c r="F1628" s="65" t="str">
        <x:v>都灵 -0.5（参考欧赔1.93–2.05，港水0.93–1.05；低于0.80不追）</x:v>
      </x:c>
      <x:c r="G1628" s="65" t="str">
        <x:v>大2.0（亚洲总进球，参考欧赔1.89，港水0.89）</x:v>
      </x:c>
      <x:c r="H1628" s="65" t="str">
        <x:v>主胜；比分参考2-0、2-1，防1-0</x:v>
      </x:c>
      <x:c r="I1628" s="66" t="n">
        <x:v>46123.8846412037</x:v>
      </x:c>
      <x:c r="J1628" s="65" t="str">
        <x:v>已结算</x:v>
      </x:c>
      <x:c r="K1628" s="65"/>
      <x:c r="L1628" s="65" t="str">
        <x:v>赢</x:v>
      </x:c>
      <x:c r="M1628" s="65" t="str">
        <x:v>赢</x:v>
      </x:c>
      <x:c r="N1628" s="67" t="n">
        <x:v>1</x:v>
      </x:c>
      <x:c r="O1628" s="67" t="n">
        <x:v>1</x:v>
      </x:c>
      <x:c r="P1628" s="67" t="n">
        <x:f>IF(COUNT(N1628:O1628)=0,"",SUM(N1628:O1628))</x:f>
        <x:v>2</x:v>
      </x:c>
      <x:c r="Q1628" s="65"/>
      <x:c r="R1628" s="65" t="str">
        <x:v>终场 2比1；让球：都灵 -0.5 赢；大小：大 2.0 赢。</x:v>
      </x:c>
    </x:row>
    <x:row r="1629" ht="38" customHeight="1">
      <x:c r="A1629" s="65" t="str">
        <x:f>IF(B1629="","",TEXT(B1629,"yyyy-mm-dd")&amp;"|"&amp;D1629&amp;"|"&amp;E1629)</x:f>
        <x:v>2026-04-11|卡利亚里|克雷莫纳</x:v>
      </x:c>
      <x:c r="B1629" s="66" t="n">
        <x:v>46123.875</x:v>
      </x:c>
      <x:c r="C1629" s="65" t="str">
        <x:v>意大利甲级联赛（Serie A）</x:v>
      </x:c>
      <x:c r="D1629" s="65" t="str">
        <x:v>卡利亚里</x:v>
      </x:c>
      <x:c r="E1629" s="65" t="str">
        <x:v>克雷莫纳</x:v>
      </x:c>
      <x:c r="F1629" s="65" t="str">
        <x:v>卡利亚里 -0.25（参考欧赔1.80–1.85，港水0.80–0.85；若临场跌破0.80不追）</x:v>
      </x:c>
      <x:c r="G1629" s="65" t="str">
        <x:v>大2.5（参考欧赔2.33–2.54，港水1.33–1.54）</x:v>
      </x:c>
      <x:c r="H1629" s="65" t="str">
        <x:v>主胜；双方进球；比分参考2-1，防1-1</x:v>
      </x:c>
      <x:c r="I1629" s="66" t="n">
        <x:v>46123.86966435185</x:v>
      </x:c>
      <x:c r="J1629" s="65" t="str">
        <x:v>已结算</x:v>
      </x:c>
      <x:c r="K1629" s="65"/>
      <x:c r="L1629" s="65" t="str">
        <x:v>赢</x:v>
      </x:c>
      <x:c r="M1629" s="65" t="str">
        <x:v>输</x:v>
      </x:c>
      <x:c r="N1629" s="67" t="n">
        <x:v>1</x:v>
      </x:c>
      <x:c r="O1629" s="67" t="n">
        <x:v>-1</x:v>
      </x:c>
      <x:c r="P1629" s="67" t="n">
        <x:f>IF(COUNT(N1629:O1629)=0,"",SUM(N1629:O1629))</x:f>
        <x:v>0</x:v>
      </x:c>
      <x:c r="Q1629" s="65"/>
      <x:c r="R1629" s="65" t="str">
        <x:v>终场 1比0；让球：卡利亚里 -0.25 赢；大小：大 2.5 输。</x:v>
      </x:c>
    </x:row>
    <x:row r="1630" ht="38" customHeight="1">
      <x:c r="A1630" s="65" t="str">
        <x:f>IF(B1630="","",TEXT(B1630,"yyyy-mm-dd")&amp;"|"&amp;D1630&amp;"|"&amp;E1630)</x:f>
        <x:v>2026-04-11|佩西加雅加达|帕尔斯巴亚</x:v>
      </x:c>
      <x:c r="B1630" s="66" t="n">
        <x:v>46123.833333333336</x:v>
      </x:c>
      <x:c r="C1630" s="65" t="str">
        <x:v>印度尼西亚超级联赛（印尼超/Liga 1 Indonesia）</x:v>
      </x:c>
      <x:c r="D1630" s="65" t="str">
        <x:v>佩西加雅加达</x:v>
      </x:c>
      <x:c r="E1630" s="65" t="str">
        <x:v>帕尔斯巴亚</x:v>
      </x:c>
      <x:c r="F1630" s="65" t="str">
        <x:v>帕尔斯巴亚 +1（参考欧赔2.10，港水1.10；低于0.80不追）</x:v>
      </x:c>
      <x:c r="G1630" s="65" t="str">
        <x:v>大2.5（参考欧赔1.83，港水0.83）</x:v>
      </x:c>
      <x:c r="H1630" s="65" t="str">
        <x:v>双方进球；比分参考1-1、2-1，防1-2</x:v>
      </x:c>
      <x:c r="I1630" s="66" t="n">
        <x:v>46123.84092592593</x:v>
      </x:c>
      <x:c r="J1630" s="65" t="str">
        <x:v>已结算</x:v>
      </x:c>
      <x:c r="K1630" s="65"/>
      <x:c r="L1630" s="65" t="str">
        <x:v>输</x:v>
      </x:c>
      <x:c r="M1630" s="65" t="str">
        <x:v>赢</x:v>
      </x:c>
      <x:c r="N1630" s="67" t="n">
        <x:v>-1</x:v>
      </x:c>
      <x:c r="O1630" s="67" t="n">
        <x:v>1</x:v>
      </x:c>
      <x:c r="P1630" s="67" t="n">
        <x:f>IF(COUNT(N1630:O1630)=0,"",SUM(N1630:O1630))</x:f>
        <x:v>0</x:v>
      </x:c>
      <x:c r="Q1630" s="65"/>
      <x:c r="R1630" s="65" t="str">
        <x:v>终场 3比0；让球：帕尔斯巴亚 +1 输；大小：大 2.5 赢。</x:v>
      </x:c>
    </x:row>
    <x:row r="1631" ht="38" customHeight="1">
      <x:c r="A1631" s="65" t="str">
        <x:f>IF(B1631="","",TEXT(B1631,"yyyy-mm-dd")&amp;"|"&amp;D1631&amp;"|"&amp;E1631)</x:f>
        <x:v>2026-04-11|钦奈因FC（Chennaiyin）|东孟加拉</x:v>
      </x:c>
      <x:c r="B1631" s="66" t="n">
        <x:v>46123.8125</x:v>
      </x:c>
      <x:c r="C1631" s="65" t="str">
        <x:v>印度超级联赛（Indian Super League）</x:v>
      </x:c>
      <x:c r="D1631" s="65" t="str">
        <x:v>钦奈因FC（Chennaiyin）</x:v>
      </x:c>
      <x:c r="E1631" s="65" t="str">
        <x:v>东孟加拉</x:v>
      </x:c>
      <x:c r="F1631" s="65" t="str">
        <x:v>钦奈因FC（Chennaiyin） +0.25（参考1.80–2.08；低于0.80水位不追）</x:v>
      </x:c>
      <x:c r="G1631" s="65" t="str">
        <x:v>小2.75（参考1.80–1.85）</x:v>
      </x:c>
      <x:c r="H1631" s="65" t="str">
        <x:v>比分参考0-0、1-1，防0-1</x:v>
      </x:c>
      <x:c r="I1631" s="66" t="n">
        <x:v>46123.838055555556</x:v>
      </x:c>
      <x:c r="J1631" s="65" t="str">
        <x:v>已结算</x:v>
      </x:c>
      <x:c r="K1631" s="65"/>
      <x:c r="L1631" s="65" t="str">
        <x:v>输</x:v>
      </x:c>
      <x:c r="M1631" s="65" t="str">
        <x:v>输</x:v>
      </x:c>
      <x:c r="N1631" s="67" t="n">
        <x:v>-1</x:v>
      </x:c>
      <x:c r="O1631" s="67" t="n">
        <x:v>-1</x:v>
      </x:c>
      <x:c r="P1631" s="67" t="n">
        <x:f>IF(COUNT(N1631:O1631)=0,"",SUM(N1631:O1631))</x:f>
        <x:v>-2</x:v>
      </x:c>
      <x:c r="Q1631" s="65"/>
      <x:c r="R1631" s="65" t="str">
        <x:v>终场 1比3；让球：钦奈因FC（Chennaiyin） +0.25 输；大小：小 2.75 输。</x:v>
      </x:c>
    </x:row>
    <x:row r="1632" ht="38" customHeight="1">
      <x:c r="A1632" s="65" t="str">
        <x:f>IF(B1632="","",TEXT(B1632,"yyyy-mm-dd")&amp;"|"&amp;D1632&amp;"|"&amp;E1632)</x:f>
        <x:v>2026-04-11|普鲁士明斯特|菲尔特</x:v>
      </x:c>
      <x:c r="B1632" s="66" t="n">
        <x:v>46123.791666666664</x:v>
      </x:c>
      <x:c r="C1632" s="65" t="str">
        <x:v>德国乙级联赛（2. Bundesliga）</x:v>
      </x:c>
      <x:c r="D1632" s="65" t="str">
        <x:v>普鲁士明斯特</x:v>
      </x:c>
      <x:c r="E1632" s="65" t="str">
        <x:v>菲尔特</x:v>
      </x:c>
      <x:c r="F1632" s="65" t="str">
        <x:v>菲尔特 +0.25（参考欧赔1.90，港水0.90；低于0.80不追）</x:v>
      </x:c>
      <x:c r="G1632" s="65" t="str">
        <x:v>小2.5（参考欧赔1.95，港水0.95）</x:v>
      </x:c>
      <x:c r="H1632" s="65" t="str">
        <x:v>菲尔特不败；比分参考0-1、1-1，防0-0</x:v>
      </x:c>
      <x:c r="I1632" s="66" t="n">
        <x:v>46123.84918981481</x:v>
      </x:c>
      <x:c r="J1632" s="65" t="str">
        <x:v>已结算</x:v>
      </x:c>
      <x:c r="K1632" s="65"/>
      <x:c r="L1632" s="65" t="str">
        <x:v>赢半</x:v>
      </x:c>
      <x:c r="M1632" s="65" t="str">
        <x:v>赢</x:v>
      </x:c>
      <x:c r="N1632" s="67" t="n">
        <x:v>0.5</x:v>
      </x:c>
      <x:c r="O1632" s="67" t="n">
        <x:v>1</x:v>
      </x:c>
      <x:c r="P1632" s="67" t="n">
        <x:f>IF(COUNT(N1632:O1632)=0,"",SUM(N1632:O1632))</x:f>
        <x:v>1.5</x:v>
      </x:c>
      <x:c r="Q1632" s="65"/>
      <x:c r="R1632" s="65" t="str">
        <x:v>终场 0比0；让球：菲尔特 +0.25 赢半；大小：小 2.5 赢。</x:v>
      </x:c>
    </x:row>
    <x:row r="1633" ht="38" customHeight="1">
      <x:c r="A1633" s="65" t="str">
        <x:f>IF(B1633="","",TEXT(B1633,"yyyy-mm-dd")&amp;"|"&amp;D1633&amp;"|"&amp;E1633)</x:f>
        <x:v>2026-04-11|纽伦堡|德累斯顿迪纳摩</x:v>
      </x:c>
      <x:c r="B1633" s="66" t="n">
        <x:v>46123.791666666664</x:v>
      </x:c>
      <x:c r="C1633" s="65" t="str">
        <x:v>德国乙级联赛（2. Bundesliga）</x:v>
      </x:c>
      <x:c r="D1633" s="65" t="str">
        <x:v>纽伦堡</x:v>
      </x:c>
      <x:c r="E1633" s="65" t="str">
        <x:v>德累斯顿迪纳摩</x:v>
      </x:c>
      <x:c r="F1633" s="65" t="str">
        <x:v>纽伦堡 -0.25（参考欧赔1.82–1.85，港水0.82–0.85；低于0.80不追）</x:v>
      </x:c>
      <x:c r="G1633" s="65" t="str">
        <x:v>小2.5（2.07–2.25区间可入）</x:v>
      </x:c>
      <x:c r="H1633" s="65" t="str">
        <x:v>纽伦堡胜；比分参考1-0、2-0，防1-1</x:v>
      </x:c>
      <x:c r="I1633" s="66" t="n">
        <x:v>46123.77841435185</x:v>
      </x:c>
      <x:c r="J1633" s="65" t="str">
        <x:v>已结算</x:v>
      </x:c>
      <x:c r="K1633" s="65"/>
      <x:c r="L1633" s="65" t="str">
        <x:v>输</x:v>
      </x:c>
      <x:c r="M1633" s="65" t="str">
        <x:v>赢</x:v>
      </x:c>
      <x:c r="N1633" s="67" t="n">
        <x:v>-1</x:v>
      </x:c>
      <x:c r="O1633" s="67" t="n">
        <x:v>1</x:v>
      </x:c>
      <x:c r="P1633" s="67" t="n">
        <x:f>IF(COUNT(N1633:O1633)=0,"",SUM(N1633:O1633))</x:f>
        <x:v>0</x:v>
      </x:c>
      <x:c r="Q1633" s="65"/>
      <x:c r="R1633" s="65" t="str">
        <x:v>终场 0比2；让球：纽伦堡 -0.25 输；大小：小 2.5 赢。</x:v>
      </x:c>
    </x:row>
    <x:row r="1634" ht="38" customHeight="1">
      <x:c r="A1634" s="65" t="str">
        <x:f>IF(B1634="","",TEXT(B1634,"yyyy-mm-dd")&amp;"|"&amp;D1634&amp;"|"&amp;E1634)</x:f>
        <x:v>2026-04-11|马可尼|SD突击者（SD Raiders）</x:v>
      </x:c>
      <x:c r="B1634" s="66" t="n">
        <x:v>46123.708333333336</x:v>
      </x:c>
      <x:c r="C1634" s="65" t="str">
        <x:v>澳大利亚 维多利亚州超级联赛1（VPL1）</x:v>
      </x:c>
      <x:c r="D1634" s="65" t="str">
        <x:v>马可尼</x:v>
      </x:c>
      <x:c r="E1634" s="65" t="str">
        <x:v>SD突击者（SD Raiders）</x:v>
      </x:c>
      <x:c r="F1634" s="65" t="str">
        <x:v>马可尼 -0.75</x:v>
      </x:c>
      <x:c r="G1634" s="65" t="str">
        <x:v>小 3</x:v>
      </x:c>
      <x:c r="H1634" s="65" t="str">
        <x:v>可选：马可尼独赢；若临场退到 -0.5 可加仓主队，若升到 -1.25 不追高；比分参考 2-0</x:v>
      </x:c>
      <x:c r="I1634" s="66" t="n">
        <x:v>46123.72783564815</x:v>
      </x:c>
      <x:c r="J1634" s="65" t="str">
        <x:v>已结算</x:v>
      </x:c>
      <x:c r="K1634" s="65"/>
      <x:c r="L1634" s="65" t="str">
        <x:v>赢</x:v>
      </x:c>
      <x:c r="M1634" s="65" t="str">
        <x:v>输</x:v>
      </x:c>
      <x:c r="N1634" s="67" t="n">
        <x:v>1</x:v>
      </x:c>
      <x:c r="O1634" s="67" t="n">
        <x:v>-1</x:v>
      </x:c>
      <x:c r="P1634" s="67" t="n">
        <x:f>IF(COUNT(N1634:O1634)=0,"",SUM(N1634:O1634))</x:f>
        <x:v>0</x:v>
      </x:c>
      <x:c r="Q1634" s="65"/>
      <x:c r="R1634" s="65" t="str">
        <x:v>终场 6比1；让球：马可尼 -0.75 赢；大小：小 3 输。</x:v>
      </x:c>
    </x:row>
    <x:row r="1635" ht="38" customHeight="1">
      <x:c r="A1635" s="65" t="str">
        <x:f>IF(B1635="","",TEXT(B1635,"yyyy-mm-dd")&amp;"|"&amp;D1635&amp;"|"&amp;E1635)</x:f>
        <x:v>2026-04-11|丹德农迅雷|格林古利</x:v>
      </x:c>
      <x:c r="B1635" s="66" t="n">
        <x:v>46123.708333333336</x:v>
      </x:c>
      <x:c r="C1635" s="65" t="str">
        <x:v>澳大利亚 维多利亚州超级联赛1（VPL1）</x:v>
      </x:c>
      <x:c r="D1635" s="65" t="str">
        <x:v>丹德农迅雷</x:v>
      </x:c>
      <x:c r="E1635" s="65" t="str">
        <x:v>格林古利</x:v>
      </x:c>
      <x:c r="F1635" s="65" t="str">
        <x:v>丹德农迅雷 -0.5</x:v>
      </x:c>
      <x:c r="G1635" s="65" t="str">
        <x:v>大 2.5</x:v>
      </x:c>
      <x:c r="H1635" s="65" t="str">
        <x:v>可选：丹德农迅雷独赢；若临场退到平/半可加仓主队；比分参考 2-1</x:v>
      </x:c>
      <x:c r="I1635" s="66" t="n">
        <x:v>46123.716319444444</x:v>
      </x:c>
      <x:c r="J1635" s="65" t="str">
        <x:v>已结算</x:v>
      </x:c>
      <x:c r="K1635" s="65"/>
      <x:c r="L1635" s="65" t="str">
        <x:v>输</x:v>
      </x:c>
      <x:c r="M1635" s="65" t="str">
        <x:v>输</x:v>
      </x:c>
      <x:c r="N1635" s="67" t="n">
        <x:v>-1</x:v>
      </x:c>
      <x:c r="O1635" s="67" t="n">
        <x:v>-1</x:v>
      </x:c>
      <x:c r="P1635" s="67" t="n">
        <x:f>IF(COUNT(N1635:O1635)=0,"",SUM(N1635:O1635))</x:f>
        <x:v>-2</x:v>
      </x:c>
      <x:c r="Q1635" s="65"/>
      <x:c r="R1635" s="65" t="str">
        <x:v>终场 0比0；让球：丹德农迅雷 -0.5 输；大小：大 2.5 输。</x:v>
      </x:c>
    </x:row>
    <x:row r="1636" ht="38" customHeight="1">
      <x:c r="A1636" s="65" t="str">
        <x:f>IF(B1636="","",TEXT(B1636,"yyyy-mm-dd")&amp;"|"&amp;D1636&amp;"|"&amp;E1636)</x:f>
        <x:v>2026-04-11|西悉尼流浪者|悉尼FC</x:v>
      </x:c>
      <x:c r="B1636" s="66" t="n">
        <x:v>46123.69097222222</x:v>
      </x:c>
      <x:c r="C1636" s="65" t="str">
        <x:v>澳大利亚A联赛（A-League Men）</x:v>
      </x:c>
      <x:c r="D1636" s="65" t="str">
        <x:v>西悉尼流浪者</x:v>
      </x:c>
      <x:c r="E1636" s="65" t="str">
        <x:v>悉尼FC</x:v>
      </x:c>
      <x:c r="F1636" s="65" t="str">
        <x:v>悉尼FC -0.5</x:v>
      </x:c>
      <x:c r="G1636" s="65" t="str">
        <x:v>大 3.5</x:v>
      </x:c>
      <x:c r="H1636" s="65" t="str">
        <x:v>可选：双方进球；若临场退到平手可加仓悉尼FC；比分参考 1-2 / 1-3</x:v>
      </x:c>
      <x:c r="I1636" s="66" t="n">
        <x:v>46123.72513888889</x:v>
      </x:c>
      <x:c r="J1636" s="65" t="str">
        <x:v>已结算</x:v>
      </x:c>
      <x:c r="K1636" s="65"/>
      <x:c r="L1636" s="65" t="str">
        <x:v>赢</x:v>
      </x:c>
      <x:c r="M1636" s="65" t="str">
        <x:v>输</x:v>
      </x:c>
      <x:c r="N1636" s="67" t="n">
        <x:v>1</x:v>
      </x:c>
      <x:c r="O1636" s="67" t="n">
        <x:v>-1</x:v>
      </x:c>
      <x:c r="P1636" s="67" t="n">
        <x:f>IF(COUNT(N1636:O1636)=0,"",SUM(N1636:O1636))</x:f>
        <x:v>0</x:v>
      </x:c>
      <x:c r="Q1636" s="65"/>
      <x:c r="R1636" s="65" t="str">
        <x:v>终场 0比2；让球：悉尼FC -0.5 赢；大小：大 3.5 输。</x:v>
      </x:c>
    </x:row>
    <x:row r="1637" ht="38" customHeight="1">
      <x:c r="A1637" s="65" t="str">
        <x:f>IF(B1637="","",TEXT(B1637,"yyyy-mm-dd")&amp;"|"&amp;D1637&amp;"|"&amp;E1637)</x:f>
        <x:v>2026-04-11|布林狮子（Bulleen Lions）|西部联青年队</x:v>
      </x:c>
      <x:c r="B1637" s="66" t="n">
        <x:v>46123.6875</x:v>
      </x:c>
      <x:c r="C1637" s="65" t="str">
        <x:v>澳大利亚 维多利亚州超级联赛1（VPL1）</x:v>
      </x:c>
      <x:c r="D1637" s="65" t="str">
        <x:v>布林狮子（Bulleen Lions）</x:v>
      </x:c>
      <x:c r="E1637" s="65" t="str">
        <x:v>西部联青年队</x:v>
      </x:c>
      <x:c r="F1637" s="65" t="str">
        <x:v>布林狮子（Bulleen Lions） -0.25</x:v>
      </x:c>
      <x:c r="G1637" s="65" t="str">
        <x:v>小 2.5</x:v>
      </x:c>
      <x:c r="H1637" s="65" t="str">
        <x:v>可选：布林狮子（Bulleen Lions）平手；若临场/下半场持续打不开可继续偏小球；比分参考 1-0 / 1-1</x:v>
      </x:c>
      <x:c r="I1637" s="66" t="n">
        <x:v>46123.732465277775</x:v>
      </x:c>
      <x:c r="J1637" s="65" t="str">
        <x:v>已结算</x:v>
      </x:c>
      <x:c r="K1637" s="65"/>
      <x:c r="L1637" s="65" t="str">
        <x:v>赢</x:v>
      </x:c>
      <x:c r="M1637" s="65" t="str">
        <x:v>赢</x:v>
      </x:c>
      <x:c r="N1637" s="67" t="n">
        <x:v>1</x:v>
      </x:c>
      <x:c r="O1637" s="67" t="n">
        <x:v>1</x:v>
      </x:c>
      <x:c r="P1637" s="67" t="n">
        <x:f>IF(COUNT(N1637:O1637)=0,"",SUM(N1637:O1637))</x:f>
        <x:v>2</x:v>
      </x:c>
      <x:c r="Q1637" s="65"/>
      <x:c r="R1637" s="65" t="str">
        <x:v>终场 2比0；让球：布林狮子（Bulleen Lions） -0.25 赢；大小：小 2.5 赢。</x:v>
      </x:c>
    </x:row>
    <x:row r="1638" ht="38" customHeight="1">
      <x:c r="A1638" s="65" t="str">
        <x:f>IF(B1638="","",TEXT(B1638,"yyyy-mm-dd")&amp;"|"&amp;D1638&amp;"|"&amp;E1638)</x:f>
        <x:v>2026-04-11|马都拉联|佩斯克谏义里</x:v>
      </x:c>
      <x:c r="B1638" s="66" t="n">
        <x:v>46123.645833333336</x:v>
      </x:c>
      <x:c r="C1638" s="65" t="str">
        <x:v>印度尼西亚超级联赛（印尼超/Liga 1 Indonesia）</x:v>
      </x:c>
      <x:c r="D1638" s="65" t="str">
        <x:v>马都拉联</x:v>
      </x:c>
      <x:c r="E1638" s="65" t="str">
        <x:v>佩斯克谏义里</x:v>
      </x:c>
      <x:c r="F1638" s="65" t="str">
        <x:v>马都拉联 -0.5</x:v>
      </x:c>
      <x:c r="G1638" s="65" t="str">
        <x:v>大 2.5</x:v>
      </x:c>
      <x:c r="H1638" s="65" t="str">
        <x:v>可选：双方进球；若临场退到平/半可加仓主队；比分参考 2-1</x:v>
      </x:c>
      <x:c r="I1638" s="66" t="n">
        <x:v>46123.69479166667</x:v>
      </x:c>
      <x:c r="J1638" s="65" t="str">
        <x:v>已结算</x:v>
      </x:c>
      <x:c r="K1638" s="65"/>
      <x:c r="L1638" s="65" t="str">
        <x:v>赢</x:v>
      </x:c>
      <x:c r="M1638" s="65" t="str">
        <x:v>赢</x:v>
      </x:c>
      <x:c r="N1638" s="67" t="n">
        <x:v>1</x:v>
      </x:c>
      <x:c r="O1638" s="67" t="n">
        <x:v>1</x:v>
      </x:c>
      <x:c r="P1638" s="67" t="n">
        <x:f>IF(COUNT(N1638:O1638)=0,"",SUM(N1638:O1638))</x:f>
        <x:v>2</x:v>
      </x:c>
      <x:c r="Q1638" s="65"/>
      <x:c r="R1638" s="65" t="str">
        <x:v>终场 2比1；让球：马都拉联 -0.5 赢；大小：大 2.5 赢。</x:v>
      </x:c>
    </x:row>
    <x:row r="1639" ht="38" customHeight="1">
      <x:c r="A1639" s="65" t="str">
        <x:f>IF(B1639="","",TEXT(B1639,"yyyy-mm-dd")&amp;"|"&amp;D1639&amp;"|"&amp;E1639)</x:f>
        <x:v>2026-04-11|丹德农市|本特利绿茵</x:v>
      </x:c>
      <x:c r="B1639" s="66" t="n">
        <x:v>46123.635416666664</x:v>
      </x:c>
      <x:c r="C1639" s="65" t="str">
        <x:v>澳大利亚 维多利亚州超级联赛1（VPL1）</x:v>
      </x:c>
      <x:c r="D1639" s="65" t="str">
        <x:v>丹德农市</x:v>
      </x:c>
      <x:c r="E1639" s="65" t="str">
        <x:v>本特利绿茵</x:v>
      </x:c>
      <x:c r="F1639" s="65" t="str">
        <x:v>丹德农市 +0.5</x:v>
      </x:c>
      <x:c r="G1639" s="65" t="str">
        <x:v>小 2.5</x:v>
      </x:c>
      <x:c r="H1639" s="65" t="str">
        <x:v>可选：丹德农市不败；若临场仍是平手盘就以主队受让思路为主；比分参考 1-1 / 1-0</x:v>
      </x:c>
      <x:c r="I1639" s="66" t="n">
        <x:v>46123.63972222222</x:v>
      </x:c>
      <x:c r="J1639" s="65" t="str">
        <x:v>已结算</x:v>
      </x:c>
      <x:c r="K1639" s="65"/>
      <x:c r="L1639" s="65" t="str">
        <x:v>赢</x:v>
      </x:c>
      <x:c r="M1639" s="65" t="str">
        <x:v>输</x:v>
      </x:c>
      <x:c r="N1639" s="67" t="n">
        <x:v>1</x:v>
      </x:c>
      <x:c r="O1639" s="67" t="n">
        <x:v>-1</x:v>
      </x:c>
      <x:c r="P1639" s="67" t="n">
        <x:f>IF(COUNT(N1639:O1639)=0,"",SUM(N1639:O1639))</x:f>
        <x:v>0</x:v>
      </x:c>
      <x:c r="Q1639" s="65"/>
      <x:c r="R1639" s="65" t="str">
        <x:v>终场 3比0；让球：丹德农市 +0.5 赢；大小：小 2.5 输。</x:v>
      </x:c>
    </x:row>
    <x:row r="1640" ht="38" customHeight="1">
      <x:c r="A1640" s="65" t="str">
        <x:f>IF(B1640="","",TEXT(B1640,"yyyy-mm-dd")&amp;"|"&amp;D1640&amp;"|"&amp;E1640)</x:f>
        <x:v>2026-04-11|新南威尔士大学|APIA莱卡特老虎</x:v>
      </x:c>
      <x:c r="B1640" s="66" t="n">
        <x:v>46123.635416666664</x:v>
      </x:c>
      <x:c r="C1640" s="65" t="str">
        <x:v>澳大利亚 维多利亚州超级联赛1（VPL1）</x:v>
      </x:c>
      <x:c r="D1640" s="65" t="str">
        <x:v>新南威尔士大学</x:v>
      </x:c>
      <x:c r="E1640" s="65" t="str">
        <x:v>APIA莱卡特老虎</x:v>
      </x:c>
      <x:c r="F1640" s="65" t="str">
        <x:v>新南威尔士大学 +2</x:v>
      </x:c>
      <x:c r="G1640" s="65" t="str">
        <x:v>小 3.5</x:v>
      </x:c>
      <x:c r="H1640" s="65" t="str">
        <x:v>可选：比分 0-2；若临场客让回落到 -1.5 可加仓APIA莱卡特老虎，若升到 -2.25 不追高</x:v>
      </x:c>
      <x:c r="I1640" s="66" t="n">
        <x:v>46123.60900462963</x:v>
      </x:c>
      <x:c r="J1640" s="65" t="str">
        <x:v>已结算</x:v>
      </x:c>
      <x:c r="K1640" s="65"/>
      <x:c r="L1640" s="65" t="str">
        <x:v>赢</x:v>
      </x:c>
      <x:c r="M1640" s="65" t="str">
        <x:v>赢</x:v>
      </x:c>
      <x:c r="N1640" s="67" t="n">
        <x:v>1</x:v>
      </x:c>
      <x:c r="O1640" s="67" t="n">
        <x:v>1</x:v>
      </x:c>
      <x:c r="P1640" s="67" t="n">
        <x:f>IF(COUNT(N1640:O1640)=0,"",SUM(N1640:O1640))</x:f>
        <x:v>2</x:v>
      </x:c>
      <x:c r="Q1640" s="65"/>
      <x:c r="R1640" s="65" t="str">
        <x:v>终场 1比1；让球：新南威尔士大学 +2 赢；大小：小 3.5 赢。</x:v>
      </x:c>
    </x:row>
    <x:row r="1641" ht="38" customHeight="1">
      <x:c r="A1641" s="65" t="str">
        <x:f>IF(B1641="","",TEXT(B1641,"yyyy-mm-dd")&amp;"|"&amp;D1641&amp;"|"&amp;E1641)</x:f>
        <x:v>2026-04-11|纽卡斯尔喷气机|阿德莱德联</x:v>
      </x:c>
      <x:c r="B1641" s="66" t="n">
        <x:v>46123.625</x:v>
      </x:c>
      <x:c r="C1641" s="65" t="str">
        <x:v>澳大利亚A联赛（A-League Men）</x:v>
      </x:c>
      <x:c r="D1641" s="65" t="str">
        <x:v>纽卡斯尔喷气机</x:v>
      </x:c>
      <x:c r="E1641" s="65" t="str">
        <x:v>阿德莱德联</x:v>
      </x:c>
      <x:c r="F1641" s="65" t="str">
        <x:v>纽卡斯尔喷气机 -0.5</x:v>
      </x:c>
      <x:c r="G1641" s="65" t="str">
        <x:v>大 3.5</x:v>
      </x:c>
      <x:c r="H1641" s="65" t="str">
        <x:v>可选：双方进球；若临场退到平/半可加仓主队；比分参考 3-1</x:v>
      </x:c>
      <x:c r="I1641" s="66" t="n">
        <x:v>46123.63108796296</x:v>
      </x:c>
      <x:c r="J1641" s="65" t="str">
        <x:v>已结算</x:v>
      </x:c>
      <x:c r="K1641" s="65"/>
      <x:c r="L1641" s="65" t="str">
        <x:v>输</x:v>
      </x:c>
      <x:c r="M1641" s="65" t="str">
        <x:v>输</x:v>
      </x:c>
      <x:c r="N1641" s="67" t="n">
        <x:v>-1</x:v>
      </x:c>
      <x:c r="O1641" s="67" t="n">
        <x:v>-1</x:v>
      </x:c>
      <x:c r="P1641" s="67" t="n">
        <x:f>IF(COUNT(N1641:O1641)=0,"",SUM(N1641:O1641))</x:f>
        <x:v>-2</x:v>
      </x:c>
      <x:c r="Q1641" s="65"/>
      <x:c r="R1641" s="65" t="str">
        <x:v>终场 1比1；让球：纽卡斯尔喷气机 -0.5 输；大小：大 3.5 输。</x:v>
      </x:c>
    </x:row>
    <x:row r="1642" ht="38" customHeight="1">
      <x:c r="A1642" s="65" t="str">
        <x:f>IF(B1642="","",TEXT(B1642,"yyyy-mm-dd")&amp;"|"&amp;D1642&amp;"|"&amp;E1642)</x:f>
        <x:v>2026-04-11|萨瑟兰鲨鱼|罗克代尔伊林登（Rockdale Ilinden）</x:v>
      </x:c>
      <x:c r="B1642" s="66" t="n">
        <x:v>46123.583333333336</x:v>
      </x:c>
      <x:c r="C1642" s="65" t="str">
        <x:v>澳大利亚 维多利亚州超级联赛1（VPL1）</x:v>
      </x:c>
      <x:c r="D1642" s="65" t="str">
        <x:v>萨瑟兰鲨鱼</x:v>
      </x:c>
      <x:c r="E1642" s="65" t="str">
        <x:v>罗克代尔伊林登（Rockdale Ilinden）</x:v>
      </x:c>
      <x:c r="F1642" s="65" t="str">
        <x:v>罗克代尔伊林登（Rockdale Ilinden） -0.5</x:v>
      </x:c>
      <x:c r="G1642" s="65" t="str">
        <x:v>小 3</x:v>
      </x:c>
      <x:c r="H1642" s="65" t="str">
        <x:v>可选：罗克代尔伊林登（Rockdale Ilinden）独赢；若临场退到平/半可加仓客队；比分参考 0-2 / 1-2</x:v>
      </x:c>
      <x:c r="I1642" s="66" t="n">
        <x:v>46123.548125</x:v>
      </x:c>
      <x:c r="J1642" s="65" t="str">
        <x:v>已结算</x:v>
      </x:c>
      <x:c r="K1642" s="65"/>
      <x:c r="L1642" s="65" t="str">
        <x:v>输</x:v>
      </x:c>
      <x:c r="M1642" s="65" t="str">
        <x:v>输</x:v>
      </x:c>
      <x:c r="N1642" s="67" t="n">
        <x:v>-1</x:v>
      </x:c>
      <x:c r="O1642" s="67" t="n">
        <x:v>-1</x:v>
      </x:c>
      <x:c r="P1642" s="67" t="n">
        <x:f>IF(COUNT(N1642:O1642)=0,"",SUM(N1642:O1642))</x:f>
        <x:v>-2</x:v>
      </x:c>
      <x:c r="Q1642" s="65"/>
      <x:c r="R1642" s="65" t="str">
        <x:v>终场 3比1；让球：罗克代尔伊林登（Rockdale Ilinden） -0.5 输；大小：小 3 输。</x:v>
      </x:c>
    </x:row>
    <x:row r="1643" ht="38" customHeight="1">
      <x:c r="A1643" s="65" t="str">
        <x:f>IF(B1643="","",TEXT(B1643,"yyyy-mm-dd")&amp;"|"&amp;D1643&amp;"|"&amp;E1643)</x:f>
        <x:v>2026-04-11|普雷斯顿狮子|南墨尔本</x:v>
      </x:c>
      <x:c r="B1643" s="66" t="n">
        <x:v>46123.541666666664</x:v>
      </x:c>
      <x:c r="C1643" s="65" t="str">
        <x:v>澳大利亚 维多利亚州超级联赛1（VPL1）</x:v>
      </x:c>
      <x:c r="D1643" s="65" t="str">
        <x:v>普雷斯顿狮子</x:v>
      </x:c>
      <x:c r="E1643" s="65" t="str">
        <x:v>南墨尔本</x:v>
      </x:c>
      <x:c r="F1643" s="65" t="str">
        <x:v>南墨尔本 +0.5</x:v>
      </x:c>
      <x:c r="G1643" s="65" t="str">
        <x:v>小 2.5</x:v>
      </x:c>
      <x:c r="H1643" s="65" t="str">
        <x:v>可选：南墨尔本 0；若临场退到平手可转客队不败为主；比分参考 0-1 / 1-1</x:v>
      </x:c>
      <x:c r="I1643" s="66" t="n">
        <x:v>46123.58844907407</x:v>
      </x:c>
      <x:c r="J1643" s="65" t="str">
        <x:v>已结算</x:v>
      </x:c>
      <x:c r="K1643" s="65"/>
      <x:c r="L1643" s="65" t="str">
        <x:v>赢</x:v>
      </x:c>
      <x:c r="M1643" s="65" t="str">
        <x:v>输</x:v>
      </x:c>
      <x:c r="N1643" s="67" t="n">
        <x:v>1</x:v>
      </x:c>
      <x:c r="O1643" s="67" t="n">
        <x:v>-1</x:v>
      </x:c>
      <x:c r="P1643" s="67" t="n">
        <x:f>IF(COUNT(N1643:O1643)=0,"",SUM(N1643:O1643))</x:f>
        <x:v>0</x:v>
      </x:c>
      <x:c r="Q1643" s="65"/>
      <x:c r="R1643" s="65" t="str">
        <x:v>终场 0比3；让球：南墨尔本 +0.5 赢；大小：小 2.5 输。</x:v>
      </x:c>
    </x:row>
    <x:row r="1644" ht="38" customHeight="1">
      <x:c r="A1644" s="65" t="str">
        <x:f>IF(B1644="","",TEXT(B1644,"yyyy-mm-dd")&amp;"|"&amp;D1644&amp;"|"&amp;E1644)</x:f>
        <x:v>2026-04-11|奥克兰FC|墨尔本胜利</x:v>
      </x:c>
      <x:c r="B1644" s="66" t="n">
        <x:v>46123.541666666664</x:v>
      </x:c>
      <x:c r="C1644" s="65" t="str">
        <x:v>澳大利亚A联赛（A-League Men）</x:v>
      </x:c>
      <x:c r="D1644" s="65" t="str">
        <x:v>奥克兰FC</x:v>
      </x:c>
      <x:c r="E1644" s="65" t="str">
        <x:v>墨尔本胜利</x:v>
      </x:c>
      <x:c r="F1644" s="65" t="str">
        <x:v>奥克兰FC -0.5</x:v>
      </x:c>
      <x:c r="G1644" s="65" t="str">
        <x:v>小 2.5</x:v>
      </x:c>
      <x:c r="H1644" s="65" t="str">
        <x:v>可选：奥克兰FC独赢；若临场退到平手可加仓主队；比分参考 1-0</x:v>
      </x:c>
      <x:c r="I1644" s="66" t="n">
        <x:v>46123.53561342593</x:v>
      </x:c>
      <x:c r="J1644" s="65" t="str">
        <x:v>已结算</x:v>
      </x:c>
      <x:c r="K1644" s="65"/>
      <x:c r="L1644" s="65" t="str">
        <x:v>输</x:v>
      </x:c>
      <x:c r="M1644" s="65" t="str">
        <x:v>输</x:v>
      </x:c>
      <x:c r="N1644" s="67" t="n">
        <x:v>-1</x:v>
      </x:c>
      <x:c r="O1644" s="67" t="n">
        <x:v>-1</x:v>
      </x:c>
      <x:c r="P1644" s="67" t="n">
        <x:f>IF(COUNT(N1644:O1644)=0,"",SUM(N1644:O1644))</x:f>
        <x:v>-2</x:v>
      </x:c>
      <x:c r="Q1644" s="65"/>
      <x:c r="R1644" s="65" t="str">
        <x:v>终场 2比2；让球：奥克兰FC -0.5 输；大小：小 2.5 输。</x:v>
      </x:c>
    </x:row>
    <x:row r="1645" ht="38" customHeight="1">
      <x:c r="A1645" s="65" t="str">
        <x:f>IF(B1645="","",TEXT(B1645,"yyyy-mm-dd")&amp;"|"&amp;D1645&amp;"|"&amp;E1645)</x:f>
        <x:v>2026-04-11|华雷斯|蒂华纳</x:v>
      </x:c>
      <x:c r="B1645" s="66" t="n">
        <x:v>46123.4625</x:v>
      </x:c>
      <x:c r="C1645" s="65" t="str">
        <x:v>墨西哥超（Liga MX，Clausura）</x:v>
      </x:c>
      <x:c r="D1645" s="65" t="str">
        <x:v>华雷斯</x:v>
      </x:c>
      <x:c r="E1645" s="65" t="str">
        <x:v>蒂华纳</x:v>
      </x:c>
      <x:c r="F1645" s="65" t="str">
        <x:v>蒂华纳 +0.5</x:v>
      </x:c>
      <x:c r="G1645" s="65" t="str">
        <x:v>小 2.5</x:v>
      </x:c>
      <x:c r="H1645" s="65" t="str">
        <x:v>可选：蒂华纳不败；若临场退到平手可转看小球为主；比分参考 0-1 / 1-1</x:v>
      </x:c>
      <x:c r="I1645" s="66" t="n">
        <x:v>46123.46744212963</x:v>
      </x:c>
      <x:c r="J1645" s="65" t="str">
        <x:v>已结算</x:v>
      </x:c>
      <x:c r="K1645" s="65"/>
      <x:c r="L1645" s="65" t="str">
        <x:v>赢</x:v>
      </x:c>
      <x:c r="M1645" s="65" t="str">
        <x:v>输</x:v>
      </x:c>
      <x:c r="N1645" s="67" t="n">
        <x:v>1</x:v>
      </x:c>
      <x:c r="O1645" s="67" t="n">
        <x:v>-1</x:v>
      </x:c>
      <x:c r="P1645" s="67" t="n">
        <x:f>IF(COUNT(N1645:O1645)=0,"",SUM(N1645:O1645))</x:f>
        <x:v>0</x:v>
      </x:c>
      <x:c r="Q1645" s="65"/>
      <x:c r="R1645" s="65" t="str">
        <x:v>终场 1比2；让球：蒂华纳 +0.5 赢；大小：小 2.5 输。</x:v>
      </x:c>
    </x:row>
    <x:row r="1646" ht="38" customHeight="1">
      <x:c r="A1646" s="65" t="str">
        <x:f>IF(B1646="","",TEXT(B1646,"yyyy-mm-dd")&amp;"|"&amp;D1646&amp;"|"&amp;E1646)</x:f>
        <x:v>2026-04-11|普埃布拉|莱昂</x:v>
      </x:c>
      <x:c r="B1646" s="66" t="n">
        <x:v>46123.375</x:v>
      </x:c>
      <x:c r="C1646" s="65" t="str">
        <x:v>墨西哥超（Liga MX，Clausura）</x:v>
      </x:c>
      <x:c r="D1646" s="65" t="str">
        <x:v>普埃布拉</x:v>
      </x:c>
      <x:c r="E1646" s="65" t="str">
        <x:v>莱昂</x:v>
      </x:c>
      <x:c r="F1646" s="65" t="str">
        <x:v>普埃布拉 -0.25</x:v>
      </x:c>
      <x:c r="G1646" s="65" t="str">
        <x:v>小 2.5</x:v>
      </x:c>
      <x:c r="H1646" s="65" t="str">
        <x:v>可选：普埃布拉独赢；若临场升到 -0.5 不追高，若退到平手可加仓主队；比分参考 1-0 / 1-1</x:v>
      </x:c>
      <x:c r="I1646" s="66" t="n">
        <x:v>46123.36659722222</x:v>
      </x:c>
      <x:c r="J1646" s="65" t="str">
        <x:v>已结算</x:v>
      </x:c>
      <x:c r="K1646" s="65"/>
      <x:c r="L1646" s="65" t="str">
        <x:v>输</x:v>
      </x:c>
      <x:c r="M1646" s="65" t="str">
        <x:v>赢</x:v>
      </x:c>
      <x:c r="N1646" s="67" t="n">
        <x:v>-1</x:v>
      </x:c>
      <x:c r="O1646" s="67" t="n">
        <x:v>1</x:v>
      </x:c>
      <x:c r="P1646" s="67" t="n">
        <x:f>IF(COUNT(N1646:O1646)=0,"",SUM(N1646:O1646))</x:f>
        <x:v>0</x:v>
      </x:c>
      <x:c r="Q1646" s="65"/>
      <x:c r="R1646" s="65" t="str">
        <x:v>终场 0比1；让球：普埃布拉 -0.25 输；大小：小 2.5 赢。</x:v>
      </x:c>
    </x:row>
    <x:row r="1647" ht="38" customHeight="1">
      <x:c r="A1647" s="65" t="str">
        <x:f>IF(B1647="","",TEXT(B1647,"yyyy-mm-dd")&amp;"|"&amp;D1647&amp;"|"&amp;E1647)</x:f>
        <x:v>2026-04-11|瓜比拉|佩特罗独立</x:v>
      </x:c>
      <x:c r="B1647" s="66" t="n">
        <x:v>46123.333333333336</x:v>
      </x:c>
      <x:c r="C1647" s="65" t="str">
        <x:v>玻利维亚甲级联赛</x:v>
      </x:c>
      <x:c r="D1647" s="65" t="str">
        <x:v>瓜比拉</x:v>
      </x:c>
      <x:c r="E1647" s="65" t="str">
        <x:v>佩特罗独立</x:v>
      </x:c>
      <x:c r="F1647" s="65" t="str">
        <x:v>瓜比拉 -1.5</x:v>
      </x:c>
      <x:c r="G1647" s="65" t="str">
        <x:v>小 2.5</x:v>
      </x:c>
      <x:c r="H1647" s="65" t="str">
        <x:v>可选：比分 2-0；若临场退到 -1 可加仓主队，若升到 -1.75 不追高</x:v>
      </x:c>
      <x:c r="I1647" s="66" t="n">
        <x:v>46123.27278935185</x:v>
      </x:c>
      <x:c r="J1647" s="65" t="str">
        <x:v>已结算</x:v>
      </x:c>
      <x:c r="K1647" s="65"/>
      <x:c r="L1647" s="65" t="str">
        <x:v>输</x:v>
      </x:c>
      <x:c r="M1647" s="65" t="str">
        <x:v>输</x:v>
      </x:c>
      <x:c r="N1647" s="67" t="n">
        <x:v>-1</x:v>
      </x:c>
      <x:c r="O1647" s="67" t="n">
        <x:v>-1</x:v>
      </x:c>
      <x:c r="P1647" s="67" t="n">
        <x:f>IF(COUNT(N1647:O1647)=0,"",SUM(N1647:O1647))</x:f>
        <x:v>-2</x:v>
      </x:c>
      <x:c r="Q1647" s="65"/>
      <x:c r="R1647" s="65" t="str">
        <x:v>终场 2比2；让球：瓜比拉 -1.5 输；大小：小 2.5 输。</x:v>
      </x:c>
    </x:row>
    <x:row r="1648" ht="38" customHeight="1">
      <x:c r="A1648" s="65" t="str">
        <x:f>IF(B1648="","",TEXT(B1648,"yyyy-mm-dd")&amp;"|"&amp;D1648&amp;"|"&amp;E1648)</x:f>
        <x:v>2026-04-11|贝尔格拉诺（科尔多瓦）|阿尔多斯维</x:v>
      </x:c>
      <x:c r="B1648" s="66" t="n">
        <x:v>46123.333333333336</x:v>
      </x:c>
      <x:c r="C1648" s="65" t="str">
        <x:v>阿根廷职业联赛（Liga Profesional·Apertura）</x:v>
      </x:c>
      <x:c r="D1648" s="65" t="str">
        <x:v>贝尔格拉诺（科尔多瓦）</x:v>
      </x:c>
      <x:c r="E1648" s="65" t="str">
        <x:v>阿尔多斯维</x:v>
      </x:c>
      <x:c r="F1648" s="65" t="str">
        <x:v>贝尔格拉诺（科尔多瓦） -0.75</x:v>
      </x:c>
      <x:c r="G1648" s="65" t="str">
        <x:v>小 1.5</x:v>
      </x:c>
      <x:c r="H1648" s="65" t="str">
        <x:v>可选：贝尔格拉诺（科尔多瓦） -1.5；若临场退到 -0.5 可加仓主队；比分参考 1-0</x:v>
      </x:c>
      <x:c r="I1648" s="66" t="n">
        <x:v>46123.25833333333</x:v>
      </x:c>
      <x:c r="J1648" s="65" t="str">
        <x:v>已结算</x:v>
      </x:c>
      <x:c r="K1648" s="65"/>
      <x:c r="L1648" s="65" t="str">
        <x:v>赢半</x:v>
      </x:c>
      <x:c r="M1648" s="65" t="str">
        <x:v>赢</x:v>
      </x:c>
      <x:c r="N1648" s="67" t="n">
        <x:v>0.5</x:v>
      </x:c>
      <x:c r="O1648" s="67" t="n">
        <x:v>1</x:v>
      </x:c>
      <x:c r="P1648" s="67" t="n">
        <x:f>IF(COUNT(N1648:O1648)=0,"",SUM(N1648:O1648))</x:f>
        <x:v>1.5</x:v>
      </x:c>
      <x:c r="Q1648" s="65"/>
      <x:c r="R1648" s="65" t="str">
        <x:v>终场 1比0；让球：贝尔格拉诺（科尔多瓦） -0.75 赢半；大小：小 1.5 赢。</x:v>
      </x:c>
    </x:row>
    <x:row r="1649" ht="38" customHeight="1">
      <x:c r="A1649" s="65" t="str">
        <x:f>IF(B1649="","",TEXT(B1649,"yyyy-mm-dd")&amp;"|"&amp;D1649&amp;"|"&amp;E1649)</x:f>
        <x:v>2026-04-10|果阿FC|奥迪萨FC</x:v>
      </x:c>
      <x:c r="B1649" s="66" t="n">
        <x:v>46122.916666666664</x:v>
      </x:c>
      <x:c r="C1649" s="65" t="str">
        <x:v>印度超级联赛（Indian Super League）</x:v>
      </x:c>
      <x:c r="D1649" s="65" t="str">
        <x:v>果阿FC</x:v>
      </x:c>
      <x:c r="E1649" s="65" t="str">
        <x:v>奥迪萨FC</x:v>
      </x:c>
      <x:c r="F1649" s="65" t="str">
        <x:v>果阿FC -1</x:v>
      </x:c>
      <x:c r="G1649" s="65" t="str">
        <x:v>小 2.5</x:v>
      </x:c>
      <x:c r="H1649" s="65" t="str">
        <x:v>可选：果阿FC胜且小3.5；若临场退到 -0.75 可加仓主队；比分参考 2-0</x:v>
      </x:c>
      <x:c r="I1649" s="66" t="n">
        <x:v>46122.880057870374</x:v>
      </x:c>
      <x:c r="J1649" s="65" t="str">
        <x:v>已结算</x:v>
      </x:c>
      <x:c r="K1649" s="65"/>
      <x:c r="L1649" s="65" t="str">
        <x:v>赢</x:v>
      </x:c>
      <x:c r="M1649" s="65" t="str">
        <x:v>输</x:v>
      </x:c>
      <x:c r="N1649" s="67" t="n">
        <x:v>1</x:v>
      </x:c>
      <x:c r="O1649" s="67" t="n">
        <x:v>-1</x:v>
      </x:c>
      <x:c r="P1649" s="67" t="n">
        <x:f>IF(COUNT(N1649:O1649)=0,"",SUM(N1649:O1649))</x:f>
        <x:v>0</x:v>
      </x:c>
      <x:c r="Q1649" s="65"/>
      <x:c r="R1649" s="65" t="str">
        <x:v>终场 3比1；让球：果阿FC -1 赢；大小：小 2.5 输。</x:v>
      </x:c>
    </x:row>
    <x:row r="1650" ht="38" customHeight="1">
      <x:c r="A1650" s="65" t="str">
        <x:f>IF(B1650="","",TEXT(B1650,"yyyy-mm-dd")&amp;"|"&amp;D1650&amp;"|"&amp;E1650)</x:f>
        <x:v>2026-04-10|佩西塔唐格朗（Persita Tangerang）|阿雷马</x:v>
      </x:c>
      <x:c r="B1650" s="66" t="n">
        <x:v>46122.833333333336</x:v>
      </x:c>
      <x:c r="C1650" s="65" t="str">
        <x:v>印度尼西亚超级联赛（印尼超/Liga 1 Indonesia）</x:v>
      </x:c>
      <x:c r="D1650" s="65" t="str">
        <x:v>佩西塔唐格朗（Persita Tangerang）</x:v>
      </x:c>
      <x:c r="E1650" s="65" t="str">
        <x:v>阿雷马</x:v>
      </x:c>
      <x:c r="F1650" s="65" t="str">
        <x:v>佩西塔唐格朗（Persita Tangerang） -0.5</x:v>
      </x:c>
      <x:c r="G1650" s="65" t="str">
        <x:v>大 2.5</x:v>
      </x:c>
      <x:c r="H1650" s="65" t="str">
        <x:v>可选：佩西塔唐格朗（Persita Tangerang）独赢；若临场退到平/半可加仓主队；比分参考 2-1</x:v>
      </x:c>
      <x:c r="I1650" s="66" t="n">
        <x:v>46122.842210648145</x:v>
      </x:c>
      <x:c r="J1650" s="65" t="str">
        <x:v>已结算</x:v>
      </x:c>
      <x:c r="K1650" s="65"/>
      <x:c r="L1650" s="65" t="str">
        <x:v>输</x:v>
      </x:c>
      <x:c r="M1650" s="65" t="str">
        <x:v>输</x:v>
      </x:c>
      <x:c r="N1650" s="67" t="n">
        <x:v>-1</x:v>
      </x:c>
      <x:c r="O1650" s="67" t="n">
        <x:v>-1</x:v>
      </x:c>
      <x:c r="P1650" s="67" t="n">
        <x:f>IF(COUNT(N1650:O1650)=0,"",SUM(N1650:O1650))</x:f>
        <x:v>-2</x:v>
      </x:c>
      <x:c r="Q1650" s="65"/>
      <x:c r="R1650" s="65" t="str">
        <x:v>终场 0比1；让球：佩西塔唐格朗（Persita Tangerang） -0.5 输；大小：大 2.5 输。</x:v>
      </x:c>
    </x:row>
    <x:row r="1651" ht="38" customHeight="1">
      <x:c r="A1651" s="65" t="str">
        <x:f>IF(B1651="","",TEXT(B1651,"yyyy-mm-dd")&amp;"|"&amp;D1651&amp;"|"&amp;E1651)</x:f>
        <x:v>2026-04-10|大连英博|浙江队</x:v>
      </x:c>
      <x:c r="B1651" s="66" t="n">
        <x:v>46122.81597222222</x:v>
      </x:c>
      <x:c r="C1651" s="65" t="str">
        <x:v>中国足球超级联赛</x:v>
      </x:c>
      <x:c r="D1651" s="65" t="str">
        <x:v>大连英博</x:v>
      </x:c>
      <x:c r="E1651" s="65" t="str">
        <x:v>浙江队</x:v>
      </x:c>
      <x:c r="F1651" s="65" t="str">
        <x:v>大连英博 -0.5</x:v>
      </x:c>
      <x:c r="G1651" s="65" t="str">
        <x:v>小 2.5</x:v>
      </x:c>
      <x:c r="H1651" s="65" t="str">
        <x:v>可选：大连英博独赢；若临场退到平/半可加仓主队；比分参考 1-0</x:v>
      </x:c>
      <x:c r="I1651" s="66" t="n">
        <x:v>46122.79854166666</x:v>
      </x:c>
      <x:c r="J1651" s="65" t="str">
        <x:v>已结算</x:v>
      </x:c>
      <x:c r="K1651" s="65"/>
      <x:c r="L1651" s="65" t="str">
        <x:v>赢</x:v>
      </x:c>
      <x:c r="M1651" s="65" t="str">
        <x:v>输</x:v>
      </x:c>
      <x:c r="N1651" s="67" t="n">
        <x:v>1</x:v>
      </x:c>
      <x:c r="O1651" s="67" t="n">
        <x:v>-1</x:v>
      </x:c>
      <x:c r="P1651" s="67" t="n">
        <x:f>IF(COUNT(N1651:O1651)=0,"",SUM(N1651:O1651))</x:f>
        <x:v>0</x:v>
      </x:c>
      <x:c r="Q1651" s="65"/>
      <x:c r="R1651" s="65" t="str">
        <x:v>终场 3比0；让球：大连英博 -0.5 赢；大小：小 2.5 输。</x:v>
      </x:c>
    </x:row>
    <x:row r="1652" ht="38" customHeight="1">
      <x:c r="A1652" s="65" t="str">
        <x:f>IF(B1652="","",TEXT(B1652,"yyyy-mm-dd")&amp;"|"&amp;D1652&amp;"|"&amp;E1652)</x:f>
        <x:v>2026-04-10|东北联|德里体育俱乐部（SC Delhi）</x:v>
      </x:c>
      <x:c r="B1652" s="66" t="n">
        <x:v>46122.8125</x:v>
      </x:c>
      <x:c r="C1652" s="65" t="str">
        <x:v>印度超级联赛（Indian Super League）</x:v>
      </x:c>
      <x:c r="D1652" s="65" t="str">
        <x:v>东北联</x:v>
      </x:c>
      <x:c r="E1652" s="65" t="str">
        <x:v>德里体育俱乐部（SC Delhi）</x:v>
      </x:c>
      <x:c r="F1652" s="65" t="str">
        <x:v>东北联 -0.5</x:v>
      </x:c>
      <x:c r="G1652" s="65" t="str">
        <x:v>大 2.5</x:v>
      </x:c>
      <x:c r="H1652" s="65" t="str">
        <x:v>可选：东北联独赢；若临场退到平/半可加仓主队；比分参考 2-1</x:v>
      </x:c>
      <x:c r="I1652" s="66" t="n">
        <x:v>46122.80260416667</x:v>
      </x:c>
      <x:c r="J1652" s="65" t="str">
        <x:v>已结算</x:v>
      </x:c>
      <x:c r="K1652" s="65"/>
      <x:c r="L1652" s="65" t="str">
        <x:v>输</x:v>
      </x:c>
      <x:c r="M1652" s="65" t="str">
        <x:v>赢</x:v>
      </x:c>
      <x:c r="N1652" s="67" t="n">
        <x:v>-1</x:v>
      </x:c>
      <x:c r="O1652" s="67" t="n">
        <x:v>1</x:v>
      </x:c>
      <x:c r="P1652" s="67" t="n">
        <x:f>IF(COUNT(N1652:O1652)=0,"",SUM(N1652:O1652))</x:f>
        <x:v>0</x:v>
      </x:c>
      <x:c r="Q1652" s="65"/>
      <x:c r="R1652" s="65" t="str">
        <x:v>终场 0比3；让球：东北联 -0.5 输；大小：大 2.5 赢。</x:v>
      </x:c>
    </x:row>
    <x:row r="1653" ht="38" customHeight="1">
      <x:c r="A1653" s="65" t="str">
        <x:f>IF(B1653="","",TEXT(B1653,"yyyy-mm-dd")&amp;"|"&amp;D1653&amp;"|"&amp;E1653)</x:f>
        <x:v>2026-04-10|中央海岸水手|布里斯班狮吼</x:v>
      </x:c>
      <x:c r="B1653" s="66" t="n">
        <x:v>46122.73263888889</x:v>
      </x:c>
      <x:c r="C1653" s="65" t="str">
        <x:v>澳大利亚A联赛（A-League Men）</x:v>
      </x:c>
      <x:c r="D1653" s="65" t="str">
        <x:v>中央海岸水手</x:v>
      </x:c>
      <x:c r="E1653" s="65" t="str">
        <x:v>布里斯班狮吼</x:v>
      </x:c>
      <x:c r="F1653" s="65" t="str">
        <x:v>布里斯班狮吼 -0.5</x:v>
      </x:c>
      <x:c r="G1653" s="65" t="str">
        <x:v>小 2.5</x:v>
      </x:c>
      <x:c r="H1653" s="65" t="str">
        <x:v>可选：布里斯班狮吼独赢；若临场升到客让0.75不追高，若退到平/半可加仓客队；比分参考 0-1</x:v>
      </x:c>
      <x:c r="I1653" s="66" t="n">
        <x:v>46122.73094907407</x:v>
      </x:c>
      <x:c r="J1653" s="65" t="str">
        <x:v>已结算</x:v>
      </x:c>
      <x:c r="K1653" s="65"/>
      <x:c r="L1653" s="65" t="str">
        <x:v>输</x:v>
      </x:c>
      <x:c r="M1653" s="65" t="str">
        <x:v>输</x:v>
      </x:c>
      <x:c r="N1653" s="67" t="n">
        <x:v>-1</x:v>
      </x:c>
      <x:c r="O1653" s="67" t="n">
        <x:v>-1</x:v>
      </x:c>
      <x:c r="P1653" s="67" t="n">
        <x:f>IF(COUNT(N1653:O1653)=0,"",SUM(N1653:O1653))</x:f>
        <x:v>-2</x:v>
      </x:c>
      <x:c r="Q1653" s="65"/>
      <x:c r="R1653" s="65" t="str">
        <x:v>终场 2比2；让球：布里斯班狮吼 -0.5 输；大小：小 2.5 输。</x:v>
      </x:c>
    </x:row>
    <x:row r="1654" ht="38" customHeight="1">
      <x:c r="A1654" s="65" t="str">
        <x:f>IF(B1654="","",TEXT(B1654,"yyyy-mm-dd")&amp;"|"&amp;D1654&amp;"|"&amp;E1654)</x:f>
        <x:v>2026-04-10|圣奥尔本斯圣特斯|艾云达尔</x:v>
      </x:c>
      <x:c r="B1654" s="66" t="n">
        <x:v>46122.729166666664</x:v>
      </x:c>
      <x:c r="C1654" s="65" t="str">
        <x:v>澳大利亚 维多利亚州超级联赛1（VPL1）</x:v>
      </x:c>
      <x:c r="D1654" s="65" t="str">
        <x:v>圣奥尔本斯圣特斯</x:v>
      </x:c>
      <x:c r="E1654" s="65" t="str">
        <x:v>艾云达尔</x:v>
      </x:c>
      <x:c r="F1654" s="65" t="str">
        <x:v>艾云达尔 -0.75</x:v>
      </x:c>
      <x:c r="G1654" s="65" t="str">
        <x:v>大 3</x:v>
      </x:c>
      <x:c r="H1654" s="65" t="str">
        <x:v>可选：艾云达尔 -1；若临场退到 -0.5 可加仓客队；比分参考 1-3</x:v>
      </x:c>
      <x:c r="I1654" s="66" t="n">
        <x:v>46122.72622685185</x:v>
      </x:c>
      <x:c r="J1654" s="65" t="str">
        <x:v>已结算</x:v>
      </x:c>
      <x:c r="K1654" s="65"/>
      <x:c r="L1654" s="65" t="str">
        <x:v>赢半</x:v>
      </x:c>
      <x:c r="M1654" s="65" t="str">
        <x:v>赢</x:v>
      </x:c>
      <x:c r="N1654" s="67" t="n">
        <x:v>0.5</x:v>
      </x:c>
      <x:c r="O1654" s="67" t="n">
        <x:v>1</x:v>
      </x:c>
      <x:c r="P1654" s="67" t="n">
        <x:f>IF(COUNT(N1654:O1654)=0,"",SUM(N1654:O1654))</x:f>
        <x:v>1.5</x:v>
      </x:c>
      <x:c r="Q1654" s="65"/>
      <x:c r="R1654" s="65" t="str">
        <x:v>终场 2比3；让球：艾云达尔 -0.75 赢半；大小：大 3 赢。</x:v>
      </x:c>
    </x:row>
    <x:row r="1655" ht="38" customHeight="1">
      <x:c r="A1655" s="65" t="str">
        <x:f>IF(B1655="","",TEXT(B1655,"yyyy-mm-dd")&amp;"|"&amp;D1655&amp;"|"&amp;E1655)</x:f>
        <x:v>2026-04-10|PSIM日惹|PSM马卡萨</x:v>
      </x:c>
      <x:c r="B1655" s="66" t="n">
        <x:v>46122.6875</x:v>
      </x:c>
      <x:c r="C1655" s="65" t="str">
        <x:v>印度尼西亚超级联赛（印尼超/Liga 1 Indonesia）</x:v>
      </x:c>
      <x:c r="D1655" s="65" t="str">
        <x:v>PSIM日惹</x:v>
      </x:c>
      <x:c r="E1655" s="65" t="str">
        <x:v>PSM马卡萨</x:v>
      </x:c>
      <x:c r="F1655" s="65" t="str">
        <x:v>PSIM日惹 -0.5</x:v>
      </x:c>
      <x:c r="G1655" s="65" t="str">
        <x:v>大 2.5</x:v>
      </x:c>
      <x:c r="H1655" s="65" t="str">
        <x:v>可选：PSIM日惹胜；若临场退到平/半可加仓主队；比分参考 2-1</x:v>
      </x:c>
      <x:c r="I1655" s="66" t="n">
        <x:v>46122.585960648146</x:v>
      </x:c>
      <x:c r="J1655" s="65" t="str">
        <x:v>已结算</x:v>
      </x:c>
      <x:c r="K1655" s="65"/>
      <x:c r="L1655" s="65" t="str">
        <x:v>输</x:v>
      </x:c>
      <x:c r="M1655" s="65" t="str">
        <x:v>赢</x:v>
      </x:c>
      <x:c r="N1655" s="67" t="n">
        <x:v>-1</x:v>
      </x:c>
      <x:c r="O1655" s="67" t="n">
        <x:v>1</x:v>
      </x:c>
      <x:c r="P1655" s="67" t="n">
        <x:f>IF(COUNT(N1655:O1655)=0,"",SUM(N1655:O1655))</x:f>
        <x:v>0</x:v>
      </x:c>
      <x:c r="Q1655" s="65"/>
      <x:c r="R1655" s="65" t="str">
        <x:v>终场 1比2；让球：PSIM日惹 -0.5 输；大小：大 2.5 赢。</x:v>
      </x:c>
    </x:row>
    <x:row r="1656" ht="38" customHeight="1">
      <x:c r="A1656" s="65" t="str">
        <x:f>IF(B1656="","",TEXT(B1656,"yyyy-mm-dd")&amp;"|"&amp;D1656&amp;"|"&amp;E1656)</x:f>
        <x:v>2026-04-10|圣塔菲独立|佩纳罗尔</x:v>
      </x:c>
      <x:c r="B1656" s="66" t="n">
        <x:v>46122.416666666664</x:v>
      </x:c>
      <x:c r="C1656" s="65" t="str">
        <x:v>南美解放者杯</x:v>
      </x:c>
      <x:c r="D1656" s="65" t="str">
        <x:v>圣塔菲独立</x:v>
      </x:c>
      <x:c r="E1656" s="65" t="str">
        <x:v>佩纳罗尔</x:v>
      </x:c>
      <x:c r="F1656" s="65" t="str">
        <x:v>圣塔菲独立 -0.5</x:v>
      </x:c>
      <x:c r="G1656" s="65" t="str">
        <x:v>大 2.5</x:v>
      </x:c>
      <x:c r="H1656" s="65" t="str">
        <x:v>可选：比分 2-1；若临场让球退到平/半可加仓主队</x:v>
      </x:c>
      <x:c r="I1656" s="66" t="n">
        <x:v>46122.40589120371</x:v>
      </x:c>
      <x:c r="J1656" s="65" t="str">
        <x:v>已结算</x:v>
      </x:c>
      <x:c r="K1656" s="65"/>
      <x:c r="L1656" s="65" t="str">
        <x:v>输</x:v>
      </x:c>
      <x:c r="M1656" s="65" t="str">
        <x:v>输</x:v>
      </x:c>
      <x:c r="N1656" s="67" t="n">
        <x:v>-1</x:v>
      </x:c>
      <x:c r="O1656" s="67" t="n">
        <x:v>-1</x:v>
      </x:c>
      <x:c r="P1656" s="67" t="n">
        <x:f>IF(COUNT(N1656:O1656)=0,"",SUM(N1656:O1656))</x:f>
        <x:v>-2</x:v>
      </x:c>
      <x:c r="Q1656" s="65"/>
      <x:c r="R1656" s="65" t="str">
        <x:v>终场 1比1；让球：圣塔菲独立 -0.5 输；大小：大 2.5 输。</x:v>
      </x:c>
    </x:row>
    <x:row r="1657" ht="38" customHeight="1">
      <x:c r="A1657" s="65" t="str">
        <x:f>IF(B1657="","",TEXT(B1657,"yyyy-mm-dd")&amp;"|"&amp;D1657&amp;"|"&amp;E1657)</x:f>
        <x:v>2026-04-10|马卡拉|卡利美洲</x:v>
      </x:c>
      <x:c r="B1657" s="66" t="n">
        <x:v>46122.354166666664</x:v>
      </x:c>
      <x:c r="C1657" s="65" t="str">
        <x:v>南美杯（Copa Sudamericana）资格赛</x:v>
      </x:c>
      <x:c r="D1657" s="65" t="str">
        <x:v>马卡拉</x:v>
      </x:c>
      <x:c r="E1657" s="65" t="str">
        <x:v>卡利美洲</x:v>
      </x:c>
      <x:c r="F1657" s="65" t="str">
        <x:v>马卡拉 +0.25</x:v>
      </x:c>
      <x:c r="G1657" s="65" t="str">
        <x:v>小 2.0</x:v>
      </x:c>
      <x:c r="H1657" s="65" t="str">
        <x:v>马卡拉 平手（高水可小注）</x:v>
      </x:c>
      <x:c r="I1657" s="66" t="n">
        <x:v>46122.36572916667</x:v>
      </x:c>
      <x:c r="J1657" s="65" t="str">
        <x:v>已结算</x:v>
      </x:c>
      <x:c r="K1657" s="65"/>
      <x:c r="L1657" s="65" t="str">
        <x:v>赢半</x:v>
      </x:c>
      <x:c r="M1657" s="65" t="str">
        <x:v>走水</x:v>
      </x:c>
      <x:c r="N1657" s="67" t="n">
        <x:v>0.5</x:v>
      </x:c>
      <x:c r="O1657" s="67" t="n">
        <x:v>0</x:v>
      </x:c>
      <x:c r="P1657" s="67" t="n">
        <x:f>IF(COUNT(N1657:O1657)=0,"",SUM(N1657:O1657))</x:f>
        <x:v>0.5</x:v>
      </x:c>
      <x:c r="Q1657" s="65"/>
      <x:c r="R1657" s="65" t="str">
        <x:v>终场 1比1；让球：马卡拉 +0.25 赢半；大小：小 2.0 走水。</x:v>
      </x:c>
    </x:row>
    <x:row r="1658" ht="38" customHeight="1">
      <x:c r="A1658" s="65" t="str">
        <x:f>IF(B1658="","",TEXT(B1658,"yyyy-mm-dd")&amp;"|"&amp;D1658&amp;"|"&amp;E1658)</x:f>
        <x:v>2026-04-10|美因茨05|斯特拉斯堡</x:v>
      </x:c>
      <x:c r="B1658" s="66" t="n">
        <x:v>46122.125</x:v>
      </x:c>
      <x:c r="C1658" s="65" t="str">
        <x:v>欧洲协会联赛（UEFA Europa Conference League）</x:v>
      </x:c>
      <x:c r="D1658" s="65" t="str">
        <x:v>美因茨05</x:v>
      </x:c>
      <x:c r="E1658" s="65" t="str">
        <x:v>斯特拉斯堡</x:v>
      </x:c>
      <x:c r="F1658" s="65" t="str">
        <x:v>美因茨05 -0.25</x:v>
      </x:c>
      <x:c r="G1658" s="65" t="str">
        <x:v>小 2.5</x:v>
      </x:c>
      <x:c r="H1658" s="65" t="str">
        <x:v>上半场小 1.0（高水可小注）</x:v>
      </x:c>
      <x:c r="I1658" s="66" t="n">
        <x:v>46122.238587962966</x:v>
      </x:c>
      <x:c r="J1658" s="65" t="str">
        <x:v>已结算</x:v>
      </x:c>
      <x:c r="K1658" s="65"/>
      <x:c r="L1658" s="65" t="str">
        <x:v>赢</x:v>
      </x:c>
      <x:c r="M1658" s="65" t="str">
        <x:v>赢</x:v>
      </x:c>
      <x:c r="N1658" s="67" t="n">
        <x:v>1</x:v>
      </x:c>
      <x:c r="O1658" s="67" t="n">
        <x:v>1</x:v>
      </x:c>
      <x:c r="P1658" s="67" t="n">
        <x:f>IF(COUNT(N1658:O1658)=0,"",SUM(N1658:O1658))</x:f>
        <x:v>2</x:v>
      </x:c>
      <x:c r="Q1658" s="65"/>
      <x:c r="R1658" s="65" t="str">
        <x:v>终场 2比0；让球：美因茨05 -0.25 赢；大小：小 2.5 赢。</x:v>
      </x:c>
    </x:row>
    <x:row r="1659" ht="38" customHeight="1">
      <x:c r="A1659" s="65" t="str">
        <x:f>IF(B1659="","",TEXT(B1659,"yyyy-mm-dd")&amp;"|"&amp;D1659&amp;"|"&amp;E1659)</x:f>
        <x:v>2026-04-10|水晶宫|佛罗伦萨</x:v>
      </x:c>
      <x:c r="B1659" s="66" t="n">
        <x:v>46122.125</x:v>
      </x:c>
      <x:c r="C1659" s="65" t="str">
        <x:v>欧洲协会联赛（UEFA Europa Conference League）</x:v>
      </x:c>
      <x:c r="D1659" s="65" t="str">
        <x:v>水晶宫</x:v>
      </x:c>
      <x:c r="E1659" s="65" t="str">
        <x:v>佛罗伦萨</x:v>
      </x:c>
      <x:c r="F1659" s="65" t="str">
        <x:v>水晶宫 -0.75</x:v>
      </x:c>
      <x:c r="G1659" s="65" t="str">
        <x:v>小 2.5</x:v>
      </x:c>
      <x:c r="H1659" s="65" t="str">
        <x:v>上半场小 1.0（高水可小注）</x:v>
      </x:c>
      <x:c r="I1659" s="66" t="n">
        <x:v>46122.03334490741</x:v>
      </x:c>
      <x:c r="J1659" s="65" t="str">
        <x:v>已结算</x:v>
      </x:c>
      <x:c r="K1659" s="65"/>
      <x:c r="L1659" s="65" t="str">
        <x:v>赢</x:v>
      </x:c>
      <x:c r="M1659" s="65" t="str">
        <x:v>输</x:v>
      </x:c>
      <x:c r="N1659" s="67" t="n">
        <x:v>1</x:v>
      </x:c>
      <x:c r="O1659" s="67" t="n">
        <x:v>-1</x:v>
      </x:c>
      <x:c r="P1659" s="67" t="n">
        <x:f>IF(COUNT(N1659:O1659)=0,"",SUM(N1659:O1659))</x:f>
        <x:v>0</x:v>
      </x:c>
      <x:c r="Q1659" s="65"/>
      <x:c r="R1659" s="65" t="str">
        <x:v>终场 3比0；让球：水晶宫 -0.75 赢；大小：小 2.5 输。</x:v>
      </x:c>
    </x:row>
    <x:row r="1660" ht="38" customHeight="1">
      <x:c r="A1660" s="65" t="str">
        <x:f>IF(B1660="","",TEXT(B1660,"yyyy-mm-dd")&amp;"|"&amp;D1660&amp;"|"&amp;E1660)</x:f>
        <x:v>2026-04-09|詹谢普尔|孟买城</x:v>
      </x:c>
      <x:c r="B1660" s="66" t="n">
        <x:v>46121.916666666664</x:v>
      </x:c>
      <x:c r="C1660" s="65" t="str">
        <x:v>印度超级联赛（Indian Super League）</x:v>
      </x:c>
      <x:c r="D1660" s="65" t="str">
        <x:v>詹谢普尔</x:v>
      </x:c>
      <x:c r="E1660" s="65" t="str">
        <x:v>孟买城</x:v>
      </x:c>
      <x:c r="F1660" s="65" t="str">
        <x:v>孟买城 0</x:v>
      </x:c>
      <x:c r="G1660" s="65" t="str">
        <x:v>小 2.0</x:v>
      </x:c>
      <x:c r="H1660" s="65" t="str">
        <x:v>上半场小 0.75（高水可小注）</x:v>
      </x:c>
      <x:c r="I1660" s="66" t="n">
        <x:v>46121.81585648148</x:v>
      </x:c>
      <x:c r="J1660" s="65" t="str">
        <x:v>已结算</x:v>
      </x:c>
      <x:c r="K1660" s="65"/>
      <x:c r="L1660" s="65" t="str">
        <x:v>走水</x:v>
      </x:c>
      <x:c r="M1660" s="65" t="str">
        <x:v>走水</x:v>
      </x:c>
      <x:c r="N1660" s="67" t="n">
        <x:v>0</x:v>
      </x:c>
      <x:c r="O1660" s="67" t="n">
        <x:v>0</x:v>
      </x:c>
      <x:c r="P1660" s="67" t="n">
        <x:f>IF(COUNT(N1660:O1660)=0,"",SUM(N1660:O1660))</x:f>
        <x:v>0</x:v>
      </x:c>
      <x:c r="Q1660" s="65"/>
      <x:c r="R1660" s="65" t="str">
        <x:v>终场 1比1；让球：孟买城 0 走水；大小：小 2.0 走水。</x:v>
      </x:c>
    </x:row>
    <x:row r="1661" ht="38" customHeight="1">
      <x:c r="A1661" s="65" t="str">
        <x:f>IF(B1661="","",TEXT(B1661,"yyyy-mm-dd")&amp;"|"&amp;D1661&amp;"|"&amp;E1661)</x:f>
        <x:v>2026-04-09|悉尼联58|南部海岸狼队（Wollongong Wolves）</x:v>
      </x:c>
      <x:c r="B1661" s="66" t="n">
        <x:v>46121.708333333336</x:v>
      </x:c>
      <x:c r="C1661" s="65" t="str">
        <x:v>澳大利亚 维多利亚州超级联赛1（VPL1）</x:v>
      </x:c>
      <x:c r="D1661" s="65" t="str">
        <x:v>悉尼联58</x:v>
      </x:c>
      <x:c r="E1661" s="65" t="str">
        <x:v>南部海岸狼队（Wollongong Wolves）</x:v>
      </x:c>
      <x:c r="F1661" s="65" t="str">
        <x:v>悉尼联58 -0.5</x:v>
      </x:c>
      <x:c r="G1661" s="65" t="str">
        <x:v>小 3.0</x:v>
      </x:c>
      <x:c r="H1661" s="65" t="str">
        <x:v>小 2.5（仅限高水）</x:v>
      </x:c>
      <x:c r="I1661" s="66" t="n">
        <x:v>46121.72837962963</x:v>
      </x:c>
      <x:c r="J1661" s="65" t="str">
        <x:v>已结算</x:v>
      </x:c>
      <x:c r="K1661" s="65"/>
      <x:c r="L1661" s="65" t="str">
        <x:v>赢</x:v>
      </x:c>
      <x:c r="M1661" s="65" t="str">
        <x:v>走水</x:v>
      </x:c>
      <x:c r="N1661" s="67" t="n">
        <x:v>1</x:v>
      </x:c>
      <x:c r="O1661" s="67" t="n">
        <x:v>0</x:v>
      </x:c>
      <x:c r="P1661" s="67" t="n">
        <x:f>IF(COUNT(N1661:O1661)=0,"",SUM(N1661:O1661))</x:f>
        <x:v>1</x:v>
      </x:c>
      <x:c r="Q1661" s="65"/>
      <x:c r="R1661" s="65" t="str">
        <x:v>终场 3比0；让球：悉尼联58 -0.5 赢；大小：小 3.0 走水。</x:v>
      </x:c>
    </x:row>
    <x:row r="1662" ht="38" customHeight="1">
      <x:c r="A1662" s="65" t="str">
        <x:f>IF(B1662="","",TEXT(B1662,"yyyy-mm-dd")&amp;"|"&amp;D1662&amp;"|"&amp;E1662)</x:f>
        <x:v>2026-04-09|堪培拉白鹰队|奥康诺骑士</x:v>
      </x:c>
      <x:c r="B1662" s="66" t="n">
        <x:v>46121.6875</x:v>
      </x:c>
      <x:c r="C1662" s="65" t="str">
        <x:v>首都足总杯</x:v>
      </x:c>
      <x:c r="D1662" s="65" t="str">
        <x:v>堪培拉白鹰队</x:v>
      </x:c>
      <x:c r="E1662" s="65" t="str">
        <x:v>奥康诺骑士</x:v>
      </x:c>
      <x:c r="F1662" s="65" t="str">
        <x:v>堪培拉白鹰队 +1.25</x:v>
      </x:c>
      <x:c r="G1662" s="65" t="str">
        <x:v>小 3.75</x:v>
      </x:c>
      <x:c r="H1662" s="65" t="str">
        <x:v>堪培拉白鹰队 +0.75（高水可小注）</x:v>
      </x:c>
      <x:c r="I1662" s="66" t="n">
        <x:v>46121.717141203706</x:v>
      </x:c>
      <x:c r="J1662" s="65" t="str">
        <x:v>已结算</x:v>
      </x:c>
      <x:c r="K1662" s="65"/>
      <x:c r="L1662" s="65" t="str">
        <x:v>赢</x:v>
      </x:c>
      <x:c r="M1662" s="65" t="str">
        <x:v>赢</x:v>
      </x:c>
      <x:c r="N1662" s="67" t="n">
        <x:v>1</x:v>
      </x:c>
      <x:c r="O1662" s="67" t="n">
        <x:v>1</x:v>
      </x:c>
      <x:c r="P1662" s="67" t="n">
        <x:f>IF(COUNT(N1662:O1662)=0,"",SUM(N1662:O1662))</x:f>
        <x:v>2</x:v>
      </x:c>
      <x:c r="Q1662" s="65"/>
      <x:c r="R1662" s="65" t="str">
        <x:v>终场 2比0；让球：堪培拉白鹰队 +1.25 赢；大小：小 3.75 赢。</x:v>
      </x:c>
    </x:row>
    <x:row r="1663" ht="38" customHeight="1">
      <x:c r="A1663" s="65" t="str">
        <x:f>IF(B1663="","",TEXT(B1663,"yyyy-mm-dd")&amp;"|"&amp;D1663&amp;"|"&amp;E1663)</x:f>
        <x:v>2026-04-09|托卢卡|洛杉矶银河</x:v>
      </x:c>
      <x:c r="B1663" s="66" t="n">
        <x:v>46121.458333333336</x:v>
      </x:c>
      <x:c r="C1663" s="65" t="str">
        <x:v>中北美冠军杯（CONCACAF Champions Cup）</x:v>
      </x:c>
      <x:c r="D1663" s="65" t="str">
        <x:v>托卢卡</x:v>
      </x:c>
      <x:c r="E1663" s="65" t="str">
        <x:v>洛杉矶银河</x:v>
      </x:c>
      <x:c r="F1663" s="65" t="str">
        <x:v>洛杉矶银河 +1.5</x:v>
      </x:c>
      <x:c r="G1663" s="65" t="str">
        <x:v>大 3.5</x:v>
      </x:c>
      <x:c r="H1663" s="65" t="str">
        <x:v>比分防守 2-2 / 3-2</x:v>
      </x:c>
      <x:c r="I1663" s="66" t="n">
        <x:v>46121.43179398148</x:v>
      </x:c>
      <x:c r="J1663" s="65" t="str">
        <x:v>已结算</x:v>
      </x:c>
      <x:c r="K1663" s="65"/>
      <x:c r="L1663" s="65" t="str">
        <x:v>输</x:v>
      </x:c>
      <x:c r="M1663" s="65" t="str">
        <x:v>赢</x:v>
      </x:c>
      <x:c r="N1663" s="67" t="n">
        <x:v>-1</x:v>
      </x:c>
      <x:c r="O1663" s="67" t="n">
        <x:v>1</x:v>
      </x:c>
      <x:c r="P1663" s="67" t="n">
        <x:f>IF(COUNT(N1663:O1663)=0,"",SUM(N1663:O1663))</x:f>
        <x:v>0</x:v>
      </x:c>
      <x:c r="Q1663" s="65"/>
      <x:c r="R1663" s="65" t="str">
        <x:v>终场 4比2；让球：洛杉矶银河 +1.5 输；大小：大 3.5 赢。</x:v>
      </x:c>
    </x:row>
    <x:row r="1664" ht="38" customHeight="1">
      <x:c r="A1664" s="65" t="str">
        <x:f>IF(B1664="","",TEXT(B1664,"yyyy-mm-dd")&amp;"|"&amp;D1664&amp;"|"&amp;E1664)</x:f>
        <x:v>2026-04-09|老虎大学|西雅图海湾人</x:v>
      </x:c>
      <x:c r="B1664" s="66" t="n">
        <x:v>46121.375</x:v>
      </x:c>
      <x:c r="C1664" s="65" t="str">
        <x:v>中北美冠军杯（CONCACAF Champions Cup）</x:v>
      </x:c>
      <x:c r="D1664" s="65" t="str">
        <x:v>老虎大学</x:v>
      </x:c>
      <x:c r="E1664" s="65" t="str">
        <x:v>西雅图海湾人</x:v>
      </x:c>
      <x:c r="F1664" s="65" t="str">
        <x:v>西雅图海湾人 +0.5</x:v>
      </x:c>
      <x:c r="G1664" s="65" t="str">
        <x:v>小 2.5</x:v>
      </x:c>
      <x:c r="H1664" s="65" t="str">
        <x:v>比分防守 0-0 / 1-1</x:v>
      </x:c>
      <x:c r="I1664" s="66" t="n">
        <x:v>46121.424675925926</x:v>
      </x:c>
      <x:c r="J1664" s="65" t="str">
        <x:v>已结算</x:v>
      </x:c>
      <x:c r="K1664" s="65"/>
      <x:c r="L1664" s="65" t="str">
        <x:v>输</x:v>
      </x:c>
      <x:c r="M1664" s="65" t="str">
        <x:v>赢</x:v>
      </x:c>
      <x:c r="N1664" s="67" t="n">
        <x:v>-1</x:v>
      </x:c>
      <x:c r="O1664" s="67" t="n">
        <x:v>1</x:v>
      </x:c>
      <x:c r="P1664" s="67" t="n">
        <x:f>IF(COUNT(N1664:O1664)=0,"",SUM(N1664:O1664))</x:f>
        <x:v>0</x:v>
      </x:c>
      <x:c r="Q1664" s="65"/>
      <x:c r="R1664" s="65" t="str">
        <x:v>终场 2比0；让球：西雅图海湾人 +0.5 输；大小：小 2.5 赢。</x:v>
      </x:c>
    </x:row>
    <x:row r="1665" ht="38" customHeight="1">
      <x:c r="A1665" s="65" t="str">
        <x:f>IF(B1665="","",TEXT(B1665,"yyyy-mm-dd")&amp;"|"&amp;D1665&amp;"|"&amp;E1665)</x:f>
        <x:v>2026-04-09|麦德林独立|拉普拉塔大学生</x:v>
      </x:c>
      <x:c r="B1665" s="66" t="n">
        <x:v>46121.333333333336</x:v>
      </x:c>
      <x:c r="C1665" s="65" t="str">
        <x:v>南美解放者杯</x:v>
      </x:c>
      <x:c r="D1665" s="65" t="str">
        <x:v>麦德林独立</x:v>
      </x:c>
      <x:c r="E1665" s="65" t="str">
        <x:v>拉普拉塔大学生</x:v>
      </x:c>
      <x:c r="F1665" s="65" t="str">
        <x:v>拉普拉塔大学生 0</x:v>
      </x:c>
      <x:c r="G1665" s="65" t="str">
        <x:v>小 2.0</x:v>
      </x:c>
      <x:c r="H1665" s="65" t="str">
        <x:v>半场平</x:v>
      </x:c>
      <x:c r="I1665" s="66" t="n">
        <x:v>46121.317349537036</x:v>
      </x:c>
      <x:c r="J1665" s="65" t="str">
        <x:v>已结算</x:v>
      </x:c>
      <x:c r="K1665" s="65"/>
      <x:c r="L1665" s="65" t="str">
        <x:v>走水</x:v>
      </x:c>
      <x:c r="M1665" s="65" t="str">
        <x:v>走水</x:v>
      </x:c>
      <x:c r="N1665" s="67" t="n">
        <x:v>0</x:v>
      </x:c>
      <x:c r="O1665" s="67" t="n">
        <x:v>0</x:v>
      </x:c>
      <x:c r="P1665" s="67" t="n">
        <x:f>IF(COUNT(N1665:O1665)=0,"",SUM(N1665:O1665))</x:f>
        <x:v>0</x:v>
      </x:c>
      <x:c r="Q1665" s="65"/>
      <x:c r="R1665" s="65" t="str">
        <x:v>终场 1比1；让球：拉普拉塔大学生 0 走水；大小：小 2.0 走水。</x:v>
      </x:c>
    </x:row>
    <x:row r="1666" ht="38" customHeight="1">
      <x:c r="A1666" s="65" t="str">
        <x:f>IF(B1666="","",TEXT(B1666,"yyyy-mm-dd")&amp;"|"&amp;D1666&amp;"|"&amp;E1666)</x:f>
        <x:v>2026-04-09|巴塞罗那|马德里竞技</x:v>
      </x:c>
      <x:c r="B1666" s="66" t="n">
        <x:v>46121.125</x:v>
      </x:c>
      <x:c r="C1666" s="65" t="str">
        <x:v>欧洲冠军联赛（UEFA Champions League）</x:v>
      </x:c>
      <x:c r="D1666" s="65" t="str">
        <x:v>巴塞罗那</x:v>
      </x:c>
      <x:c r="E1666" s="65" t="str">
        <x:v>马德里竞技</x:v>
      </x:c>
      <x:c r="F1666" s="65" t="str">
        <x:v>巴塞罗那 -1</x:v>
      </x:c>
      <x:c r="G1666" s="65" t="str">
        <x:v>小 3.5</x:v>
      </x:c>
      <x:c r="H1666" s="65" t="str">
        <x:v>主胜</x:v>
      </x:c>
      <x:c r="I1666" s="66" t="n">
        <x:v>46121.17175925926</x:v>
      </x:c>
      <x:c r="J1666" s="65" t="str">
        <x:v>已结算</x:v>
      </x:c>
      <x:c r="K1666" s="65"/>
      <x:c r="L1666" s="65" t="str">
        <x:v>输</x:v>
      </x:c>
      <x:c r="M1666" s="65" t="str">
        <x:v>赢</x:v>
      </x:c>
      <x:c r="N1666" s="67" t="n">
        <x:v>-1</x:v>
      </x:c>
      <x:c r="O1666" s="67" t="n">
        <x:v>1</x:v>
      </x:c>
      <x:c r="P1666" s="67" t="n">
        <x:f>IF(COUNT(N1666:O1666)=0,"",SUM(N1666:O1666))</x:f>
        <x:v>0</x:v>
      </x:c>
      <x:c r="Q1666" s="65"/>
      <x:c r="R1666" s="65" t="str">
        <x:v>终场 0比2；让球：巴塞罗那 -1 输；大小：小 3.5 赢。</x:v>
      </x:c>
    </x:row>
    <x:row r="1667" ht="38" customHeight="1">
      <x:c r="A1667" s="65" t="str">
        <x:f>IF(B1667="","",TEXT(B1667,"yyyy-mm-dd")&amp;"|"&amp;D1667&amp;"|"&amp;E1667)</x:f>
        <x:v>2026-04-08|多哈艾阿里|杜海勒</x:v>
      </x:c>
      <x:c r="B1667" s="66" t="n">
        <x:v>46120.979166666664</x:v>
      </x:c>
      <x:c r="C1667" s="65" t="str">
        <x:v>卡塔尔星联赛（Stars League）</x:v>
      </x:c>
      <x:c r="D1667" s="65" t="str">
        <x:v>多哈艾阿里</x:v>
      </x:c>
      <x:c r="E1667" s="65" t="str">
        <x:v>杜海勒</x:v>
      </x:c>
      <x:c r="F1667" s="65" t="str">
        <x:v>多哈艾阿里 +0.5</x:v>
      </x:c>
      <x:c r="G1667" s="65" t="str">
        <x:v>大 3.5</x:v>
      </x:c>
      <x:c r="H1667" s="65" t="str">
        <x:v>半场杜海勒胜</x:v>
      </x:c>
      <x:c r="I1667" s="66" t="n">
        <x:v>46120.82645833334</x:v>
      </x:c>
      <x:c r="J1667" s="65" t="str">
        <x:v>已结算</x:v>
      </x:c>
      <x:c r="K1667" s="65"/>
      <x:c r="L1667" s="65" t="str">
        <x:v>赢</x:v>
      </x:c>
      <x:c r="M1667" s="65" t="str">
        <x:v>输</x:v>
      </x:c>
      <x:c r="N1667" s="67" t="n">
        <x:v>1</x:v>
      </x:c>
      <x:c r="O1667" s="67" t="n">
        <x:v>-1</x:v>
      </x:c>
      <x:c r="P1667" s="67" t="n">
        <x:f>IF(COUNT(N1667:O1667)=0,"",SUM(N1667:O1667))</x:f>
        <x:v>0</x:v>
      </x:c>
      <x:c r="Q1667" s="65"/>
      <x:c r="R1667" s="65" t="str">
        <x:v>终场 2比1；让球：多哈艾阿里 +0.5 赢；大小：大 3.5 输。</x:v>
      </x:c>
    </x:row>
    <x:row r="1668" ht="38" customHeight="1">
      <x:c r="A1668" s="65" t="str">
        <x:f>IF(B1668="","",TEXT(B1668,"yyyy-mm-dd")&amp;"|"&amp;D1668&amp;"|"&amp;E1668)</x:f>
        <x:v>2026-04-08|枥木SC|八户云罗里</x:v>
      </x:c>
      <x:c r="B1668" s="66" t="n">
        <x:v>46120.729166666664</x:v>
      </x:c>
      <x:c r="C1668" s="65" t="str">
        <x:v>日职 明治安田J2·J3百年构想联赛</x:v>
      </x:c>
      <x:c r="D1668" s="65" t="str">
        <x:v>枥木SC</x:v>
      </x:c>
      <x:c r="E1668" s="65" t="str">
        <x:v>八户云罗里</x:v>
      </x:c>
      <x:c r="F1668" s="65" t="str">
        <x:v>枥木SC 0</x:v>
      </x:c>
      <x:c r="G1668" s="65" t="str">
        <x:v>小 2.25</x:v>
      </x:c>
      <x:c r="H1668" s="65" t="str">
        <x:v>半场平</x:v>
      </x:c>
      <x:c r="I1668" s="66" t="n">
        <x:v>46120.601064814815</x:v>
      </x:c>
      <x:c r="J1668" s="65" t="str">
        <x:v>已结算</x:v>
      </x:c>
      <x:c r="K1668" s="65"/>
      <x:c r="L1668" s="65" t="str">
        <x:v>输</x:v>
      </x:c>
      <x:c r="M1668" s="65" t="str">
        <x:v>输</x:v>
      </x:c>
      <x:c r="N1668" s="67" t="n">
        <x:v>-1</x:v>
      </x:c>
      <x:c r="O1668" s="67" t="n">
        <x:v>-1</x:v>
      </x:c>
      <x:c r="P1668" s="67" t="n">
        <x:f>IF(COUNT(N1668:O1668)=0,"",SUM(N1668:O1668))</x:f>
        <x:v>-2</x:v>
      </x:c>
      <x:c r="Q1668" s="65"/>
      <x:c r="R1668" s="65" t="str">
        <x:v>终场 0比3；让球：枥木SC 0 输；大小：小 2.25 输。</x:v>
      </x:c>
    </x:row>
    <x:row r="1669" ht="38" customHeight="1">
      <x:c r="A1669" s="65" t="str">
        <x:f>IF(B1669="","",TEXT(B1669,"yyyy-mm-dd")&amp;"|"&amp;D1669&amp;"|"&amp;E1669)</x:f>
        <x:v>2026-04-08|洛杉矶FC|蓝十字</x:v>
      </x:c>
      <x:c r="B1669" s="66" t="n">
        <x:v>46120.416666666664</x:v>
      </x:c>
      <x:c r="C1669" s="65" t="str">
        <x:v>中北美冠军杯（CONCACAF Champions Cup）</x:v>
      </x:c>
      <x:c r="D1669" s="65" t="str">
        <x:v>洛杉矶FC</x:v>
      </x:c>
      <x:c r="E1669" s="65" t="str">
        <x:v>蓝十字</x:v>
      </x:c>
      <x:c r="F1669" s="65" t="str">
        <x:v>洛杉矶FC -0.5</x:v>
      </x:c>
      <x:c r="G1669" s="65" t="str">
        <x:v>小 2.5</x:v>
      </x:c>
      <x:c r="H1669" s="65" t="str">
        <x:v>主胜</x:v>
      </x:c>
      <x:c r="I1669" s="66" t="n">
        <x:v>46120.410844907405</x:v>
      </x:c>
      <x:c r="J1669" s="65" t="str">
        <x:v>已结算</x:v>
      </x:c>
      <x:c r="K1669" s="65"/>
      <x:c r="L1669" s="65" t="str">
        <x:v>赢</x:v>
      </x:c>
      <x:c r="M1669" s="65" t="str">
        <x:v>输</x:v>
      </x:c>
      <x:c r="N1669" s="67" t="n">
        <x:v>1</x:v>
      </x:c>
      <x:c r="O1669" s="67" t="n">
        <x:v>-1</x:v>
      </x:c>
      <x:c r="P1669" s="67" t="n">
        <x:f>IF(COUNT(N1669:O1669)=0,"",SUM(N1669:O1669))</x:f>
        <x:v>0</x:v>
      </x:c>
      <x:c r="Q1669" s="65"/>
      <x:c r="R1669" s="65" t="str">
        <x:v>终场 3比0；让球：洛杉矶FC -0.5 赢；大小：小 2.5 输。</x:v>
      </x:c>
    </x:row>
    <x:row r="1670" ht="38" customHeight="1">
      <x:c r="A1670" s="65" t="str">
        <x:f>IF(B1670="","",TEXT(B1670,"yyyy-mm-dd")&amp;"|"&amp;D1670&amp;"|"&amp;E1670)</x:f>
        <x:v>2026-04-08|纳什维尔|墨西哥美洲</x:v>
      </x:c>
      <x:c r="B1670" s="66" t="n">
        <x:v>46120.333333333336</x:v>
      </x:c>
      <x:c r="C1670" s="65" t="str">
        <x:v>中北美冠军杯（CONCACAF Champions Cup）</x:v>
      </x:c>
      <x:c r="D1670" s="65" t="str">
        <x:v>纳什维尔</x:v>
      </x:c>
      <x:c r="E1670" s="65" t="str">
        <x:v>墨西哥美洲</x:v>
      </x:c>
      <x:c r="F1670" s="65" t="str">
        <x:v>纳什维尔 0</x:v>
      </x:c>
      <x:c r="G1670" s="65" t="str">
        <x:v>小 2.25</x:v>
      </x:c>
      <x:c r="H1670" s="65" t="str">
        <x:v>半场平</x:v>
      </x:c>
      <x:c r="I1670" s="66" t="n">
        <x:v>46120.32305555556</x:v>
      </x:c>
      <x:c r="J1670" s="65" t="str">
        <x:v>已结算</x:v>
      </x:c>
      <x:c r="K1670" s="65"/>
      <x:c r="L1670" s="65" t="str">
        <x:v>走水</x:v>
      </x:c>
      <x:c r="M1670" s="65" t="str">
        <x:v>赢</x:v>
      </x:c>
      <x:c r="N1670" s="67" t="n">
        <x:v>0</x:v>
      </x:c>
      <x:c r="O1670" s="67" t="n">
        <x:v>1</x:v>
      </x:c>
      <x:c r="P1670" s="67" t="n">
        <x:f>IF(COUNT(N1670:O1670)=0,"",SUM(N1670:O1670))</x:f>
        <x:v>1</x:v>
      </x:c>
      <x:c r="Q1670" s="65"/>
      <x:c r="R1670" s="65" t="str">
        <x:v>终场 0比0；让球：纳什维尔 0 走水；大小：小 2.25 赢。</x:v>
      </x:c>
    </x:row>
    <x:row r="1671" ht="38" customHeight="1">
      <x:c r="A1671" s="65" t="str">
        <x:f>IF(B1671="","",TEXT(B1671,"yyyy-mm-dd")&amp;"|"&amp;D1671&amp;"|"&amp;E1671)</x:f>
        <x:v>2026-04-08|克雷塔罗|华雷斯</x:v>
      </x:c>
      <x:c r="B1671" s="66" t="n">
        <x:v>46120.333333333336</x:v>
      </x:c>
      <x:c r="C1671" s="65" t="str">
        <x:v>墨西哥超（Liga MX，Clausura）</x:v>
      </x:c>
      <x:c r="D1671" s="65" t="str">
        <x:v>克雷塔罗</x:v>
      </x:c>
      <x:c r="E1671" s="65" t="str">
        <x:v>华雷斯</x:v>
      </x:c>
      <x:c r="F1671" s="65" t="str">
        <x:v>克雷塔罗 0</x:v>
      </x:c>
      <x:c r="G1671" s="65" t="str">
        <x:v>大 2.5</x:v>
      </x:c>
      <x:c r="H1671" s="65" t="str">
        <x:v>半场平</x:v>
      </x:c>
      <x:c r="I1671" s="66" t="n">
        <x:v>46120.301354166666</x:v>
      </x:c>
      <x:c r="J1671" s="65" t="str">
        <x:v>已结算</x:v>
      </x:c>
      <x:c r="K1671" s="65"/>
      <x:c r="L1671" s="65" t="str">
        <x:v>走水</x:v>
      </x:c>
      <x:c r="M1671" s="65" t="str">
        <x:v>输</x:v>
      </x:c>
      <x:c r="N1671" s="67" t="n">
        <x:v>0</x:v>
      </x:c>
      <x:c r="O1671" s="67" t="n">
        <x:v>-1</x:v>
      </x:c>
      <x:c r="P1671" s="67" t="n">
        <x:f>IF(COUNT(N1671:O1671)=0,"",SUM(N1671:O1671))</x:f>
        <x:v>-1</x:v>
      </x:c>
      <x:c r="Q1671" s="65"/>
      <x:c r="R1671" s="65" t="str">
        <x:v>终场 1比1；让球：克雷塔罗 0 走水；大小：大 2.5 输。</x:v>
      </x:c>
    </x:row>
    <x:row r="1672" ht="38" customHeight="1">
      <x:c r="A1672" s="65" t="str">
        <x:f>IF(B1672="","",TEXT(B1672,"yyyy-mm-dd")&amp;"|"&amp;D1672&amp;"|"&amp;E1672)</x:f>
        <x:v>2026-04-08|塔巴蒂奥|特拉斯卡拉</x:v>
      </x:c>
      <x:c r="B1672" s="66" t="n">
        <x:v>46120.291666666664</x:v>
      </x:c>
      <x:c r="C1672" s="65" t="str">
        <x:v>墨西哥甲级扩展联赛（Liga de Expansión MX）</x:v>
      </x:c>
      <x:c r="D1672" s="65" t="str">
        <x:v>塔巴蒂奥</x:v>
      </x:c>
      <x:c r="E1672" s="65" t="str">
        <x:v>特拉斯卡拉</x:v>
      </x:c>
      <x:c r="F1672" s="65" t="str">
        <x:v>塔巴蒂奥 -0.75</x:v>
      </x:c>
      <x:c r="G1672" s="65" t="str">
        <x:v>大 2.5</x:v>
      </x:c>
      <x:c r="H1672" s="65" t="str">
        <x:v>主胜</x:v>
      </x:c>
      <x:c r="I1672" s="66" t="n">
        <x:v>46120.335706018515</x:v>
      </x:c>
      <x:c r="J1672" s="65" t="str">
        <x:v>已结算</x:v>
      </x:c>
      <x:c r="K1672" s="65"/>
      <x:c r="L1672" s="65" t="str">
        <x:v>赢</x:v>
      </x:c>
      <x:c r="M1672" s="65" t="str">
        <x:v>赢</x:v>
      </x:c>
      <x:c r="N1672" s="67" t="n">
        <x:v>1</x:v>
      </x:c>
      <x:c r="O1672" s="67" t="n">
        <x:v>1</x:v>
      </x:c>
      <x:c r="P1672" s="67" t="n">
        <x:f>IF(COUNT(N1672:O1672)=0,"",SUM(N1672:O1672))</x:f>
        <x:v>2</x:v>
      </x:c>
      <x:c r="Q1672" s="65"/>
      <x:c r="R1672" s="65" t="str">
        <x:v>终场 3比0；让球：塔巴蒂奥 -0.75 赢；大小：大 2.5 赢。</x:v>
      </x:c>
    </x:row>
    <x:row r="1673" ht="38" customHeight="1">
      <x:c r="A1673" s="65" t="str">
        <x:f>IF(B1673="","",TEXT(B1673,"yyyy-mm-dd")&amp;"|"&amp;D1673&amp;"|"&amp;E1673)</x:f>
        <x:v>2026-04-08|葡萄牙体育|阿森纳</x:v>
      </x:c>
      <x:c r="B1673" s="66" t="n">
        <x:v>46120.125</x:v>
      </x:c>
      <x:c r="C1673" s="65" t="str">
        <x:v>欧洲冠军联赛（UEFA Champions League）</x:v>
      </x:c>
      <x:c r="D1673" s="65" t="str">
        <x:v>葡萄牙体育</x:v>
      </x:c>
      <x:c r="E1673" s="65" t="str">
        <x:v>阿森纳</x:v>
      </x:c>
      <x:c r="F1673" s="65" t="str">
        <x:v>葡萄牙体育 +0.75</x:v>
      </x:c>
      <x:c r="G1673" s="65" t="str">
        <x:v>小 2.5</x:v>
      </x:c>
      <x:c r="H1673" s="65" t="str">
        <x:v>全场平</x:v>
      </x:c>
      <x:c r="I1673" s="66" t="n">
        <x:v>46120.102060185185</x:v>
      </x:c>
      <x:c r="J1673" s="65" t="str">
        <x:v>已结算</x:v>
      </x:c>
      <x:c r="K1673" s="65"/>
      <x:c r="L1673" s="65" t="str">
        <x:v>输半</x:v>
      </x:c>
      <x:c r="M1673" s="65" t="str">
        <x:v>赢</x:v>
      </x:c>
      <x:c r="N1673" s="67" t="n">
        <x:v>-0.5</x:v>
      </x:c>
      <x:c r="O1673" s="67" t="n">
        <x:v>1</x:v>
      </x:c>
      <x:c r="P1673" s="67" t="n">
        <x:f>IF(COUNT(N1673:O1673)=0,"",SUM(N1673:O1673))</x:f>
        <x:v>0.5</x:v>
      </x:c>
      <x:c r="Q1673" s="65"/>
      <x:c r="R1673" s="65" t="str">
        <x:v>终场 0比1；让球：葡萄牙体育 +0.75 输半；大小：小 2.5 赢。</x:v>
      </x:c>
    </x:row>
    <x:row r="1674" ht="38" customHeight="1">
      <x:c r="A1674" s="65" t="str">
        <x:f>IF(B1674="","",TEXT(B1674,"yyyy-mm-dd")&amp;"|"&amp;D1674&amp;"|"&amp;E1674)</x:f>
        <x:v>2026-04-08|瑟亚米卡克娄巴特拉|开罗国民</x:v>
      </x:c>
      <x:c r="B1674" s="66" t="n">
        <x:v>46120.083333333336</x:v>
      </x:c>
      <x:c r="C1674" s="65" t="str">
        <x:v>埃及超级联赛（Egyptian Premier League）</x:v>
      </x:c>
      <x:c r="D1674" s="65" t="str">
        <x:v>瑟亚米卡克娄巴特拉</x:v>
      </x:c>
      <x:c r="E1674" s="65" t="str">
        <x:v>开罗国民</x:v>
      </x:c>
      <x:c r="F1674" s="65" t="str">
        <x:v>瑟亚米卡克娄巴特拉 +0.75</x:v>
      </x:c>
      <x:c r="G1674" s="65" t="str">
        <x:v>大 2.5</x:v>
      </x:c>
      <x:c r="H1674" s="65" t="str">
        <x:v>双方进球 是</x:v>
      </x:c>
      <x:c r="I1674" s="66" t="n">
        <x:v>46120.11341435185</x:v>
      </x:c>
      <x:c r="J1674" s="65" t="str">
        <x:v>已结算</x:v>
      </x:c>
      <x:c r="K1674" s="65"/>
      <x:c r="L1674" s="65" t="str">
        <x:v>赢</x:v>
      </x:c>
      <x:c r="M1674" s="65" t="str">
        <x:v>输</x:v>
      </x:c>
      <x:c r="N1674" s="67" t="n">
        <x:v>1</x:v>
      </x:c>
      <x:c r="O1674" s="67" t="n">
        <x:v>-1</x:v>
      </x:c>
      <x:c r="P1674" s="67" t="n">
        <x:f>IF(COUNT(N1674:O1674)=0,"",SUM(N1674:O1674))</x:f>
        <x:v>0</x:v>
      </x:c>
      <x:c r="Q1674" s="65"/>
      <x:c r="R1674" s="65" t="str">
        <x:v>终场 1比1；让球：瑟亚米卡克娄巴特拉 +0.75 赢；大小：大 2.5 输。</x:v>
      </x:c>
    </x:row>
    <x:row r="1675" ht="38" customHeight="1">
      <x:c r="A1675" s="65" t="str">
        <x:f>IF(B1675="","",TEXT(B1675,"yyyy-mm-dd")&amp;"|"&amp;D1675&amp;"|"&amp;E1675)</x:f>
        <x:v>2026-04-07|钦奈泰坦|喀什国际</x:v>
      </x:c>
      <x:c r="B1675" s="66" t="n">
        <x:v>46119.916666666664</x:v>
      </x:c>
      <x:c r="C1675" s="65" t="str">
        <x:v>印度超级联赛（Indian Super League）</x:v>
      </x:c>
      <x:c r="D1675" s="65" t="str">
        <x:v>钦奈泰坦</x:v>
      </x:c>
      <x:c r="E1675" s="65" t="str">
        <x:v>喀什国际</x:v>
      </x:c>
      <x:c r="F1675" s="65" t="str">
        <x:v>喀什国际 +0.5</x:v>
      </x:c>
      <x:c r="G1675" s="65" t="str">
        <x:v>小 2.5</x:v>
      </x:c>
      <x:c r="H1675" s="65" t="str">
        <x:v>全场平</x:v>
      </x:c>
      <x:c r="I1675" s="66" t="n">
        <x:v>46119.833402777775</x:v>
      </x:c>
      <x:c r="J1675" s="65" t="str">
        <x:v>已结算</x:v>
      </x:c>
      <x:c r="K1675" s="65"/>
      <x:c r="L1675" s="65" t="str">
        <x:v>赢</x:v>
      </x:c>
      <x:c r="M1675" s="65" t="str">
        <x:v>输</x:v>
      </x:c>
      <x:c r="N1675" s="67" t="n">
        <x:v>1</x:v>
      </x:c>
      <x:c r="O1675" s="67" t="n">
        <x:v>-1</x:v>
      </x:c>
      <x:c r="P1675" s="67" t="n">
        <x:f>IF(COUNT(N1675:O1675)=0,"",SUM(N1675:O1675))</x:f>
        <x:v>0</x:v>
      </x:c>
      <x:c r="Q1675" s="65"/>
      <x:c r="R1675" s="65" t="str">
        <x:v>终场 1比2；让球：喀什国际 +0.5 赢；大小：小 2.5 输。</x:v>
      </x:c>
    </x:row>
    <x:row r="1676" ht="38" customHeight="1">
      <x:c r="A1676" s="65" t="str">
        <x:f>IF(B1676="","",TEXT(B1676,"yyyy-mm-dd")&amp;"|"&amp;D1676&amp;"|"&amp;E1676)</x:f>
        <x:v>2026-04-07|墨尔本城|中央海岸水手</x:v>
      </x:c>
      <x:c r="B1676" s="66" t="n">
        <x:v>46119.708333333336</x:v>
      </x:c>
      <x:c r="C1676" s="65" t="str">
        <x:v>澳大利亚A联赛（A-League Men）</x:v>
      </x:c>
      <x:c r="D1676" s="65" t="str">
        <x:v>墨尔本城</x:v>
      </x:c>
      <x:c r="E1676" s="65" t="str">
        <x:v>中央海岸水手</x:v>
      </x:c>
      <x:c r="F1676" s="65" t="str">
        <x:v>中央海岸水手 +1</x:v>
      </x:c>
      <x:c r="G1676" s="65" t="str">
        <x:v>小 2.5</x:v>
      </x:c>
      <x:c r="H1676" s="65" t="str">
        <x:v>半场平</x:v>
      </x:c>
      <x:c r="I1676" s="66" t="n">
        <x:v>46119.687569444446</x:v>
      </x:c>
      <x:c r="J1676" s="65" t="str">
        <x:v>已结算</x:v>
      </x:c>
      <x:c r="K1676" s="65" t="str">
        <x:v>2-1</x:v>
      </x:c>
      <x:c r="L1676" s="65" t="str">
        <x:v>走水</x:v>
      </x:c>
      <x:c r="M1676" s="65" t="str">
        <x:v>输</x:v>
      </x:c>
      <x:c r="N1676" s="67" t="n">
        <x:v>0</x:v>
      </x:c>
      <x:c r="O1676" s="67" t="n">
        <x:v>-1</x:v>
      </x:c>
      <x:c r="P1676" s="67" t="n">
        <x:f>IF(COUNT(N1676:O1676)=0,"",SUM(N1676:O1676))</x:f>
        <x:v>-1</x:v>
      </x:c>
      <x:c r="Q1676" s="65" t="str">
        <x:v>https://www.espn.com/soccer/match/_/gameId/758512/central-coast-mariners-melbourne-city-fc | https://www.sofascore.com/football/match/melbourne-city-central-coast-mariners/qucskUq | 查询时间：2026-07-15 23:40（北京时间）</x:v>
      </x:c>
      <x:c r="R1676" s="65" t="str">
        <x:v>历史积压补结：90分钟2-1；中央海岸水手+1走水，小2.5未打出。</x:v>
      </x:c>
    </x:row>
    <x:row r="1677" ht="38" customHeight="1">
      <x:c r="A1677" s="65" t="str">
        <x:f>IF(B1677="","",TEXT(B1677,"yyyy-mm-dd")&amp;"|"&amp;D1677&amp;"|"&amp;E1677)</x:f>
        <x:v>2026-04-07|国民竞技（Atlético Nacional）|科尔多巴美洲虎（Jaguares de Córdoba）</x:v>
      </x:c>
      <x:c r="B1677" s="66" t="n">
        <x:v>46119.381944444445</x:v>
      </x:c>
      <x:c r="C1677" s="65" t="str">
        <x:v>哥伦比亚甲级联赛（Liga BetPlay DIMAYOR）</x:v>
      </x:c>
      <x:c r="D1677" s="65" t="str">
        <x:v>国民竞技（Atlético Nacional）</x:v>
      </x:c>
      <x:c r="E1677" s="65" t="str">
        <x:v>科尔多巴美洲虎（Jaguares de Córdoba）</x:v>
      </x:c>
      <x:c r="F1677" s="65" t="str">
        <x:v>国民竞技（Atlético Nacional） -1.75</x:v>
      </x:c>
      <x:c r="G1677" s="65" t="str">
        <x:v>小3.5</x:v>
      </x:c>
      <x:c r="H1677" s="65" t="str">
        <x:v>科尔多巴美洲虎不进球</x:v>
      </x:c>
      <x:c r="I1677" s="66" t="n">
        <x:v>46119.369479166664</x:v>
      </x:c>
      <x:c r="J1677" s="65" t="str">
        <x:v>已结算</x:v>
      </x:c>
      <x:c r="K1677" s="65" t="str">
        <x:v>2-1</x:v>
      </x:c>
      <x:c r="L1677" s="65" t="str">
        <x:v>输</x:v>
      </x:c>
      <x:c r="M1677" s="65" t="str">
        <x:v>赢</x:v>
      </x:c>
      <x:c r="N1677" s="67" t="n">
        <x:v>-1</x:v>
      </x:c>
      <x:c r="O1677" s="67" t="n">
        <x:v>1</x:v>
      </x:c>
      <x:c r="P1677" s="67" t="n">
        <x:f>IF(COUNT(N1677:O1677)=0,"",SUM(N1677:O1677))</x:f>
        <x:v>0</x:v>
      </x:c>
      <x:c r="Q1677" s="65"/>
      <x:c r="R1677" s="65" t="str">
        <x:v>复核赛果：国民竞技（Atlético Nacional） 2-1 科尔多巴美洲虎（Jaguares de Córdoba）；让球：国民竞技 -1.75=输；大小：小3.5=赢。</x:v>
      </x:c>
    </x:row>
    <x:row r="1678" ht="38" customHeight="1">
      <x:c r="A1678" s="65" t="str">
        <x:f>IF(B1678="","",TEXT(B1678,"yyyy-mm-dd")&amp;"|"&amp;D1678&amp;"|"&amp;E1678)</x:f>
        <x:v>2026-04-07|科尔多瓦学院（Instituto）|防卫者与正义（Defensa y Justicia）</x:v>
      </x:c>
      <x:c r="B1678" s="66" t="n">
        <x:v>46119.34375</x:v>
      </x:c>
      <x:c r="C1678" s="65" t="str">
        <x:v>阿根廷职业联赛（Liga Profesional·Apertura）</x:v>
      </x:c>
      <x:c r="D1678" s="65" t="str">
        <x:v>科尔多瓦学院（Instituto）</x:v>
      </x:c>
      <x:c r="E1678" s="65" t="str">
        <x:v>防卫者与正义（Defensa y Justicia）</x:v>
      </x:c>
      <x:c r="F1678" s="65" t="str">
        <x:v>防卫者与正义（Defensa y Justicia） +0.25</x:v>
      </x:c>
      <x:c r="G1678" s="65" t="str">
        <x:v>大2.0</x:v>
      </x:c>
      <x:c r="H1678" s="65" t="str">
        <x:v>平局</x:v>
      </x:c>
      <x:c r="I1678" s="66" t="n">
        <x:v>46119.361226851855</x:v>
      </x:c>
      <x:c r="J1678" s="65" t="str">
        <x:v>已结算</x:v>
      </x:c>
      <x:c r="K1678" s="65" t="str">
        <x:v>2-0</x:v>
      </x:c>
      <x:c r="L1678" s="65" t="str">
        <x:v>输</x:v>
      </x:c>
      <x:c r="M1678" s="65" t="str">
        <x:v>走水</x:v>
      </x:c>
      <x:c r="N1678" s="67" t="n">
        <x:v>-1</x:v>
      </x:c>
      <x:c r="O1678" s="67" t="n">
        <x:v>0</x:v>
      </x:c>
      <x:c r="P1678" s="67" t="n">
        <x:f>IF(COUNT(N1678:O1678)=0,"",SUM(N1678:O1678))</x:f>
        <x:v>-1</x:v>
      </x:c>
      <x:c r="Q1678" s="65"/>
      <x:c r="R1678" s="65" t="str">
        <x:v>复核赛果：科尔多瓦学院（Instituto） 2-0 防卫者与正义（Defensa y Justicia）；让球：防卫者与正义 +0.25=输；大小：大2.0=走水。</x:v>
      </x:c>
    </x:row>
    <x:row r="1679" ht="38" customHeight="1">
      <x:c r="A1679" s="65" t="str">
        <x:f>IF(B1679="","",TEXT(B1679,"yyyy-mm-dd")&amp;"|"&amp;D1679&amp;"|"&amp;E1679)</x:f>
        <x:v>2026-04-07|阿根廷青年人（Argentinos Juniors）|班菲尔德（Banfield）</x:v>
      </x:c>
      <x:c r="B1679" s="66" t="n">
        <x:v>46119.25</x:v>
      </x:c>
      <x:c r="C1679" s="65" t="str">
        <x:v>阿根廷职业联赛（Liga Profesional·Apertura）</x:v>
      </x:c>
      <x:c r="D1679" s="65" t="str">
        <x:v>阿根廷青年人（Argentinos Juniors）</x:v>
      </x:c>
      <x:c r="E1679" s="65" t="str">
        <x:v>班菲尔德（Banfield）</x:v>
      </x:c>
      <x:c r="F1679" s="65" t="str">
        <x:v>阿根廷青年人（Argentinos Juniors） -1</x:v>
      </x:c>
      <x:c r="G1679" s="65" t="str">
        <x:v>小2.5</x:v>
      </x:c>
      <x:c r="H1679" s="65" t="str">
        <x:v>班菲尔德不进球</x:v>
      </x:c>
      <x:c r="I1679" s="66" t="n">
        <x:v>46119.22158564815</x:v>
      </x:c>
      <x:c r="J1679" s="65" t="str">
        <x:v>已结算</x:v>
      </x:c>
      <x:c r="K1679" s="65" t="str">
        <x:v>3-2</x:v>
      </x:c>
      <x:c r="L1679" s="65" t="str">
        <x:v>走水</x:v>
      </x:c>
      <x:c r="M1679" s="65" t="str">
        <x:v>输</x:v>
      </x:c>
      <x:c r="N1679" s="67" t="n">
        <x:v>0</x:v>
      </x:c>
      <x:c r="O1679" s="67" t="n">
        <x:v>-1</x:v>
      </x:c>
      <x:c r="P1679" s="67" t="n">
        <x:f>IF(COUNT(N1679:O1679)=0,"",SUM(N1679:O1679))</x:f>
        <x:v>-1</x:v>
      </x:c>
      <x:c r="Q1679" s="65"/>
      <x:c r="R1679" s="65" t="str">
        <x:v>FT 3-2；让球推荐 阿根廷青年人（Argentinos Juniors） -1 走水；大小推荐 小2.5 未中</x:v>
      </x:c>
    </x:row>
    <x:row r="1680" ht="38" customHeight="1">
      <x:c r="A1680" s="65" t="str">
        <x:f>IF(B1680="","",TEXT(B1680,"yyyy-mm-dd")&amp;"|"&amp;D1680&amp;"|"&amp;E1680)</x:f>
        <x:v>2026-04-07|佩雷拉（Deportivo Pereira）|阿利安萨FC（巴耶杜帕尔）</x:v>
      </x:c>
      <x:c r="B1680" s="66" t="n">
        <x:v>46119.1875</x:v>
      </x:c>
      <x:c r="C1680" s="65" t="str">
        <x:v>哥伦比亚甲级联赛（Liga BetPlay DIMAYOR）</x:v>
      </x:c>
      <x:c r="D1680" s="65" t="str">
        <x:v>佩雷拉（Deportivo Pereira）</x:v>
      </x:c>
      <x:c r="E1680" s="65" t="str">
        <x:v>阿利安萨FC（巴耶杜帕尔）</x:v>
      </x:c>
      <x:c r="F1680" s="65" t="str">
        <x:v>阿利安萨FC（巴耶杜帕尔） 平手（AH 0）</x:v>
      </x:c>
      <x:c r="G1680" s="65" t="str">
        <x:v>小2.5</x:v>
      </x:c>
      <x:c r="H1680" s="65" t="str">
        <x:v>平局</x:v>
      </x:c>
      <x:c r="I1680" s="66" t="n">
        <x:v>46119.1003125</x:v>
      </x:c>
      <x:c r="J1680" s="65" t="str">
        <x:v>已结算</x:v>
      </x:c>
      <x:c r="K1680" s="65" t="str">
        <x:v>2-3</x:v>
      </x:c>
      <x:c r="L1680" s="65" t="str">
        <x:v>赢</x:v>
      </x:c>
      <x:c r="M1680" s="65" t="str">
        <x:v>输</x:v>
      </x:c>
      <x:c r="N1680" s="67" t="n">
        <x:v>1</x:v>
      </x:c>
      <x:c r="O1680" s="67" t="n">
        <x:v>-1</x:v>
      </x:c>
      <x:c r="P1680" s="67" t="n">
        <x:f>IF(COUNT(N1680:O1680)=0,"",SUM(N1680:O1680))</x:f>
        <x:v>0</x:v>
      </x:c>
      <x:c r="Q1680" s="65"/>
      <x:c r="R1680" s="65" t="str">
        <x:v>FT 2-3；让球推荐 阿利安萨FC（巴耶杜帕尔） 平手（AH 0） 命中；大小推荐 小2.5 未中</x:v>
      </x:c>
    </x:row>
    <x:row r="1681" ht="38" customHeight="1">
      <x:c r="A1681" s="65" t="str">
        <x:f>IF(B1681="","",TEXT(B1681,"yyyy-mm-dd")&amp;"|"&amp;D1681&amp;"|"&amp;E1681)</x:f>
        <x:v>2026-04-07|那不勒斯（Napoli）|AC米兰</x:v>
      </x:c>
      <x:c r="B1681" s="66" t="n">
        <x:v>46119.114583333336</x:v>
      </x:c>
      <x:c r="C1681" s="65" t="str">
        <x:v>意大利甲级联赛（Serie A）</x:v>
      </x:c>
      <x:c r="D1681" s="65" t="str">
        <x:v>那不勒斯（Napoli）</x:v>
      </x:c>
      <x:c r="E1681" s="65" t="str">
        <x:v>AC米兰</x:v>
      </x:c>
      <x:c r="F1681" s="65" t="str">
        <x:v>那不勒斯（Napoli） -0.25</x:v>
      </x:c>
      <x:c r="G1681" s="65" t="str">
        <x:v>小2.25</x:v>
      </x:c>
      <x:c r="H1681" s="65" t="str">
        <x:v>半场平</x:v>
      </x:c>
      <x:c r="I1681" s="66" t="n">
        <x:v>46119.10472222222</x:v>
      </x:c>
      <x:c r="J1681" s="65" t="str">
        <x:v>已结算</x:v>
      </x:c>
      <x:c r="K1681" s="65" t="str">
        <x:v>1-0</x:v>
      </x:c>
      <x:c r="L1681" s="65" t="str">
        <x:v>赢</x:v>
      </x:c>
      <x:c r="M1681" s="65" t="str">
        <x:v>赢</x:v>
      </x:c>
      <x:c r="N1681" s="67" t="n">
        <x:v>1</x:v>
      </x:c>
      <x:c r="O1681" s="67" t="n">
        <x:v>1</x:v>
      </x:c>
      <x:c r="P1681" s="67" t="n">
        <x:f>IF(COUNT(N1681:O1681)=0,"",SUM(N1681:O1681))</x:f>
        <x:v>2</x:v>
      </x:c>
      <x:c r="Q1681" s="65"/>
      <x:c r="R1681" s="65" t="str">
        <x:v>FT 1-0；让球推荐 那不勒斯（Napoli） -0.25 命中；大小推荐 小2.25 命中</x:v>
      </x:c>
    </x:row>
    <x:row r="1682" ht="38" customHeight="1">
      <x:c r="A1682" s="65" t="str">
        <x:f>IF(B1682="","",TEXT(B1682,"yyyy-mm-dd")&amp;"|"&amp;D1682&amp;"|"&amp;E1682)</x:f>
        <x:v>2026-04-07|斯旺西|米德尔斯堡</x:v>
      </x:c>
      <x:c r="B1682" s="66" t="n">
        <x:v>46119.020833333336</x:v>
      </x:c>
      <x:c r="C1682" s="65" t="str">
        <x:v>英格兰冠军联赛（英冠）</x:v>
      </x:c>
      <x:c r="D1682" s="65" t="str">
        <x:v>斯旺西</x:v>
      </x:c>
      <x:c r="E1682" s="65" t="str">
        <x:v>米德尔斯堡</x:v>
      </x:c>
      <x:c r="F1682" s="65" t="str">
        <x:v>米德尔斯堡 -0.5</x:v>
      </x:c>
      <x:c r="G1682" s="65" t="str">
        <x:v>小 2.5</x:v>
      </x:c>
      <x:c r="H1682" s="65" t="str">
        <x:v>双方不进球</x:v>
      </x:c>
      <x:c r="I1682" s="66" t="n">
        <x:v>46119.0155787037</x:v>
      </x:c>
      <x:c r="J1682" s="65" t="str">
        <x:v>已结算</x:v>
      </x:c>
      <x:c r="K1682" s="65" t="str">
        <x:v>2-2</x:v>
      </x:c>
      <x:c r="L1682" s="65" t="str">
        <x:v>输</x:v>
      </x:c>
      <x:c r="M1682" s="65" t="str">
        <x:v>输</x:v>
      </x:c>
      <x:c r="N1682" s="67" t="n">
        <x:v>-1</x:v>
      </x:c>
      <x:c r="O1682" s="67" t="n">
        <x:v>-1</x:v>
      </x:c>
      <x:c r="P1682" s="67" t="n">
        <x:f>IF(COUNT(N1682:O1682)=0,"",SUM(N1682:O1682))</x:f>
        <x:v>-2</x:v>
      </x:c>
      <x:c r="Q1682" s="65"/>
      <x:c r="R1682" s="65" t="str">
        <x:v>FT 2-2；让球推荐 米德尔斯堡 -0.5 未中；大小推荐 小2.5 未中</x:v>
      </x:c>
    </x:row>
    <x:row r="1683" ht="38" customHeight="1">
      <x:c r="A1683" s="65" t="str">
        <x:f>IF(B1683="","",TEXT(B1683,"yyyy-mm-dd")&amp;"|"&amp;D1683&amp;"|"&amp;E1683)</x:f>
        <x:v>2026-04-07|尤文图斯|热那亚</x:v>
      </x:c>
      <x:c r="B1683" s="66" t="n">
        <x:v>46119</x:v>
      </x:c>
      <x:c r="C1683" s="65" t="str">
        <x:v>意大利甲级联赛（Serie A）</x:v>
      </x:c>
      <x:c r="D1683" s="65" t="str">
        <x:v>尤文图斯</x:v>
      </x:c>
      <x:c r="E1683" s="65" t="str">
        <x:v>热那亚</x:v>
      </x:c>
      <x:c r="F1683" s="65" t="str">
        <x:v>热那亚 +1.25</x:v>
      </x:c>
      <x:c r="G1683" s="65" t="str">
        <x:v>小 2.5</x:v>
      </x:c>
      <x:c r="H1683" s="65" t="str">
        <x:v>双方不进球</x:v>
      </x:c>
      <x:c r="I1683" s="66" t="n">
        <x:v>46119.00702546296</x:v>
      </x:c>
      <x:c r="J1683" s="65" t="str">
        <x:v>已结算</x:v>
      </x:c>
      <x:c r="K1683" s="65" t="str">
        <x:v>2-0</x:v>
      </x:c>
      <x:c r="L1683" s="65" t="str">
        <x:v>输</x:v>
      </x:c>
      <x:c r="M1683" s="65" t="str">
        <x:v>赢</x:v>
      </x:c>
      <x:c r="N1683" s="67" t="n">
        <x:v>-1</x:v>
      </x:c>
      <x:c r="O1683" s="67" t="n">
        <x:v>1</x:v>
      </x:c>
      <x:c r="P1683" s="67" t="n">
        <x:f>IF(COUNT(N1683:O1683)=0,"",SUM(N1683:O1683))</x:f>
        <x:v>0</x:v>
      </x:c>
      <x:c r="Q1683" s="65"/>
      <x:c r="R1683" s="65" t="str">
        <x:v>FT 2-0；让球推荐 热那亚 +1.25 未中；大小推荐 小2.5 命中</x:v>
      </x:c>
    </x:row>
    <x:row r="1684" ht="38" customHeight="1">
      <x:c r="A1684" s="65" t="str">
        <x:f>IF(B1684="","",TEXT(B1684,"yyyy-mm-dd")&amp;"|"&amp;D1684&amp;"|"&amp;E1684)</x:f>
        <x:v>2026-04-06|赫尔城|考文垂</x:v>
      </x:c>
      <x:c r="B1684" s="66" t="n">
        <x:v>46118.916666666664</x:v>
      </x:c>
      <x:c r="C1684" s="65" t="str">
        <x:v>英格兰冠军联赛（英冠）</x:v>
      </x:c>
      <x:c r="D1684" s="65" t="str">
        <x:v>赫尔城</x:v>
      </x:c>
      <x:c r="E1684" s="65" t="str">
        <x:v>考文垂</x:v>
      </x:c>
      <x:c r="F1684" s="65" t="str">
        <x:v>考文垂 -0.5</x:v>
      </x:c>
      <x:c r="G1684" s="65" t="str">
        <x:v>小 2.5</x:v>
      </x:c>
      <x:c r="H1684" s="65" t="str">
        <x:v>双方不进球</x:v>
      </x:c>
      <x:c r="I1684" s="66" t="n">
        <x:v>46119.05043981481</x:v>
      </x:c>
      <x:c r="J1684" s="65" t="str">
        <x:v>已结算</x:v>
      </x:c>
      <x:c r="K1684" s="65" t="str">
        <x:v>0-0</x:v>
      </x:c>
      <x:c r="L1684" s="65" t="str">
        <x:v>输</x:v>
      </x:c>
      <x:c r="M1684" s="65" t="str">
        <x:v>赢</x:v>
      </x:c>
      <x:c r="N1684" s="67" t="n">
        <x:v>-1</x:v>
      </x:c>
      <x:c r="O1684" s="67" t="n">
        <x:v>1</x:v>
      </x:c>
      <x:c r="P1684" s="67" t="n">
        <x:f>IF(COUNT(N1684:O1684)=0,"",SUM(N1684:O1684))</x:f>
        <x:v>0</x:v>
      </x:c>
      <x:c r="Q1684" s="65"/>
      <x:c r="R1684" s="65" t="str">
        <x:v>FT 0-0；让球推荐 考文垂 -0.5 未中；大小推荐 小2.5 命中</x:v>
      </x:c>
    </x:row>
    <x:row r="1685" ht="38" customHeight="1">
      <x:c r="A1685" s="65" t="str">
        <x:f>IF(B1685="","",TEXT(B1685,"yyyy-mm-dd")&amp;"|"&amp;D1685&amp;"|"&amp;E1685)</x:f>
        <x:v>2026-04-06|沃特福德|查尔顿</x:v>
      </x:c>
      <x:c r="B1685" s="66" t="n">
        <x:v>46118.916666666664</x:v>
      </x:c>
      <x:c r="C1685" s="65" t="str">
        <x:v>英格兰冠军联赛（英冠）</x:v>
      </x:c>
      <x:c r="D1685" s="65" t="str">
        <x:v>沃特福德</x:v>
      </x:c>
      <x:c r="E1685" s="65" t="str">
        <x:v>查尔顿</x:v>
      </x:c>
      <x:c r="F1685" s="65" t="str">
        <x:v>查尔顿 +0.5</x:v>
      </x:c>
      <x:c r="G1685" s="65" t="str">
        <x:v>小 2.5</x:v>
      </x:c>
      <x:c r="H1685" s="65" t="str">
        <x:v>双方不进球</x:v>
      </x:c>
      <x:c r="I1685" s="66" t="n">
        <x:v>46118.92574074074</x:v>
      </x:c>
      <x:c r="J1685" s="65" t="str">
        <x:v>已结算</x:v>
      </x:c>
      <x:c r="K1685" s="65" t="str">
        <x:v>1-1</x:v>
      </x:c>
      <x:c r="L1685" s="65" t="str">
        <x:v>赢</x:v>
      </x:c>
      <x:c r="M1685" s="65" t="str">
        <x:v>赢</x:v>
      </x:c>
      <x:c r="N1685" s="67" t="n">
        <x:v>1</x:v>
      </x:c>
      <x:c r="O1685" s="67" t="n">
        <x:v>1</x:v>
      </x:c>
      <x:c r="P1685" s="67" t="n">
        <x:f>IF(COUNT(N1685:O1685)=0,"",SUM(N1685:O1685))</x:f>
        <x:v>2</x:v>
      </x:c>
      <x:c r="Q1685" s="65"/>
      <x:c r="R1685" s="65" t="str">
        <x:v>FT 1-1；让球推荐 查尔顿 +0.5 命中；大小推荐 小2.5 命中</x:v>
      </x:c>
    </x:row>
    <x:row r="1686" ht="38" customHeight="1">
      <x:c r="A1686" s="65" t="str">
        <x:f>IF(B1686="","",TEXT(B1686,"yyyy-mm-dd")&amp;"|"&amp;D1686&amp;"|"&amp;E1686)</x:f>
        <x:v>2026-04-06|布里斯托尔城|谢菲尔德联</x:v>
      </x:c>
      <x:c r="B1686" s="66" t="n">
        <x:v>46118.916666666664</x:v>
      </x:c>
      <x:c r="C1686" s="65" t="str">
        <x:v>英格兰冠军联赛（英冠）</x:v>
      </x:c>
      <x:c r="D1686" s="65" t="str">
        <x:v>布里斯托尔城</x:v>
      </x:c>
      <x:c r="E1686" s="65" t="str">
        <x:v>谢菲尔德联</x:v>
      </x:c>
      <x:c r="F1686" s="65" t="str">
        <x:v>谢菲尔德联 -0.25</x:v>
      </x:c>
      <x:c r="G1686" s="65" t="str">
        <x:v>小 2.5</x:v>
      </x:c>
      <x:c r="H1686" s="65" t="str">
        <x:v>双方不进球</x:v>
      </x:c>
      <x:c r="I1686" s="66" t="n">
        <x:v>46118.89934027778</x:v>
      </x:c>
      <x:c r="J1686" s="65" t="str">
        <x:v>已结算</x:v>
      </x:c>
      <x:c r="K1686" s="65" t="str">
        <x:v>1-0</x:v>
      </x:c>
      <x:c r="L1686" s="65" t="str">
        <x:v>输</x:v>
      </x:c>
      <x:c r="M1686" s="65" t="str">
        <x:v>赢</x:v>
      </x:c>
      <x:c r="N1686" s="67" t="n">
        <x:v>-1</x:v>
      </x:c>
      <x:c r="O1686" s="67" t="n">
        <x:v>1</x:v>
      </x:c>
      <x:c r="P1686" s="67" t="n">
        <x:f>IF(COUNT(N1686:O1686)=0,"",SUM(N1686:O1686))</x:f>
        <x:v>0</x:v>
      </x:c>
      <x:c r="Q1686" s="65"/>
      <x:c r="R1686" s="65" t="str">
        <x:v>FT 1-0；让球推荐 谢菲尔德联 -0.25 未中；大小推荐 小2.5 命中</x:v>
      </x:c>
    </x:row>
    <x:row r="1687" ht="38" customHeight="1">
      <x:c r="A1687" s="65" t="str">
        <x:f>IF(B1687="","",TEXT(B1687,"yyyy-mm-dd")&amp;"|"&amp;D1687&amp;"|"&amp;E1687)</x:f>
        <x:v>2026-04-06|布莱克本|西布罗姆维奇</x:v>
      </x:c>
      <x:c r="B1687" s="66" t="n">
        <x:v>46118.916666666664</x:v>
      </x:c>
      <x:c r="C1687" s="65" t="str">
        <x:v>英格兰冠军联赛（英冠）</x:v>
      </x:c>
      <x:c r="D1687" s="65" t="str">
        <x:v>布莱克本</x:v>
      </x:c>
      <x:c r="E1687" s="65" t="str">
        <x:v>西布罗姆维奇</x:v>
      </x:c>
      <x:c r="F1687" s="65" t="str">
        <x:v>布莱克本 0（平手 / DNB）</x:v>
      </x:c>
      <x:c r="G1687" s="65" t="str">
        <x:v>小 1.5</x:v>
      </x:c>
      <x:c r="H1687" s="65" t="str">
        <x:v>双方不进球</x:v>
      </x:c>
      <x:c r="I1687" s="66" t="n">
        <x:v>46118.89325231482</x:v>
      </x:c>
      <x:c r="J1687" s="65" t="str">
        <x:v>已结算</x:v>
      </x:c>
      <x:c r="K1687" s="65" t="str">
        <x:v>0-0</x:v>
      </x:c>
      <x:c r="L1687" s="65" t="str">
        <x:v>走水</x:v>
      </x:c>
      <x:c r="M1687" s="65" t="str">
        <x:v>赢</x:v>
      </x:c>
      <x:c r="N1687" s="67" t="n">
        <x:v>0</x:v>
      </x:c>
      <x:c r="O1687" s="67" t="n">
        <x:v>1</x:v>
      </x:c>
      <x:c r="P1687" s="67" t="n">
        <x:f>IF(COUNT(N1687:O1687)=0,"",SUM(N1687:O1687))</x:f>
        <x:v>1</x:v>
      </x:c>
      <x:c r="Q1687" s="65"/>
      <x:c r="R1687" s="65" t="str">
        <x:v>FT 0-0；让球推荐 布莱克本 平手(DNB) 走水；大小推荐 小1.5 命中</x:v>
      </x:c>
    </x:row>
    <x:row r="1688" ht="38" customHeight="1">
      <x:c r="A1688" s="65" t="str">
        <x:f>IF(B1688="","",TEXT(B1688,"yyyy-mm-dd")&amp;"|"&amp;D1688&amp;"|"&amp;E1688)</x:f>
        <x:v>2026-04-06|莱切|亚特兰大</x:v>
      </x:c>
      <x:c r="B1688" s="66" t="n">
        <x:v>46118.875</x:v>
      </x:c>
      <x:c r="C1688" s="65" t="str">
        <x:v>意大利甲级联赛（Serie A）</x:v>
      </x:c>
      <x:c r="D1688" s="65" t="str">
        <x:v>莱切</x:v>
      </x:c>
      <x:c r="E1688" s="65" t="str">
        <x:v>亚特兰大</x:v>
      </x:c>
      <x:c r="F1688" s="65" t="str">
        <x:v>亚特兰大 -0.75</x:v>
      </x:c>
      <x:c r="G1688" s="65" t="str">
        <x:v>大 2.5</x:v>
      </x:c>
      <x:c r="H1688" s="65" t="str">
        <x:v>双方不进球</x:v>
      </x:c>
      <x:c r="I1688" s="66" t="n">
        <x:v>46118.884930555556</x:v>
      </x:c>
      <x:c r="J1688" s="65" t="str">
        <x:v>已结算</x:v>
      </x:c>
      <x:c r="K1688" s="65" t="str">
        <x:v>0-3</x:v>
      </x:c>
      <x:c r="L1688" s="65" t="str">
        <x:v>赢</x:v>
      </x:c>
      <x:c r="M1688" s="65" t="str">
        <x:v>赢</x:v>
      </x:c>
      <x:c r="N1688" s="67" t="n">
        <x:v>1</x:v>
      </x:c>
      <x:c r="O1688" s="67" t="n">
        <x:v>1</x:v>
      </x:c>
      <x:c r="P1688" s="67" t="n">
        <x:f>IF(COUNT(N1688:O1688)=0,"",SUM(N1688:O1688))</x:f>
        <x:v>2</x:v>
      </x:c>
      <x:c r="Q1688" s="65"/>
      <x:c r="R1688" s="65" t="str">
        <x:v>FT 0-3；让球推荐 亚特兰大 -0.75 命中；大小推荐 大2.5 命中</x:v>
      </x:c>
    </x:row>
    <x:row r="1689" ht="38" customHeight="1">
      <x:c r="A1689" s="65" t="str">
        <x:f>IF(B1689="","",TEXT(B1689,"yyyy-mm-dd")&amp;"|"&amp;D1689&amp;"|"&amp;E1689)</x:f>
        <x:v>2026-04-06|巴厘联|巴克伦佛（PSBS比亚克农福尔）</x:v>
      </x:c>
      <x:c r="B1689" s="66" t="n">
        <x:v>46118.833333333336</x:v>
      </x:c>
      <x:c r="C1689" s="65" t="str">
        <x:v>印度尼西亚超级联赛（印尼超/Liga 1 Indonesia）</x:v>
      </x:c>
      <x:c r="D1689" s="65" t="str">
        <x:v>巴厘联</x:v>
      </x:c>
      <x:c r="E1689" s="65" t="str">
        <x:v>巴克伦佛（PSBS比亚克农福尔）</x:v>
      </x:c>
      <x:c r="F1689" s="65" t="str">
        <x:v>巴厘联 -1.5</x:v>
      </x:c>
      <x:c r="G1689" s="65" t="str">
        <x:v>小 2.5</x:v>
      </x:c>
      <x:c r="H1689" s="65" t="str">
        <x:v>双方不进球</x:v>
      </x:c>
      <x:c r="I1689" s="66" t="n">
        <x:v>46118.824016203704</x:v>
      </x:c>
      <x:c r="J1689" s="65" t="str">
        <x:v>已结算</x:v>
      </x:c>
      <x:c r="K1689" s="65" t="str">
        <x:v>6-1</x:v>
      </x:c>
      <x:c r="L1689" s="65" t="str">
        <x:v>赢</x:v>
      </x:c>
      <x:c r="M1689" s="65" t="str">
        <x:v>输</x:v>
      </x:c>
      <x:c r="N1689" s="67" t="n">
        <x:v>1</x:v>
      </x:c>
      <x:c r="O1689" s="67" t="n">
        <x:v>-1</x:v>
      </x:c>
      <x:c r="P1689" s="67" t="n">
        <x:f>IF(COUNT(N1689:O1689)=0,"",SUM(N1689:O1689))</x:f>
        <x:v>0</x:v>
      </x:c>
      <x:c r="Q1689" s="65"/>
      <x:c r="R1689" s="65" t="str">
        <x:v>FT 6-1；让球推荐 巴厘联 -1.5 命中；大小推荐 小2.5 未中</x:v>
      </x:c>
    </x:row>
    <x:row r="1690" ht="38" customHeight="1">
      <x:c r="A1690" s="65" t="str">
        <x:f>IF(B1690="","",TEXT(B1690,"yyyy-mm-dd")&amp;"|"&amp;D1690&amp;"|"&amp;E1690)</x:f>
        <x:v>2026-04-06|朴茨茅斯|牛津联</x:v>
      </x:c>
      <x:c r="B1690" s="66" t="n">
        <x:v>46118.8125</x:v>
      </x:c>
      <x:c r="C1690" s="65" t="str">
        <x:v>英格兰冠军联赛（英冠）</x:v>
      </x:c>
      <x:c r="D1690" s="65" t="str">
        <x:v>朴茨茅斯</x:v>
      </x:c>
      <x:c r="E1690" s="65" t="str">
        <x:v>牛津联</x:v>
      </x:c>
      <x:c r="F1690" s="65" t="str">
        <x:v>朴茨茅斯 -0.5</x:v>
      </x:c>
      <x:c r="G1690" s="65" t="str">
        <x:v>大 2.5</x:v>
      </x:c>
      <x:c r="H1690" s="65" t="str">
        <x:v>双方进球</x:v>
      </x:c>
      <x:c r="I1690" s="66" t="n">
        <x:v>46118.78469907407</x:v>
      </x:c>
      <x:c r="J1690" s="65" t="str">
        <x:v>已结算</x:v>
      </x:c>
      <x:c r="K1690" s="65" t="str">
        <x:v>2-2</x:v>
      </x:c>
      <x:c r="L1690" s="65" t="str">
        <x:v>输</x:v>
      </x:c>
      <x:c r="M1690" s="65" t="str">
        <x:v>赢</x:v>
      </x:c>
      <x:c r="N1690" s="67" t="n">
        <x:v>-1</x:v>
      </x:c>
      <x:c r="O1690" s="67" t="n">
        <x:v>1</x:v>
      </x:c>
      <x:c r="P1690" s="67" t="n">
        <x:f>IF(COUNT(N1690:O1690)=0,"",SUM(N1690:O1690))</x:f>
        <x:v>0</x:v>
      </x:c>
      <x:c r="Q1690" s="65"/>
      <x:c r="R1690" s="65" t="str">
        <x:v>FT 2-2；让球推荐 朴茨茅斯 -0.5 未中；大小推荐 大2.5 命中</x:v>
      </x:c>
    </x:row>
    <x:row r="1691" ht="38" customHeight="1">
      <x:c r="A1691" s="65" t="str">
        <x:f>IF(B1691="","",TEXT(B1691,"yyyy-mm-dd")&amp;"|"&amp;D1691&amp;"|"&amp;E1691)</x:f>
        <x:v>2026-04-06|乌迪内斯|科莫</x:v>
      </x:c>
      <x:c r="B1691" s="66" t="n">
        <x:v>46118.770833333336</x:v>
      </x:c>
      <x:c r="C1691" s="65" t="str">
        <x:v>意大利甲级联赛（Serie A）</x:v>
      </x:c>
      <x:c r="D1691" s="65" t="str">
        <x:v>乌迪内斯</x:v>
      </x:c>
      <x:c r="E1691" s="65" t="str">
        <x:v>科莫</x:v>
      </x:c>
      <x:c r="F1691" s="65" t="str">
        <x:v>科莫 -0.75</x:v>
      </x:c>
      <x:c r="G1691" s="65" t="str">
        <x:v>大 2.5</x:v>
      </x:c>
      <x:c r="H1691" s="65" t="str">
        <x:v>科莫 独赢</x:v>
      </x:c>
      <x:c r="I1691" s="66" t="n">
        <x:v>46118.76577546296</x:v>
      </x:c>
      <x:c r="J1691" s="65" t="str">
        <x:v>已结算</x:v>
      </x:c>
      <x:c r="K1691" s="65" t="str">
        <x:v>0-0</x:v>
      </x:c>
      <x:c r="L1691" s="65" t="str">
        <x:v>输</x:v>
      </x:c>
      <x:c r="M1691" s="65" t="str">
        <x:v>输</x:v>
      </x:c>
      <x:c r="N1691" s="67" t="n">
        <x:v>-1</x:v>
      </x:c>
      <x:c r="O1691" s="67" t="n">
        <x:v>-1</x:v>
      </x:c>
      <x:c r="P1691" s="67" t="n">
        <x:f>IF(COUNT(N1691:O1691)=0,"",SUM(N1691:O1691))</x:f>
        <x:v>-2</x:v>
      </x:c>
      <x:c r="Q1691" s="65"/>
      <x:c r="R1691" s="65" t="str">
        <x:v>FT 0-0；让球推荐 科莫 -0.75 未中；大小推荐 大2.5 未中</x:v>
      </x:c>
    </x:row>
    <x:row r="1692" ht="38" customHeight="1">
      <x:c r="A1692" s="65" t="str">
        <x:f>IF(B1692="","",TEXT(B1692,"yyyy-mm-dd")&amp;"|"&amp;D1692&amp;"|"&amp;E1692)</x:f>
        <x:v>2026-04-06|佩斯克谏义里|杰帕拉</x:v>
      </x:c>
      <x:c r="B1692" s="66" t="n">
        <x:v>46118.6875</x:v>
      </x:c>
      <x:c r="C1692" s="65" t="str">
        <x:v>印度尼西亚超级联赛（印尼超/Liga 1 Indonesia）</x:v>
      </x:c>
      <x:c r="D1692" s="65" t="str">
        <x:v>佩斯克谏义里</x:v>
      </x:c>
      <x:c r="E1692" s="65" t="str">
        <x:v>杰帕拉</x:v>
      </x:c>
      <x:c r="F1692" s="65" t="str">
        <x:v>佩斯克谏义里 -0.25</x:v>
      </x:c>
      <x:c r="G1692" s="65" t="str">
        <x:v>大 2.5</x:v>
      </x:c>
      <x:c r="H1692" s="65" t="str">
        <x:v>佩斯克谏义里 独赢</x:v>
      </x:c>
      <x:c r="I1692" s="66" t="n">
        <x:v>46118.62447916667</x:v>
      </x:c>
      <x:c r="J1692" s="65" t="str">
        <x:v>已结算</x:v>
      </x:c>
      <x:c r="K1692" s="65" t="str">
        <x:v>0-0</x:v>
      </x:c>
      <x:c r="L1692" s="65" t="str">
        <x:v>输半</x:v>
      </x:c>
      <x:c r="M1692" s="65" t="str">
        <x:v>输</x:v>
      </x:c>
      <x:c r="N1692" s="67" t="n">
        <x:v>-0.5</x:v>
      </x:c>
      <x:c r="O1692" s="67" t="n">
        <x:v>-1</x:v>
      </x:c>
      <x:c r="P1692" s="67" t="n">
        <x:f>IF(COUNT(N1692:O1692)=0,"",SUM(N1692:O1692))</x:f>
        <x:v>-1.5</x:v>
      </x:c>
      <x:c r="Q1692" s="65"/>
      <x:c r="R1692" s="65" t="str">
        <x:v>复核赛果：佩斯克谏义里 0-0 杰帕拉；让球：佩斯克谏义里 -0.25=输半；大小：大2.5=输。</x:v>
      </x:c>
    </x:row>
    <x:row r="1693" ht="38" customHeight="1">
      <x:c r="A1693" s="65" t="str">
        <x:f>IF(B1693="","",TEXT(B1693,"yyyy-mm-dd")&amp;"|"&amp;D1693&amp;"|"&amp;E1693)</x:f>
        <x:v>2026-04-06|悉尼联58|马可尼</x:v>
      </x:c>
      <x:c r="B1693" s="66" t="n">
        <x:v>46118.541666666664</x:v>
      </x:c>
      <x:c r="C1693" s="65" t="str">
        <x:v>澳大利亚 维多利亚州超级联赛1（VPL1）</x:v>
      </x:c>
      <x:c r="D1693" s="65" t="str">
        <x:v>悉尼联58</x:v>
      </x:c>
      <x:c r="E1693" s="65" t="str">
        <x:v>马可尼</x:v>
      </x:c>
      <x:c r="F1693" s="65" t="str">
        <x:v>悉尼联58 0（平手 / DNB）</x:v>
      </x:c>
      <x:c r="G1693" s="65" t="str">
        <x:v>大 2.5</x:v>
      </x:c>
      <x:c r="H1693" s="65" t="str">
        <x:v>悉尼联58 独赢</x:v>
      </x:c>
      <x:c r="I1693" s="66" t="n">
        <x:v>46118.467210648145</x:v>
      </x:c>
      <x:c r="J1693" s="65" t="str">
        <x:v>已结算</x:v>
      </x:c>
      <x:c r="K1693" s="65" t="str">
        <x:v>1-0</x:v>
      </x:c>
      <x:c r="L1693" s="65" t="str">
        <x:v>赢</x:v>
      </x:c>
      <x:c r="M1693" s="65" t="str">
        <x:v>输</x:v>
      </x:c>
      <x:c r="N1693" s="67" t="n">
        <x:v>1</x:v>
      </x:c>
      <x:c r="O1693" s="67" t="n">
        <x:v>-1</x:v>
      </x:c>
      <x:c r="P1693" s="67" t="n">
        <x:f>IF(COUNT(N1693:O1693)=0,"",SUM(N1693:O1693))</x:f>
        <x:v>0</x:v>
      </x:c>
      <x:c r="Q1693" s="65"/>
      <x:c r="R1693" s="65" t="str">
        <x:v>FT 1-0；让球推荐 悉尼联58 0（平手 / DNB） 命中；大小推荐 大2.5 未中</x:v>
      </x:c>
    </x:row>
    <x:row r="1694" ht="38" customHeight="1">
      <x:c r="A1694" s="65" t="str">
        <x:f>IF(B1694="","",TEXT(B1694,"yyyy-mm-dd")&amp;"|"&amp;D1694&amp;"|"&amp;E1694)</x:f>
        <x:v>2026-04-06|瓜达拉哈拉|美洲狮</x:v>
      </x:c>
      <x:c r="B1694" s="66" t="n">
        <x:v>46118.42152777778</x:v>
      </x:c>
      <x:c r="C1694" s="65" t="str">
        <x:v>墨西哥超（Liga MX，Clausura）</x:v>
      </x:c>
      <x:c r="D1694" s="65" t="str">
        <x:v>瓜达拉哈拉</x:v>
      </x:c>
      <x:c r="E1694" s="65" t="str">
        <x:v>美洲狮</x:v>
      </x:c>
      <x:c r="F1694" s="65" t="str">
        <x:v>瓜达拉哈拉 -1</x:v>
      </x:c>
      <x:c r="G1694" s="65" t="str">
        <x:v>大 2.75</x:v>
      </x:c>
      <x:c r="H1694" s="65" t="str">
        <x:v>主胜且大 2.5</x:v>
      </x:c>
      <x:c r="I1694" s="66" t="n">
        <x:v>46118.375497685185</x:v>
      </x:c>
      <x:c r="J1694" s="65" t="str">
        <x:v>已结算</x:v>
      </x:c>
      <x:c r="K1694" s="65" t="str">
        <x:v>2-2</x:v>
      </x:c>
      <x:c r="L1694" s="65" t="str">
        <x:v>输</x:v>
      </x:c>
      <x:c r="M1694" s="65" t="str">
        <x:v>赢</x:v>
      </x:c>
      <x:c r="N1694" s="67" t="n">
        <x:v>-1</x:v>
      </x:c>
      <x:c r="O1694" s="67" t="n">
        <x:v>1</x:v>
      </x:c>
      <x:c r="P1694" s="67" t="n">
        <x:f>IF(COUNT(N1694:O1694)=0,"",SUM(N1694:O1694))</x:f>
        <x:v>0</x:v>
      </x:c>
      <x:c r="Q1694" s="65"/>
      <x:c r="R1694" s="65" t="str">
        <x:v>FT 2-2；让球推荐 瓜达拉哈拉 -1 未中；大小推荐 大2.75 命中</x:v>
      </x:c>
    </x:row>
    <x:row r="1695" ht="38" customHeight="1">
      <x:c r="A1695" s="65" t="str">
        <x:f>IF(B1695="","",TEXT(B1695,"yyyy-mm-dd")&amp;"|"&amp;D1695&amp;"|"&amp;E1695)</x:f>
        <x:v>2026-04-06|科尔多瓦中央|纽维尔老男孩</x:v>
      </x:c>
      <x:c r="B1695" s="66" t="n">
        <x:v>46118.3125</x:v>
      </x:c>
      <x:c r="C1695" s="65" t="str">
        <x:v>阿根廷职业联赛（Liga Profesional·Apertura）</x:v>
      </x:c>
      <x:c r="D1695" s="65" t="str">
        <x:v>科尔多瓦中央</x:v>
      </x:c>
      <x:c r="E1695" s="65" t="str">
        <x:v>纽维尔老男孩</x:v>
      </x:c>
      <x:c r="F1695" s="65" t="str">
        <x:v>科尔多瓦中央 -0.25</x:v>
      </x:c>
      <x:c r="G1695" s="65" t="str">
        <x:v>小 1.75</x:v>
      </x:c>
      <x:c r="H1695" s="65" t="str">
        <x:v>小角 8.5</x:v>
      </x:c>
      <x:c r="I1695" s="66" t="n">
        <x:v>46118.27233796296</x:v>
      </x:c>
      <x:c r="J1695" s="65" t="str">
        <x:v>已结算</x:v>
      </x:c>
      <x:c r="K1695" s="65" t="str">
        <x:v>1-3</x:v>
      </x:c>
      <x:c r="L1695" s="65" t="str">
        <x:v>输</x:v>
      </x:c>
      <x:c r="M1695" s="65" t="str">
        <x:v>输</x:v>
      </x:c>
      <x:c r="N1695" s="67" t="n">
        <x:v>-1</x:v>
      </x:c>
      <x:c r="O1695" s="67" t="n">
        <x:v>-1</x:v>
      </x:c>
      <x:c r="P1695" s="67" t="n">
        <x:f>IF(COUNT(N1695:O1695)=0,"",SUM(N1695:O1695))</x:f>
        <x:v>-2</x:v>
      </x:c>
      <x:c r="Q1695" s="65"/>
      <x:c r="R1695" s="65" t="str">
        <x:v>FT 1-3；让球推荐 科尔多瓦中央 -0.25 未中；大小推荐 小1.75 未中</x:v>
      </x:c>
    </x:row>
    <x:row r="1696" ht="38" customHeight="1">
      <x:c r="A1696" s="65" t="str">
        <x:f>IF(B1696="","",TEXT(B1696,"yyyy-mm-dd")&amp;"|"&amp;D1696&amp;"|"&amp;E1696)</x:f>
        <x:v>2026-04-06|哈依布拉瓦（坦皮科马德罗）|梅里达（维纳多斯）</x:v>
      </x:c>
      <x:c r="B1696" s="66" t="n">
        <x:v>46118.291666666664</x:v>
      </x:c>
      <x:c r="C1696" s="65" t="str">
        <x:v>墨西哥甲级扩展联赛（Liga de Expansión MX）</x:v>
      </x:c>
      <x:c r="D1696" s="65" t="str">
        <x:v>哈依布拉瓦（坦皮科马德罗）</x:v>
      </x:c>
      <x:c r="E1696" s="65" t="str">
        <x:v>梅里达（维纳多斯）</x:v>
      </x:c>
      <x:c r="F1696" s="65" t="str">
        <x:v>哈依布拉瓦（坦皮科马德罗） -1</x:v>
      </x:c>
      <x:c r="G1696" s="65" t="str">
        <x:v>小 2.5</x:v>
      </x:c>
      <x:c r="H1696" s="65" t="str">
        <x:v>双方不进球</x:v>
      </x:c>
      <x:c r="I1696" s="66" t="n">
        <x:v>46118.29462962963</x:v>
      </x:c>
      <x:c r="J1696" s="65" t="str">
        <x:v>已结算</x:v>
      </x:c>
      <x:c r="K1696" s="65" t="str">
        <x:v>1-1</x:v>
      </x:c>
      <x:c r="L1696" s="65" t="str">
        <x:v>输</x:v>
      </x:c>
      <x:c r="M1696" s="65" t="str">
        <x:v>赢</x:v>
      </x:c>
      <x:c r="N1696" s="67" t="n">
        <x:v>-1</x:v>
      </x:c>
      <x:c r="O1696" s="67" t="n">
        <x:v>1</x:v>
      </x:c>
      <x:c r="P1696" s="67" t="n">
        <x:f>IF(COUNT(N1696:O1696)=0,"",SUM(N1696:O1696))</x:f>
        <x:v>0</x:v>
      </x:c>
      <x:c r="Q1696" s="65"/>
      <x:c r="R1696" s="65" t="str">
        <x:v>FT 1-1；让球推荐 哈依布拉瓦（坦皮科马德罗） -1 未中；大小推荐 小2.5 命中</x:v>
      </x:c>
    </x:row>
    <x:row r="1697" ht="38" customHeight="1">
      <x:c r="A1697" s="65" t="str">
        <x:f>IF(B1697="","",TEXT(B1697,"yyyy-mm-dd")&amp;"|"&amp;D1697&amp;"|"&amp;E1697)</x:f>
        <x:v>2026-04-06|巴伊亚|帕尔梅拉斯</x:v>
      </x:c>
      <x:c r="B1697" s="66" t="n">
        <x:v>46118.270833333336</x:v>
      </x:c>
      <x:c r="C1697" s="65" t="str">
        <x:v>巴西甲（Serie A）</x:v>
      </x:c>
      <x:c r="D1697" s="65" t="str">
        <x:v>巴伊亚</x:v>
      </x:c>
      <x:c r="E1697" s="65" t="str">
        <x:v>帕尔梅拉斯</x:v>
      </x:c>
      <x:c r="F1697" s="65" t="str">
        <x:v>帕尔梅拉斯 0（平手 / DNB）</x:v>
      </x:c>
      <x:c r="G1697" s="65" t="str">
        <x:v>小 2.5</x:v>
      </x:c>
      <x:c r="H1697" s="65" t="str">
        <x:v>双方不进球</x:v>
      </x:c>
      <x:c r="I1697" s="66" t="n">
        <x:v>46118.259733796294</x:v>
      </x:c>
      <x:c r="J1697" s="65" t="str">
        <x:v>已结算</x:v>
      </x:c>
      <x:c r="K1697" s="65" t="str">
        <x:v>1-2</x:v>
      </x:c>
      <x:c r="L1697" s="65" t="str">
        <x:v>赢</x:v>
      </x:c>
      <x:c r="M1697" s="65" t="str">
        <x:v>输</x:v>
      </x:c>
      <x:c r="N1697" s="67" t="n">
        <x:v>1</x:v>
      </x:c>
      <x:c r="O1697" s="67" t="n">
        <x:v>-1</x:v>
      </x:c>
      <x:c r="P1697" s="67" t="n">
        <x:f>IF(COUNT(N1697:O1697)=0,"",SUM(N1697:O1697))</x:f>
        <x:v>0</x:v>
      </x:c>
      <x:c r="Q1697" s="65"/>
      <x:c r="R1697" s="65" t="str">
        <x:v>FT 1-2；让球推荐 帕尔梅拉斯 0（平手 / DNB） 命中；大小推荐 小2.5 未中</x:v>
      </x:c>
    </x:row>
    <x:row r="1698" ht="38" customHeight="1">
      <x:c r="A1698" s="65" t="str">
        <x:f>IF(B1698="","",TEXT(B1698,"yyyy-mm-dd")&amp;"|"&amp;D1698&amp;"|"&amp;E1698)</x:f>
        <x:v>2026-04-06|文托大学FC（Universitario de Vinto）|最强者</x:v>
      </x:c>
      <x:c r="B1698" s="66" t="n">
        <x:v>46118.21875</x:v>
      </x:c>
      <x:c r="C1698" s="65" t="str">
        <x:v>玻利维亚甲级联赛</x:v>
      </x:c>
      <x:c r="D1698" s="65" t="str">
        <x:v>文托大学FC（Universitario de Vinto）</x:v>
      </x:c>
      <x:c r="E1698" s="65" t="str">
        <x:v>最强者</x:v>
      </x:c>
      <x:c r="F1698" s="65" t="str">
        <x:v>最强者 -0.25</x:v>
      </x:c>
      <x:c r="G1698" s="65" t="str">
        <x:v>大 3.5</x:v>
      </x:c>
      <x:c r="H1698" s="65" t="str">
        <x:v>不加仓；若临场回落至最强者 0 且仍有0.80以上水位，再补客队</x:v>
      </x:c>
      <x:c r="I1698" s="66" t="n">
        <x:v>46118.24989583333</x:v>
      </x:c>
      <x:c r="J1698" s="65" t="str">
        <x:v>已结算</x:v>
      </x:c>
      <x:c r="K1698" s="65" t="str">
        <x:v>1-2</x:v>
      </x:c>
      <x:c r="L1698" s="65" t="str">
        <x:v>赢</x:v>
      </x:c>
      <x:c r="M1698" s="65" t="str">
        <x:v>输</x:v>
      </x:c>
      <x:c r="N1698" s="67" t="n">
        <x:v>1</x:v>
      </x:c>
      <x:c r="O1698" s="67" t="n">
        <x:v>-1</x:v>
      </x:c>
      <x:c r="P1698" s="67" t="n">
        <x:f>IF(COUNT(N1698:O1698)=0,"",SUM(N1698:O1698))</x:f>
        <x:v>0</x:v>
      </x:c>
      <x:c r="Q1698" s="65"/>
      <x:c r="R1698" s="65" t="str">
        <x:v>FT 1-2；让球推荐 最强者 -0.25 命中；大小推荐 大3.5 未中</x:v>
      </x:c>
    </x:row>
    <x:row r="1699" ht="38" customHeight="1">
      <x:c r="A1699" s="65" t="str">
        <x:f>IF(B1699="","",TEXT(B1699,"yyyy-mm-dd")&amp;"|"&amp;D1699&amp;"|"&amp;E1699)</x:f>
        <x:v>2026-04-06|国际米兰|罗马</x:v>
      </x:c>
      <x:c r="B1699" s="66" t="n">
        <x:v>46118.114583333336</x:v>
      </x:c>
      <x:c r="C1699" s="65" t="str">
        <x:v>意大利甲级联赛（Serie A）</x:v>
      </x:c>
      <x:c r="D1699" s="65" t="str">
        <x:v>国际米兰</x:v>
      </x:c>
      <x:c r="E1699" s="65" t="str">
        <x:v>罗马</x:v>
      </x:c>
      <x:c r="F1699" s="65" t="str">
        <x:v>国际米兰 -1</x:v>
      </x:c>
      <x:c r="G1699" s="65" t="str">
        <x:v>小 2.5</x:v>
      </x:c>
      <x:c r="H1699" s="65" t="str">
        <x:v>不加仓；若临场退至国际米兰 -0.75且仍有0.80以上水位，再补主队</x:v>
      </x:c>
      <x:c r="I1699" s="66" t="n">
        <x:v>46117.98548611111</x:v>
      </x:c>
      <x:c r="J1699" s="65" t="str">
        <x:v>已结算</x:v>
      </x:c>
      <x:c r="K1699" s="65" t="str">
        <x:v>5-2</x:v>
      </x:c>
      <x:c r="L1699" s="65" t="str">
        <x:v>赢</x:v>
      </x:c>
      <x:c r="M1699" s="65" t="str">
        <x:v>输</x:v>
      </x:c>
      <x:c r="N1699" s="67" t="n">
        <x:v>1</x:v>
      </x:c>
      <x:c r="O1699" s="67" t="n">
        <x:v>-1</x:v>
      </x:c>
      <x:c r="P1699" s="67" t="n">
        <x:f>IF(COUNT(N1699:O1699)=0,"",SUM(N1699:O1699))</x:f>
        <x:v>0</x:v>
      </x:c>
      <x:c r="Q1699" s="65"/>
      <x:c r="R1699" s="65" t="str">
        <x:v>FT 5-2；让球推荐 国际米兰 -1 命中；大小推荐 小2.5 未中</x:v>
      </x:c>
    </x:row>
    <x:row r="1700" ht="38" customHeight="1">
      <x:c r="A1700" s="65" t="str">
        <x:f>IF(B1700="","",TEXT(B1700,"yyyy-mm-dd")&amp;"|"&amp;D1700&amp;"|"&amp;E1700)</x:f>
        <x:v>2026-04-06|比萨|都灵</x:v>
      </x:c>
      <x:c r="B1700" s="66" t="n">
        <x:v>46118</x:v>
      </x:c>
      <x:c r="C1700" s="65" t="str">
        <x:v>意大利甲级联赛（Serie A）</x:v>
      </x:c>
      <x:c r="D1700" s="65" t="str">
        <x:v>比萨</x:v>
      </x:c>
      <x:c r="E1700" s="65" t="str">
        <x:v>都灵</x:v>
      </x:c>
      <x:c r="F1700" s="65" t="str">
        <x:v>比萨 +0.25</x:v>
      </x:c>
      <x:c r="G1700" s="65" t="str">
        <x:v>小 2.25</x:v>
      </x:c>
      <x:c r="H1700" s="65" t="str">
        <x:v>不加仓；若临场升至比萨 +0.5且仍有0.80以上水位，可补主队</x:v>
      </x:c>
      <x:c r="I1700" s="66" t="n">
        <x:v>46117.97298611111</x:v>
      </x:c>
      <x:c r="J1700" s="65" t="str">
        <x:v>已结算</x:v>
      </x:c>
      <x:c r="K1700" s="65" t="str">
        <x:v>0-1</x:v>
      </x:c>
      <x:c r="L1700" s="65" t="str">
        <x:v>输</x:v>
      </x:c>
      <x:c r="M1700" s="65" t="str">
        <x:v>赢</x:v>
      </x:c>
      <x:c r="N1700" s="67" t="n">
        <x:v>-1</x:v>
      </x:c>
      <x:c r="O1700" s="67" t="n">
        <x:v>1</x:v>
      </x:c>
      <x:c r="P1700" s="67" t="n">
        <x:f>IF(COUNT(N1700:O1700)=0,"",SUM(N1700:O1700))</x:f>
        <x:v>0</x:v>
      </x:c>
      <x:c r="Q1700" s="65"/>
      <x:c r="R1700" s="65" t="str">
        <x:v>FT 0-1；让球推荐 比萨 +0.25 未中；大小推荐 小2.25 命中</x:v>
      </x:c>
    </x:row>
    <x:row r="1701" ht="38" customHeight="1">
      <x:c r="A1701" s="65" t="str">
        <x:f>IF(B1701="","",TEXT(B1701,"yyyy-mm-dd")&amp;"|"&amp;D1701&amp;"|"&amp;E1701)</x:f>
        <x:v>2026-04-05|孟买城FC|奥迪萨FC</x:v>
      </x:c>
      <x:c r="B1701" s="66" t="n">
        <x:v>46117.916666666664</x:v>
      </x:c>
      <x:c r="C1701" s="65" t="str">
        <x:v>印度超级联赛（Indian Super League）</x:v>
      </x:c>
      <x:c r="D1701" s="65" t="str">
        <x:v>孟买城FC</x:v>
      </x:c>
      <x:c r="E1701" s="65" t="str">
        <x:v>奥迪萨FC</x:v>
      </x:c>
      <x:c r="F1701" s="65" t="str">
        <x:v>孟买城FC -1</x:v>
      </x:c>
      <x:c r="G1701" s="65" t="str">
        <x:v>小 2.5</x:v>
      </x:c>
      <x:c r="H1701" s="65" t="str">
        <x:v>不加仓；若临场退至孟买城FC -0.75且仍有0.80以上水位，再补主队</x:v>
      </x:c>
      <x:c r="I1701" s="66" t="n">
        <x:v>46117.91365740741</x:v>
      </x:c>
      <x:c r="J1701" s="65" t="str">
        <x:v>已结算</x:v>
      </x:c>
      <x:c r="K1701" s="65" t="str">
        <x:v>1-0</x:v>
      </x:c>
      <x:c r="L1701" s="65" t="str">
        <x:v>走水</x:v>
      </x:c>
      <x:c r="M1701" s="65" t="str">
        <x:v>赢</x:v>
      </x:c>
      <x:c r="N1701" s="67" t="n">
        <x:v>0</x:v>
      </x:c>
      <x:c r="O1701" s="67" t="n">
        <x:v>1</x:v>
      </x:c>
      <x:c r="P1701" s="67" t="n">
        <x:f>IF(COUNT(N1701:O1701)=0,"",SUM(N1701:O1701))</x:f>
        <x:v>1</x:v>
      </x:c>
      <x:c r="Q1701" s="65"/>
      <x:c r="R1701" s="65" t="str">
        <x:v>FT 1-0；让球推荐 孟买城FC -1 走水；大小推荐 小2.5 命中</x:v>
      </x:c>
    </x:row>
    <x:row r="1702" ht="38" customHeight="1">
      <x:c r="A1702" s="65" t="str">
        <x:f>IF(B1702="","",TEXT(B1702,"yyyy-mm-dd")&amp;"|"&amp;D1702&amp;"|"&amp;E1702)</x:f>
        <x:v>2026-04-05|赛曼巴东|万隆</x:v>
      </x:c>
      <x:c r="B1702" s="66" t="n">
        <x:v>46117.833333333336</x:v>
      </x:c>
      <x:c r="C1702" s="65" t="str">
        <x:v>印度尼西亚超级联赛（印尼超/Liga 1 Indonesia）</x:v>
      </x:c>
      <x:c r="D1702" s="65" t="str">
        <x:v>赛曼巴东</x:v>
      </x:c>
      <x:c r="E1702" s="65" t="str">
        <x:v>万隆</x:v>
      </x:c>
      <x:c r="F1702" s="65" t="str">
        <x:v>万隆 -0.75</x:v>
      </x:c>
      <x:c r="G1702" s="65" t="str">
        <x:v>大 2.5</x:v>
      </x:c>
      <x:c r="H1702" s="65" t="str">
        <x:v>不加仓；若临场退至万隆 -0.5且仍有0.80以上水位，再补客队</x:v>
      </x:c>
      <x:c r="I1702" s="66" t="n">
        <x:v>46117.807071759256</x:v>
      </x:c>
      <x:c r="J1702" s="65" t="str">
        <x:v>已结算</x:v>
      </x:c>
      <x:c r="K1702" s="65" t="str">
        <x:v>0-2</x:v>
      </x:c>
      <x:c r="L1702" s="65" t="str">
        <x:v>赢</x:v>
      </x:c>
      <x:c r="M1702" s="65" t="str">
        <x:v>输</x:v>
      </x:c>
      <x:c r="N1702" s="67" t="n">
        <x:v>1</x:v>
      </x:c>
      <x:c r="O1702" s="67" t="n">
        <x:v>-1</x:v>
      </x:c>
      <x:c r="P1702" s="67" t="n">
        <x:f>IF(COUNT(N1702:O1702)=0,"",SUM(N1702:O1702))</x:f>
        <x:v>0</x:v>
      </x:c>
      <x:c r="Q1702" s="65"/>
      <x:c r="R1702" s="65" t="str">
        <x:v>FT 0-2；让球推荐 万隆 -0.75 命中；大小推荐 大2.5 未中</x:v>
      </x:c>
    </x:row>
    <x:row r="1703" ht="38" customHeight="1">
      <x:c r="A1703" s="65" t="str">
        <x:f>IF(B1703="","",TEXT(B1703,"yyyy-mm-dd")&amp;"|"&amp;D1703&amp;"|"&amp;E1703)</x:f>
        <x:v>2026-04-05|马都拉联|婆罗洲FC萨马林达</x:v>
      </x:c>
      <x:c r="B1703" s="66" t="n">
        <x:v>46117.833333333336</x:v>
      </x:c>
      <x:c r="C1703" s="65" t="str">
        <x:v>印度尼西亚超级联赛（印尼超/Liga 1 Indonesia）</x:v>
      </x:c>
      <x:c r="D1703" s="65" t="str">
        <x:v>马都拉联</x:v>
      </x:c>
      <x:c r="E1703" s="65" t="str">
        <x:v>婆罗洲FC萨马林达</x:v>
      </x:c>
      <x:c r="F1703" s="65" t="str">
        <x:v>婆罗洲FC萨马林达 -0.75</x:v>
      </x:c>
      <x:c r="G1703" s="65" t="str">
        <x:v>大 3.5</x:v>
      </x:c>
      <x:c r="H1703" s="65" t="str">
        <x:v>不加仓；若临场退至婆罗洲FC萨马林达 -0.5且仍有0.80以上水位，再补客队</x:v>
      </x:c>
      <x:c r="I1703" s="66" t="n">
        <x:v>46117.80076388889</x:v>
      </x:c>
      <x:c r="J1703" s="65" t="str">
        <x:v>已结算</x:v>
      </x:c>
      <x:c r="K1703" s="65" t="str">
        <x:v>1-3</x:v>
      </x:c>
      <x:c r="L1703" s="65" t="str">
        <x:v>赢</x:v>
      </x:c>
      <x:c r="M1703" s="65" t="str">
        <x:v>赢</x:v>
      </x:c>
      <x:c r="N1703" s="67" t="n">
        <x:v>1</x:v>
      </x:c>
      <x:c r="O1703" s="67" t="n">
        <x:v>1</x:v>
      </x:c>
      <x:c r="P1703" s="67" t="n">
        <x:f>IF(COUNT(N1703:O1703)=0,"",SUM(N1703:O1703))</x:f>
        <x:v>2</x:v>
      </x:c>
      <x:c r="Q1703" s="65"/>
      <x:c r="R1703" s="65" t="str">
        <x:v>FT 1-3；让球推荐 婆罗洲FC萨马林达 -0.75 命中；大小推荐 大3.5 命中</x:v>
      </x:c>
    </x:row>
    <x:row r="1704" ht="38" customHeight="1">
      <x:c r="A1704" s="65" t="str">
        <x:f>IF(B1704="","",TEXT(B1704,"yyyy-mm-dd")&amp;"|"&amp;D1704&amp;"|"&amp;E1704)</x:f>
        <x:v>2026-04-05|德里体育俱乐部（SC Delhi）|喀拉拉邦冲击波</x:v>
      </x:c>
      <x:c r="B1704" s="66" t="n">
        <x:v>46117.8125</x:v>
      </x:c>
      <x:c r="C1704" s="65" t="str">
        <x:v>印度超级联赛（Indian Super League）</x:v>
      </x:c>
      <x:c r="D1704" s="65" t="str">
        <x:v>德里体育俱乐部（SC Delhi）</x:v>
      </x:c>
      <x:c r="E1704" s="65" t="str">
        <x:v>喀拉拉邦冲击波</x:v>
      </x:c>
      <x:c r="F1704" s="65" t="str">
        <x:v>德里体育俱乐部（SC Delhi） +0.25</x:v>
      </x:c>
      <x:c r="G1704" s="65" t="str">
        <x:v>小 2.25</x:v>
      </x:c>
      <x:c r="H1704" s="65" t="str">
        <x:v>不加仓；若临场升到德里体育俱乐部（SC Delhi） +0.5且仍有0.80以上水位，可补主队</x:v>
      </x:c>
      <x:c r="I1704" s="66" t="n">
        <x:v>46117.82061342592</x:v>
      </x:c>
      <x:c r="J1704" s="65" t="str">
        <x:v>已结算</x:v>
      </x:c>
      <x:c r="K1704" s="65" t="str">
        <x:v>2-0</x:v>
      </x:c>
      <x:c r="L1704" s="65" t="str">
        <x:v>赢</x:v>
      </x:c>
      <x:c r="M1704" s="65" t="str">
        <x:v>赢半</x:v>
      </x:c>
      <x:c r="N1704" s="67" t="n">
        <x:v>1</x:v>
      </x:c>
      <x:c r="O1704" s="67" t="n">
        <x:v>0.5</x:v>
      </x:c>
      <x:c r="P1704" s="67" t="n">
        <x:f>IF(COUNT(N1704:O1704)=0,"",SUM(N1704:O1704))</x:f>
        <x:v>1.5</x:v>
      </x:c>
      <x:c r="Q1704" s="65"/>
      <x:c r="R1704" s="65" t="str">
        <x:v>FT 2-0；让球推荐 德里体育俱乐部（SC Delhi） +0.25 命中；大小推荐 小2.25 赢半</x:v>
      </x:c>
    </x:row>
    <x:row r="1705" ht="38" customHeight="1">
      <x:c r="A1705" s="65" t="str">
        <x:f>IF(B1705="","",TEXT(B1705,"yyyy-mm-dd")&amp;"|"&amp;D1705&amp;"|"&amp;E1705)</x:f>
        <x:v>2026-04-05|布伦瑞克|纽伦堡</x:v>
      </x:c>
      <x:c r="B1705" s="66" t="n">
        <x:v>46117.8125</x:v>
      </x:c>
      <x:c r="C1705" s="65" t="str">
        <x:v>德国乙级联赛（2. Bundesliga）</x:v>
      </x:c>
      <x:c r="D1705" s="65" t="str">
        <x:v>布伦瑞克</x:v>
      </x:c>
      <x:c r="E1705" s="65" t="str">
        <x:v>纽伦堡</x:v>
      </x:c>
      <x:c r="F1705" s="65" t="str">
        <x:v>纽伦堡 -0.25</x:v>
      </x:c>
      <x:c r="G1705" s="65" t="str">
        <x:v>大 3.5</x:v>
      </x:c>
      <x:c r="H1705" s="65" t="str">
        <x:v>不加仓；若临场纽伦堡 0 且仍有0.80以上水位，可补客队</x:v>
      </x:c>
      <x:c r="I1705" s="66" t="n">
        <x:v>46117.79775462963</x:v>
      </x:c>
      <x:c r="J1705" s="65" t="str">
        <x:v>已结算</x:v>
      </x:c>
      <x:c r="K1705" s="65" t="str">
        <x:v>1-1</x:v>
      </x:c>
      <x:c r="L1705" s="65" t="str">
        <x:v>输半</x:v>
      </x:c>
      <x:c r="M1705" s="65" t="str">
        <x:v>输</x:v>
      </x:c>
      <x:c r="N1705" s="67" t="n">
        <x:v>-0.5</x:v>
      </x:c>
      <x:c r="O1705" s="67" t="n">
        <x:v>-1</x:v>
      </x:c>
      <x:c r="P1705" s="67" t="n">
        <x:f>IF(COUNT(N1705:O1705)=0,"",SUM(N1705:O1705))</x:f>
        <x:v>-1.5</x:v>
      </x:c>
      <x:c r="Q1705" s="65"/>
      <x:c r="R1705" s="65" t="str">
        <x:v>FT 1-1；让球推荐 纽伦堡 -0.25 输半；大小推荐 大3.5 未中</x:v>
      </x:c>
    </x:row>
    <x:row r="1706" ht="38" customHeight="1">
      <x:c r="A1706" s="65" t="str">
        <x:f>IF(B1706="","",TEXT(B1706,"yyyy-mm-dd")&amp;"|"&amp;D1706&amp;"|"&amp;E1706)</x:f>
        <x:v>2026-04-05|荷尔施泰因基尔|普鲁士明斯特</x:v>
      </x:c>
      <x:c r="B1706" s="66" t="n">
        <x:v>46117.8125</x:v>
      </x:c>
      <x:c r="C1706" s="65" t="str">
        <x:v>德国乙级联赛（2. Bundesliga）</x:v>
      </x:c>
      <x:c r="D1706" s="65" t="str">
        <x:v>荷尔施泰因基尔</x:v>
      </x:c>
      <x:c r="E1706" s="65" t="str">
        <x:v>普鲁士明斯特</x:v>
      </x:c>
      <x:c r="F1706" s="65" t="str">
        <x:v>荷尔施泰因基尔 -0.5</x:v>
      </x:c>
      <x:c r="G1706" s="65" t="str">
        <x:v>大 2.5</x:v>
      </x:c>
      <x:c r="H1706" s="65" t="str">
        <x:v>不加仓；若临场退至荷尔施泰因基尔 -0.25且仍有0.80以上水位，再补主队</x:v>
      </x:c>
      <x:c r="I1706" s="66" t="n">
        <x:v>46117.787083333336</x:v>
      </x:c>
      <x:c r="J1706" s="65" t="str">
        <x:v>已结算</x:v>
      </x:c>
      <x:c r="K1706" s="65" t="str">
        <x:v>0-0</x:v>
      </x:c>
      <x:c r="L1706" s="65" t="str">
        <x:v>输</x:v>
      </x:c>
      <x:c r="M1706" s="65" t="str">
        <x:v>输</x:v>
      </x:c>
      <x:c r="N1706" s="67" t="n">
        <x:v>-1</x:v>
      </x:c>
      <x:c r="O1706" s="67" t="n">
        <x:v>-1</x:v>
      </x:c>
      <x:c r="P1706" s="67" t="n">
        <x:f>IF(COUNT(N1706:O1706)=0,"",SUM(N1706:O1706))</x:f>
        <x:v>-2</x:v>
      </x:c>
      <x:c r="Q1706" s="65"/>
      <x:c r="R1706" s="65" t="str">
        <x:v>FT 0-0；让球推荐 荷尔施泰因基尔 -0.5 未中；大小推荐 大2.5 未中</x:v>
      </x:c>
    </x:row>
    <x:row r="1707" ht="38" customHeight="1">
      <x:c r="A1707" s="65" t="str">
        <x:f>IF(B1707="","",TEXT(B1707,"yyyy-mm-dd")&amp;"|"&amp;D1707&amp;"|"&amp;E1707)</x:f>
        <x:v>2026-04-05|巴杨卡拉泗水联|佩西加雅加达</x:v>
      </x:c>
      <x:c r="B1707" s="66" t="n">
        <x:v>46117.6875</x:v>
      </x:c>
      <x:c r="C1707" s="65" t="str">
        <x:v>印度尼西亚超级联赛（印尼超/Liga 1 Indonesia）</x:v>
      </x:c>
      <x:c r="D1707" s="65" t="str">
        <x:v>巴杨卡拉泗水联</x:v>
      </x:c>
      <x:c r="E1707" s="65" t="str">
        <x:v>佩西加雅加达</x:v>
      </x:c>
      <x:c r="F1707" s="65" t="str">
        <x:v>佩西加雅加达 -0.25</x:v>
      </x:c>
      <x:c r="G1707" s="65" t="str">
        <x:v>大 2.5</x:v>
      </x:c>
      <x:c r="H1707" s="65" t="str">
        <x:v>佩西加雅加达独赢</x:v>
      </x:c>
      <x:c r="I1707" s="66" t="n">
        <x:v>46117.64592592593</x:v>
      </x:c>
      <x:c r="J1707" s="65" t="str">
        <x:v>已结算</x:v>
      </x:c>
      <x:c r="K1707" s="65" t="str">
        <x:v>3-2</x:v>
      </x:c>
      <x:c r="L1707" s="65" t="str">
        <x:v>输</x:v>
      </x:c>
      <x:c r="M1707" s="65" t="str">
        <x:v>赢</x:v>
      </x:c>
      <x:c r="N1707" s="67" t="n">
        <x:v>-1</x:v>
      </x:c>
      <x:c r="O1707" s="67" t="n">
        <x:v>1</x:v>
      </x:c>
      <x:c r="P1707" s="67" t="n">
        <x:f>IF(COUNT(N1707:O1707)=0,"",SUM(N1707:O1707))</x:f>
        <x:v>0</x:v>
      </x:c>
      <x:c r="Q1707" s="65"/>
      <x:c r="R1707" s="65" t="str">
        <x:v>FT 3-2；让球推荐 佩西加雅加达 -0.25 未中；大小推荐 大2.5 命中</x:v>
      </x:c>
    </x:row>
    <x:row r="1708" ht="38" customHeight="1">
      <x:c r="A1708" s="65" t="str">
        <x:f>IF(B1708="","",TEXT(B1708,"yyyy-mm-dd")&amp;"|"&amp;D1708&amp;"|"&amp;E1708)</x:f>
        <x:v>2026-04-05|浙江俱乐部绿城|重庆铜梁龙</x:v>
      </x:c>
      <x:c r="B1708" s="66" t="n">
        <x:v>46117.645833333336</x:v>
      </x:c>
      <x:c r="C1708" s="65" t="str">
        <x:v>中国足球超级联赛</x:v>
      </x:c>
      <x:c r="D1708" s="65" t="str">
        <x:v>浙江俱乐部绿城</x:v>
      </x:c>
      <x:c r="E1708" s="65" t="str">
        <x:v>重庆铜梁龙</x:v>
      </x:c>
      <x:c r="F1708" s="65" t="str">
        <x:v>浙江俱乐部绿城 -1</x:v>
      </x:c>
      <x:c r="G1708" s="65" t="str">
        <x:v>大 3.0</x:v>
      </x:c>
      <x:c r="H1708" s="65" t="str">
        <x:v>不加仓；若临场退至浙江 -0.75且仍有0.80以上水位，再补浙江</x:v>
      </x:c>
      <x:c r="I1708" s="66" t="n">
        <x:v>46117.65045138889</x:v>
      </x:c>
      <x:c r="J1708" s="65" t="str">
        <x:v>已结算</x:v>
      </x:c>
      <x:c r="K1708" s="65" t="str">
        <x:v>0-1</x:v>
      </x:c>
      <x:c r="L1708" s="65" t="str">
        <x:v>输</x:v>
      </x:c>
      <x:c r="M1708" s="65" t="str">
        <x:v>输</x:v>
      </x:c>
      <x:c r="N1708" s="67" t="n">
        <x:v>-1</x:v>
      </x:c>
      <x:c r="O1708" s="67" t="n">
        <x:v>-1</x:v>
      </x:c>
      <x:c r="P1708" s="67" t="n">
        <x:f>IF(COUNT(N1708:O1708)=0,"",SUM(N1708:O1708))</x:f>
        <x:v>-2</x:v>
      </x:c>
      <x:c r="Q1708" s="65"/>
      <x:c r="R1708" s="65" t="str">
        <x:v>FT 0-1；让球推荐 浙江俱乐部绿城 -1 未中；大小推荐 大3.0 未中</x:v>
      </x:c>
    </x:row>
    <x:row r="1709" ht="38" customHeight="1">
      <x:c r="A1709" s="65" t="str">
        <x:f>IF(B1709="","",TEXT(B1709,"yyyy-mm-dd")&amp;"|"&amp;D1709&amp;"|"&amp;E1709)</x:f>
        <x:v>2026-04-05|洛克达尔伊林登（Rockdale Ilinden）|圣乔治圣徒（St George Saints）</x:v>
      </x:c>
      <x:c r="B1709" s="66" t="n">
        <x:v>46117.541666666664</x:v>
      </x:c>
      <x:c r="C1709" s="65" t="str">
        <x:v>澳大利亚 维多利亚州超级联赛1（VPL1）</x:v>
      </x:c>
      <x:c r="D1709" s="65" t="str">
        <x:v>洛克达尔伊林登（Rockdale Ilinden）</x:v>
      </x:c>
      <x:c r="E1709" s="65" t="str">
        <x:v>圣乔治圣徒（St George Saints）</x:v>
      </x:c>
      <x:c r="F1709" s="65" t="str">
        <x:v>洛克达尔伊林登（Rockdale Ilinden） -0.25</x:v>
      </x:c>
      <x:c r="G1709" s="65" t="str">
        <x:v>大 3.0</x:v>
      </x:c>
      <x:c r="H1709" s="65" t="str">
        <x:v>洛克达尔伊林登胜且双方进球 小注</x:v>
      </x:c>
      <x:c r="I1709" s="66" t="n">
        <x:v>46117.45214120371</x:v>
      </x:c>
      <x:c r="J1709" s="65" t="str">
        <x:v>已结算</x:v>
      </x:c>
      <x:c r="K1709" s="65" t="str">
        <x:v>3-0</x:v>
      </x:c>
      <x:c r="L1709" s="65" t="str">
        <x:v>赢</x:v>
      </x:c>
      <x:c r="M1709" s="65" t="str">
        <x:v>走水</x:v>
      </x:c>
      <x:c r="N1709" s="67" t="n">
        <x:v>1</x:v>
      </x:c>
      <x:c r="O1709" s="67" t="n">
        <x:v>0</x:v>
      </x:c>
      <x:c r="P1709" s="67" t="n">
        <x:f>IF(COUNT(N1709:O1709)=0,"",SUM(N1709:O1709))</x:f>
        <x:v>1</x:v>
      </x:c>
      <x:c r="Q1709" s="65"/>
      <x:c r="R1709" s="65" t="str">
        <x:v>FT 3-0；让球推荐 洛克达尔伊林登（Rockdale Ilinden） -0.25 命中；大小推荐 大3.0 走水</x:v>
      </x:c>
    </x:row>
    <x:row r="1710" ht="38" customHeight="1">
      <x:c r="A1710" s="65" t="str">
        <x:f>IF(B1710="","",TEXT(B1710,"yyyy-mm-dd")&amp;"|"&amp;D1710&amp;"|"&amp;E1710)</x:f>
        <x:v>2026-04-05|长崎成功丸（V-Varen Nagasaki）|清水心跳</x:v>
      </x:c>
      <x:c r="B1710" s="66" t="n">
        <x:v>46117.5</x:v>
      </x:c>
      <x:c r="C1710" s="65" t="str">
        <x:v>日职联（J1 League）</x:v>
      </x:c>
      <x:c r="D1710" s="65" t="str">
        <x:v>长崎成功丸（V-Varen Nagasaki）</x:v>
      </x:c>
      <x:c r="E1710" s="65" t="str">
        <x:v>清水心跳</x:v>
      </x:c>
      <x:c r="F1710" s="65" t="str">
        <x:v>清水心跳 平手(0)</x:v>
      </x:c>
      <x:c r="G1710" s="65" t="str">
        <x:v>大 2.5</x:v>
      </x:c>
      <x:c r="H1710" s="65" t="str">
        <x:v>平局小注防1比1</x:v>
      </x:c>
      <x:c r="I1710" s="66" t="n">
        <x:v>46117.50645833334</x:v>
      </x:c>
      <x:c r="J1710" s="65" t="str">
        <x:v>已结算</x:v>
      </x:c>
      <x:c r="K1710" s="65" t="str">
        <x:v>0-3</x:v>
      </x:c>
      <x:c r="L1710" s="65" t="str">
        <x:v>赢</x:v>
      </x:c>
      <x:c r="M1710" s="65" t="str">
        <x:v>赢</x:v>
      </x:c>
      <x:c r="N1710" s="67" t="n">
        <x:v>1</x:v>
      </x:c>
      <x:c r="O1710" s="67" t="n">
        <x:v>1</x:v>
      </x:c>
      <x:c r="P1710" s="67" t="n">
        <x:f>IF(COUNT(N1710:O1710)=0,"",SUM(N1710:O1710))</x:f>
        <x:v>2</x:v>
      </x:c>
      <x:c r="Q1710" s="65"/>
      <x:c r="R1710" s="65" t="str">
        <x:v>FT 0-3；让球推荐 清水心跳 平手(0) 命中；大小推荐 大2.5 命中</x:v>
      </x:c>
    </x:row>
    <x:row r="1711" ht="38" customHeight="1">
      <x:c r="A1711" s="65" t="str">
        <x:f>IF(B1711="","",TEXT(B1711,"yyyy-mm-dd")&amp;"|"&amp;D1711&amp;"|"&amp;E1711)</x:f>
        <x:v>2026-04-05|桑托斯拉古纳|墨西哥美洲</x:v>
      </x:c>
      <x:c r="B1711" s="66" t="n">
        <x:v>46117.46527777778</x:v>
      </x:c>
      <x:c r="C1711" s="65" t="str">
        <x:v>墨西哥超（Liga MX，Clausura）</x:v>
      </x:c>
      <x:c r="D1711" s="65" t="str">
        <x:v>桑托斯拉古纳</x:v>
      </x:c>
      <x:c r="E1711" s="65" t="str">
        <x:v>墨西哥美洲</x:v>
      </x:c>
      <x:c r="F1711" s="65" t="str">
        <x:v>墨西哥美洲 -1</x:v>
      </x:c>
      <x:c r="G1711" s="65" t="str">
        <x:v>大 3.0</x:v>
      </x:c>
      <x:c r="H1711" s="65" t="str">
        <x:v>墨西哥美洲胜且双方进球 小注</x:v>
      </x:c>
      <x:c r="I1711" s="66" t="n">
        <x:v>46117.44466435185</x:v>
      </x:c>
      <x:c r="J1711" s="65" t="str">
        <x:v>已结算</x:v>
      </x:c>
      <x:c r="K1711" s="65" t="str">
        <x:v>1-1</x:v>
      </x:c>
      <x:c r="L1711" s="65" t="str">
        <x:v>输</x:v>
      </x:c>
      <x:c r="M1711" s="65" t="str">
        <x:v>输</x:v>
      </x:c>
      <x:c r="N1711" s="67" t="n">
        <x:v>-1</x:v>
      </x:c>
      <x:c r="O1711" s="67" t="n">
        <x:v>-1</x:v>
      </x:c>
      <x:c r="P1711" s="67" t="n">
        <x:f>IF(COUNT(N1711:O1711)=0,"",SUM(N1711:O1711))</x:f>
        <x:v>-2</x:v>
      </x:c>
      <x:c r="Q1711" s="65"/>
      <x:c r="R1711" s="65" t="str">
        <x:v>FT 1-1；让球推荐 墨西哥美洲 -1 未中；大小推荐 大3.0 未中</x:v>
      </x:c>
    </x:row>
    <x:row r="1712" ht="38" customHeight="1">
      <x:c r="A1712" s="65" t="str">
        <x:f>IF(B1712="","",TEXT(B1712,"yyyy-mm-dd")&amp;"|"&amp;D1712&amp;"|"&amp;E1712)</x:f>
        <x:v>2026-04-05|瓜达拉哈拉大学（Leones Negros UdeG）|莫雷利亚竞技（Atlético Morelia）</x:v>
      </x:c>
      <x:c r="B1712" s="66" t="n">
        <x:v>46117.375</x:v>
      </x:c>
      <x:c r="C1712" s="65" t="str">
        <x:v>墨西哥甲级扩展联赛（Liga de Expansión MX）</x:v>
      </x:c>
      <x:c r="D1712" s="65" t="str">
        <x:v>瓜达拉哈拉大学（Leones Negros UdeG）</x:v>
      </x:c>
      <x:c r="E1712" s="65" t="str">
        <x:v>莫雷利亚竞技（Atlético Morelia）</x:v>
      </x:c>
      <x:c r="F1712" s="65" t="str">
        <x:v>莫雷利亚竞技（Atlético Morelia） 平手(0)</x:v>
      </x:c>
      <x:c r="G1712" s="65" t="str">
        <x:v>小 2.5</x:v>
      </x:c>
      <x:c r="H1712" s="65" t="str">
        <x:v>平局小注防1比1</x:v>
      </x:c>
      <x:c r="I1712" s="66" t="n">
        <x:v>46117.397893518515</x:v>
      </x:c>
      <x:c r="J1712" s="65" t="str">
        <x:v>已结算</x:v>
      </x:c>
      <x:c r="K1712" s="65" t="str">
        <x:v>2-0</x:v>
      </x:c>
      <x:c r="L1712" s="65" t="str">
        <x:v>输</x:v>
      </x:c>
      <x:c r="M1712" s="65" t="str">
        <x:v>赢</x:v>
      </x:c>
      <x:c r="N1712" s="67" t="n">
        <x:v>-1</x:v>
      </x:c>
      <x:c r="O1712" s="67" t="n">
        <x:v>1</x:v>
      </x:c>
      <x:c r="P1712" s="67" t="n">
        <x:f>IF(COUNT(N1712:O1712)=0,"",SUM(N1712:O1712))</x:f>
        <x:v>0</x:v>
      </x:c>
      <x:c r="Q1712" s="65"/>
      <x:c r="R1712" s="65" t="str">
        <x:v>FT 2-0；让球推荐 莫雷利亚竞技（Atlético Morelia） 平手(0) 失利；大小推荐 小2.5 命中</x:v>
      </x:c>
    </x:row>
    <x:row r="1713" ht="38" customHeight="1">
      <x:c r="A1713" s="65" t="str">
        <x:f>IF(B1713="","",TEXT(B1713,"yyyy-mm-dd")&amp;"|"&amp;D1713&amp;"|"&amp;E1713)</x:f>
        <x:v>2026-04-05|莱昂|阿特拉斯</x:v>
      </x:c>
      <x:c r="B1713" s="66" t="n">
        <x:v>46117.375</x:v>
      </x:c>
      <x:c r="C1713" s="65" t="str">
        <x:v>墨西哥超（Liga MX，Clausura）</x:v>
      </x:c>
      <x:c r="D1713" s="65" t="str">
        <x:v>莱昂</x:v>
      </x:c>
      <x:c r="E1713" s="65" t="str">
        <x:v>阿特拉斯</x:v>
      </x:c>
      <x:c r="F1713" s="65" t="str">
        <x:v>莱昂 -0.25</x:v>
      </x:c>
      <x:c r="G1713" s="65" t="str">
        <x:v>大 2.5</x:v>
      </x:c>
      <x:c r="H1713" s="65" t="str">
        <x:v>双方进球 是 小注</x:v>
      </x:c>
      <x:c r="I1713" s="66" t="n">
        <x:v>46117.369791666664</x:v>
      </x:c>
      <x:c r="J1713" s="65" t="str">
        <x:v>已结算</x:v>
      </x:c>
      <x:c r="K1713" s="65" t="str">
        <x:v>2-0</x:v>
      </x:c>
      <x:c r="L1713" s="65" t="str">
        <x:v>赢</x:v>
      </x:c>
      <x:c r="M1713" s="65" t="str">
        <x:v>输</x:v>
      </x:c>
      <x:c r="N1713" s="67" t="n">
        <x:v>1</x:v>
      </x:c>
      <x:c r="O1713" s="67" t="n">
        <x:v>-1</x:v>
      </x:c>
      <x:c r="P1713" s="67" t="n">
        <x:f>IF(COUNT(N1713:O1713)=0,"",SUM(N1713:O1713))</x:f>
        <x:v>0</x:v>
      </x:c>
      <x:c r="Q1713" s="65"/>
      <x:c r="R1713" s="65" t="str">
        <x:v>FT 2-0；让球推荐 莱昂 -0.25 命中；大小推荐 大2.5 未中</x:v>
      </x:c>
    </x:row>
    <x:row r="1714" ht="38" customHeight="1">
      <x:c r="A1714" s="65" t="str">
        <x:f>IF(B1714="","",TEXT(B1714,"yyyy-mm-dd")&amp;"|"&amp;D1714&amp;"|"&amp;E1714)</x:f>
        <x:v>2026-04-05|圣安东尼奥布鲁布鲁（San Antonio Bulo Bulo）|奥利恩特石油（Oriente Petrolero）</x:v>
      </x:c>
      <x:c r="B1714" s="66" t="n">
        <x:v>46117.3125</x:v>
      </x:c>
      <x:c r="C1714" s="65" t="str">
        <x:v>玻利维亚甲级联赛</x:v>
      </x:c>
      <x:c r="D1714" s="65" t="str">
        <x:v>圣安东尼奥布鲁布鲁（San Antonio Bulo Bulo）</x:v>
      </x:c>
      <x:c r="E1714" s="65" t="str">
        <x:v>奥利恩特石油（Oriente Petrolero）</x:v>
      </x:c>
      <x:c r="F1714" s="65" t="str">
        <x:v>圣安东尼奥布鲁布鲁（San Antonio Bulo Bulo） -0.5</x:v>
      </x:c>
      <x:c r="G1714" s="65" t="str">
        <x:v>大 3.0</x:v>
      </x:c>
      <x:c r="H1714" s="65" t="str">
        <x:v>圣安东尼奥布鲁布鲁胜且双方进球 小注</x:v>
      </x:c>
      <x:c r="I1714" s="66" t="n">
        <x:v>46117.22415509259</x:v>
      </x:c>
      <x:c r="J1714" s="65" t="str">
        <x:v>已结算</x:v>
      </x:c>
      <x:c r="K1714" s="65" t="str">
        <x:v>2-0</x:v>
      </x:c>
      <x:c r="L1714" s="65" t="str">
        <x:v>赢</x:v>
      </x:c>
      <x:c r="M1714" s="65" t="str">
        <x:v>输</x:v>
      </x:c>
      <x:c r="N1714" s="67" t="n">
        <x:v>1</x:v>
      </x:c>
      <x:c r="O1714" s="67" t="n">
        <x:v>-1</x:v>
      </x:c>
      <x:c r="P1714" s="67" t="n">
        <x:f>IF(COUNT(N1714:O1714)=0,"",SUM(N1714:O1714))</x:f>
        <x:v>0</x:v>
      </x:c>
      <x:c r="Q1714" s="65"/>
      <x:c r="R1714" s="65" t="str">
        <x:v>FT 2-0；让球推荐 圣安东尼奥布鲁布鲁（San Antonio Bulo Bulo） -0.5 命中；大小推荐 大3.0 未中</x:v>
      </x:c>
    </x:row>
    <x:row r="1715" ht="38" customHeight="1">
      <x:c r="A1715" s="65" t="str">
        <x:f>IF(B1715="","",TEXT(B1715,"yyyy-mm-dd")&amp;"|"&amp;D1715&amp;"|"&amp;E1715)</x:f>
        <x:v>2026-04-05|克雷塔罗|托卢卡</x:v>
      </x:c>
      <x:c r="B1715" s="66" t="n">
        <x:v>46117.291666666664</x:v>
      </x:c>
      <x:c r="C1715" s="65" t="str">
        <x:v>墨西哥超（Liga MX，Clausura）</x:v>
      </x:c>
      <x:c r="D1715" s="65" t="str">
        <x:v>克雷塔罗</x:v>
      </x:c>
      <x:c r="E1715" s="65" t="str">
        <x:v>托卢卡</x:v>
      </x:c>
      <x:c r="F1715" s="65" t="str">
        <x:v>托卢卡 平手(0)</x:v>
      </x:c>
      <x:c r="G1715" s="65" t="str">
        <x:v>小 2/2.5</x:v>
      </x:c>
      <x:c r="H1715" s="65" t="str">
        <x:v>托卢卡胜且小3.5 小注</x:v>
      </x:c>
      <x:c r="I1715" s="66" t="n">
        <x:v>46117.35622685185</x:v>
      </x:c>
      <x:c r="J1715" s="65" t="str">
        <x:v>已结算</x:v>
      </x:c>
      <x:c r="K1715" s="65" t="str">
        <x:v>1-0</x:v>
      </x:c>
      <x:c r="L1715" s="65" t="str">
        <x:v>输</x:v>
      </x:c>
      <x:c r="M1715" s="65" t="str">
        <x:v>赢</x:v>
      </x:c>
      <x:c r="N1715" s="67" t="n">
        <x:v>-1</x:v>
      </x:c>
      <x:c r="O1715" s="67" t="n">
        <x:v>1</x:v>
      </x:c>
      <x:c r="P1715" s="67" t="n">
        <x:f>IF(COUNT(N1715:O1715)=0,"",SUM(N1715:O1715))</x:f>
        <x:v>0</x:v>
      </x:c>
      <x:c r="Q1715" s="65"/>
      <x:c r="R1715" s="65" t="str">
        <x:v>FT 1-0；让球推荐 托卢卡 平手(0) 失利；大小推荐 小2/2.5 命中</x:v>
      </x:c>
    </x:row>
    <x:row r="1716" ht="38" customHeight="1">
      <x:c r="A1716" s="65" t="str">
        <x:f>IF(B1716="","",TEXT(B1716,"yyyy-mm-dd")&amp;"|"&amp;D1716&amp;"|"&amp;E1716)</x:f>
        <x:v>2026-04-05|皇家波托西（Real Potosí）|奥罗拉（Aurora）</x:v>
      </x:c>
      <x:c r="B1716" s="66" t="n">
        <x:v>46117.21875</x:v>
      </x:c>
      <x:c r="C1716" s="65" t="str">
        <x:v>玻利维亚甲级联赛</x:v>
      </x:c>
      <x:c r="D1716" s="65" t="str">
        <x:v>皇家波托西（Real Potosí）</x:v>
      </x:c>
      <x:c r="E1716" s="65" t="str">
        <x:v>奥罗拉（Aurora）</x:v>
      </x:c>
      <x:c r="F1716" s="65" t="str">
        <x:v>皇家波托西（Real Potosí） -0.25</x:v>
      </x:c>
      <x:c r="G1716" s="65" t="str">
        <x:v>大 3.0</x:v>
      </x:c>
      <x:c r="H1716" s="65" t="str">
        <x:v>皇家波托西下半场胜 小注</x:v>
      </x:c>
      <x:c r="I1716" s="66" t="n">
        <x:v>46117.20947916667</x:v>
      </x:c>
      <x:c r="J1716" s="65" t="str">
        <x:v>已结算</x:v>
      </x:c>
      <x:c r="K1716" s="65" t="str">
        <x:v>0-0</x:v>
      </x:c>
      <x:c r="L1716" s="65" t="str">
        <x:v>输半</x:v>
      </x:c>
      <x:c r="M1716" s="65" t="str">
        <x:v>输</x:v>
      </x:c>
      <x:c r="N1716" s="67" t="n">
        <x:v>-0.5</x:v>
      </x:c>
      <x:c r="O1716" s="67" t="n">
        <x:v>-1</x:v>
      </x:c>
      <x:c r="P1716" s="67" t="n">
        <x:f>IF(COUNT(N1716:O1716)=0,"",SUM(N1716:O1716))</x:f>
        <x:v>-1.5</x:v>
      </x:c>
      <x:c r="Q1716" s="65"/>
      <x:c r="R1716" s="65" t="str">
        <x:v>FT 0-0；让球推荐 皇家波托西（Real Potosí） -0.25 输半；大小推荐 大3.0 未中</x:v>
      </x:c>
    </x:row>
    <x:row r="1717" ht="38" customHeight="1">
      <x:c r="A1717" s="65" t="str">
        <x:f>IF(B1717="","",TEXT(B1717,"yyyy-mm-dd")&amp;"|"&amp;D1717&amp;"|"&amp;E1717)</x:f>
        <x:v>2026-04-05|阿根廷独立|竞技俱乐部（Racing Club）</x:v>
      </x:c>
      <x:c r="B1717" s="66" t="n">
        <x:v>46117.1875</x:v>
      </x:c>
      <x:c r="C1717" s="65" t="str">
        <x:v>阿根廷职业联赛（Liga Profesional·Apertura）</x:v>
      </x:c>
      <x:c r="D1717" s="65" t="str">
        <x:v>阿根廷独立</x:v>
      </x:c>
      <x:c r="E1717" s="65" t="str">
        <x:v>竞技俱乐部（Racing Club）</x:v>
      </x:c>
      <x:c r="F1717" s="65" t="str">
        <x:v>竞技俱乐部（Racing Club） 平手(0)</x:v>
      </x:c>
      <x:c r="G1717" s="65" t="str">
        <x:v>小 2/2.5</x:v>
      </x:c>
      <x:c r="H1717" s="65" t="str">
        <x:v>平局小注防0比0/1比1</x:v>
      </x:c>
      <x:c r="I1717" s="66" t="n">
        <x:v>46117.343125</x:v>
      </x:c>
      <x:c r="J1717" s="65" t="str">
        <x:v>已结算</x:v>
      </x:c>
      <x:c r="K1717" s="65" t="str">
        <x:v>1-0</x:v>
      </x:c>
      <x:c r="L1717" s="65" t="str">
        <x:v>输</x:v>
      </x:c>
      <x:c r="M1717" s="65" t="str">
        <x:v>赢</x:v>
      </x:c>
      <x:c r="N1717" s="67" t="n">
        <x:v>-1</x:v>
      </x:c>
      <x:c r="O1717" s="67" t="n">
        <x:v>1</x:v>
      </x:c>
      <x:c r="P1717" s="67" t="n">
        <x:f>IF(COUNT(N1717:O1717)=0,"",SUM(N1717:O1717))</x:f>
        <x:v>0</x:v>
      </x:c>
      <x:c r="Q1717" s="65"/>
      <x:c r="R1717" s="65" t="str">
        <x:v>FT 1-0；让球推荐 竞技俱乐部（Racing Club） 平手(0) 失利；大小推荐 小2/2.5 命中</x:v>
      </x:c>
    </x:row>
    <x:row r="1718" ht="38" customHeight="1">
      <x:c r="A1718" s="65" t="str">
        <x:f>IF(B1718="","",TEXT(B1718,"yyyy-mm-dd")&amp;"|"&amp;D1718&amp;"|"&amp;E1718)</x:f>
        <x:v>2026-04-05|维罗纳|佛罗伦萨</x:v>
      </x:c>
      <x:c r="B1718" s="66" t="n">
        <x:v>46117</x:v>
      </x:c>
      <x:c r="C1718" s="65" t="str">
        <x:v>意大利甲级联赛（Serie A）</x:v>
      </x:c>
      <x:c r="D1718" s="65" t="str">
        <x:v>维罗纳</x:v>
      </x:c>
      <x:c r="E1718" s="65" t="str">
        <x:v>佛罗伦萨</x:v>
      </x:c>
      <x:c r="F1718" s="65" t="str">
        <x:v>佛罗伦萨 -0.5</x:v>
      </x:c>
      <x:c r="G1718" s="65" t="str">
        <x:v>小 2/2.5</x:v>
      </x:c>
      <x:c r="H1718" s="65" t="str">
        <x:v>佛罗伦萨胜且小3.5 小注</x:v>
      </x:c>
      <x:c r="I1718" s="66" t="n">
        <x:v>46116.93035879629</x:v>
      </x:c>
      <x:c r="J1718" s="65" t="str">
        <x:v>已结算</x:v>
      </x:c>
      <x:c r="K1718" s="65" t="str">
        <x:v>0-1</x:v>
      </x:c>
      <x:c r="L1718" s="65" t="str">
        <x:v>赢</x:v>
      </x:c>
      <x:c r="M1718" s="65" t="str">
        <x:v>赢</x:v>
      </x:c>
      <x:c r="N1718" s="67" t="n">
        <x:v>1</x:v>
      </x:c>
      <x:c r="O1718" s="67" t="n">
        <x:v>1</x:v>
      </x:c>
      <x:c r="P1718" s="67" t="n">
        <x:f>IF(COUNT(N1718:O1718)=0,"",SUM(N1718:O1718))</x:f>
        <x:v>2</x:v>
      </x:c>
      <x:c r="Q1718" s="65"/>
      <x:c r="R1718" s="65" t="str">
        <x:v>FT 0-1；让球推荐 佛罗伦萨 -0.5 命中；大小推荐 小2/2.5 命中</x:v>
      </x:c>
    </x:row>
    <x:row r="1719" ht="38" customHeight="1">
      <x:c r="A1719" s="65" t="str">
        <x:f>IF(B1719="","",TEXT(B1719,"yyyy-mm-dd")&amp;"|"&amp;D1719&amp;"|"&amp;E1719)</x:f>
        <x:v>2026-04-04|斯特拉斯堡|尼斯</x:v>
      </x:c>
      <x:c r="B1719" s="66" t="n">
        <x:v>46116.958333333336</x:v>
      </x:c>
      <x:c r="C1719" s="65" t="str">
        <x:v>法甲（Ligue 1）</x:v>
      </x:c>
      <x:c r="D1719" s="65" t="str">
        <x:v>斯特拉斯堡</x:v>
      </x:c>
      <x:c r="E1719" s="65" t="str">
        <x:v>尼斯</x:v>
      </x:c>
      <x:c r="F1719" s="65" t="str">
        <x:v>斯特拉斯堡 -0.5</x:v>
      </x:c>
      <x:c r="G1719" s="65" t="str">
        <x:v>小 2.5</x:v>
      </x:c>
      <x:c r="H1719" s="65" t="str">
        <x:v>平局小注防1比1</x:v>
      </x:c>
      <x:c r="I1719" s="66" t="n">
        <x:v>46116.9659837963</x:v>
      </x:c>
      <x:c r="J1719" s="65" t="str">
        <x:v>已结算</x:v>
      </x:c>
      <x:c r="K1719" s="65" t="str">
        <x:v>3-1</x:v>
      </x:c>
      <x:c r="L1719" s="65" t="str">
        <x:v>赢</x:v>
      </x:c>
      <x:c r="M1719" s="65" t="str">
        <x:v>输</x:v>
      </x:c>
      <x:c r="N1719" s="67" t="n">
        <x:v>1</x:v>
      </x:c>
      <x:c r="O1719" s="67" t="n">
        <x:v>-1</x:v>
      </x:c>
      <x:c r="P1719" s="67" t="n">
        <x:f>IF(COUNT(N1719:O1719)=0,"",SUM(N1719:O1719))</x:f>
        <x:v>0</x:v>
      </x:c>
      <x:c r="Q1719" s="65"/>
      <x:c r="R1719" s="65" t="str">
        <x:v>FT 3-1；让球推荐 斯特拉斯堡 -0.5 命中；大小推荐 小2.5 未中</x:v>
      </x:c>
    </x:row>
    <x:row r="1720" ht="38" customHeight="1">
      <x:c r="A1720" s="65" t="str">
        <x:f>IF(B1720="","",TEXT(B1720,"yyyy-mm-dd")&amp;"|"&amp;D1720&amp;"|"&amp;E1720)</x:f>
        <x:v>2026-04-04|果阿FC|班加罗尔FC</x:v>
      </x:c>
      <x:c r="B1720" s="66" t="n">
        <x:v>46116.916666666664</x:v>
      </x:c>
      <x:c r="C1720" s="65" t="str">
        <x:v>印度超级联赛（Indian Super League）</x:v>
      </x:c>
      <x:c r="D1720" s="65" t="str">
        <x:v>果阿FC</x:v>
      </x:c>
      <x:c r="E1720" s="65" t="str">
        <x:v>班加罗尔FC</x:v>
      </x:c>
      <x:c r="F1720" s="65" t="str">
        <x:v>班加罗尔FC +0.25</x:v>
      </x:c>
      <x:c r="G1720" s="65" t="str">
        <x:v>小 2.5</x:v>
      </x:c>
      <x:c r="H1720" s="65" t="str">
        <x:v>班加罗尔FC不败且小3.5 小注</x:v>
      </x:c>
      <x:c r="I1720" s="66" t="n">
        <x:v>46116.95349537037</x:v>
      </x:c>
      <x:c r="J1720" s="65" t="str">
        <x:v>已结算</x:v>
      </x:c>
      <x:c r="K1720" s="65" t="str">
        <x:v>0-2</x:v>
      </x:c>
      <x:c r="L1720" s="65" t="str">
        <x:v>赢</x:v>
      </x:c>
      <x:c r="M1720" s="65" t="str">
        <x:v>赢</x:v>
      </x:c>
      <x:c r="N1720" s="67" t="n">
        <x:v>1</x:v>
      </x:c>
      <x:c r="O1720" s="67" t="n">
        <x:v>1</x:v>
      </x:c>
      <x:c r="P1720" s="67" t="n">
        <x:f>IF(COUNT(N1720:O1720)=0,"",SUM(N1720:O1720))</x:f>
        <x:v>2</x:v>
      </x:c>
      <x:c r="Q1720" s="65"/>
      <x:c r="R1720" s="65" t="str">
        <x:v>FT 0-2；让球推荐 班加罗尔FC +0.25 命中；大小推荐 小2.5 命中</x:v>
      </x:c>
    </x:row>
    <x:row r="1721" ht="38" customHeight="1">
      <x:c r="A1721" s="65" t="str">
        <x:f>IF(B1721="","",TEXT(B1721,"yyyy-mm-dd")&amp;"|"&amp;D1721&amp;"|"&amp;E1721)</x:f>
        <x:v>2026-04-04|萨索洛|卡利亚里</x:v>
      </x:c>
      <x:c r="B1721" s="66" t="n">
        <x:v>46116.875</x:v>
      </x:c>
      <x:c r="C1721" s="65" t="str">
        <x:v>意大利甲级联赛（Serie A）</x:v>
      </x:c>
      <x:c r="D1721" s="65" t="str">
        <x:v>萨索洛</x:v>
      </x:c>
      <x:c r="E1721" s="65" t="str">
        <x:v>卡利亚里</x:v>
      </x:c>
      <x:c r="F1721" s="65" t="str">
        <x:v>卡利亚里 +0.5</x:v>
      </x:c>
      <x:c r="G1721" s="65" t="str">
        <x:v>小 2.5</x:v>
      </x:c>
      <x:c r="H1721" s="65" t="str">
        <x:v>平局小注防1比1</x:v>
      </x:c>
      <x:c r="I1721" s="66" t="n">
        <x:v>46116.94603009259</x:v>
      </x:c>
      <x:c r="J1721" s="65" t="str">
        <x:v>已结算</x:v>
      </x:c>
      <x:c r="K1721" s="65" t="str">
        <x:v>2-1</x:v>
      </x:c>
      <x:c r="L1721" s="65" t="str">
        <x:v>输</x:v>
      </x:c>
      <x:c r="M1721" s="65" t="str">
        <x:v>输</x:v>
      </x:c>
      <x:c r="N1721" s="67" t="n">
        <x:v>-1</x:v>
      </x:c>
      <x:c r="O1721" s="67" t="n">
        <x:v>-1</x:v>
      </x:c>
      <x:c r="P1721" s="67" t="n">
        <x:f>IF(COUNT(N1721:O1721)=0,"",SUM(N1721:O1721))</x:f>
        <x:v>-2</x:v>
      </x:c>
      <x:c r="Q1721" s="65"/>
      <x:c r="R1721" s="65" t="str">
        <x:v>FT 2-1；让球推荐 卡利亚里 +0.5 未中；大小推荐 小2.5 未中</x:v>
      </x:c>
    </x:row>
    <x:row r="1722" ht="38" customHeight="1">
      <x:c r="A1722" s="65" t="str">
        <x:f>IF(B1722="","",TEXT(B1722,"yyyy-mm-dd")&amp;"|"&amp;D1722&amp;"|"&amp;E1722)</x:f>
        <x:v>2026-04-04|帕尔斯巴亚（Persebaya Surabaya）|佩西塔坦格朗（Persita Tangerang）</x:v>
      </x:c>
      <x:c r="B1722" s="66" t="n">
        <x:v>46116.833333333336</x:v>
      </x:c>
      <x:c r="C1722" s="65" t="str">
        <x:v>印度尼西亚超级联赛（印尼超/Liga 1 Indonesia）</x:v>
      </x:c>
      <x:c r="D1722" s="65" t="str">
        <x:v>帕尔斯巴亚（Persebaya Surabaya）</x:v>
      </x:c>
      <x:c r="E1722" s="65" t="str">
        <x:v>佩西塔坦格朗（Persita Tangerang）</x:v>
      </x:c>
      <x:c r="F1722" s="65" t="str">
        <x:v>佩西塔坦格朗（Persita Tangerang） +0.5</x:v>
      </x:c>
      <x:c r="G1722" s="65" t="str">
        <x:v>小 2.5</x:v>
      </x:c>
      <x:c r="H1722" s="65" t="str">
        <x:v>平局小注防守</x:v>
      </x:c>
      <x:c r="I1722" s="66" t="n">
        <x:v>46116.83859953703</x:v>
      </x:c>
      <x:c r="J1722" s="65" t="str">
        <x:v>已结算</x:v>
      </x:c>
      <x:c r="K1722" s="65" t="str">
        <x:v>1-0</x:v>
      </x:c>
      <x:c r="L1722" s="65" t="str">
        <x:v>输</x:v>
      </x:c>
      <x:c r="M1722" s="65" t="str">
        <x:v>赢</x:v>
      </x:c>
      <x:c r="N1722" s="67" t="n">
        <x:v>-1</x:v>
      </x:c>
      <x:c r="O1722" s="67" t="n">
        <x:v>1</x:v>
      </x:c>
      <x:c r="P1722" s="67" t="n">
        <x:f>IF(COUNT(N1722:O1722)=0,"",SUM(N1722:O1722))</x:f>
        <x:v>0</x:v>
      </x:c>
      <x:c r="Q1722" s="65"/>
      <x:c r="R1722" s="65" t="str">
        <x:v>FT 1-0；让球推荐 佩西塔坦格朗（Persita Tangerang） +0.5 未中；大小推荐 小2.5 命中</x:v>
      </x:c>
    </x:row>
    <x:row r="1723" ht="38" customHeight="1">
      <x:c r="A1723" s="65" t="str">
        <x:f>IF(B1723="","",TEXT(B1723,"yyyy-mm-dd")&amp;"|"&amp;D1723&amp;"|"&amp;E1723)</x:f>
        <x:v>2026-04-04|詹谢普尔（Jamshedpur FC）|莫亨巴根超级巨人（Mohun Bagan Super Giant）</x:v>
      </x:c>
      <x:c r="B1723" s="66" t="n">
        <x:v>46116.8125</x:v>
      </x:c>
      <x:c r="C1723" s="65" t="str">
        <x:v>印度超级联赛（Indian Super League）</x:v>
      </x:c>
      <x:c r="D1723" s="65" t="str">
        <x:v>詹谢普尔（Jamshedpur FC）</x:v>
      </x:c>
      <x:c r="E1723" s="65" t="str">
        <x:v>莫亨巴根超级巨人（Mohun Bagan Super Giant）</x:v>
      </x:c>
      <x:c r="F1723" s="65" t="str">
        <x:v>詹谢普尔（Jamshedpur FC） +0.5</x:v>
      </x:c>
      <x:c r="G1723" s="65" t="str">
        <x:v>小 2.5</x:v>
      </x:c>
      <x:c r="H1723" s="65" t="str">
        <x:v>平局小注防1比1</x:v>
      </x:c>
      <x:c r="I1723" s="66" t="n">
        <x:v>46116.76725694445</x:v>
      </x:c>
      <x:c r="J1723" s="65" t="str">
        <x:v>已结算</x:v>
      </x:c>
      <x:c r="K1723" s="65" t="str">
        <x:v>1-1</x:v>
      </x:c>
      <x:c r="L1723" s="65" t="str">
        <x:v>赢</x:v>
      </x:c>
      <x:c r="M1723" s="65" t="str">
        <x:v>赢</x:v>
      </x:c>
      <x:c r="N1723" s="67" t="n">
        <x:v>1</x:v>
      </x:c>
      <x:c r="O1723" s="67" t="n">
        <x:v>1</x:v>
      </x:c>
      <x:c r="P1723" s="67" t="n">
        <x:f>IF(COUNT(N1723:O1723)=0,"",SUM(N1723:O1723))</x:f>
        <x:v>2</x:v>
      </x:c>
      <x:c r="Q1723" s="65"/>
      <x:c r="R1723" s="65" t="str">
        <x:v>FT 1-1；让球推荐 詹谢普尔（Jamshedpur FC） +0.5 命中；大小推荐 小2.5 命中</x:v>
      </x:c>
    </x:row>
    <x:row r="1724" ht="38" customHeight="1">
      <x:c r="A1724" s="65" t="str">
        <x:f>IF(B1724="","",TEXT(B1724,"yyyy-mm-dd")&amp;"|"&amp;D1724&amp;"|"&amp;E1724)</x:f>
        <x:v>2026-04-04|凯泽斯劳滕|杜塞尔多夫</x:v>
      </x:c>
      <x:c r="B1724" s="66" t="n">
        <x:v>46116.791666666664</x:v>
      </x:c>
      <x:c r="C1724" s="65" t="str">
        <x:v>德国乙级联赛（2. Bundesliga）</x:v>
      </x:c>
      <x:c r="D1724" s="65" t="str">
        <x:v>凯泽斯劳滕</x:v>
      </x:c>
      <x:c r="E1724" s="65" t="str">
        <x:v>杜塞尔多夫</x:v>
      </x:c>
      <x:c r="F1724" s="65" t="str">
        <x:v>杜塞尔多夫 +0.25</x:v>
      </x:c>
      <x:c r="G1724" s="65" t="str">
        <x:v>大 2.5</x:v>
      </x:c>
      <x:c r="H1724" s="65" t="str">
        <x:v>杜塞尔多夫不败且双方进球 小注</x:v>
      </x:c>
      <x:c r="I1724" s="66" t="n">
        <x:v>46116.796215277776</x:v>
      </x:c>
      <x:c r="J1724" s="65" t="str">
        <x:v>已结算</x:v>
      </x:c>
      <x:c r="K1724" s="65" t="str">
        <x:v>3-0</x:v>
      </x:c>
      <x:c r="L1724" s="65" t="str">
        <x:v>输</x:v>
      </x:c>
      <x:c r="M1724" s="65" t="str">
        <x:v>赢</x:v>
      </x:c>
      <x:c r="N1724" s="67" t="n">
        <x:v>-1</x:v>
      </x:c>
      <x:c r="O1724" s="67" t="n">
        <x:v>1</x:v>
      </x:c>
      <x:c r="P1724" s="67" t="n">
        <x:f>IF(COUNT(N1724:O1724)=0,"",SUM(N1724:O1724))</x:f>
        <x:v>0</x:v>
      </x:c>
      <x:c r="Q1724" s="65"/>
      <x:c r="R1724" s="65" t="str">
        <x:v>FT 3-0；让球推荐 杜塞尔多夫 +0.25 未中；大小推荐 大2.5 命中</x:v>
      </x:c>
    </x:row>
    <x:row r="1725" ht="38" customHeight="1">
      <x:c r="A1725" s="65" t="str">
        <x:f>IF(B1725="","",TEXT(B1725,"yyyy-mm-dd")&amp;"|"&amp;D1725&amp;"|"&amp;E1725)</x:f>
        <x:v>2026-04-04|比勒菲尔德|达姆施塔特</x:v>
      </x:c>
      <x:c r="B1725" s="66" t="n">
        <x:v>46116.791666666664</x:v>
      </x:c>
      <x:c r="C1725" s="65" t="str">
        <x:v>德国乙级联赛（2. Bundesliga）</x:v>
      </x:c>
      <x:c r="D1725" s="65" t="str">
        <x:v>比勒菲尔德</x:v>
      </x:c>
      <x:c r="E1725" s="65" t="str">
        <x:v>达姆施塔特</x:v>
      </x:c>
      <x:c r="F1725" s="65" t="str">
        <x:v>达姆施塔特 +0.25</x:v>
      </x:c>
      <x:c r="G1725" s="65" t="str">
        <x:v>大 2.5</x:v>
      </x:c>
      <x:c r="H1725" s="65" t="str">
        <x:v>达姆施塔特不败且双方进球 小注</x:v>
      </x:c>
      <x:c r="I1725" s="66" t="n">
        <x:v>46116.78804398148</x:v>
      </x:c>
      <x:c r="J1725" s="65" t="str">
        <x:v>已结算</x:v>
      </x:c>
      <x:c r="K1725" s="65" t="str">
        <x:v>2-1</x:v>
      </x:c>
      <x:c r="L1725" s="65" t="str">
        <x:v>输</x:v>
      </x:c>
      <x:c r="M1725" s="65" t="str">
        <x:v>赢</x:v>
      </x:c>
      <x:c r="N1725" s="67" t="n">
        <x:v>-1</x:v>
      </x:c>
      <x:c r="O1725" s="67" t="n">
        <x:v>1</x:v>
      </x:c>
      <x:c r="P1725" s="67" t="n">
        <x:f>IF(COUNT(N1725:O1725)=0,"",SUM(N1725:O1725))</x:f>
        <x:v>0</x:v>
      </x:c>
      <x:c r="Q1725" s="65"/>
      <x:c r="R1725" s="65" t="str">
        <x:v>FT 2-1；让球推荐 达姆施塔特 +0.25 未中；大小推荐 大2.5 命中</x:v>
      </x:c>
    </x:row>
    <x:row r="1726" ht="38" customHeight="1">
      <x:c r="A1726" s="65" t="str">
        <x:f>IF(B1726="","",TEXT(B1726,"yyyy-mm-dd")&amp;"|"&amp;D1726&amp;"|"&amp;E1726)</x:f>
        <x:v>2026-04-04|马格德堡|波鸿</x:v>
      </x:c>
      <x:c r="B1726" s="66" t="n">
        <x:v>46116.791666666664</x:v>
      </x:c>
      <x:c r="C1726" s="65" t="str">
        <x:v>德国乙级联赛（2. Bundesliga）</x:v>
      </x:c>
      <x:c r="D1726" s="65" t="str">
        <x:v>马格德堡</x:v>
      </x:c>
      <x:c r="E1726" s="65" t="str">
        <x:v>波鸿</x:v>
      </x:c>
      <x:c r="F1726" s="65" t="str">
        <x:v>波鸿 +0.25</x:v>
      </x:c>
      <x:c r="G1726" s="65" t="str">
        <x:v>大 2.5</x:v>
      </x:c>
      <x:c r="H1726" s="65" t="str">
        <x:v>波鸿不败且双方进球 小注</x:v>
      </x:c>
      <x:c r="I1726" s="66" t="n">
        <x:v>46116.77155092593</x:v>
      </x:c>
      <x:c r="J1726" s="65" t="str">
        <x:v>已结算</x:v>
      </x:c>
      <x:c r="K1726" s="65" t="str">
        <x:v>4-1</x:v>
      </x:c>
      <x:c r="L1726" s="65" t="str">
        <x:v>输</x:v>
      </x:c>
      <x:c r="M1726" s="65" t="str">
        <x:v>赢</x:v>
      </x:c>
      <x:c r="N1726" s="67" t="n">
        <x:v>-1</x:v>
      </x:c>
      <x:c r="O1726" s="67" t="n">
        <x:v>1</x:v>
      </x:c>
      <x:c r="P1726" s="67" t="n">
        <x:f>IF(COUNT(N1726:O1726)=0,"",SUM(N1726:O1726))</x:f>
        <x:v>0</x:v>
      </x:c>
      <x:c r="Q1726" s="65"/>
      <x:c r="R1726" s="65" t="str">
        <x:v>FT 4-1；让球推荐 波鸿 +0.25 未中；大小推荐 大2.5 命中</x:v>
      </x:c>
    </x:row>
    <x:row r="1727" ht="38" customHeight="1">
      <x:c r="A1727" s="65" t="str">
        <x:f>IF(B1727="","",TEXT(B1727,"yyyy-mm-dd")&amp;"|"&amp;D1727&amp;"|"&amp;E1727)</x:f>
        <x:v>2026-04-04|墨尔本城|西悉尼流浪者</x:v>
      </x:c>
      <x:c r="B1727" s="66" t="n">
        <x:v>46116.69097222222</x:v>
      </x:c>
      <x:c r="C1727" s="65" t="str">
        <x:v>澳大利亚A联赛（A-League Men）</x:v>
      </x:c>
      <x:c r="D1727" s="65" t="str">
        <x:v>墨尔本城</x:v>
      </x:c>
      <x:c r="E1727" s="65" t="str">
        <x:v>西悉尼流浪者</x:v>
      </x:c>
      <x:c r="F1727" s="65" t="str">
        <x:v>西悉尼流浪者 +0.5</x:v>
      </x:c>
      <x:c r="G1727" s="65" t="str">
        <x:v>小 2.5</x:v>
      </x:c>
      <x:c r="H1727" s="65" t="str">
        <x:v>平局小注防1比1</x:v>
      </x:c>
      <x:c r="I1727" s="66" t="n">
        <x:v>46116.58762731482</x:v>
      </x:c>
      <x:c r="J1727" s="65" t="str">
        <x:v>已结算</x:v>
      </x:c>
      <x:c r="K1727" s="65" t="str">
        <x:v>3-0</x:v>
      </x:c>
      <x:c r="L1727" s="65" t="str">
        <x:v>输</x:v>
      </x:c>
      <x:c r="M1727" s="65" t="str">
        <x:v>输</x:v>
      </x:c>
      <x:c r="N1727" s="67" t="n">
        <x:v>-1</x:v>
      </x:c>
      <x:c r="O1727" s="67" t="n">
        <x:v>-1</x:v>
      </x:c>
      <x:c r="P1727" s="67" t="n">
        <x:f>IF(COUNT(N1727:O1727)=0,"",SUM(N1727:O1727))</x:f>
        <x:v>-2</x:v>
      </x:c>
      <x:c r="Q1727" s="65"/>
      <x:c r="R1727" s="65" t="str">
        <x:v>FT 3-0；让球推荐 西悉尼流浪者 +0.5 未中；大小推荐 小2.5 未中</x:v>
      </x:c>
    </x:row>
    <x:row r="1728" ht="38" customHeight="1">
      <x:c r="A1728" s="65" t="str">
        <x:f>IF(B1728="","",TEXT(B1728,"yyyy-mm-dd")&amp;"|"&amp;D1728&amp;"|"&amp;E1728)</x:f>
        <x:v>2026-04-04|PSM马卡萨|佩西斯梭罗（Persis Solo）</x:v>
      </x:c>
      <x:c r="B1728" s="66" t="n">
        <x:v>46116.6875</x:v>
      </x:c>
      <x:c r="C1728" s="65" t="str">
        <x:v>印度尼西亚超级联赛（印尼超/Liga 1 Indonesia）</x:v>
      </x:c>
      <x:c r="D1728" s="65" t="str">
        <x:v>PSM马卡萨</x:v>
      </x:c>
      <x:c r="E1728" s="65" t="str">
        <x:v>佩西斯梭罗（Persis Solo）</x:v>
      </x:c>
      <x:c r="F1728" s="65" t="str">
        <x:v>佩西斯梭罗（Persis Solo） +0.5</x:v>
      </x:c>
      <x:c r="G1728" s="65" t="str">
        <x:v>小 2.5</x:v>
      </x:c>
      <x:c r="H1728" s="65" t="str">
        <x:v>平局小注防守</x:v>
      </x:c>
      <x:c r="I1728" s="66" t="n">
        <x:v>46116.5850462963</x:v>
      </x:c>
      <x:c r="J1728" s="65" t="str">
        <x:v>已结算</x:v>
      </x:c>
      <x:c r="K1728" s="65" t="str">
        <x:v>1-1</x:v>
      </x:c>
      <x:c r="L1728" s="65" t="str">
        <x:v>赢</x:v>
      </x:c>
      <x:c r="M1728" s="65" t="str">
        <x:v>赢</x:v>
      </x:c>
      <x:c r="N1728" s="67" t="n">
        <x:v>1</x:v>
      </x:c>
      <x:c r="O1728" s="67" t="n">
        <x:v>1</x:v>
      </x:c>
      <x:c r="P1728" s="67" t="n">
        <x:f>IF(COUNT(N1728:O1728)=0,"",SUM(N1728:O1728))</x:f>
        <x:v>2</x:v>
      </x:c>
      <x:c r="Q1728" s="65"/>
      <x:c r="R1728" s="65" t="str">
        <x:v>FT 1-1；让球推荐 佩西斯梭罗（Persis Solo） +0.5 命中；大小推荐 小2.5 命中</x:v>
      </x:c>
    </x:row>
    <x:row r="1729" ht="38" customHeight="1">
      <x:c r="A1729" s="65" t="str">
        <x:f>IF(B1729="","",TEXT(B1729,"yyyy-mm-dd")&amp;"|"&amp;D1729&amp;"|"&amp;E1729)</x:f>
        <x:v>2026-04-04|青岛海牛|河南队（酒祖杜康）</x:v>
      </x:c>
      <x:c r="B1729" s="66" t="n">
        <x:v>46116.645833333336</x:v>
      </x:c>
      <x:c r="C1729" s="65" t="str">
        <x:v>中国足球超级联赛</x:v>
      </x:c>
      <x:c r="D1729" s="65" t="str">
        <x:v>青岛海牛</x:v>
      </x:c>
      <x:c r="E1729" s="65" t="str">
        <x:v>河南队（酒祖杜康）</x:v>
      </x:c>
      <x:c r="F1729" s="65" t="str">
        <x:v>青岛海牛 +0.5</x:v>
      </x:c>
      <x:c r="G1729" s="65" t="str">
        <x:v>小 2.5</x:v>
      </x:c>
      <x:c r="H1729" s="65" t="str">
        <x:v>平局小注防守</x:v>
      </x:c>
      <x:c r="I1729" s="66" t="n">
        <x:v>46116.58222222222</x:v>
      </x:c>
      <x:c r="J1729" s="65" t="str">
        <x:v>已结算</x:v>
      </x:c>
      <x:c r="K1729" s="65" t="str">
        <x:v>1-0</x:v>
      </x:c>
      <x:c r="L1729" s="65" t="str">
        <x:v>赢</x:v>
      </x:c>
      <x:c r="M1729" s="65" t="str">
        <x:v>赢</x:v>
      </x:c>
      <x:c r="N1729" s="67" t="n">
        <x:v>1</x:v>
      </x:c>
      <x:c r="O1729" s="67" t="n">
        <x:v>1</x:v>
      </x:c>
      <x:c r="P1729" s="67" t="n">
        <x:f>IF(COUNT(N1729:O1729)=0,"",SUM(N1729:O1729))</x:f>
        <x:v>2</x:v>
      </x:c>
      <x:c r="Q1729" s="65"/>
      <x:c r="R1729" s="65" t="str">
        <x:v>FT 1-0；让球推荐 青岛海牛 +0.5 命中；大小推荐 小2.5 命中</x:v>
      </x:c>
    </x:row>
    <x:row r="1730" ht="38" customHeight="1">
      <x:c r="A1730" s="65" t="str">
        <x:f>IF(B1730="","",TEXT(B1730,"yyyy-mm-dd")&amp;"|"&amp;D1730&amp;"|"&amp;E1730)</x:f>
        <x:v>2026-04-04|大阪钢巴|京都不死鸟</x:v>
      </x:c>
      <x:c r="B1730" s="66" t="n">
        <x:v>46116.625</x:v>
      </x:c>
      <x:c r="C1730" s="65" t="str">
        <x:v>日职联（J1 League）</x:v>
      </x:c>
      <x:c r="D1730" s="65" t="str">
        <x:v>大阪钢巴</x:v>
      </x:c>
      <x:c r="E1730" s="65" t="str">
        <x:v>京都不死鸟</x:v>
      </x:c>
      <x:c r="F1730" s="65" t="str">
        <x:v>京都不死鸟 平手(0)</x:v>
      </x:c>
      <x:c r="G1730" s="65" t="str">
        <x:v>小 2.5</x:v>
      </x:c>
      <x:c r="H1730" s="65" t="str">
        <x:v>平局小注防守</x:v>
      </x:c>
      <x:c r="I1730" s="66" t="n">
        <x:v>46116.57946759259</x:v>
      </x:c>
      <x:c r="J1730" s="65" t="str">
        <x:v>已结算</x:v>
      </x:c>
      <x:c r="K1730" s="65" t="str">
        <x:v>2-0</x:v>
      </x:c>
      <x:c r="L1730" s="65" t="str">
        <x:v>输</x:v>
      </x:c>
      <x:c r="M1730" s="65" t="str">
        <x:v>赢</x:v>
      </x:c>
      <x:c r="N1730" s="67" t="n">
        <x:v>-1</x:v>
      </x:c>
      <x:c r="O1730" s="67" t="n">
        <x:v>1</x:v>
      </x:c>
      <x:c r="P1730" s="67" t="n">
        <x:f>IF(COUNT(N1730:O1730)=0,"",SUM(N1730:O1730))</x:f>
        <x:v>0</x:v>
      </x:c>
      <x:c r="Q1730" s="65"/>
      <x:c r="R1730" s="65" t="str">
        <x:v>FT 2-0；让球推荐 京都不死鸟 平手(0) 失利；大小推荐 小2.5 命中</x:v>
      </x:c>
    </x:row>
    <x:row r="1731" ht="38" customHeight="1">
      <x:c r="A1731" s="65" t="str">
        <x:f>IF(B1731="","",TEXT(B1731,"yyyy-mm-dd")&amp;"|"&amp;D1731&amp;"|"&amp;E1731)</x:f>
        <x:v>2026-04-04|中央海岸水手|珀斯光荣</x:v>
      </x:c>
      <x:c r="B1731" s="66" t="n">
        <x:v>46116.583333333336</x:v>
      </x:c>
      <x:c r="C1731" s="65" t="str">
        <x:v>澳大利亚A联赛（A-League Men）</x:v>
      </x:c>
      <x:c r="D1731" s="65" t="str">
        <x:v>中央海岸水手</x:v>
      </x:c>
      <x:c r="E1731" s="65" t="str">
        <x:v>珀斯光荣</x:v>
      </x:c>
      <x:c r="F1731" s="65" t="str">
        <x:v>中央海岸水手 -0.25</x:v>
      </x:c>
      <x:c r="G1731" s="65" t="str">
        <x:v>小 2.5</x:v>
      </x:c>
      <x:c r="H1731" s="65" t="str">
        <x:v>中央海岸水手胜且小3.5 小注</x:v>
      </x:c>
      <x:c r="I1731" s="66" t="n">
        <x:v>46116.577199074076</x:v>
      </x:c>
      <x:c r="J1731" s="65" t="str">
        <x:v>已结算</x:v>
      </x:c>
      <x:c r="K1731" s="65" t="str">
        <x:v>2-2</x:v>
      </x:c>
      <x:c r="L1731" s="65" t="str">
        <x:v>输半</x:v>
      </x:c>
      <x:c r="M1731" s="65" t="str">
        <x:v>输</x:v>
      </x:c>
      <x:c r="N1731" s="67" t="n">
        <x:v>-0.5</x:v>
      </x:c>
      <x:c r="O1731" s="67" t="n">
        <x:v>-1</x:v>
      </x:c>
      <x:c r="P1731" s="67" t="n">
        <x:f>IF(COUNT(N1731:O1731)=0,"",SUM(N1731:O1731))</x:f>
        <x:v>-1.5</x:v>
      </x:c>
      <x:c r="Q1731" s="65"/>
      <x:c r="R1731" s="65" t="str">
        <x:v>复核赛果：中央海岸水手 2-2 珀斯光荣；让球：中央海岸水手 -0.25=输半；大小：小2.5=输。</x:v>
      </x:c>
    </x:row>
    <x:row r="1732" ht="38" customHeight="1">
      <x:c r="A1732" s="65" t="str">
        <x:f>IF(B1732="","",TEXT(B1732,"yyyy-mm-dd")&amp;"|"&amp;D1732&amp;"|"&amp;E1732)</x:f>
        <x:v>2026-04-04|横滨FC|秋田蓝色闪电（Blaublitz Akita）</x:v>
      </x:c>
      <x:c r="B1732" s="66" t="n">
        <x:v>46116.541666666664</x:v>
      </x:c>
      <x:c r="C1732" s="65" t="str">
        <x:v>日职 明治安田J2·J3百年构想联赛</x:v>
      </x:c>
      <x:c r="D1732" s="65" t="str">
        <x:v>横滨FC</x:v>
      </x:c>
      <x:c r="E1732" s="65" t="str">
        <x:v>秋田蓝色闪电（Blaublitz Akita）</x:v>
      </x:c>
      <x:c r="F1732" s="65" t="str">
        <x:v>秋田蓝色闪电（Blaublitz Akita） +0.25</x:v>
      </x:c>
      <x:c r="G1732" s="65" t="str">
        <x:v>小 2/2.5</x:v>
      </x:c>
      <x:c r="H1732" s="65" t="str">
        <x:v>秋田蓝色闪电不败且小3.5 小注</x:v>
      </x:c>
      <x:c r="I1732" s="66" t="n">
        <x:v>46116.55600694445</x:v>
      </x:c>
      <x:c r="J1732" s="65" t="str">
        <x:v>已结算</x:v>
      </x:c>
      <x:c r="K1732" s="65" t="str">
        <x:v>1-2</x:v>
      </x:c>
      <x:c r="L1732" s="65" t="str">
        <x:v>赢</x:v>
      </x:c>
      <x:c r="M1732" s="65" t="str">
        <x:v>输</x:v>
      </x:c>
      <x:c r="N1732" s="67" t="n">
        <x:v>1</x:v>
      </x:c>
      <x:c r="O1732" s="67" t="n">
        <x:v>-1</x:v>
      </x:c>
      <x:c r="P1732" s="67" t="n">
        <x:f>IF(COUNT(N1732:O1732)=0,"",SUM(N1732:O1732))</x:f>
        <x:v>0</x:v>
      </x:c>
      <x:c r="Q1732" s="65"/>
      <x:c r="R1732" s="65" t="str">
        <x:v>FT 1-2；让球推荐 秋田蓝色闪电（Blaublitz Akita） +0.25 命中；大小推荐 小2/2.5 未中</x:v>
      </x:c>
    </x:row>
    <x:row r="1733" ht="38" customHeight="1">
      <x:c r="A1733" s="65" t="str">
        <x:f>IF(B1733="","",TEXT(B1733,"yyyy-mm-dd")&amp;"|"&amp;D1733&amp;"|"&amp;E1733)</x:f>
        <x:v>2026-04-04|全北现代|蔚山HD（蔚山现代）</x:v>
      </x:c>
      <x:c r="B1733" s="66" t="n">
        <x:v>46116.541666666664</x:v>
      </x:c>
      <x:c r="C1733" s="65" t="str">
        <x:v>韩国K联赛1（K League 1）</x:v>
      </x:c>
      <x:c r="D1733" s="65" t="str">
        <x:v>全北现代</x:v>
      </x:c>
      <x:c r="E1733" s="65" t="str">
        <x:v>蔚山HD（蔚山现代）</x:v>
      </x:c>
      <x:c r="F1733" s="65" t="str">
        <x:v>全北现代 -0.5</x:v>
      </x:c>
      <x:c r="G1733" s="65" t="str">
        <x:v>小 2.5</x:v>
      </x:c>
      <x:c r="H1733" s="65" t="str">
        <x:v>全北现代胜且小3.5 小注</x:v>
      </x:c>
      <x:c r="I1733" s="66" t="n">
        <x:v>46116.526412037034</x:v>
      </x:c>
      <x:c r="J1733" s="65" t="str">
        <x:v>已结算</x:v>
      </x:c>
      <x:c r="K1733" s="65" t="str">
        <x:v>2-0</x:v>
      </x:c>
      <x:c r="L1733" s="65" t="str">
        <x:v>赢</x:v>
      </x:c>
      <x:c r="M1733" s="65" t="str">
        <x:v>赢</x:v>
      </x:c>
      <x:c r="N1733" s="67" t="n">
        <x:v>1</x:v>
      </x:c>
      <x:c r="O1733" s="67" t="n">
        <x:v>1</x:v>
      </x:c>
      <x:c r="P1733" s="67" t="n">
        <x:f>IF(COUNT(N1733:O1733)=0,"",SUM(N1733:O1733))</x:f>
        <x:v>2</x:v>
      </x:c>
      <x:c r="Q1733" s="65"/>
      <x:c r="R1733" s="65" t="str">
        <x:v>FT 2-0；让球推荐 全北现代 -0.5 命中；大小推荐 小2.5 命中</x:v>
      </x:c>
    </x:row>
    <x:row r="1734" ht="38" customHeight="1">
      <x:c r="A1734" s="65" t="str">
        <x:f>IF(B1734="","",TEXT(B1734,"yyyy-mm-dd")&amp;"|"&amp;D1734&amp;"|"&amp;E1734)</x:f>
        <x:v>2026-04-04|千叶市原|东京绿茵</x:v>
      </x:c>
      <x:c r="B1734" s="66" t="n">
        <x:v>46116.50208333333</x:v>
      </x:c>
      <x:c r="C1734" s="65" t="str">
        <x:v>日职联（J1 League）</x:v>
      </x:c>
      <x:c r="D1734" s="65" t="str">
        <x:v>千叶市原</x:v>
      </x:c>
      <x:c r="E1734" s="65" t="str">
        <x:v>东京绿茵</x:v>
      </x:c>
      <x:c r="F1734" s="65" t="str">
        <x:v>东京绿茵 平手(0)</x:v>
      </x:c>
      <x:c r="G1734" s="65" t="str">
        <x:v>大 2.5</x:v>
      </x:c>
      <x:c r="H1734" s="65" t="str">
        <x:v>双方进球 是 小注</x:v>
      </x:c>
      <x:c r="I1734" s="66" t="n">
        <x:v>46116.51315972222</x:v>
      </x:c>
      <x:c r="J1734" s="65" t="str">
        <x:v>已结算</x:v>
      </x:c>
      <x:c r="K1734" s="65" t="str">
        <x:v>3-2</x:v>
      </x:c>
      <x:c r="L1734" s="65" t="str">
        <x:v>输</x:v>
      </x:c>
      <x:c r="M1734" s="65" t="str">
        <x:v>赢</x:v>
      </x:c>
      <x:c r="N1734" s="67" t="n">
        <x:v>-1</x:v>
      </x:c>
      <x:c r="O1734" s="67" t="n">
        <x:v>1</x:v>
      </x:c>
      <x:c r="P1734" s="67" t="n">
        <x:f>IF(COUNT(N1734:O1734)=0,"",SUM(N1734:O1734))</x:f>
        <x:v>0</x:v>
      </x:c>
      <x:c r="Q1734" s="65"/>
      <x:c r="R1734" s="65" t="str">
        <x:v>FT 3-2；让球推荐 东京绿茵 平手(0) 失利；大小推荐 大2.5 命中</x:v>
      </x:c>
    </x:row>
    <x:row r="1735" ht="38" customHeight="1">
      <x:c r="A1735" s="65" t="str">
        <x:f>IF(B1735="","",TEXT(B1735,"yyyy-mm-dd")&amp;"|"&amp;D1735&amp;"|"&amp;E1735)</x:f>
        <x:v>2026-04-04|蒂华纳|老虎大学（Tigres UANL）</x:v>
      </x:c>
      <x:c r="B1735" s="66" t="n">
        <x:v>46116.4625</x:v>
      </x:c>
      <x:c r="C1735" s="65" t="str">
        <x:v>墨西哥超（Liga MX，Clausura）</x:v>
      </x:c>
      <x:c r="D1735" s="65" t="str">
        <x:v>蒂华纳</x:v>
      </x:c>
      <x:c r="E1735" s="65" t="str">
        <x:v>老虎大学（Tigres UANL）</x:v>
      </x:c>
      <x:c r="F1735" s="65" t="str">
        <x:v>蒂华纳 +0.5</x:v>
      </x:c>
      <x:c r="G1735" s="65" t="str">
        <x:v>大 2.5</x:v>
      </x:c>
      <x:c r="H1735" s="65" t="str">
        <x:v>蒂华纳不败且大2.5 小注</x:v>
      </x:c>
      <x:c r="I1735" s="66" t="n">
        <x:v>46116.480405092596</x:v>
      </x:c>
      <x:c r="J1735" s="65" t="str">
        <x:v>已结算</x:v>
      </x:c>
      <x:c r="K1735" s="65" t="str">
        <x:v>1-0</x:v>
      </x:c>
      <x:c r="L1735" s="65" t="str">
        <x:v>赢</x:v>
      </x:c>
      <x:c r="M1735" s="65" t="str">
        <x:v>输</x:v>
      </x:c>
      <x:c r="N1735" s="67" t="n">
        <x:v>1</x:v>
      </x:c>
      <x:c r="O1735" s="67" t="n">
        <x:v>-1</x:v>
      </x:c>
      <x:c r="P1735" s="67" t="n">
        <x:f>IF(COUNT(N1735:O1735)=0,"",SUM(N1735:O1735))</x:f>
        <x:v>0</x:v>
      </x:c>
      <x:c r="Q1735" s="65"/>
      <x:c r="R1735" s="65" t="str">
        <x:v>FT 1-0；让球推荐 蒂华纳 +0.5 命中；大小推荐 大2.5 未中</x:v>
      </x:c>
    </x:row>
    <x:row r="1736" ht="38" customHeight="1">
      <x:c r="A1736" s="65" t="str">
        <x:f>IF(B1736="","",TEXT(B1736,"yyyy-mm-dd")&amp;"|"&amp;D1736&amp;"|"&amp;E1736)</x:f>
        <x:v>2026-04-04|内卡萨|马萨特兰</x:v>
      </x:c>
      <x:c r="B1736" s="66" t="n">
        <x:v>46116.458333333336</x:v>
      </x:c>
      <x:c r="C1736" s="65" t="str">
        <x:v>墨西哥超（Liga MX，Clausura）</x:v>
      </x:c>
      <x:c r="D1736" s="65" t="str">
        <x:v>内卡萨</x:v>
      </x:c>
      <x:c r="E1736" s="65" t="str">
        <x:v>马萨特兰</x:v>
      </x:c>
      <x:c r="F1736" s="65" t="str">
        <x:v>内卡萨 -0.75</x:v>
      </x:c>
      <x:c r="G1736" s="65" t="str">
        <x:v>大 3.0</x:v>
      </x:c>
      <x:c r="H1736" s="65" t="str">
        <x:v>内卡萨胜且双方进球 小注</x:v>
      </x:c>
      <x:c r="I1736" s="66" t="n">
        <x:v>46116.50519675926</x:v>
      </x:c>
      <x:c r="J1736" s="65" t="str">
        <x:v>已结算</x:v>
      </x:c>
      <x:c r="K1736" s="65" t="str">
        <x:v>2-1</x:v>
      </x:c>
      <x:c r="L1736" s="65" t="str">
        <x:v>赢半</x:v>
      </x:c>
      <x:c r="M1736" s="65" t="str">
        <x:v>走水</x:v>
      </x:c>
      <x:c r="N1736" s="67" t="n">
        <x:v>0.5</x:v>
      </x:c>
      <x:c r="O1736" s="67" t="n">
        <x:v>0</x:v>
      </x:c>
      <x:c r="P1736" s="67" t="n">
        <x:f>IF(COUNT(N1736:O1736)=0,"",SUM(N1736:O1736))</x:f>
        <x:v>0.5</x:v>
      </x:c>
      <x:c r="Q1736" s="65"/>
      <x:c r="R1736" s="65" t="str">
        <x:v>FT 2-1；让球推荐 内卡萨 -0.75 赢半；大小推荐 大3.0 走水</x:v>
      </x:c>
    </x:row>
    <x:row r="1737" ht="38" customHeight="1">
      <x:c r="A1737" s="65" t="str">
        <x:f>IF(B1737="","",TEXT(B1737,"yyyy-mm-dd")&amp;"|"&amp;D1737&amp;"|"&amp;E1737)</x:f>
        <x:v>2026-04-04|巴兰基亚青年（Junior FC）|卡利体育会（Deportivo Cali）</x:v>
      </x:c>
      <x:c r="B1737" s="66" t="n">
        <x:v>46116.395833333336</x:v>
      </x:c>
      <x:c r="C1737" s="65" t="str">
        <x:v>哥伦比亚甲级联赛（Liga BetPlay DIMAYOR）</x:v>
      </x:c>
      <x:c r="D1737" s="65" t="str">
        <x:v>巴兰基亚青年（Junior FC）</x:v>
      </x:c>
      <x:c r="E1737" s="65" t="str">
        <x:v>卡利体育会（Deportivo Cali）</x:v>
      </x:c>
      <x:c r="F1737" s="65" t="str">
        <x:v>巴兰基亚青年（Junior FC） -0.5</x:v>
      </x:c>
      <x:c r="G1737" s="65" t="str">
        <x:v>小 2/2.5</x:v>
      </x:c>
      <x:c r="H1737" s="65" t="str">
        <x:v>巴兰基亚青年胜且零封 小注</x:v>
      </x:c>
      <x:c r="I1737" s="66" t="n">
        <x:v>46116.338530092595</x:v>
      </x:c>
      <x:c r="J1737" s="65" t="str">
        <x:v>已结算</x:v>
      </x:c>
      <x:c r="K1737" s="65" t="str">
        <x:v>1-2</x:v>
      </x:c>
      <x:c r="L1737" s="65" t="str">
        <x:v>输</x:v>
      </x:c>
      <x:c r="M1737" s="65" t="str">
        <x:v>输</x:v>
      </x:c>
      <x:c r="N1737" s="67" t="n">
        <x:v>-1</x:v>
      </x:c>
      <x:c r="O1737" s="67" t="n">
        <x:v>-1</x:v>
      </x:c>
      <x:c r="P1737" s="67" t="n">
        <x:f>IF(COUNT(N1737:O1737)=0,"",SUM(N1737:O1737))</x:f>
        <x:v>-2</x:v>
      </x:c>
      <x:c r="Q1737" s="65"/>
      <x:c r="R1737" s="65" t="str">
        <x:v>FT 1-2；让球推荐 巴兰基亚青年（Junior FC） -0.5 未中；大小推荐 小2/2.5 未中</x:v>
      </x:c>
    </x:row>
    <x:row r="1738" ht="38" customHeight="1">
      <x:c r="A1738" s="65" t="str">
        <x:f>IF(B1738="","",TEXT(B1738,"yyyy-mm-dd")&amp;"|"&amp;D1738&amp;"|"&amp;E1738)</x:f>
        <x:v>2026-04-04|伊拉普阿托|拉巴斯竞技（Atlético La Paz）</x:v>
      </x:c>
      <x:c r="B1738" s="66" t="n">
        <x:v>46116.375</x:v>
      </x:c>
      <x:c r="C1738" s="65" t="str">
        <x:v>墨西哥甲级扩展联赛（Liga de Expansión MX）</x:v>
      </x:c>
      <x:c r="D1738" s="65" t="str">
        <x:v>伊拉普阿托</x:v>
      </x:c>
      <x:c r="E1738" s="65" t="str">
        <x:v>拉巴斯竞技（Atlético La Paz）</x:v>
      </x:c>
      <x:c r="F1738" s="65" t="str">
        <x:v>伊拉普阿托 -0.5</x:v>
      </x:c>
      <x:c r="G1738" s="65" t="str">
        <x:v>大 3.0</x:v>
      </x:c>
      <x:c r="H1738" s="65" t="str">
        <x:v>双方进球 是 小注</x:v>
      </x:c>
      <x:c r="I1738" s="66" t="n">
        <x:v>46116.34271990741</x:v>
      </x:c>
      <x:c r="J1738" s="65" t="str">
        <x:v>已结算</x:v>
      </x:c>
      <x:c r="K1738" s="65" t="str">
        <x:v>3-1</x:v>
      </x:c>
      <x:c r="L1738" s="65" t="str">
        <x:v>赢</x:v>
      </x:c>
      <x:c r="M1738" s="65" t="str">
        <x:v>赢</x:v>
      </x:c>
      <x:c r="N1738" s="67" t="n">
        <x:v>1</x:v>
      </x:c>
      <x:c r="O1738" s="67" t="n">
        <x:v>1</x:v>
      </x:c>
      <x:c r="P1738" s="67" t="n">
        <x:f>IF(COUNT(N1738:O1738)=0,"",SUM(N1738:O1738))</x:f>
        <x:v>2</x:v>
      </x:c>
      <x:c r="Q1738" s="65"/>
      <x:c r="R1738" s="65" t="str">
        <x:v>FT 3-1；让球推荐 伊拉普阿托 -0.5 命中；大小推荐 大3.0 命中</x:v>
      </x:c>
    </x:row>
    <x:row r="1739" ht="38" customHeight="1">
      <x:c r="A1739" s="65" t="str">
        <x:f>IF(B1739="","",TEXT(B1739,"yyyy-mm-dd")&amp;"|"&amp;D1739&amp;"|"&amp;E1739)</x:f>
        <x:v>2026-04-04|普布埃拉|华雷斯</x:v>
      </x:c>
      <x:c r="B1739" s="66" t="n">
        <x:v>46116.375</x:v>
      </x:c>
      <x:c r="C1739" s="65" t="str">
        <x:v>墨西哥超（Liga MX，Clausura）</x:v>
      </x:c>
      <x:c r="D1739" s="65" t="str">
        <x:v>普布埃拉</x:v>
      </x:c>
      <x:c r="E1739" s="65" t="str">
        <x:v>华雷斯</x:v>
      </x:c>
      <x:c r="F1739" s="65" t="str">
        <x:v>华雷斯 -0.25</x:v>
      </x:c>
      <x:c r="G1739" s="65" t="str">
        <x:v>大 2.5</x:v>
      </x:c>
      <x:c r="H1739" s="65" t="str">
        <x:v>华雷斯胜且双方进球 小注</x:v>
      </x:c>
      <x:c r="I1739" s="66" t="n">
        <x:v>46116.33553240741</x:v>
      </x:c>
      <x:c r="J1739" s="65" t="str">
        <x:v>已结算</x:v>
      </x:c>
      <x:c r="K1739" s="65" t="str">
        <x:v>1-1</x:v>
      </x:c>
      <x:c r="L1739" s="65" t="str">
        <x:v>输半</x:v>
      </x:c>
      <x:c r="M1739" s="65" t="str">
        <x:v>输</x:v>
      </x:c>
      <x:c r="N1739" s="67" t="n">
        <x:v>-0.5</x:v>
      </x:c>
      <x:c r="O1739" s="67" t="n">
        <x:v>-1</x:v>
      </x:c>
      <x:c r="P1739" s="67" t="n">
        <x:f>IF(COUNT(N1739:O1739)=0,"",SUM(N1739:O1739))</x:f>
        <x:v>-1.5</x:v>
      </x:c>
      <x:c r="Q1739" s="65"/>
      <x:c r="R1739" s="65" t="str">
        <x:v>FT 1-1；让球推荐 华雷斯 -0.25 输半；大小推荐 大2.5 未中</x:v>
      </x:c>
    </x:row>
    <x:row r="1740" ht="38" customHeight="1">
      <x:c r="A1740" s="65" t="str">
        <x:f>IF(B1740="","",TEXT(B1740,"yyyy-mm-dd")&amp;"|"&amp;D1740&amp;"|"&amp;E1740)</x:f>
        <x:v>2026-04-04|布鲁明|瓜比拉</x:v>
      </x:c>
      <x:c r="B1740" s="66" t="n">
        <x:v>46116.3125</x:v>
      </x:c>
      <x:c r="C1740" s="65" t="str">
        <x:v>玻利维亚甲级联赛</x:v>
      </x:c>
      <x:c r="D1740" s="65" t="str">
        <x:v>布鲁明</x:v>
      </x:c>
      <x:c r="E1740" s="65" t="str">
        <x:v>瓜比拉</x:v>
      </x:c>
      <x:c r="F1740" s="65" t="str">
        <x:v>布鲁明 -0.75</x:v>
      </x:c>
      <x:c r="G1740" s="65" t="str">
        <x:v>大 3.0</x:v>
      </x:c>
      <x:c r="H1740" s="65" t="str">
        <x:v>布鲁明胜且双方进球 小注</x:v>
      </x:c>
      <x:c r="I1740" s="66" t="n">
        <x:v>46116.27494212963</x:v>
      </x:c>
      <x:c r="J1740" s="65" t="str">
        <x:v>已结算</x:v>
      </x:c>
      <x:c r="K1740" s="65" t="str">
        <x:v>5-0</x:v>
      </x:c>
      <x:c r="L1740" s="65" t="str">
        <x:v>赢</x:v>
      </x:c>
      <x:c r="M1740" s="65" t="str">
        <x:v>赢</x:v>
      </x:c>
      <x:c r="N1740" s="67" t="n">
        <x:v>1</x:v>
      </x:c>
      <x:c r="O1740" s="67" t="n">
        <x:v>1</x:v>
      </x:c>
      <x:c r="P1740" s="67" t="n">
        <x:f>IF(COUNT(N1740:O1740)=0,"",SUM(N1740:O1740))</x:f>
        <x:v>2</x:v>
      </x:c>
      <x:c r="Q1740" s="65"/>
      <x:c r="R1740" s="65" t="str">
        <x:v>FT 5-0；让球推荐 布鲁明 -0.75 命中；大小推荐 大3.0 命中</x:v>
      </x:c>
    </x:row>
    <x:row r="1741" ht="38" customHeight="1">
      <x:c r="A1741" s="65" t="str">
        <x:f>IF(B1741="","",TEXT(B1741,"yyyy-mm-dd")&amp;"|"&amp;D1741&amp;"|"&amp;E1741)</x:f>
        <x:v>2026-04-04|福塔雷萨（Fortaleza CEIF）|波哥大国际</x:v>
      </x:c>
      <x:c r="B1741" s="66" t="n">
        <x:v>46116.305555555555</x:v>
      </x:c>
      <x:c r="C1741" s="65" t="str">
        <x:v>哥伦比亚甲级联赛（Liga BetPlay DIMAYOR）</x:v>
      </x:c>
      <x:c r="D1741" s="65" t="str">
        <x:v>福塔雷萨（Fortaleza CEIF）</x:v>
      </x:c>
      <x:c r="E1741" s="65" t="str">
        <x:v>波哥大国际</x:v>
      </x:c>
      <x:c r="F1741" s="65" t="str">
        <x:v>福塔雷萨（Fortaleza CEIF） -0.25</x:v>
      </x:c>
      <x:c r="G1741" s="65" t="str">
        <x:v>小 2/2.5</x:v>
      </x:c>
      <x:c r="H1741" s="65" t="str">
        <x:v>福塔雷萨先入球 小注</x:v>
      </x:c>
      <x:c r="I1741" s="66" t="n">
        <x:v>46116.27201388889</x:v>
      </x:c>
      <x:c r="J1741" s="65" t="str">
        <x:v>已结算</x:v>
      </x:c>
      <x:c r="K1741" s="65" t="str">
        <x:v>1-1</x:v>
      </x:c>
      <x:c r="L1741" s="65" t="str">
        <x:v>输半</x:v>
      </x:c>
      <x:c r="M1741" s="65" t="str">
        <x:v>赢半</x:v>
      </x:c>
      <x:c r="N1741" s="67" t="n">
        <x:v>-0.5</x:v>
      </x:c>
      <x:c r="O1741" s="67" t="n">
        <x:v>0.5</x:v>
      </x:c>
      <x:c r="P1741" s="67" t="n">
        <x:f>IF(COUNT(N1741:O1741)=0,"",SUM(N1741:O1741))</x:f>
        <x:v>0</x:v>
      </x:c>
      <x:c r="Q1741" s="65"/>
      <x:c r="R1741" s="65" t="str">
        <x:v>FT 1-1；让球推荐 福塔雷萨（Fortaleza CEIF） -0.25 输半；大小推荐 小2/2.5 赢半</x:v>
      </x:c>
    </x:row>
    <x:row r="1742" ht="38" customHeight="1">
      <x:c r="A1742" s="65" t="str">
        <x:f>IF(B1742="","",TEXT(B1742,"yyyy-mm-dd")&amp;"|"&amp;D1742&amp;"|"&amp;E1742)</x:f>
        <x:v>2026-04-04|特拉斯卡拉|多拉多斯</x:v>
      </x:c>
      <x:c r="B1742" s="66" t="n">
        <x:v>46116.291666666664</x:v>
      </x:c>
      <x:c r="C1742" s="65" t="str">
        <x:v>墨西哥甲级扩展联赛（Liga de Expansión MX）</x:v>
      </x:c>
      <x:c r="D1742" s="65" t="str">
        <x:v>特拉斯卡拉</x:v>
      </x:c>
      <x:c r="E1742" s="65" t="str">
        <x:v>多拉多斯</x:v>
      </x:c>
      <x:c r="F1742" s="65" t="str">
        <x:v>特拉斯卡拉 -0.75</x:v>
      </x:c>
      <x:c r="G1742" s="65" t="str">
        <x:v>小 2.5</x:v>
      </x:c>
      <x:c r="H1742" s="65" t="str">
        <x:v>特拉斯卡拉胜且零封 小注</x:v>
      </x:c>
      <x:c r="I1742" s="66" t="n">
        <x:v>46116.277974537035</x:v>
      </x:c>
      <x:c r="J1742" s="65" t="str">
        <x:v>已结算</x:v>
      </x:c>
      <x:c r="K1742" s="65" t="str">
        <x:v>2-0</x:v>
      </x:c>
      <x:c r="L1742" s="65" t="str">
        <x:v>赢</x:v>
      </x:c>
      <x:c r="M1742" s="65" t="str">
        <x:v>赢</x:v>
      </x:c>
      <x:c r="N1742" s="67" t="n">
        <x:v>1</x:v>
      </x:c>
      <x:c r="O1742" s="67" t="n">
        <x:v>1</x:v>
      </x:c>
      <x:c r="P1742" s="67" t="n">
        <x:f>IF(COUNT(N1742:O1742)=0,"",SUM(N1742:O1742))</x:f>
        <x:v>2</x:v>
      </x:c>
      <x:c r="Q1742" s="65"/>
      <x:c r="R1742" s="65" t="str">
        <x:v>FT 2-0；让球推荐 特拉斯卡拉 -0.75 命中；大小推荐 小2.5 命中</x:v>
      </x:c>
    </x:row>
    <x:row r="1743" ht="38" customHeight="1">
      <x:c r="A1743" s="65" t="str">
        <x:f>IF(B1743="","",TEXT(B1743,"yyyy-mm-dd")&amp;"|"&amp;D1743&amp;"|"&amp;E1743)</x:f>
        <x:v>2026-04-04|圣洛伦索|拉普拉塔大学生</x:v>
      </x:c>
      <x:c r="B1743" s="66" t="n">
        <x:v>46116.270833333336</x:v>
      </x:c>
      <x:c r="C1743" s="65" t="str">
        <x:v>阿根廷职业联赛（Liga Profesional·Apertura）</x:v>
      </x:c>
      <x:c r="D1743" s="65" t="str">
        <x:v>圣洛伦索</x:v>
      </x:c>
      <x:c r="E1743" s="65" t="str">
        <x:v>拉普拉塔大学生</x:v>
      </x:c>
      <x:c r="F1743" s="65" t="str">
        <x:v>拉普拉塔大学生 0（平手盘）</x:v>
      </x:c>
      <x:c r="G1743" s="65" t="str">
        <x:v>小2/2.25</x:v>
      </x:c>
      <x:c r="H1743" s="65" t="str">
        <x:v>可选：拉普拉塔大学生 -0.25（仅限临场水位≥0.95时小注）</x:v>
      </x:c>
      <x:c r="I1743" s="66" t="n">
        <x:v>46116.25958333333</x:v>
      </x:c>
      <x:c r="J1743" s="65" t="str">
        <x:v>已结算</x:v>
      </x:c>
      <x:c r="K1743" s="65" t="str">
        <x:v>1-0</x:v>
      </x:c>
      <x:c r="L1743" s="65" t="str">
        <x:v>输</x:v>
      </x:c>
      <x:c r="M1743" s="65" t="str">
        <x:v>赢</x:v>
      </x:c>
      <x:c r="N1743" s="67" t="n">
        <x:v>-1</x:v>
      </x:c>
      <x:c r="O1743" s="67" t="n">
        <x:v>1</x:v>
      </x:c>
      <x:c r="P1743" s="67" t="n">
        <x:f>IF(COUNT(N1743:O1743)=0,"",SUM(N1743:O1743))</x:f>
        <x:v>0</x:v>
      </x:c>
      <x:c r="Q1743" s="65"/>
      <x:c r="R1743" s="65" t="str">
        <x:v>FT 1-0；让球推荐 拉普拉塔大学生 0（平手盘） 失利；大小推荐 小2/2.25 命中</x:v>
      </x:c>
    </x:row>
    <x:row r="1744" ht="38" customHeight="1">
      <x:c r="A1744" s="65" t="str">
        <x:f>IF(B1744="","",TEXT(B1744,"yyyy-mm-dd")&amp;"|"&amp;D1744&amp;"|"&amp;E1744)</x:f>
        <x:v>2026-04-03|米德尔斯堡|米尔沃尔</x:v>
      </x:c>
      <x:c r="B1744" s="66" t="n">
        <x:v>46115.916666666664</x:v>
      </x:c>
      <x:c r="C1744" s="65" t="str">
        <x:v>英格兰冠军联赛（英冠）</x:v>
      </x:c>
      <x:c r="D1744" s="65" t="str">
        <x:v>米德尔斯堡</x:v>
      </x:c>
      <x:c r="E1744" s="65" t="str">
        <x:v>米尔沃尔</x:v>
      </x:c>
      <x:c r="F1744" s="65" t="str">
        <x:v>米德尔斯堡 -0.25</x:v>
      </x:c>
      <x:c r="G1744" s="65" t="str">
        <x:v>小2.5</x:v>
      </x:c>
      <x:c r="H1744" s="65" t="str">
        <x:v>上半场平</x:v>
      </x:c>
      <x:c r="I1744" s="66" t="n">
        <x:v>46115.90872685185</x:v>
      </x:c>
      <x:c r="J1744" s="65" t="str">
        <x:v>已结算</x:v>
      </x:c>
      <x:c r="K1744" s="65" t="str">
        <x:v>1-2</x:v>
      </x:c>
      <x:c r="L1744" s="65" t="str">
        <x:v>输</x:v>
      </x:c>
      <x:c r="M1744" s="65" t="str">
        <x:v>输</x:v>
      </x:c>
      <x:c r="N1744" s="67" t="n">
        <x:v>-1</x:v>
      </x:c>
      <x:c r="O1744" s="67" t="n">
        <x:v>-1</x:v>
      </x:c>
      <x:c r="P1744" s="67" t="n">
        <x:f>IF(COUNT(N1744:O1744)=0,"",SUM(N1744:O1744))</x:f>
        <x:v>-2</x:v>
      </x:c>
      <x:c r="Q1744" s="65"/>
      <x:c r="R1744" s="65" t="str">
        <x:v>FT 1-2；让球推荐 米德尔斯堡 -0.25 失利；大小推荐 小2.5 未中</x:v>
      </x:c>
    </x:row>
    <x:row r="1745" ht="38" customHeight="1">
      <x:c r="A1745" s="65" t="str">
        <x:f>IF(B1745="","",TEXT(B1745,"yyyy-mm-dd")&amp;"|"&amp;D1745&amp;"|"&amp;E1745)</x:f>
        <x:v>2026-04-03|谢菲尔德联|斯旺西</x:v>
      </x:c>
      <x:c r="B1745" s="66" t="n">
        <x:v>46115.916666666664</x:v>
      </x:c>
      <x:c r="C1745" s="65" t="str">
        <x:v>英格兰冠军联赛（英冠）</x:v>
      </x:c>
      <x:c r="D1745" s="65" t="str">
        <x:v>谢菲尔德联</x:v>
      </x:c>
      <x:c r="E1745" s="65" t="str">
        <x:v>斯旺西</x:v>
      </x:c>
      <x:c r="F1745" s="65" t="str">
        <x:v>谢菲尔德联 -0.5（1.83）</x:v>
      </x:c>
      <x:c r="G1745" s="65" t="str">
        <x:v>小 2.5（1.93）</x:v>
      </x:c>
      <x:c r="H1745" s="65" t="str">
        <x:v>两队均不进球（BTTS No，2.02）</x:v>
      </x:c>
      <x:c r="I1745" s="66" t="n">
        <x:v>46115.86232638889</x:v>
      </x:c>
      <x:c r="J1745" s="65" t="str">
        <x:v>已结算</x:v>
      </x:c>
      <x:c r="K1745" s="65" t="str">
        <x:v>3-3</x:v>
      </x:c>
      <x:c r="L1745" s="65" t="str">
        <x:v>输</x:v>
      </x:c>
      <x:c r="M1745" s="65" t="str">
        <x:v>输</x:v>
      </x:c>
      <x:c r="N1745" s="67" t="n">
        <x:v>-1</x:v>
      </x:c>
      <x:c r="O1745" s="67" t="n">
        <x:v>-1</x:v>
      </x:c>
      <x:c r="P1745" s="67" t="n">
        <x:f>IF(COUNT(N1745:O1745)=0,"",SUM(N1745:O1745))</x:f>
        <x:v>-2</x:v>
      </x:c>
      <x:c r="Q1745" s="65"/>
      <x:c r="R1745" s="65" t="str">
        <x:v>FT 3-3；让球推荐 谢菲尔德联 -0.5 未打出；大小推荐 小2.5 未中</x:v>
      </x:c>
    </x:row>
    <x:row r="1746" ht="24" customHeight="1">
      <x:c r="A1746" s="65" t="str">
        <x:f>IF(B1746="","",TEXT(B1746,"yyyy-mm-dd")&amp;"|"&amp;D1746&amp;"|"&amp;E1746)</x:f>
        <x:v>2026-04-03|查尔顿竞技|布里斯托尔城</x:v>
      </x:c>
      <x:c r="B1746" s="66" t="n">
        <x:v>46115.916666666664</x:v>
      </x:c>
      <x:c r="C1746" s="65" t="str">
        <x:v>英格兰冠军联赛（英冠）</x:v>
      </x:c>
      <x:c r="D1746" s="65" t="str">
        <x:v>查尔顿竞技</x:v>
      </x:c>
      <x:c r="E1746" s="65" t="str">
        <x:v>布里斯托尔城</x:v>
      </x:c>
      <x:c r="F1746" s="65" t="str">
        <x:v>查尔顿竞技 0（1.80）</x:v>
      </x:c>
      <x:c r="G1746" s="65" t="str">
        <x:v>小 2.25（1.92）</x:v>
      </x:c>
      <x:c r="H1746" s="65" t="str">
        <x:v>两队均不进球（BTTS No，1.85）</x:v>
      </x:c>
      <x:c r="I1746" s="66" t="n">
        <x:v>46115.859293981484</x:v>
      </x:c>
      <x:c r="J1746" s="65" t="str">
        <x:v>已结算</x:v>
      </x:c>
      <x:c r="K1746" s="65" t="str">
        <x:v>1-2</x:v>
      </x:c>
      <x:c r="L1746" s="65" t="str">
        <x:v>输</x:v>
      </x:c>
      <x:c r="M1746" s="65" t="str">
        <x:v>输</x:v>
      </x:c>
      <x:c r="N1746" s="67" t="n">
        <x:v>-1</x:v>
      </x:c>
      <x:c r="O1746" s="67" t="n">
        <x:v>-1</x:v>
      </x:c>
      <x:c r="P1746" s="67" t="n">
        <x:f>IF(COUNT(N1746:O1746)=0,"",SUM(N1746:O1746))</x:f>
        <x:v>-2</x:v>
      </x:c>
      <x:c r="Q1746" s="65"/>
      <x:c r="R1746" s="65" t="str">
        <x:v>FT 1-2；让球推荐 查尔顿竞技 0 失利；大小推荐 小2.25 未中</x:v>
      </x:c>
    </x:row>
    <x:row r="1747" ht="24" customHeight="1">
      <x:c r="A1747" s="65" t="str">
        <x:f>IF(B1747="","",TEXT(B1747,"yyyy-mm-dd")&amp;"|"&amp;D1747&amp;"|"&amp;E1747)</x:f>
        <x:v>2026-04-03|伯明翰城|布莱克本流浪者</x:v>
      </x:c>
      <x:c r="B1747" s="66" t="n">
        <x:v>46115.916666666664</x:v>
      </x:c>
      <x:c r="C1747" s="65" t="str">
        <x:v>英格兰冠军联赛（英冠）</x:v>
      </x:c>
      <x:c r="D1747" s="65" t="str">
        <x:v>伯明翰城</x:v>
      </x:c>
      <x:c r="E1747" s="65" t="str">
        <x:v>布莱克本流浪者</x:v>
      </x:c>
      <x:c r="F1747" s="65" t="str">
        <x:v>伯明翰城 -0.5（1.82）</x:v>
      </x:c>
      <x:c r="G1747" s="65" t="str">
        <x:v>小 2.5（2.05）</x:v>
      </x:c>
      <x:c r="H1747" s="65" t="str">
        <x:v>两队均不进球（BTTS No，1.82）</x:v>
      </x:c>
      <x:c r="I1747" s="66" t="n">
        <x:v>46115.85616898148</x:v>
      </x:c>
      <x:c r="J1747" s="65" t="str">
        <x:v>已结算</x:v>
      </x:c>
      <x:c r="K1747" s="65" t="str">
        <x:v>0-1</x:v>
      </x:c>
      <x:c r="L1747" s="65" t="str">
        <x:v>输</x:v>
      </x:c>
      <x:c r="M1747" s="65" t="str">
        <x:v>赢</x:v>
      </x:c>
      <x:c r="N1747" s="67" t="n">
        <x:v>-1</x:v>
      </x:c>
      <x:c r="O1747" s="67" t="n">
        <x:v>1</x:v>
      </x:c>
      <x:c r="P1747" s="67" t="n">
        <x:f>IF(COUNT(N1747:O1747)=0,"",SUM(N1747:O1747))</x:f>
        <x:v>0</x:v>
      </x:c>
      <x:c r="Q1747" s="65"/>
      <x:c r="R1747" s="65" t="str">
        <x:v>FT 0-1；让球推荐 伯明翰城 -0.5 负；大小推荐 小2.5 命中</x:v>
      </x:c>
    </x:row>
    <x:row r="1748" ht="24" customHeight="1">
      <x:c r="A1748" s="65" t="str">
        <x:f>IF(B1748="","",TEXT(B1748,"yyyy-mm-dd")&amp;"|"&amp;D1748&amp;"|"&amp;E1748)</x:f>
        <x:v>2026-04-03|旁遮普FC|莫哈末丹SC</x:v>
      </x:c>
      <x:c r="B1748" s="66" t="n">
        <x:v>46115.916666666664</x:v>
      </x:c>
      <x:c r="C1748" s="65" t="str">
        <x:v>印度超级联赛（Indian Super League）</x:v>
      </x:c>
      <x:c r="D1748" s="65" t="str">
        <x:v>旁遮普FC</x:v>
      </x:c>
      <x:c r="E1748" s="65" t="str">
        <x:v>莫哈末丹SC</x:v>
      </x:c>
      <x:c r="F1748" s="65" t="str">
        <x:v>莫哈末丹SC +2.5（1.82）</x:v>
      </x:c>
      <x:c r="G1748" s="65" t="str">
        <x:v>小 3.5（1.87）</x:v>
      </x:c>
      <x:c r="H1748" s="65" t="str">
        <x:v>波胆 3比0（5.80）</x:v>
      </x:c>
      <x:c r="I1748" s="66" t="n">
        <x:v>46115.84885416667</x:v>
      </x:c>
      <x:c r="J1748" s="65" t="str">
        <x:v>已结算</x:v>
      </x:c>
      <x:c r="K1748" s="65" t="str">
        <x:v>2-1</x:v>
      </x:c>
      <x:c r="L1748" s="65" t="str">
        <x:v>赢</x:v>
      </x:c>
      <x:c r="M1748" s="65" t="str">
        <x:v>赢</x:v>
      </x:c>
      <x:c r="N1748" s="67" t="n">
        <x:v>1</x:v>
      </x:c>
      <x:c r="O1748" s="67" t="n">
        <x:v>1</x:v>
      </x:c>
      <x:c r="P1748" s="67" t="n">
        <x:f>IF(COUNT(N1748:O1748)=0,"",SUM(N1748:O1748))</x:f>
        <x:v>2</x:v>
      </x:c>
      <x:c r="Q1748" s="65"/>
      <x:c r="R1748" s="65" t="str">
        <x:v>FT 2-1；让球推荐 莫哈末丹SC +2.5 命中；大小推荐 小3.5 命中</x:v>
      </x:c>
    </x:row>
    <x:row r="1749" ht="24" customHeight="1">
      <x:c r="A1749" s="65" t="str">
        <x:f>IF(B1749="","",TEXT(B1749,"yyyy-mm-dd")&amp;"|"&amp;D1749&amp;"|"&amp;E1749)</x:f>
        <x:v>2026-04-03|德瓦联|永亚卡达（PSIM Yogyakarta）</x:v>
      </x:c>
      <x:c r="B1749" s="66" t="n">
        <x:v>46115.833333333336</x:v>
      </x:c>
      <x:c r="C1749" s="65" t="str">
        <x:v>印度尼西亚超级联赛（印尼超/Liga 1 Indonesia）</x:v>
      </x:c>
      <x:c r="D1749" s="65" t="str">
        <x:v>德瓦联</x:v>
      </x:c>
      <x:c r="E1749" s="65" t="str">
        <x:v>永亚卡达（PSIM Yogyakarta）</x:v>
      </x:c>
      <x:c r="F1749" s="65" t="str">
        <x:v>永亚卡达（PSIM Yogyakarta） +0.5/1（0.90）</x:v>
      </x:c>
      <x:c r="G1749" s="65" t="str">
        <x:v>小 2.5/3（0.90）</x:v>
      </x:c>
      <x:c r="H1749" s="65" t="str">
        <x:v>永亚卡达（PSIM Yogyakarta） 不败（X2，1.95）</x:v>
      </x:c>
      <x:c r="I1749" s="66" t="n">
        <x:v>46115.79222222222</x:v>
      </x:c>
      <x:c r="J1749" s="65" t="str">
        <x:v>已结算</x:v>
      </x:c>
      <x:c r="K1749" s="65" t="str">
        <x:v>1-0</x:v>
      </x:c>
      <x:c r="L1749" s="65" t="str">
        <x:v>输半</x:v>
      </x:c>
      <x:c r="M1749" s="65" t="str">
        <x:v>赢</x:v>
      </x:c>
      <x:c r="N1749" s="67" t="n">
        <x:v>-0.5</x:v>
      </x:c>
      <x:c r="O1749" s="67" t="n">
        <x:v>1</x:v>
      </x:c>
      <x:c r="P1749" s="67" t="n">
        <x:f>IF(COUNT(N1749:O1749)=0,"",SUM(N1749:O1749))</x:f>
        <x:v>0.5</x:v>
      </x:c>
      <x:c r="Q1749" s="65"/>
      <x:c r="R1749" s="65" t="str">
        <x:v>FT 1-0；让球推荐 永亚卡达（PSIM Yogyakarta） +0.5/1（+0.75） 输半；大小推荐 小2.5/3 命中</x:v>
      </x:c>
    </x:row>
    <x:row r="1750" ht="24" customHeight="1">
      <x:c r="A1750" s="65" t="str">
        <x:f>IF(B1750="","",TEXT(B1750,"yyyy-mm-dd")&amp;"|"&amp;D1750&amp;"|"&amp;E1750)</x:f>
        <x:v>2026-04-03|成都蓉城|青岛西海岸</x:v>
      </x:c>
      <x:c r="B1750" s="66" t="n">
        <x:v>46115.81597222222</x:v>
      </x:c>
      <x:c r="C1750" s="65" t="str">
        <x:v>中国足球超级联赛</x:v>
      </x:c>
      <x:c r="D1750" s="65" t="str">
        <x:v>成都蓉城</x:v>
      </x:c>
      <x:c r="E1750" s="65" t="str">
        <x:v>青岛西海岸</x:v>
      </x:c>
      <x:c r="F1750" s="65" t="str">
        <x:v>青岛西海岸 +1.75（1.80）</x:v>
      </x:c>
      <x:c r="G1750" s="65" t="str">
        <x:v>小 3.0（1.90）</x:v>
      </x:c>
      <x:c r="H1750" s="65" t="str">
        <x:v>青岛西海岸 +2.0（2.04）</x:v>
      </x:c>
      <x:c r="I1750" s="66" t="n">
        <x:v>46115.79752314815</x:v>
      </x:c>
      <x:c r="J1750" s="65" t="str">
        <x:v>已结算</x:v>
      </x:c>
      <x:c r="K1750" s="65" t="str">
        <x:v>5-1</x:v>
      </x:c>
      <x:c r="L1750" s="65" t="str">
        <x:v>输</x:v>
      </x:c>
      <x:c r="M1750" s="65" t="str">
        <x:v>输</x:v>
      </x:c>
      <x:c r="N1750" s="67" t="n">
        <x:v>-1</x:v>
      </x:c>
      <x:c r="O1750" s="67" t="n">
        <x:v>-1</x:v>
      </x:c>
      <x:c r="P1750" s="67" t="n">
        <x:f>IF(COUNT(N1750:O1750)=0,"",SUM(N1750:O1750))</x:f>
        <x:v>-2</x:v>
      </x:c>
      <x:c r="Q1750" s="65"/>
      <x:c r="R1750" s="65" t="str">
        <x:v>FT 5-1；让球推荐 青岛西海岸 +1.75 未中；大小推荐 小3.0 未中</x:v>
      </x:c>
    </x:row>
    <x:row r="1751" ht="24" customHeight="1">
      <x:c r="A1751" s="65" t="str">
        <x:f>IF(B1751="","",TEXT(B1751,"yyyy-mm-dd")&amp;"|"&amp;D1751&amp;"|"&amp;E1751)</x:f>
        <x:v>2026-04-03|阿雷马|马鲁特联</x:v>
      </x:c>
      <x:c r="B1751" s="66" t="n">
        <x:v>46115.6875</x:v>
      </x:c>
      <x:c r="C1751" s="65" t="str">
        <x:v>印度尼西亚超级联赛（印尼超/Liga 1 Indonesia）</x:v>
      </x:c>
      <x:c r="D1751" s="65" t="str">
        <x:v>阿雷马</x:v>
      </x:c>
      <x:c r="E1751" s="65" t="str">
        <x:v>马鲁特联</x:v>
      </x:c>
      <x:c r="F1751" s="65" t="str">
        <x:v>马鲁特联 -0/0.5（0.83）</x:v>
      </x:c>
      <x:c r="G1751" s="65" t="str">
        <x:v>大 2.5（0.83）</x:v>
      </x:c>
      <x:c r="H1751" s="65" t="str">
        <x:v>马鲁特联球队大 1.5（1.98）</x:v>
      </x:c>
      <x:c r="I1751" s="66" t="n">
        <x:v>46115.69185185185</x:v>
      </x:c>
      <x:c r="J1751" s="65" t="str">
        <x:v>已结算</x:v>
      </x:c>
      <x:c r="K1751" s="65" t="str">
        <x:v>1-1</x:v>
      </x:c>
      <x:c r="L1751" s="65" t="str">
        <x:v>输半</x:v>
      </x:c>
      <x:c r="M1751" s="65" t="str">
        <x:v>输</x:v>
      </x:c>
      <x:c r="N1751" s="67" t="n">
        <x:v>-0.5</x:v>
      </x:c>
      <x:c r="O1751" s="67" t="n">
        <x:v>-1</x:v>
      </x:c>
      <x:c r="P1751" s="67" t="n">
        <x:f>IF(COUNT(N1751:O1751)=0,"",SUM(N1751:O1751))</x:f>
        <x:v>-1.5</x:v>
      </x:c>
      <x:c r="Q1751" s="65"/>
      <x:c r="R1751" s="65" t="str">
        <x:v>FT 1-1；让球推荐 马鲁特联 -0/0.5（-0.25） 输半；大小推荐 大2.5 未中</x:v>
      </x:c>
    </x:row>
    <x:row r="1752" ht="24" customHeight="1">
      <x:c r="A1752" s="65" t="str">
        <x:f>IF(B1752="","",TEXT(B1752,"yyyy-mm-dd")&amp;"|"&amp;D1752&amp;"|"&amp;E1752)</x:f>
        <x:v>2026-04-03|APIA莱卡特老虎|西悉尼流浪者青年队</x:v>
      </x:c>
      <x:c r="B1752" s="66" t="n">
        <x:v>46115.583333333336</x:v>
      </x:c>
      <x:c r="C1752" s="65" t="str">
        <x:v>澳大利亚 维多利亚州超级联赛1（VPL1）</x:v>
      </x:c>
      <x:c r="D1752" s="65" t="str">
        <x:v>APIA莱卡特老虎</x:v>
      </x:c>
      <x:c r="E1752" s="65" t="str">
        <x:v>西悉尼流浪者青年队</x:v>
      </x:c>
      <x:c r="F1752" s="65" t="str">
        <x:v>APIA莱卡特老虎 -1.5</x:v>
      </x:c>
      <x:c r="G1752" s="65" t="str">
        <x:v>大3.5</x:v>
      </x:c>
      <x:c r="H1752" s="65" t="str">
        <x:v>双方进球 是</x:v>
      </x:c>
      <x:c r="I1752" s="66" t="n">
        <x:v>46115.48811342593</x:v>
      </x:c>
      <x:c r="J1752" s="65" t="str">
        <x:v>已结算</x:v>
      </x:c>
      <x:c r="K1752" s="65"/>
      <x:c r="L1752" s="65" t="str">
        <x:v>赢</x:v>
      </x:c>
      <x:c r="M1752" s="65" t="str">
        <x:v>赢</x:v>
      </x:c>
      <x:c r="N1752" s="67" t="n">
        <x:v>1</x:v>
      </x:c>
      <x:c r="O1752" s="67" t="n">
        <x:v>1</x:v>
      </x:c>
      <x:c r="P1752" s="67" t="n">
        <x:f>IF(COUNT(N1752:O1752)=0,"",SUM(N1752:O1752))</x:f>
        <x:v>2</x:v>
      </x:c>
      <x:c r="Q1752" s="65"/>
      <x:c r="R1752" s="65" t="str">
        <x:v>比分4-1；让球 APIA莱卡特老虎 -1.5赢，大小 大3.5赢</x:v>
      </x:c>
    </x:row>
    <x:row r="1753" ht="24" customHeight="1">
      <x:c r="A1753" s="65" t="str">
        <x:f>IF(B1753="","",TEXT(B1753,"yyyy-mm-dd")&amp;"|"&amp;D1753&amp;"|"&amp;E1753)</x:f>
        <x:v>2026-04-03|云斯卡尔达斯|麦德林独立</x:v>
      </x:c>
      <x:c r="B1753" s="66" t="n">
        <x:v>46115.395833333336</x:v>
      </x:c>
      <x:c r="C1753" s="65" t="str">
        <x:v>哥伦比亚甲级联赛（Liga BetPlay DIMAYOR）</x:v>
      </x:c>
      <x:c r="D1753" s="65" t="str">
        <x:v>云斯卡尔达斯</x:v>
      </x:c>
      <x:c r="E1753" s="65" t="str">
        <x:v>麦德林独立</x:v>
      </x:c>
      <x:c r="F1753" s="65" t="str">
        <x:v>云斯卡尔达斯 -0.25</x:v>
      </x:c>
      <x:c r="G1753" s="65" t="str">
        <x:v>大2.5</x:v>
      </x:c>
      <x:c r="H1753" s="65" t="str">
        <x:v>云斯卡尔达斯上半场进球</x:v>
      </x:c>
      <x:c r="I1753" s="66" t="n">
        <x:v>46115.394108796296</x:v>
      </x:c>
      <x:c r="J1753" s="65" t="str">
        <x:v>已结算</x:v>
      </x:c>
      <x:c r="K1753" s="65"/>
      <x:c r="L1753" s="65" t="str">
        <x:v>输半</x:v>
      </x:c>
      <x:c r="M1753" s="65" t="str">
        <x:v>输</x:v>
      </x:c>
      <x:c r="N1753" s="67" t="n">
        <x:v>-0.5</x:v>
      </x:c>
      <x:c r="O1753" s="67" t="n">
        <x:v>-1</x:v>
      </x:c>
      <x:c r="P1753" s="67" t="n">
        <x:f>IF(COUNT(N1753:O1753)=0,"",SUM(N1753:O1753))</x:f>
        <x:v>-1.5</x:v>
      </x:c>
      <x:c r="Q1753" s="65"/>
      <x:c r="R1753" s="65" t="str">
        <x:v>比分1-1；让球 云斯卡尔达斯 -0.25输半，大小 大2.5输</x:v>
      </x:c>
    </x:row>
    <x:row r="1754" ht="24" customHeight="1">
      <x:c r="A1754" s="65" t="str">
        <x:f>IF(B1754="","",TEXT(B1754,"yyyy-mm-dd")&amp;"|"&amp;D1754&amp;"|"&amp;E1754)</x:f>
        <x:v>2026-04-03|科尔多巴老虎（Jaguares de Córdoba）|百万富翁</x:v>
      </x:c>
      <x:c r="B1754" s="66" t="n">
        <x:v>46115.305555555555</x:v>
      </x:c>
      <x:c r="C1754" s="65" t="str">
        <x:v>哥伦比亚甲级联赛（Liga BetPlay DIMAYOR）</x:v>
      </x:c>
      <x:c r="D1754" s="65" t="str">
        <x:v>科尔多巴老虎（Jaguares de Córdoba）</x:v>
      </x:c>
      <x:c r="E1754" s="65" t="str">
        <x:v>百万富翁</x:v>
      </x:c>
      <x:c r="F1754" s="65" t="str">
        <x:v>百万富翁 -0.5</x:v>
      </x:c>
      <x:c r="G1754" s="65" t="str">
        <x:v>大2.5</x:v>
      </x:c>
      <x:c r="H1754" s="65" t="str">
        <x:v>百万富翁胜且小3.5</x:v>
      </x:c>
      <x:c r="I1754" s="66" t="n">
        <x:v>46115.27627314815</x:v>
      </x:c>
      <x:c r="J1754" s="65" t="str">
        <x:v>已结算</x:v>
      </x:c>
      <x:c r="K1754" s="65"/>
      <x:c r="L1754" s="65" t="str">
        <x:v>输</x:v>
      </x:c>
      <x:c r="M1754" s="65" t="str">
        <x:v>输</x:v>
      </x:c>
      <x:c r="N1754" s="67" t="n">
        <x:v>-1</x:v>
      </x:c>
      <x:c r="O1754" s="67" t="n">
        <x:v>-1</x:v>
      </x:c>
      <x:c r="P1754" s="67" t="n">
        <x:f>IF(COUNT(N1754:O1754)=0,"",SUM(N1754:O1754))</x:f>
        <x:v>-2</x:v>
      </x:c>
      <x:c r="Q1754" s="65"/>
      <x:c r="R1754" s="65" t="str">
        <x:v>比分1-0；让球 百万富翁 -0.5输，大小 大2.5输</x:v>
      </x:c>
    </x:row>
    <x:row r="1755" ht="24" customHeight="1">
      <x:c r="A1755" s="65" t="str">
        <x:f>IF(B1755="","",TEXT(B1755,"yyyy-mm-dd")&amp;"|"&amp;D1755&amp;"|"&amp;E1755)</x:f>
        <x:v>2026-04-03|卡利美洲|布卡拉曼加</x:v>
      </x:c>
      <x:c r="B1755" s="66" t="n">
        <x:v>46115.21527777778</x:v>
      </x:c>
      <x:c r="C1755" s="65" t="str">
        <x:v>哥伦比亚甲级联赛（Liga BetPlay DIMAYOR）</x:v>
      </x:c>
      <x:c r="D1755" s="65" t="str">
        <x:v>卡利美洲</x:v>
      </x:c>
      <x:c r="E1755" s="65" t="str">
        <x:v>布卡拉曼加</x:v>
      </x:c>
      <x:c r="F1755" s="65" t="str">
        <x:v>布卡拉曼加 +0.5</x:v>
      </x:c>
      <x:c r="G1755" s="65" t="str">
        <x:v>小2.25</x:v>
      </x:c>
      <x:c r="H1755" s="65" t="str">
        <x:v>上半场平</x:v>
      </x:c>
      <x:c r="I1755" s="66" t="n">
        <x:v>46115.135034722225</x:v>
      </x:c>
      <x:c r="J1755" s="65" t="str">
        <x:v>已结算</x:v>
      </x:c>
      <x:c r="K1755" s="65" t="str">
        <x:v>2-0</x:v>
      </x:c>
      <x:c r="L1755" s="65" t="str">
        <x:v>输</x:v>
      </x:c>
      <x:c r="M1755" s="65" t="str">
        <x:v>赢半</x:v>
      </x:c>
      <x:c r="N1755" s="67" t="n">
        <x:v>-1</x:v>
      </x:c>
      <x:c r="O1755" s="67" t="n">
        <x:v>0.5</x:v>
      </x:c>
      <x:c r="P1755" s="67" t="n">
        <x:f>IF(COUNT(N1755:O1755)=0,"",SUM(N1755:O1755))</x:f>
        <x:v>-0.5</x:v>
      </x:c>
      <x:c r="Q1755" s="65"/>
      <x:c r="R1755" s="65" t="str">
        <x:v>复核赛果：卡利美洲 2-0 布卡拉曼加；让球：布卡拉曼加 +0.5=输；大小：小2.25=赢半。</x:v>
      </x:c>
    </x:row>
    <x:row r="1756" ht="24" customHeight="1">
      <x:c r="A1756" s="65" t="str">
        <x:f>IF(B1756="","",TEXT(B1756,"yyyy-mm-dd")&amp;"|"&amp;D1756&amp;"|"&amp;E1756)</x:f>
        <x:v>2026-04-03|茨高（博亚卡奇科）|佩雷拉</x:v>
      </x:c>
      <x:c r="B1756" s="66" t="n">
        <x:v>46115.125</x:v>
      </x:c>
      <x:c r="C1756" s="65" t="str">
        <x:v>哥伦比亚甲级联赛（Liga BetPlay DIMAYOR）</x:v>
      </x:c>
      <x:c r="D1756" s="65" t="str">
        <x:v>茨高（博亚卡奇科）</x:v>
      </x:c>
      <x:c r="E1756" s="65" t="str">
        <x:v>佩雷拉</x:v>
      </x:c>
      <x:c r="F1756" s="65" t="str">
        <x:v>茨高（博亚卡奇科） -0.5</x:v>
      </x:c>
      <x:c r="G1756" s="65" t="str">
        <x:v>小2.5</x:v>
      </x:c>
      <x:c r="H1756" s="65" t="str">
        <x:v>佩雷拉不进球</x:v>
      </x:c>
      <x:c r="I1756" s="66" t="n">
        <x:v>46115.08844907407</x:v>
      </x:c>
      <x:c r="J1756" s="65" t="str">
        <x:v>已结算</x:v>
      </x:c>
      <x:c r="K1756" s="65"/>
      <x:c r="L1756" s="65" t="str">
        <x:v>赢</x:v>
      </x:c>
      <x:c r="M1756" s="65" t="str">
        <x:v>赢</x:v>
      </x:c>
      <x:c r="N1756" s="67" t="n">
        <x:v>1</x:v>
      </x:c>
      <x:c r="O1756" s="67" t="n">
        <x:v>1</x:v>
      </x:c>
      <x:c r="P1756" s="67" t="n">
        <x:f>IF(COUNT(N1756:O1756)=0,"",SUM(N1756:O1756))</x:f>
        <x:v>2</x:v>
      </x:c>
      <x:c r="Q1756" s="65"/>
      <x:c r="R1756" s="65" t="str">
        <x:v>比分1-0；让球 茨高（博亚卡奇科） -0.5赢，大小 小2.5赢</x:v>
      </x:c>
    </x:row>
    <x:row r="1757" ht="24" customHeight="1">
      <x:c r="A1757" s="65" t="str">
        <x:f>IF(B1757="","",TEXT(B1757,"yyyy-mm-dd")&amp;"|"&amp;D1757&amp;"|"&amp;E1757)</x:f>
        <x:v>2026-04-02|布里斯班狮吼|悉尼FC</x:v>
      </x:c>
      <x:c r="B1757" s="66" t="n">
        <x:v>46114.75</x:v>
      </x:c>
      <x:c r="C1757" s="65" t="str">
        <x:v>澳大利亚A联赛（A-League Men）</x:v>
      </x:c>
      <x:c r="D1757" s="65" t="str">
        <x:v>布里斯班狮吼</x:v>
      </x:c>
      <x:c r="E1757" s="65" t="str">
        <x:v>悉尼FC</x:v>
      </x:c>
      <x:c r="F1757" s="65" t="str">
        <x:v>悉尼FC 0</x:v>
      </x:c>
      <x:c r="G1757" s="65" t="str">
        <x:v>小3.5</x:v>
      </x:c>
      <x:c r="H1757" s="65" t="str">
        <x:v>半场平/全场悉尼FC</x:v>
      </x:c>
      <x:c r="I1757" s="66" t="n">
        <x:v>46114.74537037037</x:v>
      </x:c>
      <x:c r="J1757" s="65" t="str">
        <x:v>已结算</x:v>
      </x:c>
      <x:c r="K1757" s="65"/>
      <x:c r="L1757" s="65" t="str">
        <x:v>走水</x:v>
      </x:c>
      <x:c r="M1757" s="65" t="str">
        <x:v>赢</x:v>
      </x:c>
      <x:c r="N1757" s="67" t="n">
        <x:v>0</x:v>
      </x:c>
      <x:c r="O1757" s="67" t="n">
        <x:v>1</x:v>
      </x:c>
      <x:c r="P1757" s="67" t="n">
        <x:f>IF(COUNT(N1757:O1757)=0,"",SUM(N1757:O1757))</x:f>
        <x:v>1</x:v>
      </x:c>
      <x:c r="Q1757" s="65"/>
      <x:c r="R1757" s="65" t="str">
        <x:v>比分0-0；让球 悉尼FC 0走水，大小 小3.5赢</x:v>
      </x:c>
    </x:row>
    <x:row r="1758" ht="24" customHeight="1">
      <x:c r="A1758" s="65" t="str">
        <x:f>IF(B1758="","",TEXT(B1758,"yyyy-mm-dd")&amp;"|"&amp;D1758&amp;"|"&amp;E1758)</x:f>
        <x:v>2026-04-02|麦克阿瑟FC|纽卡斯尔喷气机</x:v>
      </x:c>
      <x:c r="B1758" s="66" t="n">
        <x:v>46114.69097222222</x:v>
      </x:c>
      <x:c r="C1758" s="65" t="str">
        <x:v>澳大利亚A联赛（A-League Men）</x:v>
      </x:c>
      <x:c r="D1758" s="65" t="str">
        <x:v>麦克阿瑟FC</x:v>
      </x:c>
      <x:c r="E1758" s="65" t="str">
        <x:v>纽卡斯尔喷气机</x:v>
      </x:c>
      <x:c r="F1758" s="65" t="str">
        <x:v>纽卡斯尔喷气机 0</x:v>
      </x:c>
      <x:c r="G1758" s="65" t="str">
        <x:v>小3.5</x:v>
      </x:c>
      <x:c r="H1758" s="65" t="str">
        <x:v>纽卡斯尔喷气机半场胜</x:v>
      </x:c>
      <x:c r="I1758" s="66" t="n">
        <x:v>46114.63454861111</x:v>
      </x:c>
      <x:c r="J1758" s="65" t="str">
        <x:v>已结算</x:v>
      </x:c>
      <x:c r="K1758" s="65"/>
      <x:c r="L1758" s="65" t="str">
        <x:v>输</x:v>
      </x:c>
      <x:c r="M1758" s="65" t="str">
        <x:v>输</x:v>
      </x:c>
      <x:c r="N1758" s="67" t="n">
        <x:v>-1</x:v>
      </x:c>
      <x:c r="O1758" s="67" t="n">
        <x:v>-1</x:v>
      </x:c>
      <x:c r="P1758" s="67" t="n">
        <x:f>IF(COUNT(N1758:O1758)=0,"",SUM(N1758:O1758))</x:f>
        <x:v>-2</x:v>
      </x:c>
      <x:c r="Q1758" s="65"/>
      <x:c r="R1758" s="65" t="str">
        <x:v>比分3-2；让球 纽卡斯尔喷气机 0输，大小 小3.5输</x:v>
      </x:c>
    </x:row>
    <x:row r="1759" ht="24" customHeight="1">
      <x:c r="A1759" s="65" t="str">
        <x:f>IF(B1759="","",TEXT(B1759,"yyyy-mm-dd")&amp;"|"&amp;D1759&amp;"|"&amp;E1759)</x:f>
        <x:v>2026-04-02|国民竞技|库库塔体育（Cúcuta Deportivo）</x:v>
      </x:c>
      <x:c r="B1759" s="66" t="n">
        <x:v>46114.395833333336</x:v>
      </x:c>
      <x:c r="C1759" s="65" t="str">
        <x:v>哥伦比亚甲级联赛（Liga BetPlay DIMAYOR）</x:v>
      </x:c>
      <x:c r="D1759" s="65" t="str">
        <x:v>国民竞技</x:v>
      </x:c>
      <x:c r="E1759" s="65" t="str">
        <x:v>库库塔体育（Cúcuta Deportivo）</x:v>
      </x:c>
      <x:c r="F1759" s="65" t="str">
        <x:v>国民竞技 -1.5</x:v>
      </x:c>
      <x:c r="G1759" s="65" t="str">
        <x:v>大3/3.5</x:v>
      </x:c>
      <x:c r="H1759" s="65" t="str">
        <x:v>国民竞技 -2（激进）</x:v>
      </x:c>
      <x:c r="I1759" s="66" t="n">
        <x:v>46114.35309027778</x:v>
      </x:c>
      <x:c r="J1759" s="65" t="str">
        <x:v>已结算</x:v>
      </x:c>
      <x:c r="K1759" s="65"/>
      <x:c r="L1759" s="65" t="str">
        <x:v>输</x:v>
      </x:c>
      <x:c r="M1759" s="65" t="str">
        <x:v>输</x:v>
      </x:c>
      <x:c r="N1759" s="67" t="n">
        <x:v>-1</x:v>
      </x:c>
      <x:c r="O1759" s="67" t="n">
        <x:v>-1</x:v>
      </x:c>
      <x:c r="P1759" s="67" t="n">
        <x:f>IF(COUNT(N1759:O1759)=0,"",SUM(N1759:O1759))</x:f>
        <x:v>-2</x:v>
      </x:c>
      <x:c r="Q1759" s="65"/>
      <x:c r="R1759" s="65" t="str">
        <x:v>比分0-0；让球 国民竞技 -1.5输，大小 大3/3.5输</x:v>
      </x:c>
    </x:row>
    <x:row r="1760" ht="24" customHeight="1">
      <x:c r="A1760" s="65" t="str">
        <x:f>IF(B1760="","",TEXT(B1760,"yyyy-mm-dd")&amp;"|"&amp;D1760&amp;"|"&amp;E1760)</x:f>
        <x:v>2026-04-02|圣塔菲|拉尼罗斯FC</x:v>
      </x:c>
      <x:c r="B1760" s="66" t="n">
        <x:v>46114.3125</x:v>
      </x:c>
      <x:c r="C1760" s="65" t="str">
        <x:v>哥伦比亚甲级联赛（Liga BetPlay DIMAYOR）</x:v>
      </x:c>
      <x:c r="D1760" s="65" t="str">
        <x:v>圣塔菲</x:v>
      </x:c>
      <x:c r="E1760" s="65" t="str">
        <x:v>拉尼罗斯FC</x:v>
      </x:c>
      <x:c r="F1760" s="65" t="str">
        <x:v>拉尼罗斯FC +0.75</x:v>
      </x:c>
      <x:c r="G1760" s="65" t="str">
        <x:v>大2.5</x:v>
      </x:c>
      <x:c r="H1760" s="65" t="str">
        <x:v>双方进球 是</x:v>
      </x:c>
      <x:c r="I1760" s="66" t="n">
        <x:v>46114.31211805555</x:v>
      </x:c>
      <x:c r="J1760" s="65" t="str">
        <x:v>已结算</x:v>
      </x:c>
      <x:c r="K1760" s="65"/>
      <x:c r="L1760" s="65" t="str">
        <x:v>赢</x:v>
      </x:c>
      <x:c r="M1760" s="65" t="str">
        <x:v>输</x:v>
      </x:c>
      <x:c r="N1760" s="67" t="n">
        <x:v>1</x:v>
      </x:c>
      <x:c r="O1760" s="67" t="n">
        <x:v>-1</x:v>
      </x:c>
      <x:c r="P1760" s="67" t="n">
        <x:f>IF(COUNT(N1760:O1760)=0,"",SUM(N1760:O1760))</x:f>
        <x:v>0</x:v>
      </x:c>
      <x:c r="Q1760" s="65"/>
      <x:c r="R1760" s="65" t="str">
        <x:v>比分0-1；让球 拉尼罗斯FC +0.75赢，大小 大2.5输</x:v>
      </x:c>
    </x:row>
    <x:row r="1761" ht="24" customHeight="1">
      <x:c r="A1761" s="65" t="str">
        <x:f>IF(B1761="","",TEXT(B1761,"yyyy-mm-dd")&amp;"|"&amp;D1761&amp;"|"&amp;E1761)</x:f>
        <x:v>2026-04-02|拉努斯|普拉腾斯</x:v>
      </x:c>
      <x:c r="B1761" s="66" t="n">
        <x:v>46114.291666666664</x:v>
      </x:c>
      <x:c r="C1761" s="65" t="str">
        <x:v>阿根廷职业联赛（Liga Profesional·Apertura）</x:v>
      </x:c>
      <x:c r="D1761" s="65" t="str">
        <x:v>拉努斯</x:v>
      </x:c>
      <x:c r="E1761" s="65" t="str">
        <x:v>普拉腾斯</x:v>
      </x:c>
      <x:c r="F1761" s="65" t="str">
        <x:v>拉努斯 -0.5</x:v>
      </x:c>
      <x:c r="G1761" s="65" t="str">
        <x:v>小1.5（激进）</x:v>
      </x:c>
      <x:c r="H1761" s="65" t="str">
        <x:v>上半场平</x:v>
      </x:c>
      <x:c r="I1761" s="66" t="n">
        <x:v>46114.29803240741</x:v>
      </x:c>
      <x:c r="J1761" s="65" t="str">
        <x:v>已结算</x:v>
      </x:c>
      <x:c r="K1761" s="65"/>
      <x:c r="L1761" s="65" t="str">
        <x:v>输</x:v>
      </x:c>
      <x:c r="M1761" s="65" t="str">
        <x:v>赢</x:v>
      </x:c>
      <x:c r="N1761" s="67" t="n">
        <x:v>-1</x:v>
      </x:c>
      <x:c r="O1761" s="67" t="n">
        <x:v>1</x:v>
      </x:c>
      <x:c r="P1761" s="67" t="n">
        <x:f>IF(COUNT(N1761:O1761)=0,"",SUM(N1761:O1761))</x:f>
        <x:v>0</x:v>
      </x:c>
      <x:c r="Q1761" s="65"/>
      <x:c r="R1761" s="65" t="str">
        <x:v>比分0-0；让球 拉努斯 -0.5输，大小 小1.5赢</x:v>
      </x:c>
    </x:row>
    <x:row r="1762" ht="24" customHeight="1">
      <x:c r="A1762" s="65" t="str">
        <x:f>IF(B1762="","",TEXT(B1762,"yyyy-mm-dd")&amp;"|"&amp;D1762&amp;"|"&amp;E1762)</x:f>
        <x:v>2026-04-02|阿利安萨FC（巴耶杜帕尔）|帕斯托体育</x:v>
      </x:c>
      <x:c r="B1762" s="66" t="n">
        <x:v>46114.21527777778</x:v>
      </x:c>
      <x:c r="C1762" s="65" t="str">
        <x:v>哥伦比亚甲级联赛（Liga BetPlay DIMAYOR）</x:v>
      </x:c>
      <x:c r="D1762" s="65" t="str">
        <x:v>阿利安萨FC（巴耶杜帕尔）</x:v>
      </x:c>
      <x:c r="E1762" s="65" t="str">
        <x:v>帕斯托体育</x:v>
      </x:c>
      <x:c r="F1762" s="65" t="str">
        <x:v>阿利安萨FC（巴耶杜帕尔） -0.25</x:v>
      </x:c>
      <x:c r="G1762" s="65" t="str">
        <x:v>小2.5</x:v>
      </x:c>
      <x:c r="H1762" s="65" t="str">
        <x:v>上半场平</x:v>
      </x:c>
      <x:c r="I1762" s="66" t="n">
        <x:v>46114.23131944444</x:v>
      </x:c>
      <x:c r="J1762" s="65" t="str">
        <x:v>已结算</x:v>
      </x:c>
      <x:c r="K1762" s="65"/>
      <x:c r="L1762" s="65" t="str">
        <x:v>输半</x:v>
      </x:c>
      <x:c r="M1762" s="65" t="str">
        <x:v>赢</x:v>
      </x:c>
      <x:c r="N1762" s="67" t="n">
        <x:v>-0.5</x:v>
      </x:c>
      <x:c r="O1762" s="67" t="n">
        <x:v>1</x:v>
      </x:c>
      <x:c r="P1762" s="67" t="n">
        <x:f>IF(COUNT(N1762:O1762)=0,"",SUM(N1762:O1762))</x:f>
        <x:v>0.5</x:v>
      </x:c>
      <x:c r="Q1762" s="65"/>
      <x:c r="R1762" s="65" t="str">
        <x:v>比分0-0；让球 阿利安萨FC（巴耶杜帕尔） -0.25输半，大小 小2.5赢</x:v>
      </x:c>
    </x:row>
    <x:row r="1763" ht="24" customHeight="1">
      <x:c r="A1763" s="65" t="str">
        <x:f>IF(B1763="","",TEXT(B1763,"yyyy-mm-dd")&amp;"|"&amp;D1763&amp;"|"&amp;E1763)</x:f>
        <x:v>2026-04-01|町田泽维亚（FC Machida Zelvia）|东京FC（FC Tokyo）</x:v>
      </x:c>
      <x:c r="B1763" s="66" t="n">
        <x:v>46113.75</x:v>
      </x:c>
      <x:c r="C1763" s="65" t="str">
        <x:v>日职联（J1 League）</x:v>
      </x:c>
      <x:c r="D1763" s="65" t="str">
        <x:v>町田泽维亚（FC Machida Zelvia）</x:v>
      </x:c>
      <x:c r="E1763" s="65" t="str">
        <x:v>东京FC（FC Tokyo）</x:v>
      </x:c>
      <x:c r="F1763" s="65" t="str">
        <x:v>东京FC 平手（1.07）</x:v>
      </x:c>
      <x:c r="G1763" s="65" t="str">
        <x:v>小 2.25（0.87）</x:v>
      </x:c>
      <x:c r="H1763" s="65" t="str">
        <x:v>无</x:v>
      </x:c>
      <x:c r="I1763" s="66" t="n">
        <x:v>46113.57859953704</x:v>
      </x:c>
      <x:c r="J1763" s="65" t="str">
        <x:v>已结算</x:v>
      </x:c>
      <x:c r="K1763" s="65"/>
      <x:c r="L1763" s="65" t="str">
        <x:v>赢</x:v>
      </x:c>
      <x:c r="M1763" s="65" t="str">
        <x:v>输</x:v>
      </x:c>
      <x:c r="N1763" s="67" t="n">
        <x:v>1</x:v>
      </x:c>
      <x:c r="O1763" s="67" t="n">
        <x:v>-1</x:v>
      </x:c>
      <x:c r="P1763" s="67" t="n">
        <x:f>IF(COUNT(N1763:O1763)=0,"",SUM(N1763:O1763))</x:f>
        <x:v>0</x:v>
      </x:c>
      <x:c r="Q1763" s="65"/>
      <x:c r="R1763" s="65" t="str">
        <x:v>比分0-3；让球 东京FC 平手赢，大小 小2.25输</x:v>
      </x:c>
    </x:row>
    <x:row r="1764" ht="24" customHeight="1">
      <x:c r="A1764" s="65" t="str">
        <x:f>IF(B1764="","",TEXT(B1764,"yyyy-mm-dd")&amp;"|"&amp;D1764&amp;"|"&amp;E1764)</x:f>
        <x:v>2026-04-01|托利马体育（Deportes Tolima）|里奥内格罗老鹰（Águilas Doradas）</x:v>
      </x:c>
      <x:c r="B1764" s="66" t="n">
        <x:v>46113.375</x:v>
      </x:c>
      <x:c r="C1764" s="65" t="str">
        <x:v>哥伦比亚甲级联赛（Liga BetPlay DIMAYOR）</x:v>
      </x:c>
      <x:c r="D1764" s="65" t="str">
        <x:v>托利马体育（Deportes Tolima）</x:v>
      </x:c>
      <x:c r="E1764" s="65" t="str">
        <x:v>里奥内格罗老鹰（Águilas Doradas）</x:v>
      </x:c>
      <x:c r="F1764" s="65" t="str">
        <x:v>托利马体育 -0.75（0.84）</x:v>
      </x:c>
      <x:c r="G1764" s="65" t="str">
        <x:v>小 2.25（0.97）</x:v>
      </x:c>
      <x:c r="H1764" s="65" t="str">
        <x:v>半场平局（1.05）</x:v>
      </x:c>
      <x:c r="I1764" s="66" t="n">
        <x:v>46113.21907407408</x:v>
      </x:c>
      <x:c r="J1764" s="65" t="str">
        <x:v>已结算</x:v>
      </x:c>
      <x:c r="K1764" s="65"/>
      <x:c r="L1764" s="65" t="str">
        <x:v>赢</x:v>
      </x:c>
      <x:c r="M1764" s="65" t="str">
        <x:v>输</x:v>
      </x:c>
      <x:c r="N1764" s="67" t="n">
        <x:v>1</x:v>
      </x:c>
      <x:c r="O1764" s="67" t="n">
        <x:v>-1</x:v>
      </x:c>
      <x:c r="P1764" s="67" t="n">
        <x:f>IF(COUNT(N1764:O1764)=0,"",SUM(N1764:O1764))</x:f>
        <x:v>0</x:v>
      </x:c>
      <x:c r="Q1764" s="65"/>
      <x:c r="R1764" s="65" t="str">
        <x:v>比分4-1；让球 托利马体育 -0.75赢，大小 小2.25输</x:v>
      </x:c>
    </x:row>
    <x:row r="1765" ht="24" customHeight="1">
      <x:c r="A1765" s="65" t="str">
        <x:f>IF(B1765="","",TEXT(B1765,"yyyy-mm-dd")&amp;"|"&amp;D1765&amp;"|"&amp;E1765)</x:f>
        <x:v>2026-03-31|印度|中国香港</x:v>
      </x:c>
      <x:c r="B1765" s="66" t="n">
        <x:v>46112.895833333336</x:v>
      </x:c>
      <x:c r="C1765" s="65" t="str">
        <x:v>亚洲杯预选赛第三轮</x:v>
      </x:c>
      <x:c r="D1765" s="65" t="str">
        <x:v>印度</x:v>
      </x:c>
      <x:c r="E1765" s="65" t="str">
        <x:v>中国香港</x:v>
      </x:c>
      <x:c r="F1765" s="65" t="str">
        <x:v>中国香港 +0.25（约0.90）</x:v>
      </x:c>
      <x:c r="G1765" s="65" t="str">
        <x:v>小 2.25（约0.84）</x:v>
      </x:c>
      <x:c r="H1765" s="65" t="str">
        <x:v>无</x:v>
      </x:c>
      <x:c r="I1765" s="66" t="n">
        <x:v>46112.87704861111</x:v>
      </x:c>
      <x:c r="J1765" s="65" t="str">
        <x:v>已结算</x:v>
      </x:c>
      <x:c r="K1765" s="65"/>
      <x:c r="L1765" s="65" t="str">
        <x:v>输</x:v>
      </x:c>
      <x:c r="M1765" s="65" t="str">
        <x:v>输</x:v>
      </x:c>
      <x:c r="N1765" s="67" t="n">
        <x:v>-1</x:v>
      </x:c>
      <x:c r="O1765" s="67" t="n">
        <x:v>-1</x:v>
      </x:c>
      <x:c r="P1765" s="67" t="n">
        <x:f>IF(COUNT(N1765:O1765)=0,"",SUM(N1765:O1765))</x:f>
        <x:v>-2</x:v>
      </x:c>
      <x:c r="Q1765" s="65"/>
      <x:c r="R1765" s="65" t="str">
        <x:v>比分2-1；让球 中国香港 +0.25输，大小 小2.25输</x:v>
      </x:c>
    </x:row>
    <x:row r="1766" ht="24" customHeight="1">
      <x:c r="A1766" s="65" t="str">
        <x:f>IF(B1766="","",TEXT(B1766,"yyyy-mm-dd")&amp;"|"&amp;D1766&amp;"|"&amp;E1766)</x:f>
        <x:v>2026-03-31|南墨尔本（South Melbourne FC）|丹德农市（Dandenong City SC）</x:v>
      </x:c>
      <x:c r="B1766" s="66" t="n">
        <x:v>46112.6875</x:v>
      </x:c>
      <x:c r="C1766" s="65" t="str">
        <x:v>澳大利亚 维多利亚州超级联赛1（VPL1）</x:v>
      </x:c>
      <x:c r="D1766" s="65" t="str">
        <x:v>南墨尔本（South Melbourne FC）</x:v>
      </x:c>
      <x:c r="E1766" s="65" t="str">
        <x:v>丹德农市（Dandenong City SC）</x:v>
      </x:c>
      <x:c r="F1766" s="65" t="str">
        <x:v>丹德农市 +0.75（0.96）</x:v>
      </x:c>
      <x:c r="G1766" s="65" t="str">
        <x:v>大 2.5（0.83）</x:v>
      </x:c>
      <x:c r="H1766" s="65" t="str">
        <x:v>双方进球 是（0.84）</x:v>
      </x:c>
      <x:c r="I1766" s="66" t="n">
        <x:v>46112.65759259259</x:v>
      </x:c>
      <x:c r="J1766" s="65" t="str">
        <x:v>已结算</x:v>
      </x:c>
      <x:c r="K1766" s="65"/>
      <x:c r="L1766" s="65" t="str">
        <x:v>输</x:v>
      </x:c>
      <x:c r="M1766" s="65" t="str">
        <x:v>赢</x:v>
      </x:c>
      <x:c r="N1766" s="67" t="n">
        <x:v>-1</x:v>
      </x:c>
      <x:c r="O1766" s="67" t="n">
        <x:v>1</x:v>
      </x:c>
      <x:c r="P1766" s="67" t="n">
        <x:f>IF(COUNT(N1766:O1766)=0,"",SUM(N1766:O1766))</x:f>
        <x:v>0</x:v>
      </x:c>
      <x:c r="Q1766" s="65"/>
      <x:c r="R1766" s="65" t="str">
        <x:v>比分4-2；让球 丹德农市 +0.75输，大小 大2.5赢</x:v>
      </x:c>
    </x:row>
    <x:row r="1767" ht="24" customHeight="1">
      <x:c r="A1767" s="65" t="str">
        <x:f>IF(B1767="","",TEXT(B1767,"yyyy-mm-dd")&amp;"|"&amp;D1767&amp;"|"&amp;E1767)</x:f>
        <x:v>2026-03-31|喀麦隆|中国</x:v>
      </x:c>
      <x:c r="B1767" s="66" t="n">
        <x:v>46112.583333333336</x:v>
      </x:c>
      <x:c r="C1767" s="65" t="str">
        <x:v>FIFA系列赛（澳大利亚赛区）</x:v>
      </x:c>
      <x:c r="D1767" s="65" t="str">
        <x:v>喀麦隆</x:v>
      </x:c>
      <x:c r="E1767" s="65" t="str">
        <x:v>中国</x:v>
      </x:c>
      <x:c r="F1767" s="65" t="str">
        <x:v>中国 +1.25（0.88）</x:v>
      </x:c>
      <x:c r="G1767" s="65" t="str">
        <x:v>小 2.5（0.90）</x:v>
      </x:c>
      <x:c r="H1767" s="65" t="str">
        <x:v>无</x:v>
      </x:c>
      <x:c r="I1767" s="66" t="n">
        <x:v>46112.47565972222</x:v>
      </x:c>
      <x:c r="J1767" s="65" t="str">
        <x:v>已结算</x:v>
      </x:c>
      <x:c r="K1767" s="65"/>
      <x:c r="L1767" s="65" t="str">
        <x:v>输</x:v>
      </x:c>
      <x:c r="M1767" s="65" t="str">
        <x:v>赢</x:v>
      </x:c>
      <x:c r="N1767" s="67" t="n">
        <x:v>-1</x:v>
      </x:c>
      <x:c r="O1767" s="67" t="n">
        <x:v>1</x:v>
      </x:c>
      <x:c r="P1767" s="67" t="n">
        <x:f>IF(COUNT(N1767:O1767)=0,"",SUM(N1767:O1767))</x:f>
        <x:v>0</x:v>
      </x:c>
      <x:c r="Q1767" s="65"/>
      <x:c r="R1767" s="65" t="str">
        <x:v>比分2-0；让球 中国 +1.25输，大小 小2.5赢</x:v>
      </x:c>
    </x:row>
    <x:row r="1768" ht="24" customHeight="1">
      <x:c r="A1768" s="65" t="str">
        <x:f>IF(B1768="","",TEXT(B1768,"yyyy-mm-dd")&amp;"|"&amp;D1768&amp;"|"&amp;E1768)</x:f>
        <x:v>2026-03-31|百万富翁（Millonarios FC）|福塔雷绍查（Fortaleza CEIF）</x:v>
      </x:c>
      <x:c r="B1768" s="66" t="n">
        <x:v>46112.38888888889</x:v>
      </x:c>
      <x:c r="C1768" s="65" t="str">
        <x:v>哥伦比亚甲级联赛（Liga BetPlay DIMAYOR）</x:v>
      </x:c>
      <x:c r="D1768" s="65" t="str">
        <x:v>百万富翁（Millonarios FC）</x:v>
      </x:c>
      <x:c r="E1768" s="65" t="str">
        <x:v>福塔雷绍查（Fortaleza CEIF）</x:v>
      </x:c>
      <x:c r="F1768" s="65" t="str">
        <x:v>百万富翁 -1（0.94）</x:v>
      </x:c>
      <x:c r="G1768" s="65" t="str">
        <x:v>大 2.5（0.94）</x:v>
      </x:c>
      <x:c r="H1768" s="65" t="str">
        <x:v>无</x:v>
      </x:c>
      <x:c r="I1768" s="66" t="n">
        <x:v>46112.3749537037</x:v>
      </x:c>
      <x:c r="J1768" s="65" t="str">
        <x:v>已结算</x:v>
      </x:c>
      <x:c r="K1768" s="65"/>
      <x:c r="L1768" s="65" t="str">
        <x:v>输</x:v>
      </x:c>
      <x:c r="M1768" s="65" t="str">
        <x:v>赢</x:v>
      </x:c>
      <x:c r="N1768" s="67" t="n">
        <x:v>-1</x:v>
      </x:c>
      <x:c r="O1768" s="67" t="n">
        <x:v>1</x:v>
      </x:c>
      <x:c r="P1768" s="67" t="n">
        <x:f>IF(COUNT(N1768:O1768)=0,"",SUM(N1768:O1768))</x:f>
        <x:v>0</x:v>
      </x:c>
      <x:c r="Q1768" s="65"/>
      <x:c r="R1768" s="65" t="str">
        <x:v>比分2-2；让球 百万富翁 -1输，大小 大2.5赢</x:v>
      </x:c>
    </x:row>
    <x:row r="1769" ht="24" customHeight="1">
      <x:c r="A1769" s="65" t="str">
        <x:f>IF(B1769="","",TEXT(B1769,"yyyy-mm-dd")&amp;"|"&amp;D1769&amp;"|"&amp;E1769)</x:f>
        <x:v>2026-03-31|麦德林独立（Independiente Medellín）|卡利美洲（América de Cali）</x:v>
      </x:c>
      <x:c r="B1769" s="66" t="n">
        <x:v>46112.29861111111</x:v>
      </x:c>
      <x:c r="C1769" s="65" t="str">
        <x:v>哥伦比亚甲级联赛（Liga BetPlay DIMAYOR）</x:v>
      </x:c>
      <x:c r="D1769" s="65" t="str">
        <x:v>麦德林独立（Independiente Medellín）</x:v>
      </x:c>
      <x:c r="E1769" s="65" t="str">
        <x:v>卡利美洲（América de Cali）</x:v>
      </x:c>
      <x:c r="F1769" s="65" t="str">
        <x:v>卡利美洲 -0.25（0.88）</x:v>
      </x:c>
      <x:c r="G1769" s="65" t="str">
        <x:v>大 2.25（0.85）</x:v>
      </x:c>
      <x:c r="H1769" s="65" t="str">
        <x:v>无</x:v>
      </x:c>
      <x:c r="I1769" s="66" t="n">
        <x:v>46112.26789351852</x:v>
      </x:c>
      <x:c r="J1769" s="65" t="str">
        <x:v>已结算</x:v>
      </x:c>
      <x:c r="K1769" s="65"/>
      <x:c r="L1769" s="65" t="str">
        <x:v>输</x:v>
      </x:c>
      <x:c r="M1769" s="65" t="str">
        <x:v>赢</x:v>
      </x:c>
      <x:c r="N1769" s="67" t="n">
        <x:v>-1</x:v>
      </x:c>
      <x:c r="O1769" s="67" t="n">
        <x:v>1</x:v>
      </x:c>
      <x:c r="P1769" s="67" t="n">
        <x:f>IF(COUNT(N1769:O1769)=0,"",SUM(N1769:O1769))</x:f>
        <x:v>0</x:v>
      </x:c>
      <x:c r="Q1769" s="65"/>
      <x:c r="R1769" s="65" t="str">
        <x:v>比分2-1；让球 卡利美洲 -0.25输，大小 大2.25赢</x:v>
      </x:c>
    </x:row>
    <x:row r="1770" ht="24" customHeight="1">
      <x:c r="A1770" s="65" t="str">
        <x:f>IF(B1770="","",TEXT(B1770,"yyyy-mm-dd")&amp;"|"&amp;D1770&amp;"|"&amp;E1770)</x:f>
        <x:v>2026-03-30|拉尼罗斯（Llaneros FC）|云斯卡尔达斯（Once Caldas）</x:v>
      </x:c>
      <x:c r="B1770" s="66" t="n">
        <x:v>46111.395833333336</x:v>
      </x:c>
      <x:c r="C1770" s="65" t="str">
        <x:v>哥伦比亚甲级联赛（Liga BetPlay DIMAYOR）</x:v>
      </x:c>
      <x:c r="D1770" s="65" t="str">
        <x:v>拉尼罗斯（Llaneros FC）</x:v>
      </x:c>
      <x:c r="E1770" s="65" t="str">
        <x:v>云斯卡尔达斯（Once Caldas）</x:v>
      </x:c>
      <x:c r="F1770" s="65" t="str">
        <x:v>拉尼罗斯 平手（1.00）</x:v>
      </x:c>
      <x:c r="G1770" s="65" t="str">
        <x:v>小 2.5（0.86）</x:v>
      </x:c>
      <x:c r="H1770" s="65" t="str">
        <x:v>无</x:v>
      </x:c>
      <x:c r="I1770" s="66" t="n">
        <x:v>46111.37798611111</x:v>
      </x:c>
      <x:c r="J1770" s="65" t="str">
        <x:v>已结算</x:v>
      </x:c>
      <x:c r="K1770" s="65"/>
      <x:c r="L1770" s="65" t="str">
        <x:v>走水</x:v>
      </x:c>
      <x:c r="M1770" s="65" t="str">
        <x:v>赢</x:v>
      </x:c>
      <x:c r="N1770" s="67" t="n">
        <x:v>0</x:v>
      </x:c>
      <x:c r="O1770" s="67" t="n">
        <x:v>1</x:v>
      </x:c>
      <x:c r="P1770" s="67" t="n">
        <x:f>IF(COUNT(N1770:O1770)=0,"",SUM(N1770:O1770))</x:f>
        <x:v>1</x:v>
      </x:c>
      <x:c r="Q1770" s="65"/>
      <x:c r="R1770" s="65" t="str">
        <x:v>比分1-1；让球 拉尼罗斯 平手走水，大小 小2.5赢</x:v>
      </x:c>
    </x:row>
    <x:row r="1771" ht="24" customHeight="1">
      <x:c r="A1771" s="65" t="str">
        <x:f>IF(B1771="","",TEXT(B1771,"yyyy-mm-dd")&amp;"|"&amp;D1771&amp;"|"&amp;E1771)</x:f>
        <x:v>2026-03-30|帕斯托体育（Deportivo Pasto）|国民竞技（Atlético Nacional）</x:v>
      </x:c>
      <x:c r="B1771" s="66" t="n">
        <x:v>46111.305555555555</x:v>
      </x:c>
      <x:c r="C1771" s="65" t="str">
        <x:v>哥伦比亚甲级联赛（Liga BetPlay DIMAYOR）</x:v>
      </x:c>
      <x:c r="D1771" s="65" t="str">
        <x:v>帕斯托体育（Deportivo Pasto）</x:v>
      </x:c>
      <x:c r="E1771" s="65" t="str">
        <x:v>国民竞技（Atlético Nacional）</x:v>
      </x:c>
      <x:c r="F1771" s="65" t="str">
        <x:v>帕斯托体育 +0.25（0.82）</x:v>
      </x:c>
      <x:c r="G1771" s="65" t="str">
        <x:v>小 2.25（0.87）</x:v>
      </x:c>
      <x:c r="H1771" s="65" t="str">
        <x:v>帕斯托体育 平手（1.23）</x:v>
      </x:c>
      <x:c r="I1771" s="66" t="n">
        <x:v>46111.28482638889</x:v>
      </x:c>
      <x:c r="J1771" s="65" t="str">
        <x:v>已结算</x:v>
      </x:c>
      <x:c r="K1771" s="65"/>
      <x:c r="L1771" s="65" t="str">
        <x:v>输</x:v>
      </x:c>
      <x:c r="M1771" s="65" t="str">
        <x:v>输</x:v>
      </x:c>
      <x:c r="N1771" s="67" t="n">
        <x:v>-1</x:v>
      </x:c>
      <x:c r="O1771" s="67" t="n">
        <x:v>-1</x:v>
      </x:c>
      <x:c r="P1771" s="67" t="n">
        <x:f>IF(COUNT(N1771:O1771)=0,"",SUM(N1771:O1771))</x:f>
        <x:v>-2</x:v>
      </x:c>
      <x:c r="Q1771" s="65"/>
      <x:c r="R1771" s="65" t="str">
        <x:v>比分1-2</x:v>
      </x:c>
    </x:row>
    <x:row r="1772" ht="24" customHeight="1">
      <x:c r="A1772" s="65" t="str">
        <x:f>IF(B1772="","",TEXT(B1772,"yyyy-mm-dd")&amp;"|"&amp;D1772&amp;"|"&amp;E1772)</x:f>
        <x:v>2026-03-30|萨卡特卡斯矿工（Mineros de Zacatecas）|塔帕蒂奥（CD Tapatío）</x:v>
      </x:c>
      <x:c r="B1772" s="66" t="n">
        <x:v>46111.291666666664</x:v>
      </x:c>
      <x:c r="C1772" s="65" t="str">
        <x:v>墨西哥甲级扩展联赛（Liga de Expansión MX）</x:v>
      </x:c>
      <x:c r="D1772" s="65" t="str">
        <x:v>萨卡特卡斯矿工（Mineros de Zacatecas）</x:v>
      </x:c>
      <x:c r="E1772" s="65" t="str">
        <x:v>塔帕蒂奥（CD Tapatío）</x:v>
      </x:c>
      <x:c r="F1772" s="65" t="str">
        <x:v>萨卡特卡斯矿工 -0.5（0.93）</x:v>
      </x:c>
      <x:c r="G1772" s="65" t="str">
        <x:v>大 2.5（0.83）</x:v>
      </x:c>
      <x:c r="H1772" s="65" t="str">
        <x:v>无</x:v>
      </x:c>
      <x:c r="I1772" s="66" t="n">
        <x:v>46111.30646990741</x:v>
      </x:c>
      <x:c r="J1772" s="65" t="str">
        <x:v>已结算</x:v>
      </x:c>
      <x:c r="K1772" s="65" t="str">
        <x:v>2-1</x:v>
      </x:c>
      <x:c r="L1772" s="65" t="str">
        <x:v>赢</x:v>
      </x:c>
      <x:c r="M1772" s="65" t="str">
        <x:v>赢</x:v>
      </x:c>
      <x:c r="N1772" s="67" t="n">
        <x:v>1</x:v>
      </x:c>
      <x:c r="O1772" s="67" t="n">
        <x:v>1</x:v>
      </x:c>
      <x:c r="P1772" s="67" t="n">
        <x:f>IF(COUNT(N1772:O1772)=0,"",SUM(N1772:O1772))</x:f>
        <x:v>2</x:v>
      </x:c>
      <x:c r="Q1772" s="65"/>
      <x:c r="R1772" s="65" t="str">
        <x:v>复核赛果：萨卡特卡斯矿工（Mineros de Zacatecas） 2-1 塔帕蒂奥（CD Tapatío）；让球：萨卡特卡斯矿工 -0.5=赢；大小：大2.5=赢。</x:v>
      </x:c>
    </x:row>
    <x:row r="1773" ht="24" customHeight="1">
      <x:c r="A1773" s="65" t="str">
        <x:f>IF(B1773="","",TEXT(B1773,"yyyy-mm-dd")&amp;"|"&amp;D1773&amp;"|"&amp;E1773)</x:f>
        <x:v>2026-03-30|国际波哥大（Internacional de Bogotá）|巴兰基亚青年（Junior FC）</x:v>
      </x:c>
      <x:c r="B1773" s="66" t="n">
        <x:v>46111.21527777778</x:v>
      </x:c>
      <x:c r="C1773" s="65" t="str">
        <x:v>哥伦比亚甲级联赛（Liga BetPlay DIMAYOR）</x:v>
      </x:c>
      <x:c r="D1773" s="65" t="str">
        <x:v>国际波哥大（Internacional de Bogotá）</x:v>
      </x:c>
      <x:c r="E1773" s="65" t="str">
        <x:v>巴兰基亚青年（Junior FC）</x:v>
      </x:c>
      <x:c r="F1773" s="65" t="str">
        <x:v>国际波哥大 +0.25（0.84）</x:v>
      </x:c>
      <x:c r="G1773" s="65" t="str">
        <x:v>小 2.25（0.93）</x:v>
      </x:c>
      <x:c r="H1773" s="65" t="str">
        <x:v>无</x:v>
      </x:c>
      <x:c r="I1773" s="66" t="n">
        <x:v>46110.96372685185</x:v>
      </x:c>
      <x:c r="J1773" s="65" t="str">
        <x:v>已结算</x:v>
      </x:c>
      <x:c r="K1773" s="65"/>
      <x:c r="L1773" s="65" t="str">
        <x:v>输</x:v>
      </x:c>
      <x:c r="M1773" s="65" t="str">
        <x:v>赢</x:v>
      </x:c>
      <x:c r="N1773" s="67" t="n">
        <x:v>-1</x:v>
      </x:c>
      <x:c r="O1773" s="67" t="n">
        <x:v>1</x:v>
      </x:c>
      <x:c r="P1773" s="67" t="n">
        <x:f>IF(COUNT(N1773:O1773)=0,"",SUM(N1773:O1773))</x:f>
        <x:v>0</x:v>
      </x:c>
      <x:c r="Q1773" s="65"/>
      <x:c r="R1773" s="65" t="str">
        <x:v>比分0-1</x:v>
      </x:c>
    </x:row>
    <x:row r="1774" ht="24" customHeight="1">
      <x:c r="A1774" s="65" t="str">
        <x:f>IF(B1774="","",TEXT(B1774,"yyyy-mm-dd")&amp;"|"&amp;D1774&amp;"|"&amp;E1774)</x:f>
        <x:v>2026-03-29|普罗格雷索（CA Progreso）|蒙得维的亚利物浦（Liverpool FC Montevideo）</x:v>
      </x:c>
      <x:c r="B1774" s="66" t="n">
        <x:v>46110.875</x:v>
      </x:c>
      <x:c r="C1774" s="65" t="str">
        <x:v>乌拉圭甲级联赛（Campeonato Uruguayo·Primera División）</x:v>
      </x:c>
      <x:c r="D1774" s="65" t="str">
        <x:v>普罗格雷索（CA Progreso）</x:v>
      </x:c>
      <x:c r="E1774" s="65" t="str">
        <x:v>蒙得维的亚利物浦（Liverpool FC Montevideo）</x:v>
      </x:c>
      <x:c r="F1774" s="65" t="str">
        <x:v>蒙得维的亚利物浦 -0.25（约0.90）</x:v>
      </x:c>
      <x:c r="G1774" s="65" t="str">
        <x:v>小 2.5（0.91）</x:v>
      </x:c>
      <x:c r="H1774" s="65" t="str">
        <x:v>无</x:v>
      </x:c>
      <x:c r="I1774" s="66" t="n">
        <x:v>46110.861446759256</x:v>
      </x:c>
      <x:c r="J1774" s="65" t="str">
        <x:v>已结算</x:v>
      </x:c>
      <x:c r="K1774" s="65" t="str">
        <x:v>3-3</x:v>
      </x:c>
      <x:c r="L1774" s="65" t="str">
        <x:v>输</x:v>
      </x:c>
      <x:c r="M1774" s="65" t="str">
        <x:v>输</x:v>
      </x:c>
      <x:c r="N1774" s="67" t="n">
        <x:v>-1</x:v>
      </x:c>
      <x:c r="O1774" s="67" t="n">
        <x:v>-1</x:v>
      </x:c>
      <x:c r="P1774" s="67" t="n">
        <x:f>IF(COUNT(N1774:O1774)=0,"",SUM(N1774:O1774))</x:f>
        <x:v>-2</x:v>
      </x:c>
      <x:c r="Q1774" s="65" t="str">
        <x:v>https://www.flashscoreusa.com/game/soccer/liverpool-m-0KuKBKxT/progreso-2TRo7vop/ | https://www.365scores.com/football/match/uruguayan-championship-617/liverpool-montevideo-progreso-8358-10191-617 | 查询时间：2026-07-15 23:40（北京时间）</x:v>
      </x:c>
      <x:c r="R1774" s="65" t="str">
        <x:v>历史积压补结：赛程实际于3月31日完成，90分钟3-3；利物浦-0.25与小2.5均未打出。</x:v>
      </x:c>
    </x:row>
    <x:row r="1775" ht="24" customHeight="1">
      <x:c r="A1775" s="65" t="str">
        <x:f>IF(B1775="","",TEXT(B1775,"yyyy-mm-dd")&amp;"|"&amp;D1775&amp;"|"&amp;E1775)</x:f>
        <x:v>2026-03-29|埃瓦尔（SD Eibar）|拉斯帕尔马斯（UD Las Palmas）</x:v>
      </x:c>
      <x:c r="B1775" s="66" t="n">
        <x:v>46110.833333333336</x:v>
      </x:c>
      <x:c r="C1775" s="65" t="str">
        <x:v>西班牙乙级联赛</x:v>
      </x:c>
      <x:c r="D1775" s="65" t="str">
        <x:v>埃瓦尔（SD Eibar）</x:v>
      </x:c>
      <x:c r="E1775" s="65" t="str">
        <x:v>拉斯帕尔马斯（UD Las Palmas）</x:v>
      </x:c>
      <x:c r="F1775" s="65" t="str">
        <x:v>埃瓦尔 -0.25（1.03）</x:v>
      </x:c>
      <x:c r="G1775" s="65" t="str">
        <x:v>小 2.0（0.93）</x:v>
      </x:c>
      <x:c r="H1775" s="65" t="str">
        <x:v>无</x:v>
      </x:c>
      <x:c r="I1775" s="66" t="n">
        <x:v>46110.78532407407</x:v>
      </x:c>
      <x:c r="J1775" s="65" t="str">
        <x:v>已结算</x:v>
      </x:c>
      <x:c r="K1775" s="65"/>
      <x:c r="L1775" s="65" t="str">
        <x:v>赢</x:v>
      </x:c>
      <x:c r="M1775" s="65" t="str">
        <x:v>输</x:v>
      </x:c>
      <x:c r="N1775" s="67" t="n">
        <x:v>1</x:v>
      </x:c>
      <x:c r="O1775" s="67" t="n">
        <x:v>-1</x:v>
      </x:c>
      <x:c r="P1775" s="67" t="n">
        <x:f>IF(COUNT(N1775:O1775)=0,"",SUM(N1775:O1775))</x:f>
        <x:v>0</x:v>
      </x:c>
      <x:c r="Q1775" s="65"/>
      <x:c r="R1775" s="65" t="str">
        <x:v>比分3-1</x:v>
      </x:c>
    </x:row>
    <x:row r="1776" ht="24" customHeight="1">
      <x:c r="A1776" s="65" t="str">
        <x:f>IF(B1776="","",TEXT(B1776,"yyyy-mm-dd")&amp;"|"&amp;D1776&amp;"|"&amp;E1776)</x:f>
        <x:v>2026-03-29|巴日托普特拉（PS Barito Putera）|佩尔西库库杜斯（Persiku Kudus）</x:v>
      </x:c>
      <x:c r="B1776" s="66" t="n">
        <x:v>46110.6875</x:v>
      </x:c>
      <x:c r="C1776" s="65" t="str">
        <x:v>印度尼西亚超级联赛（印尼超/Liga 1 Indonesia）</x:v>
      </x:c>
      <x:c r="D1776" s="65" t="str">
        <x:v>巴日托普特拉（PS Barito Putera）</x:v>
      </x:c>
      <x:c r="E1776" s="65" t="str">
        <x:v>佩尔西库库杜斯（Persiku Kudus）</x:v>
      </x:c>
      <x:c r="F1776" s="65" t="str">
        <x:v>佩尔西库库杜斯 +0.75（1.06）</x:v>
      </x:c>
      <x:c r="G1776" s="65" t="str">
        <x:v>小 2.25（1.25）</x:v>
      </x:c>
      <x:c r="H1776" s="65" t="str">
        <x:v>巴日托普特拉 胜且小 3.5（保守串联思路）</x:v>
      </x:c>
      <x:c r="I1776" s="66" t="n">
        <x:v>46110.70569444444</x:v>
      </x:c>
      <x:c r="J1776" s="65" t="str">
        <x:v>已结算</x:v>
      </x:c>
      <x:c r="K1776" s="65" t="str">
        <x:v>1-1</x:v>
      </x:c>
      <x:c r="L1776" s="65" t="str">
        <x:v>赢</x:v>
      </x:c>
      <x:c r="M1776" s="65" t="str">
        <x:v>赢半</x:v>
      </x:c>
      <x:c r="N1776" s="67" t="n">
        <x:v>1</x:v>
      </x:c>
      <x:c r="O1776" s="67" t="n">
        <x:v>0.5</x:v>
      </x:c>
      <x:c r="P1776" s="67" t="n">
        <x:f>IF(COUNT(N1776:O1776)=0,"",SUM(N1776:O1776))</x:f>
        <x:v>1.5</x:v>
      </x:c>
      <x:c r="Q1776" s="65"/>
      <x:c r="R1776" s="65" t="str">
        <x:v>复核赛果：巴日托普特拉（PS Barito Putera） 1-1 佩尔西库库杜斯（Persiku Kudus）；让球：佩尔西库库杜斯 +0.75=赢；大小：小2.25=赢半。</x:v>
      </x:c>
    </x:row>
    <x:row r="1777" ht="24" customHeight="1">
      <x:c r="A1777" s="65" t="str">
        <x:f>IF(B1777="","",TEXT(B1777,"yyyy-mm-dd")&amp;"|"&amp;D1777&amp;"|"&amp;E1777)</x:f>
        <x:v>2026-03-29|大邱FC（Daegu FC）|首尔衣恋（Seoul E-Land）</x:v>
      </x:c>
      <x:c r="B1777" s="66" t="n">
        <x:v>46110.645833333336</x:v>
      </x:c>
      <x:c r="C1777" s="65" t="str">
        <x:v>韩国K2联赛</x:v>
      </x:c>
      <x:c r="D1777" s="65" t="str">
        <x:v>大邱FC（Daegu FC）</x:v>
      </x:c>
      <x:c r="E1777" s="65" t="str">
        <x:v>首尔衣恋（Seoul E-Land）</x:v>
      </x:c>
      <x:c r="F1777" s="65" t="str">
        <x:v>大邱FC -0.25（1.00）</x:v>
      </x:c>
      <x:c r="G1777" s="65" t="str">
        <x:v>大 2.75（0.93）</x:v>
      </x:c>
      <x:c r="H1777" s="65" t="str">
        <x:v>无</x:v>
      </x:c>
      <x:c r="I1777" s="66" t="n">
        <x:v>46110.64518518518</x:v>
      </x:c>
      <x:c r="J1777" s="65" t="str">
        <x:v>已结算</x:v>
      </x:c>
      <x:c r="K1777" s="65"/>
      <x:c r="L1777" s="65" t="str">
        <x:v>输</x:v>
      </x:c>
      <x:c r="M1777" s="65" t="str">
        <x:v>赢</x:v>
      </x:c>
      <x:c r="N1777" s="67" t="n">
        <x:v>-1</x:v>
      </x:c>
      <x:c r="O1777" s="67" t="n">
        <x:v>1</x:v>
      </x:c>
      <x:c r="P1777" s="67" t="n">
        <x:f>IF(COUNT(N1777:O1777)=0,"",SUM(N1777:O1777))</x:f>
        <x:v>0</x:v>
      </x:c>
      <x:c r="Q1777" s="65"/>
      <x:c r="R1777" s="65" t="str">
        <x:v>比分1-3</x:v>
      </x:c>
    </x:row>
    <x:row r="1778" ht="24" customHeight="1">
      <x:c r="A1778" s="65" t="str">
        <x:f>IF(B1778="","",TEXT(B1778,"yyyy-mm-dd")&amp;"|"&amp;D1778&amp;"|"&amp;E1778)</x:f>
        <x:v>2026-03-29|秋田蓝闪电（Blaublitz Akita）|仙台七夕（Vegalta Sendai）</x:v>
      </x:c>
      <x:c r="B1778" s="66" t="n">
        <x:v>46110.54375</x:v>
      </x:c>
      <x:c r="C1778" s="65" t="str">
        <x:v>日职 明治安田J2·J3百年构想联赛</x:v>
      </x:c>
      <x:c r="D1778" s="65" t="str">
        <x:v>秋田蓝闪电（Blaublitz Akita）</x:v>
      </x:c>
      <x:c r="E1778" s="65" t="str">
        <x:v>仙台七夕（Vegalta Sendai）</x:v>
      </x:c>
      <x:c r="F1778" s="65" t="str">
        <x:v>仙台七夕 平手（0.85）</x:v>
      </x:c>
      <x:c r="G1778" s="65" t="str">
        <x:v>小 2/2.5（0.80）</x:v>
      </x:c>
      <x:c r="H1778" s="65" t="str">
        <x:v>无</x:v>
      </x:c>
      <x:c r="I1778" s="66" t="n">
        <x:v>46110.522152777776</x:v>
      </x:c>
      <x:c r="J1778" s="65" t="str">
        <x:v>已结算</x:v>
      </x:c>
      <x:c r="K1778" s="65"/>
      <x:c r="L1778" s="65" t="str">
        <x:v>走水</x:v>
      </x:c>
      <x:c r="M1778" s="65" t="str">
        <x:v>赢</x:v>
      </x:c>
      <x:c r="N1778" s="67" t="n">
        <x:v>0</x:v>
      </x:c>
      <x:c r="O1778" s="67" t="n">
        <x:v>1</x:v>
      </x:c>
      <x:c r="P1778" s="67" t="n">
        <x:f>IF(COUNT(N1778:O1778)=0,"",SUM(N1778:O1778))</x:f>
        <x:v>1</x:v>
      </x:c>
      <x:c r="Q1778" s="65"/>
      <x:c r="R1778" s="65" t="str">
        <x:v>常规时间比分0-0</x:v>
      </x:c>
    </x:row>
    <x:row r="1779" ht="24" customHeight="1">
      <x:c r="A1779" s="65" t="str">
        <x:f>IF(B1779="","",TEXT(B1779,"yyyy-mm-dd")&amp;"|"&amp;D1779&amp;"|"&amp;E1779)</x:f>
        <x:v>2026-03-29|黑镇市（Blacktown City）|SD公鹿（SD Raiders）</x:v>
      </x:c>
      <x:c r="B1779" s="66" t="n">
        <x:v>46110.5</x:v>
      </x:c>
      <x:c r="C1779" s="65" t="str">
        <x:v>澳大利亚 维多利亚州超级联赛1（VPL1）</x:v>
      </x:c>
      <x:c r="D1779" s="65" t="str">
        <x:v>黑镇市（Blacktown City）</x:v>
      </x:c>
      <x:c r="E1779" s="65" t="str">
        <x:v>SD公鹿（SD Raiders）</x:v>
      </x:c>
      <x:c r="F1779" s="65" t="str">
        <x:v>黑镇市 -0.5（0.93）</x:v>
      </x:c>
      <x:c r="G1779" s="65" t="str">
        <x:v>小 3.5（0.82）</x:v>
      </x:c>
      <x:c r="H1779" s="65" t="str">
        <x:v>无</x:v>
      </x:c>
      <x:c r="I1779" s="66" t="n">
        <x:v>46110.5162037037</x:v>
      </x:c>
      <x:c r="J1779" s="65" t="str">
        <x:v>已结算</x:v>
      </x:c>
      <x:c r="K1779" s="65"/>
      <x:c r="L1779" s="65" t="str">
        <x:v>输</x:v>
      </x:c>
      <x:c r="M1779" s="65" t="str">
        <x:v>赢</x:v>
      </x:c>
      <x:c r="N1779" s="67" t="n">
        <x:v>-1</x:v>
      </x:c>
      <x:c r="O1779" s="67" t="n">
        <x:v>1</x:v>
      </x:c>
      <x:c r="P1779" s="67" t="n">
        <x:f>IF(COUNT(N1779:O1779)=0,"",SUM(N1779:O1779))</x:f>
        <x:v>0</x:v>
      </x:c>
      <x:c r="Q1779" s="65"/>
      <x:c r="R1779" s="65" t="str">
        <x:v>比分1-2</x:v>
      </x:c>
    </x:row>
    <x:row r="1780" ht="24" customHeight="1">
      <x:c r="A1780" s="65" t="str">
        <x:f>IF(B1780="","",TEXT(B1780,"yyyy-mm-dd")&amp;"|"&amp;D1780&amp;"|"&amp;E1780)</x:f>
        <x:v>2026-03-29|西部联青年队（Western United Reserves Youth）|布伦瑞克尤文图斯（Brunswick Juventus）</x:v>
      </x:c>
      <x:c r="B1780" s="66" t="n">
        <x:v>46110.458333333336</x:v>
      </x:c>
      <x:c r="C1780" s="65" t="str">
        <x:v>澳大利亚 维多利亚州超级联赛1（VPL1）</x:v>
      </x:c>
      <x:c r="D1780" s="65" t="str">
        <x:v>西部联青年队（Western United Reserves Youth）</x:v>
      </x:c>
      <x:c r="E1780" s="65" t="str">
        <x:v>布伦瑞克尤文图斯（Brunswick Juventus）</x:v>
      </x:c>
      <x:c r="F1780" s="65" t="str">
        <x:v>西部联青年队 +0.25（0.84）</x:v>
      </x:c>
      <x:c r="G1780" s="65" t="str">
        <x:v>大 2.75（0.95）</x:v>
      </x:c>
      <x:c r="H1780" s="65" t="str">
        <x:v>无</x:v>
      </x:c>
      <x:c r="I1780" s="66" t="n">
        <x:v>46110.49229166667</x:v>
      </x:c>
      <x:c r="J1780" s="65" t="str">
        <x:v>已结算</x:v>
      </x:c>
      <x:c r="K1780" s="65"/>
      <x:c r="L1780" s="65" t="str">
        <x:v>输</x:v>
      </x:c>
      <x:c r="M1780" s="65" t="str">
        <x:v>赢</x:v>
      </x:c>
      <x:c r="N1780" s="67" t="n">
        <x:v>-1</x:v>
      </x:c>
      <x:c r="O1780" s="67" t="n">
        <x:v>1</x:v>
      </x:c>
      <x:c r="P1780" s="67" t="n">
        <x:f>IF(COUNT(N1780:O1780)=0,"",SUM(N1780:O1780))</x:f>
        <x:v>0</x:v>
      </x:c>
      <x:c r="Q1780" s="65"/>
      <x:c r="R1780" s="65" t="str">
        <x:v>比分2-3</x:v>
      </x:c>
    </x:row>
    <x:row r="1781" ht="24" customHeight="1">
      <x:c r="A1781" s="65" t="str">
        <x:f>IF(B1781="","",TEXT(B1781,"yyyy-mm-dd")&amp;"|"&amp;D1781&amp;"|"&amp;E1781)</x:f>
        <x:v>2026-03-29|卡利体育会（Deportivo Cali）|佩雷拉体育（Deportivo Pereira）</x:v>
      </x:c>
      <x:c r="B1781" s="66" t="n">
        <x:v>46110.38888888889</x:v>
      </x:c>
      <x:c r="C1781" s="65" t="str">
        <x:v>哥伦比亚甲级联赛（Liga BetPlay DIMAYOR）</x:v>
      </x:c>
      <x:c r="D1781" s="65" t="str">
        <x:v>卡利体育会（Deportivo Cali）</x:v>
      </x:c>
      <x:c r="E1781" s="65" t="str">
        <x:v>佩雷拉体育（Deportivo Pereira）</x:v>
      </x:c>
      <x:c r="F1781" s="65" t="str">
        <x:v>卡利体育会 -1.25（0.85）</x:v>
      </x:c>
      <x:c r="G1781" s="65" t="str">
        <x:v>小 2.5（0.83）</x:v>
      </x:c>
      <x:c r="H1781" s="65" t="str">
        <x:v>无</x:v>
      </x:c>
      <x:c r="I1781" s="66" t="n">
        <x:v>46110.36505787037</x:v>
      </x:c>
      <x:c r="J1781" s="65" t="str">
        <x:v>已结算</x:v>
      </x:c>
      <x:c r="K1781" s="65"/>
      <x:c r="L1781" s="65" t="str">
        <x:v>输半</x:v>
      </x:c>
      <x:c r="M1781" s="65" t="str">
        <x:v>赢</x:v>
      </x:c>
      <x:c r="N1781" s="67" t="n">
        <x:v>-0.5</x:v>
      </x:c>
      <x:c r="O1781" s="67" t="n">
        <x:v>1</x:v>
      </x:c>
      <x:c r="P1781" s="67" t="n">
        <x:f>IF(COUNT(N1781:O1781)=0,"",SUM(N1781:O1781))</x:f>
        <x:v>0.5</x:v>
      </x:c>
      <x:c r="Q1781" s="65"/>
      <x:c r="R1781" s="65" t="str">
        <x:v>比分1-0</x:v>
      </x:c>
    </x:row>
    <x:row r="1782" ht="24" customHeight="1">
      <x:c r="A1782" s="65" t="str">
        <x:f>IF(B1782="","",TEXT(B1782,"yyyy-mm-dd")&amp;"|"&amp;D1782&amp;"|"&amp;E1782)</x:f>
        <x:v>2026-03-29|坎昆FC（Cancún FC）|特帕蒂特兰FC（Tepatitlán FC）</x:v>
      </x:c>
      <x:c r="B1782" s="66" t="n">
        <x:v>46110.375</x:v>
      </x:c>
      <x:c r="C1782" s="65" t="str">
        <x:v>墨西哥甲级扩展联赛（Liga de Expansión MX）</x:v>
      </x:c>
      <x:c r="D1782" s="65" t="str">
        <x:v>坎昆FC（Cancún FC）</x:v>
      </x:c>
      <x:c r="E1782" s="65" t="str">
        <x:v>特帕蒂特兰FC（Tepatitlán FC）</x:v>
      </x:c>
      <x:c r="F1782" s="65" t="str">
        <x:v>坎昆FC 平手（0.80）</x:v>
      </x:c>
      <x:c r="G1782" s="65" t="str">
        <x:v>小 2.5（0.86）</x:v>
      </x:c>
      <x:c r="H1782" s="65" t="str">
        <x:v>无</x:v>
      </x:c>
      <x:c r="I1782" s="66" t="n">
        <x:v>46110.39226851852</x:v>
      </x:c>
      <x:c r="J1782" s="65" t="str">
        <x:v>已结算</x:v>
      </x:c>
      <x:c r="K1782" s="65" t="str">
        <x:v>2-2</x:v>
      </x:c>
      <x:c r="L1782" s="65" t="str">
        <x:v>走水</x:v>
      </x:c>
      <x:c r="M1782" s="65" t="str">
        <x:v>输</x:v>
      </x:c>
      <x:c r="N1782" s="67" t="n">
        <x:v>0</x:v>
      </x:c>
      <x:c r="O1782" s="67" t="n">
        <x:v>-1</x:v>
      </x:c>
      <x:c r="P1782" s="67" t="n">
        <x:f>IF(COUNT(N1782:O1782)=0,"",SUM(N1782:O1782))</x:f>
        <x:v>-1</x:v>
      </x:c>
      <x:c r="Q1782" s="65"/>
      <x:c r="R1782" s="65" t="str">
        <x:v>复核赛果：坎昆FC（Cancún FC） 2-2 特帕蒂特兰FC（Tepatitlán FC）；让球：坎昆FC 平手（DNB）=走水；大小：小2.5=输。</x:v>
      </x:c>
    </x:row>
    <x:row r="1783" ht="24" customHeight="1">
      <x:c r="A1783" s="65" t="str">
        <x:f>IF(B1783="","",TEXT(B1783,"yyyy-mm-dd")&amp;"|"&amp;D1783&amp;"|"&amp;E1783)</x:f>
        <x:v>2026-03-29|莫雷利亚竞技（Atlético Morelia）|伊拉普阿托（Irapuato）</x:v>
      </x:c>
      <x:c r="B1783" s="66" t="n">
        <x:v>46110.375</x:v>
      </x:c>
      <x:c r="C1783" s="65" t="str">
        <x:v>墨西哥甲级扩展联赛（Liga de Expansión MX）</x:v>
      </x:c>
      <x:c r="D1783" s="65" t="str">
        <x:v>莫雷利亚竞技（Atlético Morelia）</x:v>
      </x:c>
      <x:c r="E1783" s="65" t="str">
        <x:v>伊拉普阿托（Irapuato）</x:v>
      </x:c>
      <x:c r="F1783" s="65" t="str">
        <x:v>莫雷利亚竞技 -0.5（0.97）</x:v>
      </x:c>
      <x:c r="G1783" s="65" t="str">
        <x:v>大 2.5（0.85）</x:v>
      </x:c>
      <x:c r="H1783" s="65" t="str">
        <x:v>无</x:v>
      </x:c>
      <x:c r="I1783" s="66" t="n">
        <x:v>46110.38805555556</x:v>
      </x:c>
      <x:c r="J1783" s="65" t="str">
        <x:v>已结算</x:v>
      </x:c>
      <x:c r="K1783" s="65"/>
      <x:c r="L1783" s="65" t="str">
        <x:v>赢</x:v>
      </x:c>
      <x:c r="M1783" s="65" t="str">
        <x:v>输</x:v>
      </x:c>
      <x:c r="N1783" s="67" t="n">
        <x:v>1</x:v>
      </x:c>
      <x:c r="O1783" s="67" t="n">
        <x:v>-1</x:v>
      </x:c>
      <x:c r="P1783" s="67" t="n">
        <x:f>IF(COUNT(N1783:O1783)=0,"",SUM(N1783:O1783))</x:f>
        <x:v>0</x:v>
      </x:c>
      <x:c r="Q1783" s="65"/>
      <x:c r="R1783" s="65" t="str">
        <x:v>比分2-0</x:v>
      </x:c>
    </x:row>
    <x:row r="1784" ht="24" customHeight="1">
      <x:c r="A1784" s="65" t="str">
        <x:f>IF(B1784="","",TEXT(B1784,"yyyy-mm-dd")&amp;"|"&amp;D1784&amp;"|"&amp;E1784)</x:f>
        <x:v>2026-03-29|多拉多斯（Dorados de Sinaloa）|克雷卡米诺斯（Correcaminos UAT）</x:v>
      </x:c>
      <x:c r="B1784" s="66" t="n">
        <x:v>46110.375</x:v>
      </x:c>
      <x:c r="C1784" s="65" t="str">
        <x:v>墨西哥甲级扩展联赛（Liga de Expansión MX）</x:v>
      </x:c>
      <x:c r="D1784" s="65" t="str">
        <x:v>多拉多斯（Dorados de Sinaloa）</x:v>
      </x:c>
      <x:c r="E1784" s="65" t="str">
        <x:v>克雷卡米诺斯（Correcaminos UAT）</x:v>
      </x:c>
      <x:c r="F1784" s="65" t="str">
        <x:v>克雷卡米诺斯 -0.25（1.10）</x:v>
      </x:c>
      <x:c r="G1784" s="65" t="str">
        <x:v>小 2.5（0.83）</x:v>
      </x:c>
      <x:c r="H1784" s="65" t="str">
        <x:v>克雷卡米诺斯 平手（1.11）</x:v>
      </x:c>
      <x:c r="I1784" s="66" t="n">
        <x:v>46110.38150462963</x:v>
      </x:c>
      <x:c r="J1784" s="65" t="str">
        <x:v>已结算</x:v>
      </x:c>
      <x:c r="K1784" s="65"/>
      <x:c r="L1784" s="65" t="str">
        <x:v>输</x:v>
      </x:c>
      <x:c r="M1784" s="65" t="str">
        <x:v>输</x:v>
      </x:c>
      <x:c r="N1784" s="67" t="n">
        <x:v>-1</x:v>
      </x:c>
      <x:c r="O1784" s="67" t="n">
        <x:v>-1</x:v>
      </x:c>
      <x:c r="P1784" s="67" t="n">
        <x:f>IF(COUNT(N1784:O1784)=0,"",SUM(N1784:O1784))</x:f>
        <x:v>-2</x:v>
      </x:c>
      <x:c r="Q1784" s="65"/>
      <x:c r="R1784" s="65" t="str">
        <x:v>比分2-1</x:v>
      </x:c>
    </x:row>
    <x:row r="1785" ht="24" customHeight="1">
      <x:c r="A1785" s="65" t="str">
        <x:f>IF(B1785="","",TEXT(B1785,"yyyy-mm-dd")&amp;"|"&amp;D1785&amp;"|"&amp;E1785)</x:f>
        <x:v>2026-03-29|托利马体育（Deportes Tolima）|科尔多瓦美洲虎（Jaguares de Córdoba）</x:v>
      </x:c>
      <x:c r="B1785" s="66" t="n">
        <x:v>46110.29861111111</x:v>
      </x:c>
      <x:c r="C1785" s="65" t="str">
        <x:v>哥伦比亚甲级联赛（Liga BetPlay DIMAYOR）</x:v>
      </x:c>
      <x:c r="D1785" s="65" t="str">
        <x:v>托利马体育（Deportes Tolima）</x:v>
      </x:c>
      <x:c r="E1785" s="65" t="str">
        <x:v>科尔多瓦美洲虎（Jaguares de Córdoba）</x:v>
      </x:c>
      <x:c r="F1785" s="65" t="str">
        <x:v>托利马体育 -1.25（0.90）</x:v>
      </x:c>
      <x:c r="G1785" s="65" t="str">
        <x:v>小 2.25（0.98）</x:v>
      </x:c>
      <x:c r="H1785" s="65" t="str">
        <x:v>半场小 1.0（0.80）</x:v>
      </x:c>
      <x:c r="I1785" s="66" t="n">
        <x:v>46110.26980324074</x:v>
      </x:c>
      <x:c r="J1785" s="65" t="str">
        <x:v>已结算</x:v>
      </x:c>
      <x:c r="K1785" s="65"/>
      <x:c r="L1785" s="65" t="str">
        <x:v>赢</x:v>
      </x:c>
      <x:c r="M1785" s="65" t="str">
        <x:v>输</x:v>
      </x:c>
      <x:c r="N1785" s="67" t="n">
        <x:v>1</x:v>
      </x:c>
      <x:c r="O1785" s="67" t="n">
        <x:v>-1</x:v>
      </x:c>
      <x:c r="P1785" s="67" t="n">
        <x:f>IF(COUNT(N1785:O1785)=0,"",SUM(N1785:O1785))</x:f>
        <x:v>0</x:v>
      </x:c>
      <x:c r="Q1785" s="65"/>
      <x:c r="R1785" s="65" t="str">
        <x:v>比分3-1</x:v>
      </x:c>
    </x:row>
    <x:row r="1786" ht="24" customHeight="1">
      <x:c r="A1786" s="65" t="str">
        <x:f>IF(B1786="","",TEXT(B1786,"yyyy-mm-dd")&amp;"|"&amp;D1786&amp;"|"&amp;E1786)</x:f>
        <x:v>2026-03-29|塞内加尔|秘鲁</x:v>
      </x:c>
      <x:c r="B1786" s="66" t="n">
        <x:v>46110</x:v>
      </x:c>
      <x:c r="C1786" s="65" t="str">
        <x:v>国际友谊赛</x:v>
      </x:c>
      <x:c r="D1786" s="65" t="str">
        <x:v>塞内加尔</x:v>
      </x:c>
      <x:c r="E1786" s="65" t="str">
        <x:v>秘鲁</x:v>
      </x:c>
      <x:c r="F1786" s="65" t="str">
        <x:v>秘鲁 +1</x:v>
      </x:c>
      <x:c r="G1786" s="65" t="str">
        <x:v>小2.5</x:v>
      </x:c>
      <x:c r="H1786" s="65" t="str">
        <x:v>小2（激进）</x:v>
      </x:c>
      <x:c r="I1786" s="66" t="n">
        <x:v>46110.271203703705</x:v>
      </x:c>
      <x:c r="J1786" s="65" t="str">
        <x:v>已结算</x:v>
      </x:c>
      <x:c r="K1786" s="65"/>
      <x:c r="L1786" s="65" t="str">
        <x:v>输</x:v>
      </x:c>
      <x:c r="M1786" s="65" t="str">
        <x:v>赢</x:v>
      </x:c>
      <x:c r="N1786" s="67" t="n">
        <x:v>-1</x:v>
      </x:c>
      <x:c r="O1786" s="67" t="n">
        <x:v>1</x:v>
      </x:c>
      <x:c r="P1786" s="67" t="n">
        <x:f>IF(COUNT(N1786:O1786)=0,"",SUM(N1786:O1786))</x:f>
        <x:v>0</x:v>
      </x:c>
      <x:c r="Q1786" s="65"/>
      <x:c r="R1786" s="65" t="str">
        <x:v>比分2-0</x:v>
      </x:c>
    </x:row>
    <x:row r="1787" ht="24" customHeight="1">
      <x:c r="A1787" s="65" t="str">
        <x:f>IF(B1787="","",TEXT(B1787,"yyyy-mm-dd")&amp;"|"&amp;D1787&amp;"|"&amp;E1787)</x:f>
        <x:v>2026-03-28|韩国|科特迪瓦</x:v>
      </x:c>
      <x:c r="B1787" s="66" t="n">
        <x:v>46109.916666666664</x:v>
      </x:c>
      <x:c r="C1787" s="65" t="str">
        <x:v>国际友谊赛</x:v>
      </x:c>
      <x:c r="D1787" s="65" t="str">
        <x:v>韩国</x:v>
      </x:c>
      <x:c r="E1787" s="65" t="str">
        <x:v>科特迪瓦</x:v>
      </x:c>
      <x:c r="F1787" s="65" t="str">
        <x:v>韩国 0</x:v>
      </x:c>
      <x:c r="G1787" s="65" t="str">
        <x:v>大2.5</x:v>
      </x:c>
      <x:c r="H1787" s="65" t="str">
        <x:v>双方进球 是</x:v>
      </x:c>
      <x:c r="I1787" s="66" t="n">
        <x:v>46109.89010416667</x:v>
      </x:c>
      <x:c r="J1787" s="65" t="str">
        <x:v>已结算</x:v>
      </x:c>
      <x:c r="K1787" s="65"/>
      <x:c r="L1787" s="65" t="str">
        <x:v>输</x:v>
      </x:c>
      <x:c r="M1787" s="65" t="str">
        <x:v>赢</x:v>
      </x:c>
      <x:c r="N1787" s="67" t="n">
        <x:v>-1</x:v>
      </x:c>
      <x:c r="O1787" s="67" t="n">
        <x:v>1</x:v>
      </x:c>
      <x:c r="P1787" s="67" t="n">
        <x:f>IF(COUNT(N1787:O1787)=0,"",SUM(N1787:O1787))</x:f>
        <x:v>0</x:v>
      </x:c>
      <x:c r="Q1787" s="65"/>
      <x:c r="R1787" s="65" t="str">
        <x:v>比分0-4</x:v>
      </x:c>
    </x:row>
    <x:row r="1788" ht="24" customHeight="1">
      <x:c r="A1788" s="65" t="str">
        <x:f>IF(B1788="","",TEXT(B1788,"yyyy-mm-dd")&amp;"|"&amp;D1788&amp;"|"&amp;E1788)</x:f>
        <x:v>2026-03-28|戴阿内拉白鹰|湾水市</x:v>
      </x:c>
      <x:c r="B1788" s="66" t="n">
        <x:v>46109.791666666664</x:v>
      </x:c>
      <x:c r="C1788" s="65" t="str">
        <x:v>澳大利亚 维多利亚州超级联赛1（VPL1）</x:v>
      </x:c>
      <x:c r="D1788" s="65" t="str">
        <x:v>戴阿内拉白鹰</x:v>
      </x:c>
      <x:c r="E1788" s="65" t="str">
        <x:v>湾水市</x:v>
      </x:c>
      <x:c r="F1788" s="65" t="str">
        <x:v>湾水市 -0.75</x:v>
      </x:c>
      <x:c r="G1788" s="65" t="str">
        <x:v>大3.5</x:v>
      </x:c>
      <x:c r="H1788" s="65" t="str">
        <x:v>湾水市 -1（激进）</x:v>
      </x:c>
      <x:c r="I1788" s="66" t="n">
        <x:v>46109.83511574074</x:v>
      </x:c>
      <x:c r="J1788" s="65" t="str">
        <x:v>已结算</x:v>
      </x:c>
      <x:c r="K1788" s="65"/>
      <x:c r="L1788" s="65" t="str">
        <x:v>输</x:v>
      </x:c>
      <x:c r="M1788" s="65" t="str">
        <x:v>输</x:v>
      </x:c>
      <x:c r="N1788" s="67" t="n">
        <x:v>-1</x:v>
      </x:c>
      <x:c r="O1788" s="67" t="n">
        <x:v>-1</x:v>
      </x:c>
      <x:c r="P1788" s="67" t="n">
        <x:f>IF(COUNT(N1788:O1788)=0,"",SUM(N1788:O1788))</x:f>
        <x:v>-2</x:v>
      </x:c>
      <x:c r="Q1788" s="65"/>
      <x:c r="R1788" s="65" t="str">
        <x:v>比分2-0</x:v>
      </x:c>
    </x:row>
    <x:row r="1789" ht="24" customHeight="1">
      <x:c r="A1789" s="65" t="str">
        <x:f>IF(B1789="","",TEXT(B1789,"yyyy-mm-dd")&amp;"|"&amp;D1789&amp;"|"&amp;E1789)</x:f>
        <x:v>2026-03-28|阿尔托纳魔法|格林古利</x:v>
      </x:c>
      <x:c r="B1789" s="66" t="n">
        <x:v>46109.635416666664</x:v>
      </x:c>
      <x:c r="C1789" s="65" t="str">
        <x:v>澳大利亚 维多利亚州超级联赛1（VPL1）</x:v>
      </x:c>
      <x:c r="D1789" s="65" t="str">
        <x:v>阿尔托纳魔法</x:v>
      </x:c>
      <x:c r="E1789" s="65" t="str">
        <x:v>格林古利</x:v>
      </x:c>
      <x:c r="F1789" s="65" t="str">
        <x:v>阿尔托纳魔法 0</x:v>
      </x:c>
      <x:c r="G1789" s="65" t="str">
        <x:v>小2.75</x:v>
      </x:c>
      <x:c r="H1789" s="65" t="str">
        <x:v>阿尔托纳魔法上半场进球</x:v>
      </x:c>
      <x:c r="I1789" s="66" t="n">
        <x:v>46109.5890162037</x:v>
      </x:c>
      <x:c r="J1789" s="65" t="str">
        <x:v>已结算</x:v>
      </x:c>
      <x:c r="K1789" s="65"/>
      <x:c r="L1789" s="65" t="str">
        <x:v>走水</x:v>
      </x:c>
      <x:c r="M1789" s="65" t="str">
        <x:v>赢</x:v>
      </x:c>
      <x:c r="N1789" s="67" t="n">
        <x:v>0</x:v>
      </x:c>
      <x:c r="O1789" s="67" t="n">
        <x:v>1</x:v>
      </x:c>
      <x:c r="P1789" s="67" t="n">
        <x:f>IF(COUNT(N1789:O1789)=0,"",SUM(N1789:O1789))</x:f>
        <x:v>1</x:v>
      </x:c>
      <x:c r="Q1789" s="65"/>
      <x:c r="R1789" s="65" t="str">
        <x:v>比分1-1</x:v>
      </x:c>
    </x:row>
    <x:row r="1790" ht="24" customHeight="1">
      <x:c r="A1790" s="65" t="str">
        <x:f>IF(B1790="","",TEXT(B1790,"yyyy-mm-dd")&amp;"|"&amp;D1790&amp;"|"&amp;E1790)</x:f>
        <x:v>2026-03-28|卡罗琳FC（Caroline Springs George Cross）|圣奥尔本斯圣特斯</x:v>
      </x:c>
      <x:c r="B1790" s="66" t="n">
        <x:v>46109.625</x:v>
      </x:c>
      <x:c r="C1790" s="65" t="str">
        <x:v>澳大利亚 维多利亚州超级联赛1（VPL1）</x:v>
      </x:c>
      <x:c r="D1790" s="65" t="str">
        <x:v>卡罗琳FC（Caroline Springs George Cross）</x:v>
      </x:c>
      <x:c r="E1790" s="65" t="str">
        <x:v>圣奥尔本斯圣特斯</x:v>
      </x:c>
      <x:c r="F1790" s="65" t="str">
        <x:v>卡罗琳FC（Caroline Springs George Cross） -0.5</x:v>
      </x:c>
      <x:c r="G1790" s="65" t="str">
        <x:v>小2.75</x:v>
      </x:c>
      <x:c r="H1790" s="65" t="str">
        <x:v>双方进球 否</x:v>
      </x:c>
      <x:c r="I1790" s="66" t="n">
        <x:v>46109.63075231481</x:v>
      </x:c>
      <x:c r="J1790" s="65" t="str">
        <x:v>已结算</x:v>
      </x:c>
      <x:c r="K1790" s="65"/>
      <x:c r="L1790" s="65" t="str">
        <x:v>赢</x:v>
      </x:c>
      <x:c r="M1790" s="65" t="str">
        <x:v>输半</x:v>
      </x:c>
      <x:c r="N1790" s="67" t="n">
        <x:v>1</x:v>
      </x:c>
      <x:c r="O1790" s="67" t="n">
        <x:v>-0.5</x:v>
      </x:c>
      <x:c r="P1790" s="67" t="n">
        <x:f>IF(COUNT(N1790:O1790)=0,"",SUM(N1790:O1790))</x:f>
        <x:v>0.5</x:v>
      </x:c>
      <x:c r="Q1790" s="65"/>
      <x:c r="R1790" s="65" t="str">
        <x:v>比分2-1</x:v>
      </x:c>
    </x:row>
    <x:row r="1791" ht="24" customHeight="1">
      <x:c r="A1791" s="65" t="str">
        <x:f>IF(B1791="","",TEXT(B1791,"yyyy-mm-dd")&amp;"|"&amp;D1791&amp;"|"&amp;E1791)</x:f>
        <x:v>2026-03-28|町田泽维亚|川崎前锋</x:v>
      </x:c>
      <x:c r="B1791" s="66" t="n">
        <x:v>46109.541666666664</x:v>
      </x:c>
      <x:c r="C1791" s="65" t="str">
        <x:v>日职联（J1 League）</x:v>
      </x:c>
      <x:c r="D1791" s="65" t="str">
        <x:v>町田泽维亚</x:v>
      </x:c>
      <x:c r="E1791" s="65" t="str">
        <x:v>川崎前锋</x:v>
      </x:c>
      <x:c r="F1791" s="65" t="str">
        <x:v>町田泽维亚 0</x:v>
      </x:c>
      <x:c r="G1791" s="65" t="str">
        <x:v>小2.5</x:v>
      </x:c>
      <x:c r="H1791" s="65" t="str">
        <x:v>上半场平</x:v>
      </x:c>
      <x:c r="I1791" s="66" t="n">
        <x:v>46109.54902777778</x:v>
      </x:c>
      <x:c r="J1791" s="65" t="str">
        <x:v>已结算</x:v>
      </x:c>
      <x:c r="K1791" s="65" t="str">
        <x:v>4-2</x:v>
      </x:c>
      <x:c r="L1791" s="65" t="str">
        <x:v>赢</x:v>
      </x:c>
      <x:c r="M1791" s="65" t="str">
        <x:v>输</x:v>
      </x:c>
      <x:c r="N1791" s="67" t="n">
        <x:v>1</x:v>
      </x:c>
      <x:c r="O1791" s="67" t="n">
        <x:v>-1</x:v>
      </x:c>
      <x:c r="P1791" s="67" t="n">
        <x:f>IF(COUNT(N1791:O1791)=0,"",SUM(N1791:O1791))</x:f>
        <x:v>0</x:v>
      </x:c>
      <x:c r="Q1791" s="65"/>
      <x:c r="R1791" s="65" t="str">
        <x:v>按匹配键重核：外部赛果列显示本场应按 4-2 结算；让球：町田泽维亚 平手（DNB）=赢；大小：小2.5=输。</x:v>
      </x:c>
    </x:row>
    <x:row r="1792" ht="24" customHeight="1">
      <x:c r="A1792" s="65" t="str">
        <x:f>IF(B1792="","",TEXT(B1792,"yyyy-mm-dd")&amp;"|"&amp;D1792&amp;"|"&amp;E1792)</x:f>
        <x:v>2026-03-28|埃文代尔|欧克莱卡诺</x:v>
      </x:c>
      <x:c r="B1792" s="66" t="n">
        <x:v>46109.5</x:v>
      </x:c>
      <x:c r="C1792" s="65" t="str">
        <x:v>澳大利亚 维多利亚州超级联赛1（VPL1）</x:v>
      </x:c>
      <x:c r="D1792" s="65" t="str">
        <x:v>埃文代尔</x:v>
      </x:c>
      <x:c r="E1792" s="65" t="str">
        <x:v>欧克莱卡诺</x:v>
      </x:c>
      <x:c r="F1792" s="65" t="str">
        <x:v>埃文代尔 0</x:v>
      </x:c>
      <x:c r="G1792" s="65" t="str">
        <x:v>大3.5</x:v>
      </x:c>
      <x:c r="H1792" s="65" t="str">
        <x:v>上半场平</x:v>
      </x:c>
      <x:c r="I1792" s="66" t="n">
        <x:v>46109.49177083333</x:v>
      </x:c>
      <x:c r="J1792" s="65" t="str">
        <x:v>已结算</x:v>
      </x:c>
      <x:c r="K1792" s="65"/>
      <x:c r="L1792" s="65" t="str">
        <x:v>走水</x:v>
      </x:c>
      <x:c r="M1792" s="65" t="str">
        <x:v>输</x:v>
      </x:c>
      <x:c r="N1792" s="67" t="n">
        <x:v>0</x:v>
      </x:c>
      <x:c r="O1792" s="67" t="n">
        <x:v>-1</x:v>
      </x:c>
      <x:c r="P1792" s="67" t="n">
        <x:f>IF(COUNT(N1792:O1792)=0,"",SUM(N1792:O1792))</x:f>
        <x:v>-1</x:v>
      </x:c>
      <x:c r="Q1792" s="65"/>
      <x:c r="R1792" s="65" t="str">
        <x:v>比分1-1</x:v>
      </x:c>
    </x:row>
    <x:row r="1793" ht="24" customHeight="1">
      <x:c r="A1793" s="65" t="str">
        <x:f>IF(B1793="","",TEXT(B1793,"yyyy-mm-dd")&amp;"|"&amp;D1793&amp;"|"&amp;E1793)</x:f>
        <x:v>2026-03-28|休城|普雷斯顿狮子</x:v>
      </x:c>
      <x:c r="B1793" s="66" t="n">
        <x:v>46109.458333333336</x:v>
      </x:c>
      <x:c r="C1793" s="65" t="str">
        <x:v>澳大利亚 维多利亚州超级联赛1（VPL1）</x:v>
      </x:c>
      <x:c r="D1793" s="65" t="str">
        <x:v>休城</x:v>
      </x:c>
      <x:c r="E1793" s="65" t="str">
        <x:v>普雷斯顿狮子</x:v>
      </x:c>
      <x:c r="F1793" s="65" t="str">
        <x:v>普雷斯顿狮子 0</x:v>
      </x:c>
      <x:c r="G1793" s="65" t="str">
        <x:v>小2.5</x:v>
      </x:c>
      <x:c r="H1793" s="65" t="str">
        <x:v>双方进球 否</x:v>
      </x:c>
      <x:c r="I1793" s="66" t="n">
        <x:v>46109.488020833334</x:v>
      </x:c>
      <x:c r="J1793" s="65" t="str">
        <x:v>已结算</x:v>
      </x:c>
      <x:c r="K1793" s="65"/>
      <x:c r="L1793" s="65" t="str">
        <x:v>输</x:v>
      </x:c>
      <x:c r="M1793" s="65" t="str">
        <x:v>输</x:v>
      </x:c>
      <x:c r="N1793" s="67" t="n">
        <x:v>-1</x:v>
      </x:c>
      <x:c r="O1793" s="67" t="n">
        <x:v>-1</x:v>
      </x:c>
      <x:c r="P1793" s="67" t="n">
        <x:f>IF(COUNT(N1793:O1793)=0,"",SUM(N1793:O1793))</x:f>
        <x:v>-2</x:v>
      </x:c>
      <x:c r="Q1793" s="65"/>
      <x:c r="R1793" s="65" t="str">
        <x:v>比分3-2</x:v>
      </x:c>
    </x:row>
    <x:row r="1794" ht="24" customHeight="1">
      <x:c r="A1794" s="65" t="str">
        <x:f>IF(B1794="","",TEXT(B1794,"yyyy-mm-dd")&amp;"|"&amp;D1794&amp;"|"&amp;E1794)</x:f>
        <x:v>2026-03-28|拉巴斯竞技|坦皮科马德罗（哈依布拉瓦）</x:v>
      </x:c>
      <x:c r="B1794" s="66" t="n">
        <x:v>46109.458333333336</x:v>
      </x:c>
      <x:c r="C1794" s="65" t="str">
        <x:v>墨西哥甲级扩展联赛（Liga de Expansión MX）</x:v>
      </x:c>
      <x:c r="D1794" s="65" t="str">
        <x:v>拉巴斯竞技</x:v>
      </x:c>
      <x:c r="E1794" s="65" t="str">
        <x:v>坦皮科马德罗（哈依布拉瓦）</x:v>
      </x:c>
      <x:c r="F1794" s="65" t="str">
        <x:v>拉巴斯竞技 -0.25</x:v>
      </x:c>
      <x:c r="G1794" s="65" t="str">
        <x:v>大2.5</x:v>
      </x:c>
      <x:c r="H1794" s="65" t="str">
        <x:v>大3（激进）</x:v>
      </x:c>
      <x:c r="I1794" s="66" t="n">
        <x:v>46109.463275462964</x:v>
      </x:c>
      <x:c r="J1794" s="65" t="str">
        <x:v>已结算</x:v>
      </x:c>
      <x:c r="K1794" s="65"/>
      <x:c r="L1794" s="65" t="str">
        <x:v>输半</x:v>
      </x:c>
      <x:c r="M1794" s="65" t="str">
        <x:v>输</x:v>
      </x:c>
      <x:c r="N1794" s="67" t="n">
        <x:v>-0.5</x:v>
      </x:c>
      <x:c r="O1794" s="67" t="n">
        <x:v>-1</x:v>
      </x:c>
      <x:c r="P1794" s="67" t="n">
        <x:f>IF(COUNT(N1794:O1794)=0,"",SUM(N1794:O1794))</x:f>
        <x:v>-1.5</x:v>
      </x:c>
      <x:c r="Q1794" s="65"/>
      <x:c r="R1794" s="65" t="str">
        <x:v>比分1-1</x:v>
      </x:c>
    </x:row>
    <x:row r="1795" ht="24" customHeight="1">
      <x:c r="A1795" s="65" t="str">
        <x:f>IF(B1795="","",TEXT(B1795,"yyyy-mm-dd")&amp;"|"&amp;D1795&amp;"|"&amp;E1795)</x:f>
        <x:v>2026-03-28|布卡拉曼加|圣塔菲</x:v>
      </x:c>
      <x:c r="B1795" s="66" t="n">
        <x:v>46109.381944444445</x:v>
      </x:c>
      <x:c r="C1795" s="65" t="str">
        <x:v>哥伦比亚甲级联赛（Liga BetPlay DIMAYOR）</x:v>
      </x:c>
      <x:c r="D1795" s="65" t="str">
        <x:v>布卡拉曼加</x:v>
      </x:c>
      <x:c r="E1795" s="65" t="str">
        <x:v>圣塔菲</x:v>
      </x:c>
      <x:c r="F1795" s="65" t="str">
        <x:v>布卡拉曼加 -0.5</x:v>
      </x:c>
      <x:c r="G1795" s="65" t="str">
        <x:v>大2.5</x:v>
      </x:c>
      <x:c r="H1795" s="65" t="str">
        <x:v>双方进球 是</x:v>
      </x:c>
      <x:c r="I1795" s="66" t="n">
        <x:v>46109.362222222226</x:v>
      </x:c>
      <x:c r="J1795" s="65" t="str">
        <x:v>已结算</x:v>
      </x:c>
      <x:c r="K1795" s="65"/>
      <x:c r="L1795" s="65" t="str">
        <x:v>输</x:v>
      </x:c>
      <x:c r="M1795" s="65" t="str">
        <x:v>赢</x:v>
      </x:c>
      <x:c r="N1795" s="67" t="n">
        <x:v>-1</x:v>
      </x:c>
      <x:c r="O1795" s="67" t="n">
        <x:v>1</x:v>
      </x:c>
      <x:c r="P1795" s="67" t="n">
        <x:f>IF(COUNT(N1795:O1795)=0,"",SUM(N1795:O1795))</x:f>
        <x:v>0</x:v>
      </x:c>
      <x:c r="Q1795" s="65"/>
      <x:c r="R1795" s="65" t="str">
        <x:v>比分1-2</x:v>
      </x:c>
    </x:row>
    <x:row r="1796" ht="24" customHeight="1">
      <x:c r="A1796" s="65" t="str">
        <x:f>IF(B1796="","",TEXT(B1796,"yyyy-mm-dd")&amp;"|"&amp;D1796&amp;"|"&amp;E1796)</x:f>
        <x:v>2026-03-28|梅里达（维纳多斯）|亚特兰特</x:v>
      </x:c>
      <x:c r="B1796" s="66" t="n">
        <x:v>46109.375</x:v>
      </x:c>
      <x:c r="C1796" s="65" t="str">
        <x:v>墨西哥甲级扩展联赛（Liga de Expansión MX）</x:v>
      </x:c>
      <x:c r="D1796" s="65" t="str">
        <x:v>梅里达（维纳多斯）</x:v>
      </x:c>
      <x:c r="E1796" s="65" t="str">
        <x:v>亚特兰特</x:v>
      </x:c>
      <x:c r="F1796" s="65" t="str">
        <x:v>梅里达（维纳多斯） +0.5</x:v>
      </x:c>
      <x:c r="G1796" s="65" t="str">
        <x:v>小2.5</x:v>
      </x:c>
      <x:c r="H1796" s="65" t="str">
        <x:v>上半场平</x:v>
      </x:c>
      <x:c r="I1796" s="66" t="n">
        <x:v>46109.363541666666</x:v>
      </x:c>
      <x:c r="J1796" s="65" t="str">
        <x:v>已结算</x:v>
      </x:c>
      <x:c r="K1796" s="65"/>
      <x:c r="L1796" s="65" t="str">
        <x:v>赢</x:v>
      </x:c>
      <x:c r="M1796" s="65" t="str">
        <x:v>输</x:v>
      </x:c>
      <x:c r="N1796" s="67" t="n">
        <x:v>1</x:v>
      </x:c>
      <x:c r="O1796" s="67" t="n">
        <x:v>-1</x:v>
      </x:c>
      <x:c r="P1796" s="67" t="n">
        <x:f>IF(COUNT(N1796:O1796)=0,"",SUM(N1796:O1796))</x:f>
        <x:v>0</x:v>
      </x:c>
      <x:c r="Q1796" s="65"/>
      <x:c r="R1796" s="65" t="str">
        <x:v>比分4-1</x:v>
      </x:c>
    </x:row>
    <x:row r="1797" ht="24" customHeight="1">
      <x:c r="A1797" s="65" t="str">
        <x:f>IF(B1797="","",TEXT(B1797,"yyyy-mm-dd")&amp;"|"&amp;D1797&amp;"|"&amp;E1797)</x:f>
        <x:v>2026-03-28|奥哈卡阿莱布里赫斯|瓜达拉哈拉大学黑狮</x:v>
      </x:c>
      <x:c r="B1797" s="66" t="n">
        <x:v>46109.375</x:v>
      </x:c>
      <x:c r="C1797" s="65" t="str">
        <x:v>墨西哥甲级扩展联赛（Liga de Expansión MX）</x:v>
      </x:c>
      <x:c r="D1797" s="65" t="str">
        <x:v>奥哈卡阿莱布里赫斯</x:v>
      </x:c>
      <x:c r="E1797" s="65" t="str">
        <x:v>瓜达拉哈拉大学黑狮</x:v>
      </x:c>
      <x:c r="F1797" s="65" t="str">
        <x:v>奥哈卡阿莱布里赫斯 -0.5</x:v>
      </x:c>
      <x:c r="G1797" s="65" t="str">
        <x:v>大2.5</x:v>
      </x:c>
      <x:c r="H1797" s="65" t="str">
        <x:v>奥哈卡阿莱布里赫斯球队大1.5</x:v>
      </x:c>
      <x:c r="I1797" s="66" t="n">
        <x:v>46109.33509259259</x:v>
      </x:c>
      <x:c r="J1797" s="65" t="str">
        <x:v>已结算</x:v>
      </x:c>
      <x:c r="K1797" s="65"/>
      <x:c r="L1797" s="65" t="str">
        <x:v>输</x:v>
      </x:c>
      <x:c r="M1797" s="65" t="str">
        <x:v>输</x:v>
      </x:c>
      <x:c r="N1797" s="67" t="n">
        <x:v>-1</x:v>
      </x:c>
      <x:c r="O1797" s="67" t="n">
        <x:v>-1</x:v>
      </x:c>
      <x:c r="P1797" s="67" t="n">
        <x:f>IF(COUNT(N1797:O1797)=0,"",SUM(N1797:O1797))</x:f>
        <x:v>-2</x:v>
      </x:c>
      <x:c r="Q1797" s="65"/>
      <x:c r="R1797" s="65" t="str">
        <x:v>比分1-1</x:v>
      </x:c>
    </x:row>
    <x:row r="1798" ht="24" customHeight="1">
      <x:c r="A1798" s="65" t="str">
        <x:f>IF(B1798="","",TEXT(B1798,"yyyy-mm-dd")&amp;"|"&amp;D1798&amp;"|"&amp;E1798)</x:f>
        <x:v>2026-03-28|里奥内格罗老鹰|阿利安萨FC（巴耶杜帕尔）</x:v>
      </x:c>
      <x:c r="B1798" s="66" t="n">
        <x:v>46109.208333333336</x:v>
      </x:c>
      <x:c r="C1798" s="65" t="str">
        <x:v>哥伦比亚甲级联赛（Liga BetPlay DIMAYOR）</x:v>
      </x:c>
      <x:c r="D1798" s="65" t="str">
        <x:v>里奥内格罗老鹰</x:v>
      </x:c>
      <x:c r="E1798" s="65" t="str">
        <x:v>阿利安萨FC（巴耶杜帕尔）</x:v>
      </x:c>
      <x:c r="F1798" s="65" t="str">
        <x:v>里奥内格罗老鹰 -0.5</x:v>
      </x:c>
      <x:c r="G1798" s="65" t="str">
        <x:v>小1.5（激进）</x:v>
      </x:c>
      <x:c r="H1798" s="65" t="str">
        <x:v>上半场平</x:v>
      </x:c>
      <x:c r="I1798" s="66" t="n">
        <x:v>46109.228159722225</x:v>
      </x:c>
      <x:c r="J1798" s="65" t="str">
        <x:v>已结算</x:v>
      </x:c>
      <x:c r="K1798" s="65"/>
      <x:c r="L1798" s="65" t="str">
        <x:v>赢</x:v>
      </x:c>
      <x:c r="M1798" s="65" t="str">
        <x:v>赢</x:v>
      </x:c>
      <x:c r="N1798" s="67" t="n">
        <x:v>1</x:v>
      </x:c>
      <x:c r="O1798" s="67" t="n">
        <x:v>1</x:v>
      </x:c>
      <x:c r="P1798" s="67" t="n">
        <x:f>IF(COUNT(N1798:O1798)=0,"",SUM(N1798:O1798))</x:f>
        <x:v>2</x:v>
      </x:c>
      <x:c r="Q1798" s="65"/>
      <x:c r="R1798" s="65" t="str">
        <x:v>比分1-0</x:v>
      </x:c>
    </x:row>
    <x:row r="1799" ht="24" customHeight="1">
      <x:c r="A1799" s="65" t="str">
        <x:f>IF(B1799="","",TEXT(B1799,"yyyy-mm-dd")&amp;"|"&amp;D1799&amp;"|"&amp;E1799)</x:f>
        <x:v>2026-03-27|布伦瑞克城|布林狮子</x:v>
      </x:c>
      <x:c r="B1799" s="66" t="n">
        <x:v>46108.708333333336</x:v>
      </x:c>
      <x:c r="C1799" s="65" t="str">
        <x:v>澳大利亚 维多利亚州超级联赛1（VPL1）</x:v>
      </x:c>
      <x:c r="D1799" s="65" t="str">
        <x:v>布伦瑞克城</x:v>
      </x:c>
      <x:c r="E1799" s="65" t="str">
        <x:v>布林狮子</x:v>
      </x:c>
      <x:c r="F1799" s="65" t="str">
        <x:v>布伦瑞克城 -0.5</x:v>
      </x:c>
      <x:c r="G1799" s="65" t="str">
        <x:v>大 3.25</x:v>
      </x:c>
      <x:c r="H1799" s="65" t="str">
        <x:v>双方进球 是</x:v>
      </x:c>
      <x:c r="I1799" s="66" t="n">
        <x:v>46108.71505787037</x:v>
      </x:c>
      <x:c r="J1799" s="65" t="str">
        <x:v>已结算</x:v>
      </x:c>
      <x:c r="K1799" s="65"/>
      <x:c r="L1799" s="65" t="str">
        <x:v>输</x:v>
      </x:c>
      <x:c r="M1799" s="65" t="str">
        <x:v>输</x:v>
      </x:c>
      <x:c r="N1799" s="67" t="n">
        <x:v>-1</x:v>
      </x:c>
      <x:c r="O1799" s="67" t="n">
        <x:v>-1</x:v>
      </x:c>
      <x:c r="P1799" s="67" t="n">
        <x:f>IF(COUNT(N1799:O1799)=0,"",SUM(N1799:O1799))</x:f>
        <x:v>-2</x:v>
      </x:c>
      <x:c r="Q1799" s="65"/>
      <x:c r="R1799" s="65" t="str">
        <x:v>比分0-2</x:v>
      </x:c>
    </x:row>
    <x:row r="1800" ht="24" customHeight="1">
      <x:c r="A1800" s="65" t="str">
        <x:f>IF(B1800="","",TEXT(B1800,"yyyy-mm-dd")&amp;"|"&amp;D1800&amp;"|"&amp;E1800)</x:f>
        <x:v>2026-03-27|悉尼FC青年队|莱卡特老虎</x:v>
      </x:c>
      <x:c r="B1800" s="66" t="n">
        <x:v>46108.6875</x:v>
      </x:c>
      <x:c r="C1800" s="65" t="str">
        <x:v>澳大利亚 维多利亚州超级联赛1（VPL1）</x:v>
      </x:c>
      <x:c r="D1800" s="65" t="str">
        <x:v>悉尼FC青年队</x:v>
      </x:c>
      <x:c r="E1800" s="65" t="str">
        <x:v>莱卡特老虎</x:v>
      </x:c>
      <x:c r="F1800" s="65" t="str">
        <x:v>莱卡特老虎 -1.25</x:v>
      </x:c>
      <x:c r="G1800" s="65" t="str">
        <x:v>大 3.5</x:v>
      </x:c>
      <x:c r="H1800" s="65" t="str">
        <x:v>莱卡特老虎 半场领先</x:v>
      </x:c>
      <x:c r="I1800" s="66" t="n">
        <x:v>46108.709814814814</x:v>
      </x:c>
      <x:c r="J1800" s="65" t="str">
        <x:v>已结算</x:v>
      </x:c>
      <x:c r="K1800" s="65"/>
      <x:c r="L1800" s="65" t="str">
        <x:v>赢</x:v>
      </x:c>
      <x:c r="M1800" s="65" t="str">
        <x:v>输</x:v>
      </x:c>
      <x:c r="N1800" s="67" t="n">
        <x:v>1</x:v>
      </x:c>
      <x:c r="O1800" s="67" t="n">
        <x:v>-1</x:v>
      </x:c>
      <x:c r="P1800" s="67" t="n">
        <x:f>IF(COUNT(N1800:O1800)=0,"",SUM(N1800:O1800))</x:f>
        <x:v>0</x:v>
      </x:c>
      <x:c r="Q1800" s="65"/>
      <x:c r="R1800" s="65" t="str">
        <x:v>比分0-2</x:v>
      </x:c>
    </x:row>
    <x:row r="1801" ht="24" customHeight="1">
      <x:c r="A1801" s="65" t="str">
        <x:f>IF(B1801="","",TEXT(B1801,"yyyy-mm-dd")&amp;"|"&amp;D1801&amp;"|"&amp;E1801)</x:f>
        <x:v>2026-03-27|本特利绿茵|丹德农迅雷</x:v>
      </x:c>
      <x:c r="B1801" s="66" t="n">
        <x:v>46108.6875</x:v>
      </x:c>
      <x:c r="C1801" s="65" t="str">
        <x:v>澳大利亚 维多利亚州超级联赛1（VPL1）</x:v>
      </x:c>
      <x:c r="D1801" s="65" t="str">
        <x:v>本特利绿茵</x:v>
      </x:c>
      <x:c r="E1801" s="65" t="str">
        <x:v>丹德农迅雷</x:v>
      </x:c>
      <x:c r="F1801" s="65" t="str">
        <x:v>本特利绿茵 0</x:v>
      </x:c>
      <x:c r="G1801" s="65" t="str">
        <x:v>小 3.0</x:v>
      </x:c>
      <x:c r="H1801" s="65" t="str">
        <x:v>半场平局</x:v>
      </x:c>
      <x:c r="I1801" s="66" t="n">
        <x:v>46108.69552083333</x:v>
      </x:c>
      <x:c r="J1801" s="65" t="str">
        <x:v>已结算</x:v>
      </x:c>
      <x:c r="K1801" s="65"/>
      <x:c r="L1801" s="65" t="str">
        <x:v>赢</x:v>
      </x:c>
      <x:c r="M1801" s="65" t="str">
        <x:v>走水</x:v>
      </x:c>
      <x:c r="N1801" s="67" t="n">
        <x:v>1</x:v>
      </x:c>
      <x:c r="O1801" s="67" t="n">
        <x:v>0</x:v>
      </x:c>
      <x:c r="P1801" s="67" t="n">
        <x:f>IF(COUNT(N1801:O1801)=0,"",SUM(N1801:O1801))</x:f>
        <x:v>1</x:v>
      </x:c>
      <x:c r="Q1801" s="65"/>
      <x:c r="R1801" s="65" t="str">
        <x:v>比分2-1</x:v>
      </x:c>
    </x:row>
    <x:row r="1802" ht="24" customHeight="1">
      <x:c r="A1802" s="65" t="str">
        <x:f>IF(B1802="","",TEXT(B1802,"yyyy-mm-dd")&amp;"|"&amp;D1802&amp;"|"&amp;E1802)</x:f>
        <x:v>2026-03-27|海德堡联|墨尔本城青年队</x:v>
      </x:c>
      <x:c r="B1802" s="66" t="n">
        <x:v>46108.6875</x:v>
      </x:c>
      <x:c r="C1802" s="65" t="str">
        <x:v>澳大利亚 维多利亚州超级联赛1（VPL1）</x:v>
      </x:c>
      <x:c r="D1802" s="65" t="str">
        <x:v>海德堡联</x:v>
      </x:c>
      <x:c r="E1802" s="65" t="str">
        <x:v>墨尔本城青年队</x:v>
      </x:c>
      <x:c r="F1802" s="65" t="str">
        <x:v>海德堡联 -1</x:v>
      </x:c>
      <x:c r="G1802" s="65" t="str">
        <x:v>大 3.0</x:v>
      </x:c>
      <x:c r="H1802" s="65" t="str">
        <x:v>海德堡联 半场领先</x:v>
      </x:c>
      <x:c r="I1802" s="66" t="n">
        <x:v>46108.69106481481</x:v>
      </x:c>
      <x:c r="J1802" s="65" t="str">
        <x:v>已结算</x:v>
      </x:c>
      <x:c r="K1802" s="65"/>
      <x:c r="L1802" s="65" t="str">
        <x:v>输</x:v>
      </x:c>
      <x:c r="M1802" s="65" t="str">
        <x:v>输</x:v>
      </x:c>
      <x:c r="N1802" s="67" t="n">
        <x:v>-1</x:v>
      </x:c>
      <x:c r="O1802" s="67" t="n">
        <x:v>-1</x:v>
      </x:c>
      <x:c r="P1802" s="67" t="n">
        <x:f>IF(COUNT(N1802:O1802)=0,"",SUM(N1802:O1802))</x:f>
        <x:v>-2</x:v>
      </x:c>
      <x:c r="Q1802" s="65"/>
      <x:c r="R1802" s="65" t="str">
        <x:v>比分1-1</x:v>
      </x:c>
    </x:row>
    <x:row r="1803" ht="24" customHeight="1">
      <x:c r="A1803" s="65" t="str">
        <x:f>IF(B1803="","",TEXT(B1803,"yyyy-mm-dd")&amp;"|"&amp;D1803&amp;"|"&amp;E1803)</x:f>
        <x:v>2026-03-27|阿根廷青年人|拉努斯</x:v>
      </x:c>
      <x:c r="B1803" s="66" t="n">
        <x:v>46108.333333333336</x:v>
      </x:c>
      <x:c r="C1803" s="65" t="str">
        <x:v>阿根廷职业联赛（Liga Profesional·Apertura）</x:v>
      </x:c>
      <x:c r="D1803" s="65" t="str">
        <x:v>阿根廷青年人</x:v>
      </x:c>
      <x:c r="E1803" s="65" t="str">
        <x:v>拉努斯</x:v>
      </x:c>
      <x:c r="F1803" s="65" t="str">
        <x:v>阿根廷青年人 -0.5</x:v>
      </x:c>
      <x:c r="G1803" s="65" t="str">
        <x:v>小 1.5</x:v>
      </x:c>
      <x:c r="H1803" s="65" t="str">
        <x:v>半场平局</x:v>
      </x:c>
      <x:c r="I1803" s="66" t="n">
        <x:v>46108.40362268518</x:v>
      </x:c>
      <x:c r="J1803" s="65" t="str">
        <x:v>已结算</x:v>
      </x:c>
      <x:c r="K1803" s="65"/>
      <x:c r="L1803" s="65" t="str">
        <x:v>赢</x:v>
      </x:c>
      <x:c r="M1803" s="65" t="str">
        <x:v>输</x:v>
      </x:c>
      <x:c r="N1803" s="67" t="n">
        <x:v>1</x:v>
      </x:c>
      <x:c r="O1803" s="67" t="n">
        <x:v>-1</x:v>
      </x:c>
      <x:c r="P1803" s="67" t="n">
        <x:f>IF(COUNT(N1803:O1803)=0,"",SUM(N1803:O1803))</x:f>
        <x:v>0</x:v>
      </x:c>
      <x:c r="Q1803" s="65"/>
      <x:c r="R1803" s="65" t="str">
        <x:v>比分2-1</x:v>
      </x:c>
    </x:row>
    <x:row r="1804" ht="24" customHeight="1">
      <x:c r="A1804" s="65" t="str">
        <x:f>IF(B1804="","",TEXT(B1804,"yyyy-mm-dd")&amp;"|"&amp;D1804&amp;"|"&amp;E1804)</x:f>
        <x:v>2026-03-26|卡利美洲|拉尼罗斯</x:v>
      </x:c>
      <x:c r="B1804" s="66" t="n">
        <x:v>46107.375</x:v>
      </x:c>
      <x:c r="C1804" s="65" t="str">
        <x:v>哥伦比亚甲级联赛（Liga BetPlay DIMAYOR）</x:v>
      </x:c>
      <x:c r="D1804" s="65" t="str">
        <x:v>卡利美洲</x:v>
      </x:c>
      <x:c r="E1804" s="65" t="str">
        <x:v>拉尼罗斯</x:v>
      </x:c>
      <x:c r="F1804" s="65" t="str">
        <x:v>卡利美洲 -1</x:v>
      </x:c>
      <x:c r="G1804" s="65" t="str">
        <x:v>小 2.25</x:v>
      </x:c>
      <x:c r="H1804" s="65" t="str">
        <x:v>卡利美洲胜且小 3.5</x:v>
      </x:c>
      <x:c r="I1804" s="66" t="n">
        <x:v>46107.38064814815</x:v>
      </x:c>
      <x:c r="J1804" s="65" t="str">
        <x:v>已结算</x:v>
      </x:c>
      <x:c r="K1804" s="65"/>
      <x:c r="L1804" s="65" t="str">
        <x:v>输</x:v>
      </x:c>
      <x:c r="M1804" s="65" t="str">
        <x:v>赢</x:v>
      </x:c>
      <x:c r="N1804" s="67" t="n">
        <x:v>-1</x:v>
      </x:c>
      <x:c r="O1804" s="67" t="n">
        <x:v>1</x:v>
      </x:c>
      <x:c r="P1804" s="67" t="n">
        <x:f>IF(COUNT(N1804:O1804)=0,"",SUM(N1804:O1804))</x:f>
        <x:v>0</x:v>
      </x:c>
      <x:c r="Q1804" s="65"/>
      <x:c r="R1804" s="65" t="str">
        <x:v>比分0-0</x:v>
      </x:c>
    </x:row>
    <x:row r="1805" ht="24" customHeight="1">
      <x:c r="A1805" s="65" t="str">
        <x:f>IF(B1805="","",TEXT(B1805,"yyyy-mm-dd")&amp;"|"&amp;D1805&amp;"|"&amp;E1805)</x:f>
        <x:v>2026-03-26|利斯特雷竞技|圣洛伦索</x:v>
      </x:c>
      <x:c r="B1805" s="66" t="n">
        <x:v>46107.25</x:v>
      </x:c>
      <x:c r="C1805" s="65" t="str">
        <x:v>阿根廷职业联赛（Liga Profesional·Apertura）</x:v>
      </x:c>
      <x:c r="D1805" s="65" t="str">
        <x:v>利斯特雷竞技</x:v>
      </x:c>
      <x:c r="E1805" s="65" t="str">
        <x:v>圣洛伦索</x:v>
      </x:c>
      <x:c r="F1805" s="65" t="str">
        <x:v>圣洛伦索 +0.25</x:v>
      </x:c>
      <x:c r="G1805" s="65" t="str">
        <x:v>小 1.5</x:v>
      </x:c>
      <x:c r="H1805" s="65" t="str">
        <x:v>半场平局</x:v>
      </x:c>
      <x:c r="I1805" s="66" t="n">
        <x:v>46107.292291666665</x:v>
      </x:c>
      <x:c r="J1805" s="65" t="str">
        <x:v>已结算</x:v>
      </x:c>
      <x:c r="K1805" s="65" t="str">
        <x:v>1-1</x:v>
      </x:c>
      <x:c r="L1805" s="65" t="str">
        <x:v>赢半</x:v>
      </x:c>
      <x:c r="M1805" s="65" t="str">
        <x:v>输</x:v>
      </x:c>
      <x:c r="N1805" s="67" t="n">
        <x:v>0.5</x:v>
      </x:c>
      <x:c r="O1805" s="67" t="n">
        <x:v>-1</x:v>
      </x:c>
      <x:c r="P1805" s="67" t="n">
        <x:f>IF(COUNT(N1805:O1805)=0,"",SUM(N1805:O1805))</x:f>
        <x:v>-0.5</x:v>
      </x:c>
      <x:c r="Q1805" s="65"/>
      <x:c r="R1805" s="65" t="str">
        <x:v>赛果：利斯特雷竞技 1-1 圣洛伦索；让(0.25)赢半；小1.5输</x:v>
      </x:c>
    </x:row>
    <x:row r="1806" ht="24" customHeight="1">
      <x:c r="A1806" s="65" t="str">
        <x:f>IF(B1806="","",TEXT(B1806,"yyyy-mm-dd")&amp;"|"&amp;D1806&amp;"|"&amp;E1806)</x:f>
        <x:v>2026-03-25|福塔雷绍查|柏斯度</x:v>
      </x:c>
      <x:c r="B1806" s="66" t="n">
        <x:v>46106.375</x:v>
      </x:c>
      <x:c r="C1806" s="65" t="str">
        <x:v>哥伦比亚甲级联赛（Liga BetPlay DIMAYOR）</x:v>
      </x:c>
      <x:c r="D1806" s="65" t="str">
        <x:v>福塔雷绍查</x:v>
      </x:c>
      <x:c r="E1806" s="65" t="str">
        <x:v>柏斯度</x:v>
      </x:c>
      <x:c r="F1806" s="65" t="str">
        <x:v>福塔雷绍查 -0.25</x:v>
      </x:c>
      <x:c r="G1806" s="65" t="str">
        <x:v>小 2.25</x:v>
      </x:c>
      <x:c r="H1806" s="65" t="str">
        <x:v>半场平局</x:v>
      </x:c>
      <x:c r="I1806" s="66" t="n">
        <x:v>46106.33820601852</x:v>
      </x:c>
      <x:c r="J1806" s="65" t="str">
        <x:v>已结算</x:v>
      </x:c>
      <x:c r="K1806" s="65" t="str">
        <x:v>1-2</x:v>
      </x:c>
      <x:c r="L1806" s="65" t="str">
        <x:v>输</x:v>
      </x:c>
      <x:c r="M1806" s="65" t="str">
        <x:v>输</x:v>
      </x:c>
      <x:c r="N1806" s="67" t="n">
        <x:v>-1</x:v>
      </x:c>
      <x:c r="O1806" s="67" t="n">
        <x:v>-1</x:v>
      </x:c>
      <x:c r="P1806" s="67" t="n">
        <x:f>IF(COUNT(N1806:O1806)=0,"",SUM(N1806:O1806))</x:f>
        <x:v>-2</x:v>
      </x:c>
      <x:c r="Q1806" s="65"/>
      <x:c r="R1806" s="65" t="str">
        <x:v>赛果：福塔雷绍查 1-2 柏斯度；让(-0.25)输；小2.25输</x:v>
      </x:c>
    </x:row>
    <x:row r="1807" ht="24" customHeight="1">
      <x:c r="A1807" s="65" t="str">
        <x:f>IF(B1807="","",TEXT(B1807,"yyyy-mm-dd")&amp;"|"&amp;D1807&amp;"|"&amp;E1807)</x:f>
        <x:v>2026-03-25|巴兰基亚青年|布卡拉曼加</x:v>
      </x:c>
      <x:c r="B1807" s="66" t="n">
        <x:v>46106.291666666664</x:v>
      </x:c>
      <x:c r="C1807" s="65" t="str">
        <x:v>哥伦比亚甲级联赛（Liga BetPlay DIMAYOR）</x:v>
      </x:c>
      <x:c r="D1807" s="65" t="str">
        <x:v>巴兰基亚青年</x:v>
      </x:c>
      <x:c r="E1807" s="65" t="str">
        <x:v>布卡拉曼加</x:v>
      </x:c>
      <x:c r="F1807" s="65" t="str">
        <x:v>布卡拉曼加 +0.25</x:v>
      </x:c>
      <x:c r="G1807" s="65" t="str">
        <x:v>小 2.25</x:v>
      </x:c>
      <x:c r="H1807" s="65" t="str">
        <x:v>半场平局</x:v>
      </x:c>
      <x:c r="I1807" s="66" t="n">
        <x:v>46106.34111111111</x:v>
      </x:c>
      <x:c r="J1807" s="65" t="str">
        <x:v>已结算</x:v>
      </x:c>
      <x:c r="K1807" s="65" t="str">
        <x:v>2-0</x:v>
      </x:c>
      <x:c r="L1807" s="65" t="str">
        <x:v>输</x:v>
      </x:c>
      <x:c r="M1807" s="65" t="str">
        <x:v>赢半</x:v>
      </x:c>
      <x:c r="N1807" s="67" t="n">
        <x:v>-1</x:v>
      </x:c>
      <x:c r="O1807" s="67" t="n">
        <x:v>0.5</x:v>
      </x:c>
      <x:c r="P1807" s="67" t="n">
        <x:f>IF(COUNT(N1807:O1807)=0,"",SUM(N1807:O1807))</x:f>
        <x:v>-0.5</x:v>
      </x:c>
      <x:c r="Q1807" s="65"/>
      <x:c r="R1807" s="65" t="str">
        <x:v>复核赛果：巴兰基亚青年 2-0 布卡拉曼加；让球：布卡拉曼加 +0.25=输；大小：小2.25=赢半。</x:v>
      </x:c>
    </x:row>
    <x:row r="1808" ht="24" customHeight="1">
      <x:c r="A1808" s="65" t="str">
        <x:f>IF(B1808="","",TEXT(B1808,"yyyy-mm-dd")&amp;"|"&amp;D1808&amp;"|"&amp;E1808)</x:f>
        <x:v>2026-03-24|艾查威尔|查玛里</x:v>
      </x:c>
      <x:c r="B1808" s="66" t="n">
        <x:v>46105.875</x:v>
      </x:c>
      <x:c r="C1808" s="65" t="str">
        <x:v>印度甲级联赛</x:v>
      </x:c>
      <x:c r="D1808" s="65" t="str">
        <x:v>艾查威尔</x:v>
      </x:c>
      <x:c r="E1808" s="65" t="str">
        <x:v>查玛里</x:v>
      </x:c>
      <x:c r="F1808" s="65" t="str">
        <x:v>查玛里 +0.25</x:v>
      </x:c>
      <x:c r="G1808" s="65" t="str">
        <x:v>大 2.5</x:v>
      </x:c>
      <x:c r="H1808" s="65" t="str">
        <x:v>双方进球 是</x:v>
      </x:c>
      <x:c r="I1808" s="66" t="n">
        <x:v>46105.83064814815</x:v>
      </x:c>
      <x:c r="J1808" s="65" t="str">
        <x:v>已结算</x:v>
      </x:c>
      <x:c r="K1808" s="65" t="str">
        <x:v>3-2</x:v>
      </x:c>
      <x:c r="L1808" s="65" t="str">
        <x:v>输</x:v>
      </x:c>
      <x:c r="M1808" s="65" t="str">
        <x:v>赢</x:v>
      </x:c>
      <x:c r="N1808" s="67" t="n">
        <x:v>-1</x:v>
      </x:c>
      <x:c r="O1808" s="67" t="n">
        <x:v>1</x:v>
      </x:c>
      <x:c r="P1808" s="67" t="n">
        <x:f>IF(COUNT(N1808:O1808)=0,"",SUM(N1808:O1808))</x:f>
        <x:v>0</x:v>
      </x:c>
      <x:c r="Q1808" s="65"/>
      <x:c r="R1808" s="65" t="str">
        <x:v>赛果：艾查威尔 3-2 查玛里；让(0.25)输；大2.5赢</x:v>
      </x:c>
    </x:row>
    <x:row r="1809" ht="24" customHeight="1">
      <x:c r="A1809" s="65" t="str">
        <x:f>IF(B1809="","",TEXT(B1809,"yyyy-mm-dd")&amp;"|"&amp;D1809&amp;"|"&amp;E1809)</x:f>
        <x:v>2026-03-24|飓风队|巴拉卡斯中央</x:v>
      </x:c>
      <x:c r="B1809" s="66" t="n">
        <x:v>46105.34375</x:v>
      </x:c>
      <x:c r="C1809" s="65" t="str">
        <x:v>阿根廷职业联赛（Liga Profesional·Apertura）</x:v>
      </x:c>
      <x:c r="D1809" s="65" t="str">
        <x:v>飓风队</x:v>
      </x:c>
      <x:c r="E1809" s="65" t="str">
        <x:v>巴拉卡斯中央</x:v>
      </x:c>
      <x:c r="F1809" s="65" t="str">
        <x:v>巴拉卡斯中央 +0.75</x:v>
      </x:c>
      <x:c r="G1809" s="65" t="str">
        <x:v>小 2.25</x:v>
      </x:c>
      <x:c r="H1809" s="65" t="str">
        <x:v>半场平局</x:v>
      </x:c>
      <x:c r="I1809" s="66" t="n">
        <x:v>46105.398125</x:v>
      </x:c>
      <x:c r="J1809" s="65" t="str">
        <x:v>已结算</x:v>
      </x:c>
      <x:c r="K1809" s="65" t="str">
        <x:v>0-0</x:v>
      </x:c>
      <x:c r="L1809" s="65" t="str">
        <x:v>赢</x:v>
      </x:c>
      <x:c r="M1809" s="65" t="str">
        <x:v>赢</x:v>
      </x:c>
      <x:c r="N1809" s="67" t="n">
        <x:v>1</x:v>
      </x:c>
      <x:c r="O1809" s="67" t="n">
        <x:v>1</x:v>
      </x:c>
      <x:c r="P1809" s="67" t="n">
        <x:f>IF(COUNT(N1809:O1809)=0,"",SUM(N1809:O1809))</x:f>
        <x:v>2</x:v>
      </x:c>
      <x:c r="Q1809" s="65"/>
      <x:c r="R1809" s="65" t="str">
        <x:v>复核赛果：飓风队 0-0 巴拉卡斯中央；让球：巴拉卡斯中央 +0.75=赢；大小：小2.25=赢。</x:v>
      </x:c>
    </x:row>
    <x:row r="1810" ht="24" customHeight="1">
      <x:c r="A1810" s="65" t="str">
        <x:f>IF(B1810="","",TEXT(B1810,"yyyy-mm-dd")&amp;"|"&amp;D1810&amp;"|"&amp;E1810)</x:f>
        <x:v>2026-03-24|贾奎斯科尔多瓦|里奥内格罗老鹰</x:v>
      </x:c>
      <x:c r="B1810" s="66" t="n">
        <x:v>46105.305555555555</x:v>
      </x:c>
      <x:c r="C1810" s="65" t="str">
        <x:v>哥伦比亚甲级联赛（Liga BetPlay DIMAYOR）</x:v>
      </x:c>
      <x:c r="D1810" s="65" t="str">
        <x:v>贾奎斯科尔多瓦</x:v>
      </x:c>
      <x:c r="E1810" s="65" t="str">
        <x:v>里奥内格罗老鹰</x:v>
      </x:c>
      <x:c r="F1810" s="65" t="str">
        <x:v>里奥内格罗老鹰 -0.25</x:v>
      </x:c>
      <x:c r="G1810" s="65" t="str">
        <x:v>小 2.25</x:v>
      </x:c>
      <x:c r="H1810" s="65" t="str">
        <x:v>里奥内格罗老鹰 不败 &amp; 小 3.5</x:v>
      </x:c>
      <x:c r="I1810" s="66" t="n">
        <x:v>46105.3340625</x:v>
      </x:c>
      <x:c r="J1810" s="65" t="str">
        <x:v>已结算</x:v>
      </x:c>
      <x:c r="K1810" s="65" t="str">
        <x:v>1-1</x:v>
      </x:c>
      <x:c r="L1810" s="65" t="str">
        <x:v>输半</x:v>
      </x:c>
      <x:c r="M1810" s="65" t="str">
        <x:v>赢半</x:v>
      </x:c>
      <x:c r="N1810" s="67" t="n">
        <x:v>-0.5</x:v>
      </x:c>
      <x:c r="O1810" s="67" t="n">
        <x:v>0.5</x:v>
      </x:c>
      <x:c r="P1810" s="67" t="n">
        <x:f>IF(COUNT(N1810:O1810)=0,"",SUM(N1810:O1810))</x:f>
        <x:v>0</x:v>
      </x:c>
      <x:c r="Q1810" s="65"/>
      <x:c r="R1810" s="65" t="str">
        <x:v>复核赛果：贾奎斯科尔多瓦 1-1 里奥内格罗老鹰；让球：里奥内格罗老鹰 -0.25=输半；大小：小2.25=赢半。</x:v>
      </x:c>
    </x:row>
    <x:row r="1811" ht="24" customHeight="1">
      <x:c r="A1811" s="65" t="str">
        <x:f>IF(B1811="","",TEXT(B1811,"yyyy-mm-dd")&amp;"|"&amp;D1811&amp;"|"&amp;E1811)</x:f>
        <x:v>2026-03-24|拉普拉塔大学生|科尔多瓦中央</x:v>
      </x:c>
      <x:c r="B1811" s="66" t="n">
        <x:v>46105.25</x:v>
      </x:c>
      <x:c r="C1811" s="65" t="str">
        <x:v>阿根廷职业联赛（Liga Profesional·Apertura）</x:v>
      </x:c>
      <x:c r="D1811" s="65" t="str">
        <x:v>拉普拉塔大学生</x:v>
      </x:c>
      <x:c r="E1811" s="65" t="str">
        <x:v>科尔多瓦中央</x:v>
      </x:c>
      <x:c r="F1811" s="65" t="str">
        <x:v>科尔多瓦中央 +1</x:v>
      </x:c>
      <x:c r="G1811" s="65" t="str">
        <x:v>小 2.0</x:v>
      </x:c>
      <x:c r="H1811" s="65" t="str">
        <x:v>半场平局</x:v>
      </x:c>
      <x:c r="I1811" s="66" t="n">
        <x:v>46105.22765046296</x:v>
      </x:c>
      <x:c r="J1811" s="65" t="str">
        <x:v>已结算</x:v>
      </x:c>
      <x:c r="K1811" s="65" t="str">
        <x:v>5-0</x:v>
      </x:c>
      <x:c r="L1811" s="65" t="str">
        <x:v>输</x:v>
      </x:c>
      <x:c r="M1811" s="65" t="str">
        <x:v>输</x:v>
      </x:c>
      <x:c r="N1811" s="67" t="n">
        <x:v>-1</x:v>
      </x:c>
      <x:c r="O1811" s="67" t="n">
        <x:v>-1</x:v>
      </x:c>
      <x:c r="P1811" s="67" t="n">
        <x:f>IF(COUNT(N1811:O1811)=0,"",SUM(N1811:O1811))</x:f>
        <x:v>-2</x:v>
      </x:c>
      <x:c r="Q1811" s="65"/>
      <x:c r="R1811" s="65" t="str">
        <x:v>复核赛果：拉普拉塔大学生 5-0 科尔多瓦中央；让球：科尔多瓦中央 +1=输；大小：小2.0=输。</x:v>
      </x:c>
    </x:row>
    <x:row r="1812" ht="24" customHeight="1">
      <x:c r="A1812" s="65" t="str">
        <x:f>IF(B1812="","",TEXT(B1812,"yyyy-mm-dd")&amp;"|"&amp;D1812&amp;"|"&amp;E1812)</x:f>
        <x:v>2026-03-24|圣塔菲独立|麦德林独立</x:v>
      </x:c>
      <x:c r="B1812" s="66" t="n">
        <x:v>46105.21527777778</x:v>
      </x:c>
      <x:c r="C1812" s="65" t="str">
        <x:v>哥伦比亚甲级联赛（Liga BetPlay DIMAYOR）</x:v>
      </x:c>
      <x:c r="D1812" s="65" t="str">
        <x:v>圣塔菲独立</x:v>
      </x:c>
      <x:c r="E1812" s="65" t="str">
        <x:v>麦德林独立</x:v>
      </x:c>
      <x:c r="F1812" s="65" t="str">
        <x:v>麦德林独立 +0.25</x:v>
      </x:c>
      <x:c r="G1812" s="65" t="str">
        <x:v>大 2.5</x:v>
      </x:c>
      <x:c r="H1812" s="65" t="str">
        <x:v>双方进球 是</x:v>
      </x:c>
      <x:c r="I1812" s="66" t="n">
        <x:v>46105.21865740741</x:v>
      </x:c>
      <x:c r="J1812" s="65" t="str">
        <x:v>已结算</x:v>
      </x:c>
      <x:c r="K1812" s="65" t="str">
        <x:v>2-1</x:v>
      </x:c>
      <x:c r="L1812" s="65" t="str">
        <x:v>输</x:v>
      </x:c>
      <x:c r="M1812" s="65" t="str">
        <x:v>赢</x:v>
      </x:c>
      <x:c r="N1812" s="67" t="n">
        <x:v>-1</x:v>
      </x:c>
      <x:c r="O1812" s="67" t="n">
        <x:v>1</x:v>
      </x:c>
      <x:c r="P1812" s="67" t="n">
        <x:f>IF(COUNT(N1812:O1812)=0,"",SUM(N1812:O1812))</x:f>
        <x:v>0</x:v>
      </x:c>
      <x:c r="Q1812" s="65"/>
      <x:c r="R1812" s="65" t="str">
        <x:v>复核赛果：圣塔菲独立 2-1 麦德林独立；让球：麦德林独立 +0.25=输；大小：大2.5=赢。</x:v>
      </x:c>
    </x:row>
    <x:row r="1813" ht="24" customHeight="1">
      <x:c r="A1813" s="65" t="str">
        <x:f>IF(B1813="","",TEXT(B1813,"yyyy-mm-dd")&amp;"|"&amp;D1813&amp;"|"&amp;E1813)</x:f>
        <x:v>2026-03-24|博亚卡奇科（茨高）|托利马体育</x:v>
      </x:c>
      <x:c r="B1813" s="66" t="n">
        <x:v>46105.125</x:v>
      </x:c>
      <x:c r="C1813" s="65" t="str">
        <x:v>哥伦比亚甲级联赛（Liga BetPlay DIMAYOR）</x:v>
      </x:c>
      <x:c r="D1813" s="65" t="str">
        <x:v>博亚卡奇科（茨高）</x:v>
      </x:c>
      <x:c r="E1813" s="65" t="str">
        <x:v>托利马体育</x:v>
      </x:c>
      <x:c r="F1813" s="65" t="str">
        <x:v>托利马体育 -0.5</x:v>
      </x:c>
      <x:c r="G1813" s="65" t="str">
        <x:v>大 2.25</x:v>
      </x:c>
      <x:c r="H1813" s="65" t="str">
        <x:v>托利马体育 胜 &amp; 大 1.5</x:v>
      </x:c>
      <x:c r="I1813" s="66" t="n">
        <x:v>46105.21435185185</x:v>
      </x:c>
      <x:c r="J1813" s="65" t="str">
        <x:v>已结算</x:v>
      </x:c>
      <x:c r="K1813" s="65" t="str">
        <x:v>1-1</x:v>
      </x:c>
      <x:c r="L1813" s="65" t="str">
        <x:v>输</x:v>
      </x:c>
      <x:c r="M1813" s="65" t="str">
        <x:v>输半</x:v>
      </x:c>
      <x:c r="N1813" s="67" t="n">
        <x:v>-1</x:v>
      </x:c>
      <x:c r="O1813" s="67" t="n">
        <x:v>-0.5</x:v>
      </x:c>
      <x:c r="P1813" s="67" t="n">
        <x:f>IF(COUNT(N1813:O1813)=0,"",SUM(N1813:O1813))</x:f>
        <x:v>-1.5</x:v>
      </x:c>
      <x:c r="Q1813" s="65"/>
      <x:c r="R1813" s="65" t="str">
        <x:v>复核赛果：博亚卡奇科（茨高） 1-1 托利马体育；让球按冻结方向结算为输；大小：大2.25=输半。</x:v>
      </x:c>
    </x:row>
    <x:row r="1814" ht="24" customHeight="1">
      <x:c r="A1814" s="65" t="str">
        <x:f>IF(B1814="","",TEXT(B1814,"yyyy-mm-dd")&amp;"|"&amp;D1814&amp;"|"&amp;E1814)</x:f>
        <x:v>2026-03-23|东孟加拉|莫哈末丹</x:v>
      </x:c>
      <x:c r="B1814" s="66" t="n">
        <x:v>46104.916666666664</x:v>
      </x:c>
      <x:c r="C1814" s="65" t="str">
        <x:v>印度超级联赛（Indian Super League）</x:v>
      </x:c>
      <x:c r="D1814" s="65" t="str">
        <x:v>东孟加拉</x:v>
      </x:c>
      <x:c r="E1814" s="65" t="str">
        <x:v>莫哈末丹</x:v>
      </x:c>
      <x:c r="F1814" s="65" t="str">
        <x:v>莫哈末丹 +2.5</x:v>
      </x:c>
      <x:c r="G1814" s="65" t="str">
        <x:v>小 3.5</x:v>
      </x:c>
      <x:c r="H1814" s="65" t="str">
        <x:v>东孟加拉胜且小 3.5</x:v>
      </x:c>
      <x:c r="I1814" s="66" t="n">
        <x:v>46104.87982638889</x:v>
      </x:c>
      <x:c r="J1814" s="65" t="str">
        <x:v>已结算</x:v>
      </x:c>
      <x:c r="K1814" s="65" t="str">
        <x:v>7-0</x:v>
      </x:c>
      <x:c r="L1814" s="65" t="str">
        <x:v>输</x:v>
      </x:c>
      <x:c r="M1814" s="65" t="str">
        <x:v>输</x:v>
      </x:c>
      <x:c r="N1814" s="67" t="n">
        <x:v>-1</x:v>
      </x:c>
      <x:c r="O1814" s="67" t="n">
        <x:v>-1</x:v>
      </x:c>
      <x:c r="P1814" s="67" t="n">
        <x:f>IF(COUNT(N1814:O1814)=0,"",SUM(N1814:O1814))</x:f>
        <x:v>-2</x:v>
      </x:c>
      <x:c r="Q1814" s="65"/>
      <x:c r="R1814" s="65" t="str">
        <x:v>复核赛果：东孟加拉 7-0 莫哈末丹；让球：莫哈末丹 +2.5=输；大小：小3.5=输。</x:v>
      </x:c>
    </x:row>
    <x:row r="1815" ht="24" customHeight="1">
      <x:c r="A1815" s="65" t="str">
        <x:f>IF(B1815="","",TEXT(B1815,"yyyy-mm-dd")&amp;"|"&amp;D1815&amp;"|"&amp;E1815)</x:f>
        <x:v>2026-03-23|门多萨独立|罗萨里奥中央</x:v>
      </x:c>
      <x:c r="B1815" s="66" t="n">
        <x:v>46104.385416666664</x:v>
      </x:c>
      <x:c r="C1815" s="65" t="str">
        <x:v>阿根廷职业联赛（Liga Profesional·Apertura）</x:v>
      </x:c>
      <x:c r="D1815" s="65" t="str">
        <x:v>门多萨独立</x:v>
      </x:c>
      <x:c r="E1815" s="65" t="str">
        <x:v>罗萨里奥中央</x:v>
      </x:c>
      <x:c r="F1815" s="65" t="str">
        <x:v>罗萨里奥中央 0</x:v>
      </x:c>
      <x:c r="G1815" s="65" t="str">
        <x:v>小 2.0</x:v>
      </x:c>
      <x:c r="H1815" s="65" t="str">
        <x:v>平局</x:v>
      </x:c>
      <x:c r="I1815" s="66" t="n">
        <x:v>46104.39016203704</x:v>
      </x:c>
      <x:c r="J1815" s="65" t="str">
        <x:v>已结算</x:v>
      </x:c>
      <x:c r="K1815" s="65" t="str">
        <x:v>2-0</x:v>
      </x:c>
      <x:c r="L1815" s="65" t="str">
        <x:v>输</x:v>
      </x:c>
      <x:c r="M1815" s="65" t="str">
        <x:v>走水</x:v>
      </x:c>
      <x:c r="N1815" s="67" t="n">
        <x:v>-1</x:v>
      </x:c>
      <x:c r="O1815" s="67" t="n">
        <x:v>0</x:v>
      </x:c>
      <x:c r="P1815" s="67" t="n">
        <x:f>IF(COUNT(N1815:O1815)=0,"",SUM(N1815:O1815))</x:f>
        <x:v>-1</x:v>
      </x:c>
      <x:c r="Q1815" s="65"/>
      <x:c r="R1815" s="65" t="str">
        <x:v>复核赛果：门多萨独立 2-0 罗萨里奥中央；让球：罗萨里奥中央 0（DNB）=输；大小：小2.0=走水。</x:v>
      </x:c>
    </x:row>
    <x:row r="1816" ht="24" customHeight="1">
      <x:c r="A1816" s="65" t="str">
        <x:f>IF(B1816="","",TEXT(B1816,"yyyy-mm-dd")&amp;"|"&amp;D1816&amp;"|"&amp;E1816)</x:f>
        <x:v>2026-03-23|阿根廷青年人|普拉滕斯</x:v>
      </x:c>
      <x:c r="B1816" s="66" t="n">
        <x:v>46104.385416666664</x:v>
      </x:c>
      <x:c r="C1816" s="65" t="str">
        <x:v>阿根廷职业联赛（Liga Profesional·Apertura）</x:v>
      </x:c>
      <x:c r="D1816" s="65" t="str">
        <x:v>阿根廷青年人</x:v>
      </x:c>
      <x:c r="E1816" s="65" t="str">
        <x:v>普拉滕斯</x:v>
      </x:c>
      <x:c r="F1816" s="65" t="str">
        <x:v>普拉滕斯 +0.5</x:v>
      </x:c>
      <x:c r="G1816" s="65" t="str">
        <x:v>小 2.0</x:v>
      </x:c>
      <x:c r="H1816" s="65" t="str">
        <x:v>平局</x:v>
      </x:c>
      <x:c r="I1816" s="66" t="n">
        <x:v>46104.38788194444</x:v>
      </x:c>
      <x:c r="J1816" s="65" t="str">
        <x:v>已结算</x:v>
      </x:c>
      <x:c r="K1816" s="65" t="str">
        <x:v>1-0</x:v>
      </x:c>
      <x:c r="L1816" s="65" t="str">
        <x:v>输</x:v>
      </x:c>
      <x:c r="M1816" s="65" t="str">
        <x:v>赢</x:v>
      </x:c>
      <x:c r="N1816" s="67" t="n">
        <x:v>-1</x:v>
      </x:c>
      <x:c r="O1816" s="67" t="n">
        <x:v>1</x:v>
      </x:c>
      <x:c r="P1816" s="67" t="n">
        <x:f>IF(COUNT(N1816:O1816)=0,"",SUM(N1816:O1816))</x:f>
        <x:v>0</x:v>
      </x:c>
      <x:c r="Q1816" s="65"/>
      <x:c r="R1816" s="65" t="str">
        <x:v>复核赛果：阿根廷青年人 1-0 普拉滕斯；让球：普拉滕斯 +0.5=输；大小：小2.0=赢。</x:v>
      </x:c>
    </x:row>
    <x:row r="1817" ht="24" customHeight="1">
      <x:c r="A1817" s="65" t="str">
        <x:f>IF(B1817="","",TEXT(B1817,"yyyy-mm-dd")&amp;"|"&amp;D1817&amp;"|"&amp;E1817)</x:f>
        <x:v>2026-03-23|华雷斯|老虎大学</x:v>
      </x:c>
      <x:c r="B1817" s="66" t="n">
        <x:v>46104.379166666666</x:v>
      </x:c>
      <x:c r="C1817" s="65" t="str">
        <x:v>墨西哥超（Liga MX，Clausura）</x:v>
      </x:c>
      <x:c r="D1817" s="65" t="str">
        <x:v>华雷斯</x:v>
      </x:c>
      <x:c r="E1817" s="65" t="str">
        <x:v>老虎大学</x:v>
      </x:c>
      <x:c r="F1817" s="65" t="str">
        <x:v>华雷斯 +0.25</x:v>
      </x:c>
      <x:c r="G1817" s="65" t="str">
        <x:v>大 2.5</x:v>
      </x:c>
      <x:c r="H1817" s="65" t="str">
        <x:v>半场大 1.0</x:v>
      </x:c>
      <x:c r="I1817" s="66" t="n">
        <x:v>46104.35219907408</x:v>
      </x:c>
      <x:c r="J1817" s="65" t="str">
        <x:v>已结算</x:v>
      </x:c>
      <x:c r="K1817" s="65" t="str">
        <x:v>2-1</x:v>
      </x:c>
      <x:c r="L1817" s="65" t="str">
        <x:v>赢</x:v>
      </x:c>
      <x:c r="M1817" s="65" t="str">
        <x:v>赢</x:v>
      </x:c>
      <x:c r="N1817" s="67" t="n">
        <x:v>1</x:v>
      </x:c>
      <x:c r="O1817" s="67" t="n">
        <x:v>1</x:v>
      </x:c>
      <x:c r="P1817" s="67" t="n">
        <x:f>IF(COUNT(N1817:O1817)=0,"",SUM(N1817:O1817))</x:f>
        <x:v>2</x:v>
      </x:c>
      <x:c r="Q1817" s="65"/>
      <x:c r="R1817" s="65" t="str">
        <x:v>复核赛果：华雷斯 2-1 老虎大学；让球：华雷斯 +0.25=赢；大小：大2.5=赢。</x:v>
      </x:c>
    </x:row>
    <x:row r="1818" ht="24" customHeight="1">
      <x:c r="A1818" s="65" t="str">
        <x:f>IF(B1818="","",TEXT(B1818,"yyyy-mm-dd")&amp;"|"&amp;D1818&amp;"|"&amp;E1818)</x:f>
        <x:v>2026-03-23|帕丘卡|托卢卡</x:v>
      </x:c>
      <x:c r="B1818" s="66" t="n">
        <x:v>46104.291666666664</x:v>
      </x:c>
      <x:c r="C1818" s="65" t="str">
        <x:v>墨西哥超（Liga MX，Clausura）</x:v>
      </x:c>
      <x:c r="D1818" s="65" t="str">
        <x:v>帕丘卡</x:v>
      </x:c>
      <x:c r="E1818" s="65" t="str">
        <x:v>托卢卡</x:v>
      </x:c>
      <x:c r="F1818" s="65" t="str">
        <x:v>帕丘卡 +0.5（欧赔约1.86，港赔约0.86）</x:v>
      </x:c>
      <x:c r="G1818" s="65" t="str">
        <x:v>小 2.5（欧赔约2.14，港赔约1.14）</x:v>
      </x:c>
      <x:c r="H1818" s="65" t="str">
        <x:v>半场平（欧赔约2.30，港赔约1.30）</x:v>
      </x:c>
      <x:c r="I1818" s="66" t="n">
        <x:v>46104.290625</x:v>
      </x:c>
      <x:c r="J1818" s="65" t="str">
        <x:v>已结算</x:v>
      </x:c>
      <x:c r="K1818" s="65" t="str">
        <x:v>1-1</x:v>
      </x:c>
      <x:c r="L1818" s="65" t="str">
        <x:v>赢</x:v>
      </x:c>
      <x:c r="M1818" s="65" t="str">
        <x:v>赢</x:v>
      </x:c>
      <x:c r="N1818" s="67" t="n">
        <x:v>1</x:v>
      </x:c>
      <x:c r="O1818" s="67" t="n">
        <x:v>1</x:v>
      </x:c>
      <x:c r="P1818" s="67" t="n">
        <x:f>IF(COUNT(N1818:O1818)=0,"",SUM(N1818:O1818))</x:f>
        <x:v>2</x:v>
      </x:c>
      <x:c r="Q1818" s="65"/>
      <x:c r="R1818" s="65" t="str">
        <x:v>复核赛果：帕丘卡 1-1 托卢卡；让球：帕丘卡 +0.5=赢；大小：小2.5=赢。</x:v>
      </x:c>
    </x:row>
    <x:row r="1819" ht="24" customHeight="1">
      <x:c r="A1819" s="65" t="str">
        <x:f>IF(B1819="","",TEXT(B1819,"yyyy-mm-dd")&amp;"|"&amp;D1819&amp;"|"&amp;E1819)</x:f>
        <x:v>2026-03-23|桑托斯拉古纳|普埃布拉</x:v>
      </x:c>
      <x:c r="B1819" s="66" t="n">
        <x:v>46104.291666666664</x:v>
      </x:c>
      <x:c r="C1819" s="65" t="str">
        <x:v>墨西哥超（Liga MX，Clausura）</x:v>
      </x:c>
      <x:c r="D1819" s="65" t="str">
        <x:v>桑托斯拉古纳</x:v>
      </x:c>
      <x:c r="E1819" s="65" t="str">
        <x:v>普埃布拉</x:v>
      </x:c>
      <x:c r="F1819" s="65" t="str">
        <x:v>普埃布拉 0（平手，欧赔约1.84，港赔约0.84）</x:v>
      </x:c>
      <x:c r="G1819" s="65" t="str">
        <x:v>小 2.5（欧赔约2.05，港赔约1.05）</x:v>
      </x:c>
      <x:c r="H1819" s="65" t="str">
        <x:v>半场平（欧赔约2.28，港赔约1.28）</x:v>
      </x:c>
      <x:c r="I1819" s="66" t="n">
        <x:v>46104.2881712963</x:v>
      </x:c>
      <x:c r="J1819" s="65" t="str">
        <x:v>已结算</x:v>
      </x:c>
      <x:c r="K1819" s="65" t="str">
        <x:v>2-1</x:v>
      </x:c>
      <x:c r="L1819" s="65" t="str">
        <x:v>输</x:v>
      </x:c>
      <x:c r="M1819" s="65" t="str">
        <x:v>输</x:v>
      </x:c>
      <x:c r="N1819" s="67" t="n">
        <x:v>-1</x:v>
      </x:c>
      <x:c r="O1819" s="67" t="n">
        <x:v>-1</x:v>
      </x:c>
      <x:c r="P1819" s="67" t="n">
        <x:f>IF(COUNT(N1819:O1819)=0,"",SUM(N1819:O1819))</x:f>
        <x:v>-2</x:v>
      </x:c>
      <x:c r="Q1819" s="65"/>
      <x:c r="R1819" s="65" t="str">
        <x:v>复核赛果：桑托斯拉古纳 2-1 普埃布拉；让球：普埃布拉 0（DNB）=输；大小：小2.5=输。</x:v>
      </x:c>
    </x:row>
    <x:row r="1820" ht="24" customHeight="1">
      <x:c r="A1820" s="65" t="str">
        <x:f>IF(B1820="","",TEXT(B1820,"yyyy-mm-dd")&amp;"|"&amp;D1820&amp;"|"&amp;E1820)</x:f>
        <x:v>2026-03-23|里奥夸尔托学生队|河床</x:v>
      </x:c>
      <x:c r="B1820" s="66" t="n">
        <x:v>46104.197916666664</x:v>
      </x:c>
      <x:c r="C1820" s="65" t="str">
        <x:v>阿根廷职业联赛（Liga Profesional·Apertura）</x:v>
      </x:c>
      <x:c r="D1820" s="65" t="str">
        <x:v>里奥夸尔托学生队</x:v>
      </x:c>
      <x:c r="E1820" s="65" t="str">
        <x:v>河床</x:v>
      </x:c>
      <x:c r="F1820" s="65" t="str">
        <x:v>里奥夸尔托学生队 +0.75（欧赔约2.00，港赔约1.00）</x:v>
      </x:c>
      <x:c r="G1820" s="65" t="str">
        <x:v>小 2.25（欧赔约1.90，港赔约0.90）</x:v>
      </x:c>
      <x:c r="H1820" s="65" t="str">
        <x:v>上半场小 1（欧赔约1.88，港赔约0.88）</x:v>
      </x:c>
      <x:c r="I1820" s="66" t="n">
        <x:v>46104.15641203704</x:v>
      </x:c>
      <x:c r="J1820" s="65" t="str">
        <x:v>已结算</x:v>
      </x:c>
      <x:c r="K1820" s="65" t="str">
        <x:v>0-2</x:v>
      </x:c>
      <x:c r="L1820" s="65" t="str">
        <x:v>输</x:v>
      </x:c>
      <x:c r="M1820" s="65" t="str">
        <x:v>赢半</x:v>
      </x:c>
      <x:c r="N1820" s="67" t="n">
        <x:v>-1</x:v>
      </x:c>
      <x:c r="O1820" s="67" t="n">
        <x:v>0.5</x:v>
      </x:c>
      <x:c r="P1820" s="67" t="n">
        <x:f>IF(COUNT(N1820:O1820)=0,"",SUM(N1820:O1820))</x:f>
        <x:v>-0.5</x:v>
      </x:c>
      <x:c r="Q1820" s="65"/>
      <x:c r="R1820" s="65" t="str">
        <x:v>复核赛果：里奥夸尔托学生队 0-2 河床；让球：里奥夸尔托学生队 +0.75=输；大小：小2.25=赢半。</x:v>
      </x:c>
    </x:row>
    <x:row r="1821" ht="24" customHeight="1">
      <x:c r="A1821" s="65" t="str">
        <x:f>IF(B1821="","",TEXT(B1821,"yyyy-mm-dd")&amp;"|"&amp;D1821&amp;"|"&amp;E1821)</x:f>
        <x:v>2026-03-23|佛罗伦萨|国际米兰</x:v>
      </x:c>
      <x:c r="B1821" s="66" t="n">
        <x:v>46104.15625</x:v>
      </x:c>
      <x:c r="C1821" s="65" t="str">
        <x:v>意大利甲级联赛（Serie A）</x:v>
      </x:c>
      <x:c r="D1821" s="65" t="str">
        <x:v>佛罗伦萨</x:v>
      </x:c>
      <x:c r="E1821" s="65" t="str">
        <x:v>国际米兰</x:v>
      </x:c>
      <x:c r="F1821" s="65" t="str">
        <x:v>佛罗伦萨 +0.75（欧赔约2.00，港赔约1.00）</x:v>
      </x:c>
      <x:c r="G1821" s="65" t="str">
        <x:v>小 2.5（欧赔约2.07，港赔约1.07）</x:v>
      </x:c>
      <x:c r="H1821" s="65" t="str">
        <x:v>上半场佛罗伦萨 +0.25（欧赔约2.03，港赔约1.03）</x:v>
      </x:c>
      <x:c r="I1821" s="66" t="n">
        <x:v>46104.14114583333</x:v>
      </x:c>
      <x:c r="J1821" s="65" t="str">
        <x:v>已结算</x:v>
      </x:c>
      <x:c r="K1821" s="65" t="str">
        <x:v>1-1</x:v>
      </x:c>
      <x:c r="L1821" s="65" t="str">
        <x:v>赢</x:v>
      </x:c>
      <x:c r="M1821" s="65" t="str">
        <x:v>赢</x:v>
      </x:c>
      <x:c r="N1821" s="67" t="n">
        <x:v>1</x:v>
      </x:c>
      <x:c r="O1821" s="67" t="n">
        <x:v>1</x:v>
      </x:c>
      <x:c r="P1821" s="67" t="n">
        <x:f>IF(COUNT(N1821:O1821)=0,"",SUM(N1821:O1821))</x:f>
        <x:v>2</x:v>
      </x:c>
      <x:c r="Q1821" s="65"/>
      <x:c r="R1821" s="65" t="str">
        <x:v>复核赛果：佛罗伦萨 1-1 国际米兰；让球：佛罗伦萨 +0.75=赢；大小：小2.5=赢。</x:v>
      </x:c>
    </x:row>
    <x:row r="1822" ht="24" customHeight="1">
      <x:c r="A1822" s="65" t="str">
        <x:f>IF(B1822="","",TEXT(B1822,"yyyy-mm-dd")&amp;"|"&amp;D1822&amp;"|"&amp;E1822)</x:f>
        <x:v>2026-03-23|萨米恩托|阿尔多斯维</x:v>
      </x:c>
      <x:c r="B1822" s="66" t="n">
        <x:v>46104.104166666664</x:v>
      </x:c>
      <x:c r="C1822" s="65" t="str">
        <x:v>阿根廷职业联赛（Liga Profesional·Apertura）</x:v>
      </x:c>
      <x:c r="D1822" s="65" t="str">
        <x:v>萨米恩托</x:v>
      </x:c>
      <x:c r="E1822" s="65" t="str">
        <x:v>阿尔多斯维</x:v>
      </x:c>
      <x:c r="F1822" s="65" t="str">
        <x:v>萨米恩托 -0.25（欧赔约1.82，港赔约0.82）</x:v>
      </x:c>
      <x:c r="G1822" s="65" t="str">
        <x:v>小 2（仅在欧赔≥1.80 / 港赔≥0.80 时入）</x:v>
      </x:c>
      <x:c r="H1822" s="65" t="str">
        <x:v>半场平（欧赔约1.80-1.91，港赔约0.80-0.91）</x:v>
      </x:c>
      <x:c r="I1822" s="66" t="n">
        <x:v>46104.084814814814</x:v>
      </x:c>
      <x:c r="J1822" s="65" t="str">
        <x:v>已结算</x:v>
      </x:c>
      <x:c r="K1822" s="65" t="str">
        <x:v>2-0</x:v>
      </x:c>
      <x:c r="L1822" s="65" t="str">
        <x:v>赢</x:v>
      </x:c>
      <x:c r="M1822" s="65" t="str">
        <x:v>走水</x:v>
      </x:c>
      <x:c r="N1822" s="67" t="n">
        <x:v>1</x:v>
      </x:c>
      <x:c r="O1822" s="67" t="n">
        <x:v>0</x:v>
      </x:c>
      <x:c r="P1822" s="67" t="n">
        <x:f>IF(COUNT(N1822:O1822)=0,"",SUM(N1822:O1822))</x:f>
        <x:v>1</x:v>
      </x:c>
      <x:c r="Q1822" s="65"/>
      <x:c r="R1822" s="65" t="str">
        <x:v>复核赛果：萨米恩托 2-0 阿尔多斯维；让球：萨米恩托 -0.25=赢；大小：小2.0=走水。</x:v>
      </x:c>
    </x:row>
    <x:row r="1823" ht="24" customHeight="1">
      <x:c r="A1823" s="65" t="str">
        <x:f>IF(B1823="","",TEXT(B1823,"yyyy-mm-dd")&amp;"|"&amp;D1823&amp;"|"&amp;E1823)</x:f>
        <x:v>2026-03-23|明尼苏达联|西雅图海湾人</x:v>
      </x:c>
      <x:c r="B1823" s="66" t="n">
        <x:v>46104.104166666664</x:v>
      </x:c>
      <x:c r="C1823" s="65" t="str">
        <x:v>美职联（MLS）</x:v>
      </x:c>
      <x:c r="D1823" s="65" t="str">
        <x:v>明尼苏达联</x:v>
      </x:c>
      <x:c r="E1823" s="65" t="str">
        <x:v>西雅图海湾人</x:v>
      </x:c>
      <x:c r="F1823" s="65" t="str">
        <x:v>西雅图海湾人 0（平手，欧赔约2.05，港赔约1.05）</x:v>
      </x:c>
      <x:c r="G1823" s="65" t="str">
        <x:v>小 2.5（欧赔约1.95，港赔约0.95）</x:v>
      </x:c>
      <x:c r="H1823" s="65" t="str">
        <x:v>半场平（欧赔约2.25，港赔约1.25）</x:v>
      </x:c>
      <x:c r="I1823" s="66" t="n">
        <x:v>46104.08212962963</x:v>
      </x:c>
      <x:c r="J1823" s="65" t="str">
        <x:v>已结算</x:v>
      </x:c>
      <x:c r="K1823" s="65" t="str">
        <x:v>0-0</x:v>
      </x:c>
      <x:c r="L1823" s="65" t="str">
        <x:v>走水</x:v>
      </x:c>
      <x:c r="M1823" s="65" t="str">
        <x:v>赢</x:v>
      </x:c>
      <x:c r="N1823" s="67" t="n">
        <x:v>0</x:v>
      </x:c>
      <x:c r="O1823" s="67" t="n">
        <x:v>1</x:v>
      </x:c>
      <x:c r="P1823" s="67" t="n">
        <x:f>IF(COUNT(N1823:O1823)=0,"",SUM(N1823:O1823))</x:f>
        <x:v>1</x:v>
      </x:c>
      <x:c r="Q1823" s="65"/>
      <x:c r="R1823" s="65" t="str">
        <x:v>复核赛果：明尼苏达联 0-0 西雅图海湾人；让球：西雅图海湾人 0（DNB）=走水；大小：小2.5=赢。</x:v>
      </x:c>
    </x:row>
    <x:row r="1824" ht="24" customHeight="1">
      <x:c r="A1824" s="65" t="str">
        <x:f>IF(B1824="","",TEXT(B1824,"yyyy-mm-dd")&amp;"|"&amp;D1824&amp;"|"&amp;E1824)</x:f>
        <x:v>2026-03-22|喀什国际|班加罗尔</x:v>
      </x:c>
      <x:c r="B1824" s="66" t="n">
        <x:v>46103.916666666664</x:v>
      </x:c>
      <x:c r="C1824" s="65" t="str">
        <x:v>印度超级联赛（Indian Super League）</x:v>
      </x:c>
      <x:c r="D1824" s="65" t="str">
        <x:v>喀什国际</x:v>
      </x:c>
      <x:c r="E1824" s="65" t="str">
        <x:v>班加罗尔</x:v>
      </x:c>
      <x:c r="F1824" s="65" t="str">
        <x:v>班加罗尔 -0.25（欧赔约1.94，港赔约0.94）</x:v>
      </x:c>
      <x:c r="G1824" s="65" t="str">
        <x:v>小 2（欧赔约1.95，港赔约0.95）</x:v>
      </x:c>
      <x:c r="H1824" s="65" t="str">
        <x:v>半全场 平/平（欧赔约3.90，港赔约2.90）</x:v>
      </x:c>
      <x:c r="I1824" s="66" t="n">
        <x:v>46104.078518518516</x:v>
      </x:c>
      <x:c r="J1824" s="65" t="str">
        <x:v>已结算</x:v>
      </x:c>
      <x:c r="K1824" s="65" t="str">
        <x:v>1-3</x:v>
      </x:c>
      <x:c r="L1824" s="65" t="str">
        <x:v>赢</x:v>
      </x:c>
      <x:c r="M1824" s="65" t="str">
        <x:v>输</x:v>
      </x:c>
      <x:c r="N1824" s="67" t="n">
        <x:v>1</x:v>
      </x:c>
      <x:c r="O1824" s="67" t="n">
        <x:v>-1</x:v>
      </x:c>
      <x:c r="P1824" s="67" t="n">
        <x:f>IF(COUNT(N1824:O1824)=0,"",SUM(N1824:O1824))</x:f>
        <x:v>0</x:v>
      </x:c>
      <x:c r="Q1824" s="65"/>
      <x:c r="R1824" s="65" t="str">
        <x:v>复核赛果：喀什国际 1-3 班加罗尔；让球：班加罗尔 -0.25=赢；大小：小2.0=输。</x:v>
      </x:c>
    </x:row>
    <x:row r="1825" ht="24" customHeight="1">
      <x:c r="A1825" s="65" t="str">
        <x:f>IF(B1825="","",TEXT(B1825,"yyyy-mm-dd")&amp;"|"&amp;D1825&amp;"|"&amp;E1825)</x:f>
        <x:v>2026-03-22|博洛尼亚|拉齐奥</x:v>
      </x:c>
      <x:c r="B1825" s="66" t="n">
        <x:v>46103.916666666664</x:v>
      </x:c>
      <x:c r="C1825" s="65" t="str">
        <x:v>意大利甲级联赛（Serie A）</x:v>
      </x:c>
      <x:c r="D1825" s="65" t="str">
        <x:v>博洛尼亚</x:v>
      </x:c>
      <x:c r="E1825" s="65" t="str">
        <x:v>拉齐奥</x:v>
      </x:c>
      <x:c r="F1825" s="65" t="str">
        <x:v>博洛尼亚 -0.25（欧赔约1.95，港赔约0.95）</x:v>
      </x:c>
      <x:c r="G1825" s="65" t="str">
        <x:v>小 2.25（欧赔约1.87，港赔约0.87）</x:v>
      </x:c>
      <x:c r="H1825" s="65" t="str">
        <x:v>半场平（欧赔约2.06，港赔约1.06）</x:v>
      </x:c>
      <x:c r="I1825" s="66" t="n">
        <x:v>46103.87726851852</x:v>
      </x:c>
      <x:c r="J1825" s="65" t="str">
        <x:v>已结算</x:v>
      </x:c>
      <x:c r="K1825" s="65" t="str">
        <x:v>0-2</x:v>
      </x:c>
      <x:c r="L1825" s="65" t="str">
        <x:v>输</x:v>
      </x:c>
      <x:c r="M1825" s="65" t="str">
        <x:v>赢半</x:v>
      </x:c>
      <x:c r="N1825" s="67" t="n">
        <x:v>-1</x:v>
      </x:c>
      <x:c r="O1825" s="67" t="n">
        <x:v>0.5</x:v>
      </x:c>
      <x:c r="P1825" s="67" t="n">
        <x:f>IF(COUNT(N1825:O1825)=0,"",SUM(N1825:O1825))</x:f>
        <x:v>-0.5</x:v>
      </x:c>
      <x:c r="Q1825" s="65"/>
      <x:c r="R1825" s="65" t="str">
        <x:v>复核赛果：博洛尼亚 0-2 拉齐奥；让球：博洛尼亚 -0.25=输；大小：小2.25=赢半。</x:v>
      </x:c>
    </x:row>
    <x:row r="1826" ht="24" customHeight="1">
      <x:c r="A1826" s="65" t="str">
        <x:f>IF(B1826="","",TEXT(B1826,"yyyy-mm-dd")&amp;"|"&amp;D1826&amp;"|"&amp;E1826)</x:f>
        <x:v>2026-03-22|亚特兰大|维罗纳</x:v>
      </x:c>
      <x:c r="B1826" s="66" t="n">
        <x:v>46103.916666666664</x:v>
      </x:c>
      <x:c r="C1826" s="65" t="str">
        <x:v>意大利甲级联赛（Serie A）</x:v>
      </x:c>
      <x:c r="D1826" s="65" t="str">
        <x:v>亚特兰大</x:v>
      </x:c>
      <x:c r="E1826" s="65" t="str">
        <x:v>维罗纳</x:v>
      </x:c>
      <x:c r="F1826" s="65" t="str">
        <x:v>亚特兰大 -1.25（欧赔约1.88，港赔约0.88）</x:v>
      </x:c>
      <x:c r="G1826" s="65" t="str">
        <x:v>大 2.5（欧赔约1.91，港赔约0.91）</x:v>
      </x:c>
      <x:c r="H1826" s="65" t="str">
        <x:v>半全场 亚特兰大/亚特兰大（欧赔约2.05，港赔约1.05）</x:v>
      </x:c>
      <x:c r="I1826" s="66" t="n">
        <x:v>46103.86818287037</x:v>
      </x:c>
      <x:c r="J1826" s="65" t="str">
        <x:v>已结算</x:v>
      </x:c>
      <x:c r="K1826" s="65" t="str">
        <x:v>1-0</x:v>
      </x:c>
      <x:c r="L1826" s="65" t="str">
        <x:v>输半</x:v>
      </x:c>
      <x:c r="M1826" s="65" t="str">
        <x:v>输</x:v>
      </x:c>
      <x:c r="N1826" s="67" t="n">
        <x:v>-0.5</x:v>
      </x:c>
      <x:c r="O1826" s="67" t="n">
        <x:v>-1</x:v>
      </x:c>
      <x:c r="P1826" s="67" t="n">
        <x:f>IF(COUNT(N1826:O1826)=0,"",SUM(N1826:O1826))</x:f>
        <x:v>-1.5</x:v>
      </x:c>
      <x:c r="Q1826" s="65"/>
      <x:c r="R1826" s="65" t="str">
        <x:v>复核赛果：亚特兰大 1-0 维罗纳；让球：亚特兰大 -1.25=输半；大小：大2.5=输。</x:v>
      </x:c>
    </x:row>
    <x:row r="1827" ht="24" customHeight="1">
      <x:c r="A1827" s="65" t="str">
        <x:f>IF(B1827="","",TEXT(B1827,"yyyy-mm-dd")&amp;"|"&amp;D1827&amp;"|"&amp;E1827)</x:f>
        <x:v>2026-03-22|普鲁士明斯特|马格德堡</x:v>
      </x:c>
      <x:c r="B1827" s="66" t="n">
        <x:v>46103.854166666664</x:v>
      </x:c>
      <x:c r="C1827" s="65" t="str">
        <x:v>德国乙级联赛（2. Bundesliga）</x:v>
      </x:c>
      <x:c r="D1827" s="65" t="str">
        <x:v>普鲁士明斯特</x:v>
      </x:c>
      <x:c r="E1827" s="65" t="str">
        <x:v>马格德堡</x:v>
      </x:c>
      <x:c r="F1827" s="65" t="str">
        <x:v>普鲁士明斯特 +0.25（欧赔约1.86，港赔约0.86）</x:v>
      </x:c>
      <x:c r="G1827" s="65" t="str">
        <x:v>小 2.75（欧赔约2.06，港赔约1.06）</x:v>
      </x:c>
      <x:c r="H1827" s="65" t="str">
        <x:v>上半场小 1.25（欧赔约1.83，港赔约0.83）</x:v>
      </x:c>
      <x:c r="I1827" s="66" t="n">
        <x:v>46103.84978009259</x:v>
      </x:c>
      <x:c r="J1827" s="65" t="str">
        <x:v>已结算</x:v>
      </x:c>
      <x:c r="K1827" s="65" t="str">
        <x:v>1-3</x:v>
      </x:c>
      <x:c r="L1827" s="65" t="str">
        <x:v>输</x:v>
      </x:c>
      <x:c r="M1827" s="65" t="str">
        <x:v>输</x:v>
      </x:c>
      <x:c r="N1827" s="67" t="n">
        <x:v>-1</x:v>
      </x:c>
      <x:c r="O1827" s="67" t="n">
        <x:v>-1</x:v>
      </x:c>
      <x:c r="P1827" s="67" t="n">
        <x:f>IF(COUNT(N1827:O1827)=0,"",SUM(N1827:O1827))</x:f>
        <x:v>-2</x:v>
      </x:c>
      <x:c r="Q1827" s="65"/>
      <x:c r="R1827" s="65" t="str">
        <x:v>复核赛果：普鲁士明斯特 1-3 马格德堡；让球：普鲁士明斯特 +0.25=输；大小：小2.75=输。</x:v>
      </x:c>
    </x:row>
    <x:row r="1828" ht="24" customHeight="1">
      <x:c r="A1828" s="65" t="str">
        <x:f>IF(B1828="","",TEXT(B1828,"yyyy-mm-dd")&amp;"|"&amp;D1828&amp;"|"&amp;E1828)</x:f>
        <x:v>2026-03-22|杜塞尔多夫|柏林赫塔</x:v>
      </x:c>
      <x:c r="B1828" s="66" t="n">
        <x:v>46103.854166666664</x:v>
      </x:c>
      <x:c r="C1828" s="65" t="str">
        <x:v>德国乙级联赛（2. Bundesliga）</x:v>
      </x:c>
      <x:c r="D1828" s="65" t="str">
        <x:v>杜塞尔多夫</x:v>
      </x:c>
      <x:c r="E1828" s="65" t="str">
        <x:v>柏林赫塔</x:v>
      </x:c>
      <x:c r="F1828" s="65" t="str">
        <x:v>杜塞尔多夫 -0.25（欧赔约1.98，港赔约0.98）</x:v>
      </x:c>
      <x:c r="G1828" s="65" t="str">
        <x:v>小 2.5（欧赔约2.20，港赔约1.20）</x:v>
      </x:c>
      <x:c r="H1828" s="65" t="str">
        <x:v>双方进球 否（欧赔约2.40，港赔约1.40）</x:v>
      </x:c>
      <x:c r="I1828" s="66" t="n">
        <x:v>46103.77805555556</x:v>
      </x:c>
      <x:c r="J1828" s="65" t="str">
        <x:v>已结算</x:v>
      </x:c>
      <x:c r="K1828" s="65" t="str">
        <x:v>2-5</x:v>
      </x:c>
      <x:c r="L1828" s="65" t="str">
        <x:v>输</x:v>
      </x:c>
      <x:c r="M1828" s="65" t="str">
        <x:v>输</x:v>
      </x:c>
      <x:c r="N1828" s="67" t="n">
        <x:v>-1</x:v>
      </x:c>
      <x:c r="O1828" s="67" t="n">
        <x:v>-1</x:v>
      </x:c>
      <x:c r="P1828" s="67" t="n">
        <x:f>IF(COUNT(N1828:O1828)=0,"",SUM(N1828:O1828))</x:f>
        <x:v>-2</x:v>
      </x:c>
      <x:c r="Q1828" s="65"/>
      <x:c r="R1828" s="65" t="str">
        <x:v>复核赛果：杜塞尔多夫 2-5 柏林赫塔；让球：杜塞尔多夫 -0.25=输；大小：小2.5=输。</x:v>
      </x:c>
    </x:row>
    <x:row r="1829" ht="24" customHeight="1">
      <x:c r="A1829" s="543" t="str">
        <x:f>IF(B1829="","",TEXT(B1829,"yyyy-mm-dd")&amp;"|"&amp;D1829&amp;"|"&amp;E1829)</x:f>
        <x:v>2026-03-22|波鸿|荷尔斯泰因基尔</x:v>
      </x:c>
      <x:c r="B1829" s="544" t="n">
        <x:v>46103.854166666664</x:v>
      </x:c>
      <x:c r="C1829" s="543" t="str">
        <x:v>德国乙级联赛（2. Bundesliga）</x:v>
      </x:c>
      <x:c r="D1829" s="543" t="str">
        <x:v>波鸿</x:v>
      </x:c>
      <x:c r="E1829" s="543" t="str">
        <x:v>荷尔斯泰因基尔</x:v>
      </x:c>
      <x:c r="F1829" s="543" t="str">
        <x:v>波鸿 -0.5（欧赔约1.95，港赔约0.95）</x:v>
      </x:c>
      <x:c r="G1829" s="543" t="str">
        <x:v>小 2.5（欧赔约2.10，港赔约1.10）</x:v>
      </x:c>
      <x:c r="H1829" s="543" t="str">
        <x:v>半场波鸿 -0.25（欧赔约2.05，港赔约1.05）</x:v>
      </x:c>
      <x:c r="I1829" s="544" t="n">
        <x:v>46103.77559027778</x:v>
      </x:c>
      <x:c r="J1829" s="543" t="str">
        <x:v>已结算</x:v>
      </x:c>
      <x:c r="K1829" s="543" t="str">
        <x:v>2-3</x:v>
      </x:c>
      <x:c r="L1829" s="543" t="str">
        <x:v>输</x:v>
      </x:c>
      <x:c r="M1829" s="543" t="str">
        <x:v>输</x:v>
      </x:c>
      <x:c r="N1829" s="545" t="n">
        <x:v>-1</x:v>
      </x:c>
      <x:c r="O1829" s="545" t="n">
        <x:v>-1</x:v>
      </x:c>
      <x:c r="P1829" s="545" t="n">
        <x:f>IF(COUNT(N1829:O1829)=0,"",SUM(N1829:O1829))</x:f>
        <x:v>-2</x:v>
      </x:c>
      <x:c r="Q1829" s="543"/>
      <x:c r="R1829" s="543" t="str">
        <x:v>复核赛果：波鸿 2-3 荷尔斯泰因基尔；让球：波鸿 -0.5=输；大小：小2.5=输。</x:v>
      </x:c>
    </x:row>
    <x:row r="1830" ht="24" customHeight="1">
      <x:c r="A1830" s="543" t="str">
        <x:f>IF(B1830="","",TEXT(B1830,"yyyy-mm-dd")&amp;"|"&amp;D1830&amp;"|"&amp;E1830)</x:f>
        <x:v>2026-03-22|科莫|比萨</x:v>
      </x:c>
      <x:c r="B1830" s="544" t="n">
        <x:v>46103.8125</x:v>
      </x:c>
      <x:c r="C1830" s="543" t="str">
        <x:v>意大利甲级联赛（Serie A）</x:v>
      </x:c>
      <x:c r="D1830" s="543" t="str">
        <x:v>科莫</x:v>
      </x:c>
      <x:c r="E1830" s="543" t="str">
        <x:v>比萨</x:v>
      </x:c>
      <x:c r="F1830" s="543" t="str">
        <x:v>科莫 -1.75（欧赔约1.90，港赔约0.90）</x:v>
      </x:c>
      <x:c r="G1830" s="543" t="str">
        <x:v>小 2.5（欧赔约2.07，港赔约1.07）</x:v>
      </x:c>
      <x:c r="H1830" s="543" t="str">
        <x:v>半场科莫 -0.75（欧赔约2.03，港赔约1.03）</x:v>
      </x:c>
      <x:c r="I1830" s="544" t="n">
        <x:v>46103.76472222222</x:v>
      </x:c>
      <x:c r="J1830" s="543" t="str">
        <x:v>已结算</x:v>
      </x:c>
      <x:c r="K1830" s="543" t="str">
        <x:v>5-0</x:v>
      </x:c>
      <x:c r="L1830" s="543" t="str">
        <x:v>赢</x:v>
      </x:c>
      <x:c r="M1830" s="543" t="str">
        <x:v>输</x:v>
      </x:c>
      <x:c r="N1830" s="545" t="n">
        <x:v>1</x:v>
      </x:c>
      <x:c r="O1830" s="545" t="n">
        <x:v>-1</x:v>
      </x:c>
      <x:c r="P1830" s="545" t="n">
        <x:f>IF(COUNT(N1830:O1830)=0,"",SUM(N1830:O1830))</x:f>
        <x:v>0</x:v>
      </x:c>
      <x:c r="Q1830" s="543"/>
      <x:c r="R1830" s="543" t="str">
        <x:v>复核赛果：科莫 5-0 比萨；让球：科莫 -0.75=赢；大小：小2.5=输。</x:v>
      </x:c>
    </x:row>
    <x:row r="1831" ht="24" customHeight="1">
      <x:c r="A1831" s="543" t="str">
        <x:f>IF(B1831="","",TEXT(B1831,"yyyy-mm-dd")&amp;"|"&amp;D1831&amp;"|"&amp;E1831)</x:f>
        <x:v>2026-03-22|清奈泰坦|果阿</x:v>
      </x:c>
      <x:c r="B1831" s="544" t="n">
        <x:v>46103.8125</x:v>
      </x:c>
      <x:c r="C1831" s="543" t="str">
        <x:v>印度超级联赛（Indian Super League）</x:v>
      </x:c>
      <x:c r="D1831" s="543" t="str">
        <x:v>清奈泰坦</x:v>
      </x:c>
      <x:c r="E1831" s="543" t="str">
        <x:v>果阿</x:v>
      </x:c>
      <x:c r="F1831" s="543" t="str">
        <x:v>果阿 平手</x:v>
      </x:c>
      <x:c r="G1831" s="543" t="str">
        <x:v>小2.5</x:v>
      </x:c>
      <x:c r="H1831" s="543" t="str">
        <x:v>半场平</x:v>
      </x:c>
      <x:c r="I1831" s="544" t="n">
        <x:v>46103.75209490741</x:v>
      </x:c>
      <x:c r="J1831" s="543" t="str">
        <x:v>已结算</x:v>
      </x:c>
      <x:c r="K1831" s="543" t="str">
        <x:v>1-1</x:v>
      </x:c>
      <x:c r="L1831" s="543" t="str">
        <x:v>走水</x:v>
      </x:c>
      <x:c r="M1831" s="543" t="str">
        <x:v>赢</x:v>
      </x:c>
      <x:c r="N1831" s="545" t="n">
        <x:v>0</x:v>
      </x:c>
      <x:c r="O1831" s="545" t="n">
        <x:v>1</x:v>
      </x:c>
      <x:c r="P1831" s="545" t="n">
        <x:f>IF(COUNT(N1831:O1831)=0,"",SUM(N1831:O1831))</x:f>
        <x:v>1</x:v>
      </x:c>
      <x:c r="Q1831" s="543"/>
      <x:c r="R1831" s="543" t="str">
        <x:v>复核赛果：清奈泰坦 1-1 果阿；让球：果阿 平手（DNB）=走水；大小：小2.5=赢。</x:v>
      </x:c>
    </x:row>
    <x:row r="1832" ht="24" customHeight="1">
      <x:c r="A1832" s="543" t="str">
        <x:f>IF(B1832="","",TEXT(B1832,"yyyy-mm-dd")&amp;"|"&amp;D1832&amp;"|"&amp;E1832)</x:f>
        <x:v>2026-03-22|安养FC|仁川联</x:v>
      </x:c>
      <x:c r="B1832" s="544" t="n">
        <x:v>46103.645833333336</x:v>
      </x:c>
      <x:c r="C1832" s="543" t="str">
        <x:v>韩国K联赛1（K League 1）</x:v>
      </x:c>
      <x:c r="D1832" s="543" t="str">
        <x:v>安养FC</x:v>
      </x:c>
      <x:c r="E1832" s="543" t="str">
        <x:v>仁川联</x:v>
      </x:c>
      <x:c r="F1832" s="543" t="str">
        <x:v>安养FC 0</x:v>
      </x:c>
      <x:c r="G1832" s="543" t="str">
        <x:v>大 2.5</x:v>
      </x:c>
      <x:c r="H1832" s="543" t="str">
        <x:v>双方进球 是</x:v>
      </x:c>
      <x:c r="I1832" s="544" t="n">
        <x:v>46103.57717592592</x:v>
      </x:c>
      <x:c r="J1832" s="543" t="str">
        <x:v>已结算</x:v>
      </x:c>
      <x:c r="K1832" s="543" t="str">
        <x:v>0-1</x:v>
      </x:c>
      <x:c r="L1832" s="543" t="str">
        <x:v>输</x:v>
      </x:c>
      <x:c r="M1832" s="543" t="str">
        <x:v>输</x:v>
      </x:c>
      <x:c r="N1832" s="545" t="n">
        <x:v>-1</x:v>
      </x:c>
      <x:c r="O1832" s="545" t="n">
        <x:v>-1</x:v>
      </x:c>
      <x:c r="P1832" s="545" t="n">
        <x:f>IF(COUNT(N1832:O1832)=0,"",SUM(N1832:O1832))</x:f>
        <x:v>-2</x:v>
      </x:c>
      <x:c r="Q1832" s="543"/>
      <x:c r="R1832" s="543" t="str">
        <x:v>复核赛果：安养FC 0-1 仁川联；让球：安养FC 0（DNB）=输；大小：大2.5=输。</x:v>
      </x:c>
    </x:row>
    <x:row r="1833" ht="24" customHeight="1">
      <x:c r="A1833" s="543" t="str">
        <x:f>IF(B1833="","",TEXT(B1833,"yyyy-mm-dd")&amp;"|"&amp;D1833&amp;"|"&amp;E1833)</x:f>
        <x:v>2026-03-22|首尔FC|光州FC</x:v>
      </x:c>
      <x:c r="B1833" s="544" t="n">
        <x:v>46103.541666666664</x:v>
      </x:c>
      <x:c r="C1833" s="543" t="str">
        <x:v>韩国K联赛1（K League 1）</x:v>
      </x:c>
      <x:c r="D1833" s="543" t="str">
        <x:v>首尔FC</x:v>
      </x:c>
      <x:c r="E1833" s="543" t="str">
        <x:v>光州FC</x:v>
      </x:c>
      <x:c r="F1833" s="543" t="str">
        <x:v>光州FC +0.75</x:v>
      </x:c>
      <x:c r="G1833" s="543" t="str">
        <x:v>小 2.5（仅限≥1.80）</x:v>
      </x:c>
      <x:c r="H1833" s="543" t="str">
        <x:v>平局</x:v>
      </x:c>
      <x:c r="I1833" s="544" t="n">
        <x:v>46103.573530092595</x:v>
      </x:c>
      <x:c r="J1833" s="543" t="str">
        <x:v>已结算</x:v>
      </x:c>
      <x:c r="K1833" s="543" t="str">
        <x:v>5-0</x:v>
      </x:c>
      <x:c r="L1833" s="543" t="str">
        <x:v>输</x:v>
      </x:c>
      <x:c r="M1833" s="543" t="str">
        <x:v>输</x:v>
      </x:c>
      <x:c r="N1833" s="545" t="n">
        <x:v>-1</x:v>
      </x:c>
      <x:c r="O1833" s="545" t="n">
        <x:v>-1</x:v>
      </x:c>
      <x:c r="P1833" s="545" t="n">
        <x:f>IF(COUNT(N1833:O1833)=0,"",SUM(N1833:O1833))</x:f>
        <x:v>-2</x:v>
      </x:c>
      <x:c r="Q1833" s="543"/>
      <x:c r="R1833" s="543" t="str">
        <x:v>复核赛果：首尔FC 5-0 光州FC；让球：光州FC +0.75=输；大小：小2.5=输。</x:v>
      </x:c>
    </x:row>
    <x:row r="1834" ht="24" customHeight="1">
      <x:c r="A1834" s="543" t="str">
        <x:f>IF(B1834="","",TEXT(B1834,"yyyy-mm-dd")&amp;"|"&amp;D1834&amp;"|"&amp;E1834)</x:f>
        <x:v>2026-03-22|悉尼FC|纽卡斯尔喷气机</x:v>
      </x:c>
      <x:c r="B1834" s="544" t="n">
        <x:v>46103.5</x:v>
      </x:c>
      <x:c r="C1834" s="543" t="str">
        <x:v>澳大利亚A联赛（A-League Men）</x:v>
      </x:c>
      <x:c r="D1834" s="543" t="str">
        <x:v>悉尼FC</x:v>
      </x:c>
      <x:c r="E1834" s="543" t="str">
        <x:v>纽卡斯尔喷气机</x:v>
      </x:c>
      <x:c r="F1834" s="543" t="str">
        <x:v>悉尼FC -0.5</x:v>
      </x:c>
      <x:c r="G1834" s="543" t="str">
        <x:v>小 3.5</x:v>
      </x:c>
      <x:c r="H1834" s="543" t="str">
        <x:v>悉尼FC 胜</x:v>
      </x:c>
      <x:c r="I1834" s="544" t="n">
        <x:v>46103.507997685185</x:v>
      </x:c>
      <x:c r="J1834" s="543" t="str">
        <x:v>已结算</x:v>
      </x:c>
      <x:c r="K1834" s="543" t="str">
        <x:v>1-2</x:v>
      </x:c>
      <x:c r="L1834" s="543" t="str">
        <x:v>输</x:v>
      </x:c>
      <x:c r="M1834" s="543" t="str">
        <x:v>赢</x:v>
      </x:c>
      <x:c r="N1834" s="545" t="n">
        <x:v>-1</x:v>
      </x:c>
      <x:c r="O1834" s="545" t="n">
        <x:v>1</x:v>
      </x:c>
      <x:c r="P1834" s="545" t="n">
        <x:f>IF(COUNT(N1834:O1834)=0,"",SUM(N1834:O1834))</x:f>
        <x:v>0</x:v>
      </x:c>
      <x:c r="Q1834" s="543"/>
      <x:c r="R1834" s="543" t="str">
        <x:v>复核赛果：悉尼FC 1-2 纽卡斯尔喷气机；让球：悉尼FC -0.5=输；大小：小3.5=赢。</x:v>
      </x:c>
    </x:row>
    <x:row r="1835" ht="24" customHeight="1">
      <x:c r="A1835" s="543" t="str">
        <x:f>IF(B1835="","",TEXT(B1835,"yyyy-mm-dd")&amp;"|"&amp;D1835&amp;"|"&amp;E1835)</x:f>
        <x:v>2026-03-22|美洲狮|墨西哥美洲</x:v>
      </x:c>
      <x:c r="B1835" s="544" t="n">
        <x:v>46103.46527777778</x:v>
      </x:c>
      <x:c r="C1835" s="543" t="str">
        <x:v>墨西哥超（Liga MX，Clausura）</x:v>
      </x:c>
      <x:c r="D1835" s="543" t="str">
        <x:v>美洲狮</x:v>
      </x:c>
      <x:c r="E1835" s="543" t="str">
        <x:v>墨西哥美洲</x:v>
      </x:c>
      <x:c r="F1835" s="543" t="str">
        <x:v>美洲狮 +0.25</x:v>
      </x:c>
      <x:c r="G1835" s="543" t="str">
        <x:v>小 2.5</x:v>
      </x:c>
      <x:c r="H1835" s="543" t="str">
        <x:v>平局</x:v>
      </x:c>
      <x:c r="I1835" s="544" t="n">
        <x:v>46103.44325231481</x:v>
      </x:c>
      <x:c r="J1835" s="543" t="str">
        <x:v>已结算</x:v>
      </x:c>
      <x:c r="K1835" s="543" t="str">
        <x:v>1-0</x:v>
      </x:c>
      <x:c r="L1835" s="543" t="str">
        <x:v>赢</x:v>
      </x:c>
      <x:c r="M1835" s="543" t="str">
        <x:v>赢</x:v>
      </x:c>
      <x:c r="N1835" s="545" t="n">
        <x:v>1</x:v>
      </x:c>
      <x:c r="O1835" s="545" t="n">
        <x:v>1</x:v>
      </x:c>
      <x:c r="P1835" s="545" t="n">
        <x:f>IF(COUNT(N1835:O1835)=0,"",SUM(N1835:O1835))</x:f>
        <x:v>2</x:v>
      </x:c>
      <x:c r="Q1835" s="543"/>
      <x:c r="R1835" s="543" t="str">
        <x:v>复核赛果：美洲狮 1-0 墨西哥美洲；让球：美洲狮 +0.25=赢；大小：小2.5=赢。</x:v>
      </x:c>
    </x:row>
    <x:row r="1836" ht="24" customHeight="1">
      <x:c r="A1836" s="543" t="str">
        <x:f>IF(B1836="","",TEXT(B1836,"yyyy-mm-dd")&amp;"|"&amp;D1836&amp;"|"&amp;E1836)</x:f>
        <x:v>2026-03-22|国民竞技|波哥大国际</x:v>
      </x:c>
      <x:c r="B1836" s="544" t="n">
        <x:v>46103.395833333336</x:v>
      </x:c>
      <x:c r="C1836" s="543" t="str">
        <x:v>哥伦比亚甲级联赛（Liga BetPlay DIMAYOR）</x:v>
      </x:c>
      <x:c r="D1836" s="543" t="str">
        <x:v>国民竞技</x:v>
      </x:c>
      <x:c r="E1836" s="543" t="str">
        <x:v>波哥大国际</x:v>
      </x:c>
      <x:c r="F1836" s="543" t="str">
        <x:v>国民竞技 -1.5</x:v>
      </x:c>
      <x:c r="G1836" s="543" t="str">
        <x:v>小 2.75</x:v>
      </x:c>
      <x:c r="H1836" s="543" t="str">
        <x:v>国民竞技 胜</x:v>
      </x:c>
      <x:c r="I1836" s="544" t="n">
        <x:v>46103.41633101852</x:v>
      </x:c>
      <x:c r="J1836" s="543" t="str">
        <x:v>已结算</x:v>
      </x:c>
      <x:c r="K1836" s="543" t="str">
        <x:v>3-0</x:v>
      </x:c>
      <x:c r="L1836" s="543" t="str">
        <x:v>赢</x:v>
      </x:c>
      <x:c r="M1836" s="543" t="str">
        <x:v>输半</x:v>
      </x:c>
      <x:c r="N1836" s="545" t="n">
        <x:v>1</x:v>
      </x:c>
      <x:c r="O1836" s="545" t="n">
        <x:v>-0.5</x:v>
      </x:c>
      <x:c r="P1836" s="545" t="n">
        <x:f>IF(COUNT(N1836:O1836)=0,"",SUM(N1836:O1836))</x:f>
        <x:v>0.5</x:v>
      </x:c>
      <x:c r="Q1836" s="543"/>
      <x:c r="R1836" s="543" t="str">
        <x:v>复核赛果：国民竞技 3-0 波哥大国际；让球：国民竞技 -1.5=赢；大小：小2.75=输半。</x:v>
      </x:c>
    </x:row>
    <x:row r="1837" ht="24" customHeight="1">
      <x:c r="A1837" s="543" t="str">
        <x:f>IF(B1837="","",TEXT(B1837,"yyyy-mm-dd")&amp;"|"&amp;D1837&amp;"|"&amp;E1837)</x:f>
        <x:v>2026-03-22|贝尔格拉诺|竞技俱乐部</x:v>
      </x:c>
      <x:c r="B1837" s="544" t="n">
        <x:v>46103.385416666664</x:v>
      </x:c>
      <x:c r="C1837" s="543" t="str">
        <x:v>阿根廷职业联赛（Liga Profesional·Apertura）</x:v>
      </x:c>
      <x:c r="D1837" s="543" t="str">
        <x:v>贝尔格拉诺</x:v>
      </x:c>
      <x:c r="E1837" s="543" t="str">
        <x:v>竞技俱乐部</x:v>
      </x:c>
      <x:c r="F1837" s="543" t="str">
        <x:v>竞技俱乐部 -0.25</x:v>
      </x:c>
      <x:c r="G1837" s="543" t="str">
        <x:v>小 2.5（仅限≥1.80）</x:v>
      </x:c>
      <x:c r="H1837" s="543" t="str">
        <x:v>平局</x:v>
      </x:c>
      <x:c r="I1837" s="544" t="n">
        <x:v>46103.408125</x:v>
      </x:c>
      <x:c r="J1837" s="543" t="str">
        <x:v>已结算</x:v>
      </x:c>
      <x:c r="K1837" s="543" t="str">
        <x:v>1-2</x:v>
      </x:c>
      <x:c r="L1837" s="543" t="str">
        <x:v>赢</x:v>
      </x:c>
      <x:c r="M1837" s="543" t="str">
        <x:v>输</x:v>
      </x:c>
      <x:c r="N1837" s="545" t="n">
        <x:v>1</x:v>
      </x:c>
      <x:c r="O1837" s="545" t="n">
        <x:v>-1</x:v>
      </x:c>
      <x:c r="P1837" s="545" t="n">
        <x:f>IF(COUNT(N1837:O1837)=0,"",SUM(N1837:O1837))</x:f>
        <x:v>0</x:v>
      </x:c>
      <x:c r="Q1837" s="543"/>
      <x:c r="R1837" s="543" t="str">
        <x:v>复核赛果：贝尔格拉诺 1-2 竞技俱乐部；让球：竞技俱乐部 -0.25=赢；大小：小2.5=输。</x:v>
      </x:c>
    </x:row>
    <x:row r="1838" ht="24" customHeight="1">
      <x:c r="A1838" s="543" t="str">
        <x:f>IF(B1838="","",TEXT(B1838,"yyyy-mm-dd")&amp;"|"&amp;D1838&amp;"|"&amp;E1838)</x:f>
        <x:v>2026-03-22|蒙特雷|瓜达拉哈拉</x:v>
      </x:c>
      <x:c r="B1838" s="544" t="n">
        <x:v>46103.37847222222</x:v>
      </x:c>
      <x:c r="C1838" s="543" t="str">
        <x:v>墨西哥超（Liga MX，Clausura）</x:v>
      </x:c>
      <x:c r="D1838" s="543" t="str">
        <x:v>蒙特雷</x:v>
      </x:c>
      <x:c r="E1838" s="543" t="str">
        <x:v>瓜达拉哈拉</x:v>
      </x:c>
      <x:c r="F1838" s="543" t="str">
        <x:v>瓜达拉哈拉 -0.25</x:v>
      </x:c>
      <x:c r="G1838" s="543" t="str">
        <x:v>小 2.5</x:v>
      </x:c>
      <x:c r="H1838" s="543" t="str">
        <x:v>平局</x:v>
      </x:c>
      <x:c r="I1838" s="544" t="n">
        <x:v>46103.38748842593</x:v>
      </x:c>
      <x:c r="J1838" s="543" t="str">
        <x:v>已结算</x:v>
      </x:c>
      <x:c r="K1838" s="543" t="str">
        <x:v>2-3</x:v>
      </x:c>
      <x:c r="L1838" s="543" t="str">
        <x:v>赢</x:v>
      </x:c>
      <x:c r="M1838" s="543" t="str">
        <x:v>输</x:v>
      </x:c>
      <x:c r="N1838" s="545" t="n">
        <x:v>1</x:v>
      </x:c>
      <x:c r="O1838" s="545" t="n">
        <x:v>-1</x:v>
      </x:c>
      <x:c r="P1838" s="545" t="n">
        <x:f>IF(COUNT(N1838:O1838)=0,"",SUM(N1838:O1838))</x:f>
        <x:v>0</x:v>
      </x:c>
      <x:c r="Q1838" s="543"/>
      <x:c r="R1838" s="543" t="str">
        <x:v>复核赛果：蒙特雷 2-3 瓜达拉哈拉；让球：瓜达拉哈拉 -0.25=赢；大小：小2.5=输。</x:v>
      </x:c>
    </x:row>
    <x:row r="1839" ht="24" customHeight="1">
      <x:c r="A1839" s="543" t="str">
        <x:f>IF(B1839="","",TEXT(B1839,"yyyy-mm-dd")&amp;"|"&amp;D1839&amp;"|"&amp;E1839)</x:f>
        <x:v>2026-03-22|圣路易斯竞技|莱昂</x:v>
      </x:c>
      <x:c r="B1839" s="544" t="n">
        <x:v>46103.375</x:v>
      </x:c>
      <x:c r="C1839" s="543" t="str">
        <x:v>墨西哥超（Liga MX，Clausura）</x:v>
      </x:c>
      <x:c r="D1839" s="543" t="str">
        <x:v>圣路易斯竞技</x:v>
      </x:c>
      <x:c r="E1839" s="543" t="str">
        <x:v>莱昂</x:v>
      </x:c>
      <x:c r="F1839" s="543" t="str">
        <x:v>莱昂 +0.25</x:v>
      </x:c>
      <x:c r="G1839" s="543" t="str">
        <x:v>大 2.75</x:v>
      </x:c>
      <x:c r="H1839" s="543" t="str">
        <x:v>双方进球 是</x:v>
      </x:c>
      <x:c r="I1839" s="544" t="n">
        <x:v>46103.38309027778</x:v>
      </x:c>
      <x:c r="J1839" s="543" t="str">
        <x:v>已结算</x:v>
      </x:c>
      <x:c r="K1839" s="543" t="str">
        <x:v>1-2</x:v>
      </x:c>
      <x:c r="L1839" s="543" t="str">
        <x:v>赢</x:v>
      </x:c>
      <x:c r="M1839" s="543" t="str">
        <x:v>赢半</x:v>
      </x:c>
      <x:c r="N1839" s="545" t="n">
        <x:v>1</x:v>
      </x:c>
      <x:c r="O1839" s="545" t="n">
        <x:v>0.5</x:v>
      </x:c>
      <x:c r="P1839" s="545" t="n">
        <x:f>IF(COUNT(N1839:O1839)=0,"",SUM(N1839:O1839))</x:f>
        <x:v>1.5</x:v>
      </x:c>
      <x:c r="Q1839" s="543"/>
      <x:c r="R1839" s="543" t="str">
        <x:v>按匹配键重核赛果 1-2；让球：莱昂 +0.25=赢；大小：大2.75=赢半</x:v>
      </x:c>
    </x:row>
    <x:row r="1840" ht="24" customHeight="1">
      <x:c r="A1840" s="543" t="str">
        <x:f>IF(B1840="","",TEXT(B1840,"yyyy-mm-dd")&amp;"|"&amp;D1840&amp;"|"&amp;E1840)</x:f>
        <x:v>2026-03-22|云斯卡尔达斯|百万富翁</x:v>
      </x:c>
      <x:c r="B1840" s="544" t="n">
        <x:v>46103.305555555555</x:v>
      </x:c>
      <x:c r="C1840" s="543" t="str">
        <x:v>哥伦比亚甲级联赛（Liga BetPlay DIMAYOR）</x:v>
      </x:c>
      <x:c r="D1840" s="543" t="str">
        <x:v>云斯卡尔达斯</x:v>
      </x:c>
      <x:c r="E1840" s="543" t="str">
        <x:v>百万富翁</x:v>
      </x:c>
      <x:c r="F1840" s="543" t="str">
        <x:v>百万富翁 +0.25</x:v>
      </x:c>
      <x:c r="G1840" s="543" t="str">
        <x:v>小 2.5</x:v>
      </x:c>
      <x:c r="H1840" s="543" t="str">
        <x:v>平局</x:v>
      </x:c>
      <x:c r="I1840" s="544" t="n">
        <x:v>46103.38108796296</x:v>
      </x:c>
      <x:c r="J1840" s="543" t="str">
        <x:v>已结算</x:v>
      </x:c>
      <x:c r="K1840" s="543" t="str">
        <x:v>1-4</x:v>
      </x:c>
      <x:c r="L1840" s="543" t="str">
        <x:v>赢</x:v>
      </x:c>
      <x:c r="M1840" s="543" t="str">
        <x:v>输</x:v>
      </x:c>
      <x:c r="N1840" s="545" t="n">
        <x:v>1</x:v>
      </x:c>
      <x:c r="O1840" s="545" t="n">
        <x:v>-1</x:v>
      </x:c>
      <x:c r="P1840" s="545" t="n">
        <x:f>IF(COUNT(N1840:O1840)=0,"",SUM(N1840:O1840))</x:f>
        <x:v>0</x:v>
      </x:c>
      <x:c r="Q1840" s="543"/>
      <x:c r="R1840" s="543" t="str">
        <x:v>复核赛果：云斯卡尔达斯 1-4 百万富翁；让球：百万富翁 +0.25=赢；大小：小2.5=输。</x:v>
      </x:c>
    </x:row>
    <x:row r="1841" ht="24" customHeight="1">
      <x:c r="A1841" s="543" t="str">
        <x:f>IF(B1841="","",TEXT(B1841,"yyyy-mm-dd")&amp;"|"&amp;D1841&amp;"|"&amp;E1841)</x:f>
        <x:v>2026-03-22|阿根廷独立|塔勒瑞斯</x:v>
      </x:c>
      <x:c r="B1841" s="544" t="n">
        <x:v>46103.291666666664</x:v>
      </x:c>
      <x:c r="C1841" s="543" t="str">
        <x:v>阿根廷职业联赛（Liga Profesional·Apertura）</x:v>
      </x:c>
      <x:c r="D1841" s="543" t="str">
        <x:v>阿根廷独立</x:v>
      </x:c>
      <x:c r="E1841" s="543" t="str">
        <x:v>塔勒瑞斯</x:v>
      </x:c>
      <x:c r="F1841" s="543" t="str">
        <x:v>塔勒瑞斯 +0.5</x:v>
      </x:c>
      <x:c r="G1841" s="543" t="str">
        <x:v>小 2.5（仅限≥1.80）</x:v>
      </x:c>
      <x:c r="H1841" s="543" t="str">
        <x:v>平局</x:v>
      </x:c>
      <x:c r="I1841" s="544" t="n">
        <x:v>46103.27103009259</x:v>
      </x:c>
      <x:c r="J1841" s="543" t="str">
        <x:v>已结算</x:v>
      </x:c>
      <x:c r="K1841" s="543" t="str">
        <x:v>1-2</x:v>
      </x:c>
      <x:c r="L1841" s="543" t="str">
        <x:v>赢</x:v>
      </x:c>
      <x:c r="M1841" s="543" t="str">
        <x:v>输</x:v>
      </x:c>
      <x:c r="N1841" s="545" t="n">
        <x:v>1</x:v>
      </x:c>
      <x:c r="O1841" s="545" t="n">
        <x:v>-1</x:v>
      </x:c>
      <x:c r="P1841" s="545" t="n">
        <x:f>IF(COUNT(N1841:O1841)=0,"",SUM(N1841:O1841))</x:f>
        <x:v>0</x:v>
      </x:c>
      <x:c r="Q1841" s="543" t="str">
        <x:v>https://www.espn.com/soccer/match/_/gameId/762949/talleres-cordoba-independiente | https://www.foxsports.com/soccer/argentina-primera-independiente-vs-talleres-mar-21-2026-game-boxscore-649532 | 查询时间：2026-07-15 23:40（北京时间）</x:v>
      </x:c>
      <x:c r="R1841" s="543" t="str">
        <x:v>历史积压补结：90分钟1-2；塔勒瑞斯+0.5打出，小2.5未打出。</x:v>
      </x:c>
    </x:row>
    <x:row r="1842" ht="24" customHeight="1">
      <x:c r="A1842" s="543" t="str">
        <x:f>IF(B1842="","",TEXT(B1842,"yyyy-mm-dd")&amp;"|"&amp;D1842&amp;"|"&amp;E1842)</x:f>
        <x:v>2026-03-22|阿特拉斯|克雷塔罗</x:v>
      </x:c>
      <x:c r="B1842" s="544" t="n">
        <x:v>46103.291666666664</x:v>
      </x:c>
      <x:c r="C1842" s="543" t="str">
        <x:v>墨西哥超（Liga MX，Clausura）</x:v>
      </x:c>
      <x:c r="D1842" s="543" t="str">
        <x:v>阿特拉斯</x:v>
      </x:c>
      <x:c r="E1842" s="543" t="str">
        <x:v>克雷塔罗</x:v>
      </x:c>
      <x:c r="F1842" s="543" t="str">
        <x:v>阿特拉斯 -0.5</x:v>
      </x:c>
      <x:c r="G1842" s="543" t="str">
        <x:v>大 2.5</x:v>
      </x:c>
      <x:c r="H1842" s="543" t="str">
        <x:v>阿特拉斯 胜</x:v>
      </x:c>
      <x:c r="I1842" s="544" t="n">
        <x:v>46103.26207175926</x:v>
      </x:c>
      <x:c r="J1842" s="543" t="str">
        <x:v>已结算</x:v>
      </x:c>
      <x:c r="K1842" s="543" t="str">
        <x:v>0-0</x:v>
      </x:c>
      <x:c r="L1842" s="543" t="str">
        <x:v>输</x:v>
      </x:c>
      <x:c r="M1842" s="543" t="str">
        <x:v>输</x:v>
      </x:c>
      <x:c r="N1842" s="545" t="n">
        <x:v>-1</x:v>
      </x:c>
      <x:c r="O1842" s="545" t="n">
        <x:v>-1</x:v>
      </x:c>
      <x:c r="P1842" s="545" t="n">
        <x:f>IF(COUNT(N1842:O1842)=0,"",SUM(N1842:O1842))</x:f>
        <x:v>-2</x:v>
      </x:c>
      <x:c r="Q1842" s="543"/>
      <x:c r="R1842" s="543" t="str">
        <x:v>按匹配键重核赛果 0-0；让球：阿特拉斯 -0.5=输；大小：大2.5=输</x:v>
      </x:c>
    </x:row>
    <x:row r="1843" ht="24" customHeight="1">
      <x:c r="A1843" s="543" t="str">
        <x:f>IF(B1843="","",TEXT(B1843,"yyyy-mm-dd")&amp;"|"&amp;D1843&amp;"|"&amp;E1843)</x:f>
        <x:v>2026-03-22|纽维尔老男孩|甘拿斯亚门多萨</x:v>
      </x:c>
      <x:c r="B1843" s="544" t="n">
        <x:v>46103.197916666664</x:v>
      </x:c>
      <x:c r="C1843" s="543" t="str">
        <x:v>阿根廷职业联赛（Liga Profesional·Apertura）</x:v>
      </x:c>
      <x:c r="D1843" s="543" t="str">
        <x:v>纽维尔老男孩</x:v>
      </x:c>
      <x:c r="E1843" s="543" t="str">
        <x:v>甘拿斯亚门多萨</x:v>
      </x:c>
      <x:c r="F1843" s="543" t="str">
        <x:v>甘拿斯亚门多萨 +0.25</x:v>
      </x:c>
      <x:c r="G1843" s="543" t="str">
        <x:v>小 2.25</x:v>
      </x:c>
      <x:c r="H1843" s="543" t="str">
        <x:v>平局</x:v>
      </x:c>
      <x:c r="I1843" s="544" t="n">
        <x:v>46103.25346064815</x:v>
      </x:c>
      <x:c r="J1843" s="543" t="str">
        <x:v>已结算</x:v>
      </x:c>
      <x:c r="K1843" s="543" t="str">
        <x:v>1-0</x:v>
      </x:c>
      <x:c r="L1843" s="543" t="str">
        <x:v>输</x:v>
      </x:c>
      <x:c r="M1843" s="543" t="str">
        <x:v>赢</x:v>
      </x:c>
      <x:c r="N1843" s="545" t="n">
        <x:v>-1</x:v>
      </x:c>
      <x:c r="O1843" s="545" t="n">
        <x:v>1</x:v>
      </x:c>
      <x:c r="P1843" s="545" t="n">
        <x:f>IF(COUNT(N1843:O1843)=0,"",SUM(N1843:O1843))</x:f>
        <x:v>0</x:v>
      </x:c>
      <x:c r="Q1843" s="543"/>
      <x:c r="R1843" s="543" t="str">
        <x:v>按匹配键重核赛果 1-0；让球：甘拿斯亚门多萨 +0.25=输；大小：小2.25=赢</x:v>
      </x:c>
    </x:row>
    <x:row r="1844" ht="24" customHeight="1">
      <x:c r="A1844" s="543" t="str">
        <x:f>IF(B1844="","",TEXT(B1844,"yyyy-mm-dd")&amp;"|"&amp;D1844&amp;"|"&amp;E1844)</x:f>
        <x:v>2026-03-22|埃弗顿|切尔西</x:v>
      </x:c>
      <x:c r="B1844" s="544" t="n">
        <x:v>46103.0625</x:v>
      </x:c>
      <x:c r="C1844" s="543" t="str">
        <x:v>英格兰超级联赛（Premier League）</x:v>
      </x:c>
      <x:c r="D1844" s="543" t="str">
        <x:v>埃弗顿</x:v>
      </x:c>
      <x:c r="E1844" s="543" t="str">
        <x:v>切尔西</x:v>
      </x:c>
      <x:c r="F1844" s="543" t="str">
        <x:v>埃弗顿 +0.25</x:v>
      </x:c>
      <x:c r="G1844" s="543" t="str">
        <x:v>小 2.5</x:v>
      </x:c>
      <x:c r="H1844" s="543" t="str">
        <x:v>平局</x:v>
      </x:c>
      <x:c r="I1844" s="544" t="n">
        <x:v>46103.24829861111</x:v>
      </x:c>
      <x:c r="J1844" s="543" t="str">
        <x:v>已结算</x:v>
      </x:c>
      <x:c r="K1844" s="543" t="str">
        <x:v>3-0</x:v>
      </x:c>
      <x:c r="L1844" s="543" t="str">
        <x:v>赢</x:v>
      </x:c>
      <x:c r="M1844" s="543" t="str">
        <x:v>输</x:v>
      </x:c>
      <x:c r="N1844" s="545" t="n">
        <x:v>1</x:v>
      </x:c>
      <x:c r="O1844" s="545" t="n">
        <x:v>-1</x:v>
      </x:c>
      <x:c r="P1844" s="545" t="n">
        <x:f>IF(COUNT(N1844:O1844)=0,"",SUM(N1844:O1844))</x:f>
        <x:v>0</x:v>
      </x:c>
      <x:c r="Q1844" s="543"/>
      <x:c r="R1844" s="543" t="str">
        <x:v>按匹配键重核赛果 3-0；让球：埃弗顿 +0.25=赢；大小：小2.5=输</x:v>
      </x:c>
    </x:row>
    <x:row r="1845" ht="24" customHeight="1">
      <x:c r="A1845" s="543" t="str">
        <x:f>IF(B1845="","",TEXT(B1845,"yyyy-mm-dd")&amp;"|"&amp;D1845&amp;"|"&amp;E1845)</x:f>
        <x:v>2026-03-21|布里斯托尔城|西布罗姆维奇</x:v>
      </x:c>
      <x:c r="B1845" s="544" t="n">
        <x:v>46102.958333333336</x:v>
      </x:c>
      <x:c r="C1845" s="543" t="str">
        <x:v>英格兰冠军联赛（英冠）</x:v>
      </x:c>
      <x:c r="D1845" s="543" t="str">
        <x:v>布里斯托尔城</x:v>
      </x:c>
      <x:c r="E1845" s="543" t="str">
        <x:v>西布罗姆维奇</x:v>
      </x:c>
      <x:c r="F1845" s="543" t="str">
        <x:v>西布罗姆维奇 0</x:v>
      </x:c>
      <x:c r="G1845" s="543" t="str">
        <x:v>小 2.25</x:v>
      </x:c>
      <x:c r="H1845" s="543" t="str">
        <x:v>平局</x:v>
      </x:c>
      <x:c r="I1845" s="544" t="n">
        <x:v>46102.97099537037</x:v>
      </x:c>
      <x:c r="J1845" s="543" t="str">
        <x:v>已结算</x:v>
      </x:c>
      <x:c r="K1845" s="543" t="str">
        <x:v>0-1</x:v>
      </x:c>
      <x:c r="L1845" s="543" t="str">
        <x:v>赢</x:v>
      </x:c>
      <x:c r="M1845" s="543" t="str">
        <x:v>赢</x:v>
      </x:c>
      <x:c r="N1845" s="545" t="n">
        <x:v>1</x:v>
      </x:c>
      <x:c r="O1845" s="545" t="n">
        <x:v>1</x:v>
      </x:c>
      <x:c r="P1845" s="545" t="n">
        <x:f>IF(COUNT(N1845:O1845)=0,"",SUM(N1845:O1845))</x:f>
        <x:v>2</x:v>
      </x:c>
      <x:c r="Q1845" s="543"/>
      <x:c r="R1845" s="543" t="str">
        <x:v>按匹配键重核赛果 0-1；让球：西布罗姆维奇 平手（DNB，0）=赢；大小：小2.25=赢</x:v>
      </x:c>
    </x:row>
    <x:row r="1846" ht="24" customHeight="1">
      <x:c r="A1846" s="543" t="str">
        <x:f>IF(B1846="","",TEXT(B1846,"yyyy-mm-dd")&amp;"|"&amp;D1846&amp;"|"&amp;E1846)</x:f>
        <x:v>2026-03-21|谢菲尔德联|雷克斯汉姆</x:v>
      </x:c>
      <x:c r="B1846" s="544" t="n">
        <x:v>46102.958333333336</x:v>
      </x:c>
      <x:c r="C1846" s="543" t="str">
        <x:v>英格兰冠军联赛（英冠）</x:v>
      </x:c>
      <x:c r="D1846" s="543" t="str">
        <x:v>谢菲尔德联</x:v>
      </x:c>
      <x:c r="E1846" s="543" t="str">
        <x:v>雷克斯汉姆</x:v>
      </x:c>
      <x:c r="F1846" s="543" t="str">
        <x:v>雷克斯汉姆 +0.5</x:v>
      </x:c>
      <x:c r="G1846" s="543" t="str">
        <x:v>小 2.5</x:v>
      </x:c>
      <x:c r="H1846" s="543" t="str">
        <x:v>平局</x:v>
      </x:c>
      <x:c r="I1846" s="544" t="n">
        <x:v>46102.96763888889</x:v>
      </x:c>
      <x:c r="J1846" s="543" t="str">
        <x:v>已结算</x:v>
      </x:c>
      <x:c r="K1846" s="543" t="str">
        <x:v>1-2</x:v>
      </x:c>
      <x:c r="L1846" s="543" t="str">
        <x:v>赢</x:v>
      </x:c>
      <x:c r="M1846" s="543" t="str">
        <x:v>输</x:v>
      </x:c>
      <x:c r="N1846" s="545" t="n">
        <x:v>1</x:v>
      </x:c>
      <x:c r="O1846" s="545" t="n">
        <x:v>-1</x:v>
      </x:c>
      <x:c r="P1846" s="545" t="n">
        <x:f>IF(COUNT(N1846:O1846)=0,"",SUM(N1846:O1846))</x:f>
        <x:v>0</x:v>
      </x:c>
      <x:c r="Q1846" s="543"/>
      <x:c r="R1846" s="543" t="str">
        <x:v>按匹配键重核赛果 1-2；让球：雷克斯汉姆 +0.5=赢；大小：小2.5=输</x:v>
      </x:c>
    </x:row>
    <x:row r="1847" ht="24" customHeight="1">
      <x:c r="A1847" s="543" t="str">
        <x:f>IF(B1847="","",TEXT(B1847,"yyyy-mm-dd")&amp;"|"&amp;D1847&amp;"|"&amp;E1847)</x:f>
        <x:v>2026-03-21|查尔顿竞技|诺维奇城</x:v>
      </x:c>
      <x:c r="B1847" s="544" t="n">
        <x:v>46102.958333333336</x:v>
      </x:c>
      <x:c r="C1847" s="543" t="str">
        <x:v>英格兰冠军联赛（英冠）</x:v>
      </x:c>
      <x:c r="D1847" s="543" t="str">
        <x:v>查尔顿竞技</x:v>
      </x:c>
      <x:c r="E1847" s="543" t="str">
        <x:v>诺维奇城</x:v>
      </x:c>
      <x:c r="F1847" s="543" t="str">
        <x:v>查尔顿竞技 +0.25</x:v>
      </x:c>
      <x:c r="G1847" s="543" t="str">
        <x:v>小 2.5</x:v>
      </x:c>
      <x:c r="H1847" s="543" t="str">
        <x:v>平局</x:v>
      </x:c>
      <x:c r="I1847" s="544" t="n">
        <x:v>46102.96487268519</x:v>
      </x:c>
      <x:c r="J1847" s="543" t="str">
        <x:v>已结算</x:v>
      </x:c>
      <x:c r="K1847" s="543" t="str">
        <x:v>0-1</x:v>
      </x:c>
      <x:c r="L1847" s="543" t="str">
        <x:v>输</x:v>
      </x:c>
      <x:c r="M1847" s="543" t="str">
        <x:v>赢</x:v>
      </x:c>
      <x:c r="N1847" s="545" t="n">
        <x:v>-1</x:v>
      </x:c>
      <x:c r="O1847" s="545" t="n">
        <x:v>1</x:v>
      </x:c>
      <x:c r="P1847" s="545" t="n">
        <x:f>IF(COUNT(N1847:O1847)=0,"",SUM(N1847:O1847))</x:f>
        <x:v>0</x:v>
      </x:c>
      <x:c r="Q1847" s="543"/>
      <x:c r="R1847" s="543" t="str">
        <x:v>复核赛果：查尔顿竞技 0-1 诺维奇城；让球：查尔顿竞技 +0.25=输；大小：小2.5=赢。</x:v>
      </x:c>
    </x:row>
    <x:row r="1848" ht="24" customHeight="1">
      <x:c r="A1848" s="543" t="str">
        <x:f>IF(B1848="","",TEXT(B1848,"yyyy-mm-dd")&amp;"|"&amp;D1848&amp;"|"&amp;E1848)</x:f>
        <x:v>2026-03-21|喀拉拉邦冲击波|旁遮普</x:v>
      </x:c>
      <x:c r="B1848" s="544" t="n">
        <x:v>46102.916666666664</x:v>
      </x:c>
      <x:c r="C1848" s="543" t="str">
        <x:v>印度超级联赛（Indian Super League）</x:v>
      </x:c>
      <x:c r="D1848" s="543" t="str">
        <x:v>喀拉拉邦冲击波</x:v>
      </x:c>
      <x:c r="E1848" s="543" t="str">
        <x:v>旁遮普</x:v>
      </x:c>
      <x:c r="F1848" s="543" t="str">
        <x:v>旁遮普 0</x:v>
      </x:c>
      <x:c r="G1848" s="543" t="str">
        <x:v>小 2.5</x:v>
      </x:c>
      <x:c r="H1848" s="543" t="str">
        <x:v>平局</x:v>
      </x:c>
      <x:c r="I1848" s="544" t="n">
        <x:v>46102.92972222222</x:v>
      </x:c>
      <x:c r="J1848" s="543" t="str">
        <x:v>已结算</x:v>
      </x:c>
      <x:c r="K1848" s="543" t="str">
        <x:v>1-3</x:v>
      </x:c>
      <x:c r="L1848" s="543" t="str">
        <x:v>赢</x:v>
      </x:c>
      <x:c r="M1848" s="543" t="str">
        <x:v>输</x:v>
      </x:c>
      <x:c r="N1848" s="545" t="n">
        <x:v>1</x:v>
      </x:c>
      <x:c r="O1848" s="545" t="n">
        <x:v>-1</x:v>
      </x:c>
      <x:c r="P1848" s="545" t="n">
        <x:f>IF(COUNT(N1848:O1848)=0,"",SUM(N1848:O1848))</x:f>
        <x:v>0</x:v>
      </x:c>
      <x:c r="Q1848" s="543"/>
      <x:c r="R1848" s="543" t="str">
        <x:v>按匹配键重核赛果 1-3；让球：旁遮普 平手（DNB，0）=赢；大小：小2.5=输</x:v>
      </x:c>
    </x:row>
    <x:row r="1849" ht="24" customHeight="1">
      <x:c r="A1849" s="543" t="str">
        <x:f>IF(B1849="","",TEXT(B1849,"yyyy-mm-dd")&amp;"|"&amp;D1849&amp;"|"&amp;E1849)</x:f>
        <x:v>2026-03-21|帕尔马|克雷莫纳</x:v>
      </x:c>
      <x:c r="B1849" s="544" t="n">
        <x:v>46102.916666666664</x:v>
      </x:c>
      <x:c r="C1849" s="543" t="str">
        <x:v>意大利甲级联赛（Serie A）</x:v>
      </x:c>
      <x:c r="D1849" s="543" t="str">
        <x:v>帕尔马</x:v>
      </x:c>
      <x:c r="E1849" s="543" t="str">
        <x:v>克雷莫纳</x:v>
      </x:c>
      <x:c r="F1849" s="543" t="str">
        <x:v>克雷莫纳 +0.25</x:v>
      </x:c>
      <x:c r="G1849" s="543" t="str">
        <x:v>小 2.25</x:v>
      </x:c>
      <x:c r="H1849" s="543" t="str">
        <x:v>平局</x:v>
      </x:c>
      <x:c r="I1849" s="544" t="n">
        <x:v>46102.923113425924</x:v>
      </x:c>
      <x:c r="J1849" s="543" t="str">
        <x:v>已结算</x:v>
      </x:c>
      <x:c r="K1849" s="543" t="str">
        <x:v>0-2</x:v>
      </x:c>
      <x:c r="L1849" s="543" t="str">
        <x:v>赢</x:v>
      </x:c>
      <x:c r="M1849" s="543" t="str">
        <x:v>赢半</x:v>
      </x:c>
      <x:c r="N1849" s="545" t="n">
        <x:v>1</x:v>
      </x:c>
      <x:c r="O1849" s="545" t="n">
        <x:v>0.5</x:v>
      </x:c>
      <x:c r="P1849" s="545" t="n">
        <x:f>IF(COUNT(N1849:O1849)=0,"",SUM(N1849:O1849))</x:f>
        <x:v>1.5</x:v>
      </x:c>
      <x:c r="Q1849" s="543"/>
      <x:c r="R1849" s="543" t="str">
        <x:v>复核赛果：帕尔马 0-2 克雷莫纳；让球：克雷莫纳 +0.25=赢；大小：小2.25=赢半。</x:v>
      </x:c>
    </x:row>
    <x:row r="1850" ht="24" customHeight="1">
      <x:c r="A1850" s="543" t="str">
        <x:f>IF(B1850="","",TEXT(B1850,"yyyy-mm-dd")&amp;"|"&amp;D1850&amp;"|"&amp;E1850)</x:f>
        <x:v>2026-03-21|德比郡|伯明翰城</x:v>
      </x:c>
      <x:c r="B1850" s="544" t="n">
        <x:v>46102.854166666664</x:v>
      </x:c>
      <x:c r="C1850" s="543" t="str">
        <x:v>英格兰冠军联赛（英冠）</x:v>
      </x:c>
      <x:c r="D1850" s="543" t="str">
        <x:v>德比郡</x:v>
      </x:c>
      <x:c r="E1850" s="543" t="str">
        <x:v>伯明翰城</x:v>
      </x:c>
      <x:c r="F1850" s="543" t="str">
        <x:v>德比郡 0</x:v>
      </x:c>
      <x:c r="G1850" s="543" t="str">
        <x:v>小 2.5</x:v>
      </x:c>
      <x:c r="H1850" s="543" t="str">
        <x:v>平局</x:v>
      </x:c>
      <x:c r="I1850" s="544" t="n">
        <x:v>46102.86840277778</x:v>
      </x:c>
      <x:c r="J1850" s="543" t="str">
        <x:v>已结算</x:v>
      </x:c>
      <x:c r="K1850" s="543" t="str">
        <x:v>1-0</x:v>
      </x:c>
      <x:c r="L1850" s="543" t="str">
        <x:v>赢</x:v>
      </x:c>
      <x:c r="M1850" s="543" t="str">
        <x:v>赢</x:v>
      </x:c>
      <x:c r="N1850" s="545" t="n">
        <x:v>1</x:v>
      </x:c>
      <x:c r="O1850" s="545" t="n">
        <x:v>1</x:v>
      </x:c>
      <x:c r="P1850" s="545" t="n">
        <x:f>IF(COUNT(N1850:O1850)=0,"",SUM(N1850:O1850))</x:f>
        <x:v>2</x:v>
      </x:c>
      <x:c r="Q1850" s="543"/>
      <x:c r="R1850" s="543" t="str">
        <x:v>按匹配键重核赛果 1-0；让球：德比郡 平手（DNB，0）=赢；大小：小2.5=赢</x:v>
      </x:c>
    </x:row>
    <x:row r="1851" ht="24" customHeight="1">
      <x:c r="A1851" s="543" t="str">
        <x:f>IF(B1851="","",TEXT(B1851,"yyyy-mm-dd")&amp;"|"&amp;D1851&amp;"|"&amp;E1851)</x:f>
        <x:v>2026-03-21|布莱克本流浪者|米德尔斯堡</x:v>
      </x:c>
      <x:c r="B1851" s="544" t="n">
        <x:v>46102.854166666664</x:v>
      </x:c>
      <x:c r="C1851" s="543" t="str">
        <x:v>英格兰冠军联赛（英冠）</x:v>
      </x:c>
      <x:c r="D1851" s="543" t="str">
        <x:v>布莱克本流浪者</x:v>
      </x:c>
      <x:c r="E1851" s="543" t="str">
        <x:v>米德尔斯堡</x:v>
      </x:c>
      <x:c r="F1851" s="543" t="str">
        <x:v>布莱克本流浪者 +0.5</x:v>
      </x:c>
      <x:c r="G1851" s="543" t="str">
        <x:v>小 2.5</x:v>
      </x:c>
      <x:c r="H1851" s="543" t="str">
        <x:v>平局</x:v>
      </x:c>
      <x:c r="I1851" s="544" t="n">
        <x:v>46102.82231481482</x:v>
      </x:c>
      <x:c r="J1851" s="543" t="str">
        <x:v>已结算</x:v>
      </x:c>
      <x:c r="K1851" s="543" t="str">
        <x:v>0-0</x:v>
      </x:c>
      <x:c r="L1851" s="543" t="str">
        <x:v>赢</x:v>
      </x:c>
      <x:c r="M1851" s="543" t="str">
        <x:v>赢</x:v>
      </x:c>
      <x:c r="N1851" s="545" t="n">
        <x:v>1</x:v>
      </x:c>
      <x:c r="O1851" s="545" t="n">
        <x:v>1</x:v>
      </x:c>
      <x:c r="P1851" s="545" t="n">
        <x:f>IF(COUNT(N1851:O1851)=0,"",SUM(N1851:O1851))</x:f>
        <x:v>2</x:v>
      </x:c>
      <x:c r="Q1851" s="543"/>
      <x:c r="R1851" s="543" t="str">
        <x:v>按匹配键重核赛果 0-0；让球：布莱克本流浪者 +0.5=赢；大小：小2.5=赢</x:v>
      </x:c>
    </x:row>
    <x:row r="1852" ht="24" customHeight="1">
      <x:c r="A1852" s="543" t="str">
        <x:f>IF(B1852="","",TEXT(B1852,"yyyy-mm-dd")&amp;"|"&amp;D1852&amp;"|"&amp;E1852)</x:f>
        <x:v>2026-03-21|艾禾斯堡|比勒菲尔德</x:v>
      </x:c>
      <x:c r="B1852" s="544" t="n">
        <x:v>46102.833333333336</x:v>
      </x:c>
      <x:c r="C1852" s="543" t="str">
        <x:v>德国乙级联赛（2. Bundesliga）</x:v>
      </x:c>
      <x:c r="D1852" s="543" t="str">
        <x:v>艾禾斯堡</x:v>
      </x:c>
      <x:c r="E1852" s="543" t="str">
        <x:v>比勒菲尔德</x:v>
      </x:c>
      <x:c r="F1852" s="543" t="str">
        <x:v>比勒菲尔德 +0.5</x:v>
      </x:c>
      <x:c r="G1852" s="543" t="str">
        <x:v>小 2.5</x:v>
      </x:c>
      <x:c r="H1852" s="543" t="str">
        <x:v>平局</x:v>
      </x:c>
      <x:c r="I1852" s="544" t="n">
        <x:v>46102.86168981482</x:v>
      </x:c>
      <x:c r="J1852" s="543" t="str">
        <x:v>已结算</x:v>
      </x:c>
      <x:c r="K1852" s="543" t="str">
        <x:v>3-1</x:v>
      </x:c>
      <x:c r="L1852" s="543" t="str">
        <x:v>输</x:v>
      </x:c>
      <x:c r="M1852" s="543" t="str">
        <x:v>输</x:v>
      </x:c>
      <x:c r="N1852" s="545" t="n">
        <x:v>-1</x:v>
      </x:c>
      <x:c r="O1852" s="545" t="n">
        <x:v>-1</x:v>
      </x:c>
      <x:c r="P1852" s="545" t="n">
        <x:f>IF(COUNT(N1852:O1852)=0,"",SUM(N1852:O1852))</x:f>
        <x:v>-2</x:v>
      </x:c>
      <x:c r="Q1852" s="543"/>
      <x:c r="R1852" s="543" t="str">
        <x:v>按匹配键重核赛果 3-1；让球：比勒菲尔德 +0.5=输；大小：小2.5=输</x:v>
      </x:c>
    </x:row>
    <x:row r="1853" ht="24" customHeight="1">
      <x:c r="A1853" s="543" t="str">
        <x:f>IF(B1853="","",TEXT(B1853,"yyyy-mm-dd")&amp;"|"&amp;D1853&amp;"|"&amp;E1853)</x:f>
        <x:v>2026-03-21|帕德博恩|德累斯顿迪纳摩</x:v>
      </x:c>
      <x:c r="B1853" s="544" t="n">
        <x:v>46102.833333333336</x:v>
      </x:c>
      <x:c r="C1853" s="543" t="str">
        <x:v>德国乙级联赛（2. Bundesliga）</x:v>
      </x:c>
      <x:c r="D1853" s="543" t="str">
        <x:v>帕德博恩</x:v>
      </x:c>
      <x:c r="E1853" s="543" t="str">
        <x:v>德累斯顿迪纳摩</x:v>
      </x:c>
      <x:c r="F1853" s="543" t="str">
        <x:v>德累斯顿迪纳摩 +0.75</x:v>
      </x:c>
      <x:c r="G1853" s="543" t="str">
        <x:v>小 2.5</x:v>
      </x:c>
      <x:c r="H1853" s="543" t="str">
        <x:v>平局</x:v>
      </x:c>
      <x:c r="I1853" s="544" t="n">
        <x:v>46102.83578703704</x:v>
      </x:c>
      <x:c r="J1853" s="543" t="str">
        <x:v>已结算</x:v>
      </x:c>
      <x:c r="K1853" s="543" t="str">
        <x:v>2-1</x:v>
      </x:c>
      <x:c r="L1853" s="543" t="str">
        <x:v>输半</x:v>
      </x:c>
      <x:c r="M1853" s="543" t="str">
        <x:v>输</x:v>
      </x:c>
      <x:c r="N1853" s="545" t="n">
        <x:v>-0.5</x:v>
      </x:c>
      <x:c r="O1853" s="545" t="n">
        <x:v>-1</x:v>
      </x:c>
      <x:c r="P1853" s="545" t="n">
        <x:f>IF(COUNT(N1853:O1853)=0,"",SUM(N1853:O1853))</x:f>
        <x:v>-1.5</x:v>
      </x:c>
      <x:c r="Q1853" s="543"/>
      <x:c r="R1853" s="543" t="str">
        <x:v>按匹配键重核赛果 2-1；让球：德累斯顿迪纳摩 +0.75=输半；大小：小2.5=输</x:v>
      </x:c>
    </x:row>
    <x:row r="1854" ht="24" customHeight="1">
      <x:c r="A1854" s="543" t="str">
        <x:f>IF(B1854="","",TEXT(B1854,"yyyy-mm-dd")&amp;"|"&amp;D1854&amp;"|"&amp;E1854)</x:f>
        <x:v>2026-03-21|河南队|武汉三镇</x:v>
      </x:c>
      <x:c r="B1854" s="544" t="n">
        <x:v>46102.791666666664</x:v>
      </x:c>
      <x:c r="C1854" s="543" t="str">
        <x:v>中国足球超级联赛</x:v>
      </x:c>
      <x:c r="D1854" s="543" t="str">
        <x:v>河南队</x:v>
      </x:c>
      <x:c r="E1854" s="543" t="str">
        <x:v>武汉三镇</x:v>
      </x:c>
      <x:c r="F1854" s="543" t="str">
        <x:v>武汉三镇 +1.25</x:v>
      </x:c>
      <x:c r="G1854" s="543" t="str">
        <x:v>大 2.75</x:v>
      </x:c>
      <x:c r="H1854" s="543" t="str">
        <x:v>双方进球 是</x:v>
      </x:c>
      <x:c r="I1854" s="544" t="n">
        <x:v>46102.81826388889</x:v>
      </x:c>
      <x:c r="J1854" s="543" t="str">
        <x:v>已结算</x:v>
      </x:c>
      <x:c r="K1854" s="543" t="str">
        <x:v>1-1</x:v>
      </x:c>
      <x:c r="L1854" s="543" t="str">
        <x:v>赢</x:v>
      </x:c>
      <x:c r="M1854" s="543" t="str">
        <x:v>输</x:v>
      </x:c>
      <x:c r="N1854" s="545" t="n">
        <x:v>1</x:v>
      </x:c>
      <x:c r="O1854" s="545" t="n">
        <x:v>-1</x:v>
      </x:c>
      <x:c r="P1854" s="545" t="n">
        <x:f>IF(COUNT(N1854:O1854)=0,"",SUM(N1854:O1854))</x:f>
        <x:v>0</x:v>
      </x:c>
      <x:c r="Q1854" s="543"/>
      <x:c r="R1854" s="543" t="str">
        <x:v>按匹配键重核赛果 1-1；让球：武汉三镇 +1.25=赢；大小：大2.75=输</x:v>
      </x:c>
    </x:row>
    <x:row r="1855" ht="24" customHeight="1">
      <x:c r="A1855" s="543" t="str">
        <x:f>IF(B1855="","",TEXT(B1855,"yyyy-mm-dd")&amp;"|"&amp;D1855&amp;"|"&amp;E1855)</x:f>
        <x:v>2026-03-21|布林狮子|墨尔本骑士</x:v>
      </x:c>
      <x:c r="B1855" s="544" t="n">
        <x:v>46102.645833333336</x:v>
      </x:c>
      <x:c r="C1855" s="543" t="str">
        <x:v>澳大利亚 维多利亚州超级联赛1（VPL1）</x:v>
      </x:c>
      <x:c r="D1855" s="543" t="str">
        <x:v>布林狮子</x:v>
      </x:c>
      <x:c r="E1855" s="543" t="str">
        <x:v>墨尔本骑士</x:v>
      </x:c>
      <x:c r="F1855" s="543" t="str">
        <x:v>墨尔本骑士 -0.25</x:v>
      </x:c>
      <x:c r="G1855" s="543" t="str">
        <x:v>大 3</x:v>
      </x:c>
      <x:c r="H1855" s="543" t="str">
        <x:v>墨尔本骑士 胜</x:v>
      </x:c>
      <x:c r="I1855" s="544" t="n">
        <x:v>46102.69604166667</x:v>
      </x:c>
      <x:c r="J1855" s="543" t="str">
        <x:v>已结算</x:v>
      </x:c>
      <x:c r="K1855" s="543"/>
      <x:c r="L1855" s="543" t="str">
        <x:v>输</x:v>
      </x:c>
      <x:c r="M1855" s="543" t="str">
        <x:v>输</x:v>
      </x:c>
      <x:c r="N1855" s="545" t="n">
        <x:v>-1</x:v>
      </x:c>
      <x:c r="O1855" s="545" t="n">
        <x:v>-1</x:v>
      </x:c>
      <x:c r="P1855" s="545" t="n">
        <x:f>IF(COUNT(N1855:O1855)=0,"",SUM(N1855:O1855))</x:f>
        <x:v>-2</x:v>
      </x:c>
      <x:c r="Q1855" s="543"/>
      <x:c r="R1855" s="543" t="str">
        <x:v>比分2-0</x:v>
      </x:c>
    </x:row>
    <x:row r="1856" ht="24" customHeight="1">
      <x:c r="A1856" s="543" t="str">
        <x:f>IF(B1856="","",TEXT(B1856,"yyyy-mm-dd")&amp;"|"&amp;D1856&amp;"|"&amp;E1856)</x:f>
        <x:v>2026-03-21|圣乔治|马可尼</x:v>
      </x:c>
      <x:c r="B1856" s="544" t="n">
        <x:v>46102.645833333336</x:v>
      </x:c>
      <x:c r="C1856" s="543" t="str">
        <x:v>澳大利亚 维多利亚州超级联赛1（VPL1）</x:v>
      </x:c>
      <x:c r="D1856" s="543" t="str">
        <x:v>圣乔治</x:v>
      </x:c>
      <x:c r="E1856" s="543" t="str">
        <x:v>马可尼</x:v>
      </x:c>
      <x:c r="F1856" s="543" t="str">
        <x:v>圣乔治 +0.25</x:v>
      </x:c>
      <x:c r="G1856" s="543" t="str">
        <x:v>小 2.5</x:v>
      </x:c>
      <x:c r="H1856" s="543" t="str">
        <x:v>平局</x:v>
      </x:c>
      <x:c r="I1856" s="544" t="n">
        <x:v>46102.66479166667</x:v>
      </x:c>
      <x:c r="J1856" s="543" t="str">
        <x:v>已结算</x:v>
      </x:c>
      <x:c r="K1856" s="543"/>
      <x:c r="L1856" s="543" t="str">
        <x:v>输</x:v>
      </x:c>
      <x:c r="M1856" s="543" t="str">
        <x:v>输</x:v>
      </x:c>
      <x:c r="N1856" s="545" t="n">
        <x:v>-1</x:v>
      </x:c>
      <x:c r="O1856" s="545" t="n">
        <x:v>-1</x:v>
      </x:c>
      <x:c r="P1856" s="545" t="n">
        <x:f>IF(COUNT(N1856:O1856)=0,"",SUM(N1856:O1856))</x:f>
        <x:v>-2</x:v>
      </x:c>
      <x:c r="Q1856" s="543"/>
      <x:c r="R1856" s="543" t="str">
        <x:v>比分1-2</x:v>
      </x:c>
    </x:row>
    <x:row r="1857" ht="24" customHeight="1">
      <x:c r="A1857" s="543" t="str">
        <x:f>IF(B1857="","",TEXT(B1857,"yyyy-mm-dd")&amp;"|"&amp;D1857&amp;"|"&amp;E1857)</x:f>
        <x:v>2026-03-21|莱卡特老虎|萨瑟兰鲨鱼</x:v>
      </x:c>
      <x:c r="B1857" s="544" t="n">
        <x:v>46102.614583333336</x:v>
      </x:c>
      <x:c r="C1857" s="543" t="str">
        <x:v>澳大利亚 维多利亚州超级联赛1（VPL1）</x:v>
      </x:c>
      <x:c r="D1857" s="543" t="str">
        <x:v>莱卡特老虎</x:v>
      </x:c>
      <x:c r="E1857" s="543" t="str">
        <x:v>萨瑟兰鲨鱼</x:v>
      </x:c>
      <x:c r="F1857" s="543" t="str">
        <x:v>莱卡特老虎 -1.25</x:v>
      </x:c>
      <x:c r="G1857" s="543" t="str">
        <x:v>大 3.25</x:v>
      </x:c>
      <x:c r="H1857" s="543" t="str">
        <x:v>莱卡特老虎 胜</x:v>
      </x:c>
      <x:c r="I1857" s="544" t="n">
        <x:v>46102.632581018515</x:v>
      </x:c>
      <x:c r="J1857" s="543" t="str">
        <x:v>已结算</x:v>
      </x:c>
      <x:c r="K1857" s="543"/>
      <x:c r="L1857" s="543" t="str">
        <x:v>输半</x:v>
      </x:c>
      <x:c r="M1857" s="543" t="str">
        <x:v>输半</x:v>
      </x:c>
      <x:c r="N1857" s="545" t="n">
        <x:v>-0.5</x:v>
      </x:c>
      <x:c r="O1857" s="545" t="n">
        <x:v>-0.5</x:v>
      </x:c>
      <x:c r="P1857" s="545" t="n">
        <x:f>IF(COUNT(N1857:O1857)=0,"",SUM(N1857:O1857))</x:f>
        <x:v>-1</x:v>
      </x:c>
      <x:c r="Q1857" s="543"/>
      <x:c r="R1857" s="543" t="str">
        <x:v>比分2-1</x:v>
      </x:c>
    </x:row>
    <x:row r="1858" ht="24" customHeight="1">
      <x:c r="A1858" s="543" t="str">
        <x:f>IF(B1858="","",TEXT(B1858,"yyyy-mm-dd")&amp;"|"&amp;D1858&amp;"|"&amp;E1858)</x:f>
        <x:v>2026-03-21|新南威尔士精神|洛克达尔伊利登</x:v>
      </x:c>
      <x:c r="B1858" s="544" t="n">
        <x:v>46102.604166666664</x:v>
      </x:c>
      <x:c r="C1858" s="543" t="str">
        <x:v>澳大利亚 维多利亚州超级联赛1（VPL1）</x:v>
      </x:c>
      <x:c r="D1858" s="543" t="str">
        <x:v>新南威尔士精神</x:v>
      </x:c>
      <x:c r="E1858" s="543" t="str">
        <x:v>洛克达尔伊利登</x:v>
      </x:c>
      <x:c r="F1858" s="543" t="str">
        <x:v>洛克达尔伊利登 -0.25</x:v>
      </x:c>
      <x:c r="G1858" s="543" t="str">
        <x:v>大 2.5</x:v>
      </x:c>
      <x:c r="H1858" s="543" t="str">
        <x:v>洛克达尔伊利登 胜</x:v>
      </x:c>
      <x:c r="I1858" s="544" t="n">
        <x:v>46102.65880787037</x:v>
      </x:c>
      <x:c r="J1858" s="543" t="str">
        <x:v>已结算</x:v>
      </x:c>
      <x:c r="K1858" s="543"/>
      <x:c r="L1858" s="543" t="str">
        <x:v>赢</x:v>
      </x:c>
      <x:c r="M1858" s="543" t="str">
        <x:v>输</x:v>
      </x:c>
      <x:c r="N1858" s="545" t="n">
        <x:v>1</x:v>
      </x:c>
      <x:c r="O1858" s="545" t="n">
        <x:v>-1</x:v>
      </x:c>
      <x:c r="P1858" s="545" t="n">
        <x:f>IF(COUNT(N1858:O1858)=0,"",SUM(N1858:O1858))</x:f>
        <x:v>0</x:v>
      </x:c>
      <x:c r="Q1858" s="543"/>
      <x:c r="R1858" s="543" t="str">
        <x:v>比分0-2</x:v>
      </x:c>
    </x:row>
    <x:row r="1859" ht="24" customHeight="1">
      <x:c r="A1859" s="543" t="str">
        <x:f>IF(B1859="","",TEXT(B1859,"yyyy-mm-dd")&amp;"|"&amp;D1859&amp;"|"&amp;E1859)</x:f>
        <x:v>2026-03-21|墨尔本胜利|中央海岸水手</x:v>
      </x:c>
      <x:c r="B1859" s="544" t="n">
        <x:v>46102.59027777778</x:v>
      </x:c>
      <x:c r="C1859" s="543" t="str">
        <x:v>澳大利亚A联赛（A-League Men）</x:v>
      </x:c>
      <x:c r="D1859" s="543" t="str">
        <x:v>墨尔本胜利</x:v>
      </x:c>
      <x:c r="E1859" s="543" t="str">
        <x:v>中央海岸水手</x:v>
      </x:c>
      <x:c r="F1859" s="543" t="str">
        <x:v>中央海岸水手 +1.25</x:v>
      </x:c>
      <x:c r="G1859" s="543" t="str">
        <x:v>小 2.75</x:v>
      </x:c>
      <x:c r="H1859" s="543" t="str">
        <x:v>双方进球 否</x:v>
      </x:c>
      <x:c r="I1859" s="544" t="n">
        <x:v>46102.59303240741</x:v>
      </x:c>
      <x:c r="J1859" s="543" t="str">
        <x:v>已结算</x:v>
      </x:c>
      <x:c r="K1859" s="543" t="str">
        <x:v>4-1</x:v>
      </x:c>
      <x:c r="L1859" s="543" t="str">
        <x:v>输</x:v>
      </x:c>
      <x:c r="M1859" s="543" t="str">
        <x:v>输</x:v>
      </x:c>
      <x:c r="N1859" s="545" t="n">
        <x:v>-1</x:v>
      </x:c>
      <x:c r="O1859" s="545" t="n">
        <x:v>-1</x:v>
      </x:c>
      <x:c r="P1859" s="545" t="n">
        <x:f>IF(COUNT(N1859:O1859)=0,"",SUM(N1859:O1859))</x:f>
        <x:v>-2</x:v>
      </x:c>
      <x:c r="Q1859" s="543"/>
      <x:c r="R1859" s="543" t="str">
        <x:v>赛果：Melbourne Victory 4-1 Central Coast Mariners；让(1.25)输；小2.75输</x:v>
      </x:c>
    </x:row>
    <x:row r="1860" ht="24" customHeight="1">
      <x:c r="A1860" s="543" t="str">
        <x:f>IF(B1860="","",TEXT(B1860,"yyyy-mm-dd")&amp;"|"&amp;D1860&amp;"|"&amp;E1860)</x:f>
        <x:v>2026-03-21|秋田蓝色闪电|八户云罗里</x:v>
      </x:c>
      <x:c r="B1860" s="544" t="n">
        <x:v>46102.54375</x:v>
      </x:c>
      <x:c r="C1860" s="543" t="str">
        <x:v>日职 明治安田J2·J3百年构想联赛</x:v>
      </x:c>
      <x:c r="D1860" s="543" t="str">
        <x:v>秋田蓝色闪电</x:v>
      </x:c>
      <x:c r="E1860" s="543" t="str">
        <x:v>八户云罗里</x:v>
      </x:c>
      <x:c r="F1860" s="543" t="str">
        <x:v>秋田蓝色闪电 -0.25</x:v>
      </x:c>
      <x:c r="G1860" s="543" t="str">
        <x:v>小 2</x:v>
      </x:c>
      <x:c r="H1860" s="543" t="str">
        <x:v>双方进球 否</x:v>
      </x:c>
      <x:c r="I1860" s="544" t="n">
        <x:v>46102.55342592593</x:v>
      </x:c>
      <x:c r="J1860" s="543" t="str">
        <x:v>已结算</x:v>
      </x:c>
      <x:c r="K1860" s="543" t="str">
        <x:v>1-0</x:v>
      </x:c>
      <x:c r="L1860" s="543" t="str">
        <x:v>赢</x:v>
      </x:c>
      <x:c r="M1860" s="543" t="str">
        <x:v>赢</x:v>
      </x:c>
      <x:c r="N1860" s="545" t="n">
        <x:v>1</x:v>
      </x:c>
      <x:c r="O1860" s="545" t="n">
        <x:v>1</x:v>
      </x:c>
      <x:c r="P1860" s="545" t="n">
        <x:f>IF(COUNT(N1860:O1860)=0,"",SUM(N1860:O1860))</x:f>
        <x:v>2</x:v>
      </x:c>
      <x:c r="Q1860" s="543"/>
      <x:c r="R1860" s="543" t="str">
        <x:v>按匹配键重核赛果 1-0；让球：秋田蓝色闪电 -0.25=赢；大小：小2=赢</x:v>
      </x:c>
    </x:row>
    <x:row r="1861" ht="24" customHeight="1">
      <x:c r="A1861" s="543" t="str">
        <x:f>IF(B1861="","",TEXT(B1861,"yyyy-mm-dd")&amp;"|"&amp;D1861&amp;"|"&amp;E1861)</x:f>
        <x:v>2026-03-21|布里斯班狮吼|惠灵顿凤凰</x:v>
      </x:c>
      <x:c r="B1861" s="544" t="n">
        <x:v>46102.5</x:v>
      </x:c>
      <x:c r="C1861" s="543" t="str">
        <x:v>澳大利亚A联赛（A-League Men）</x:v>
      </x:c>
      <x:c r="D1861" s="543" t="str">
        <x:v>布里斯班狮吼</x:v>
      </x:c>
      <x:c r="E1861" s="543" t="str">
        <x:v>惠灵顿凤凰</x:v>
      </x:c>
      <x:c r="F1861" s="543" t="str">
        <x:v>惠灵顿凤凰 +0.25</x:v>
      </x:c>
      <x:c r="G1861" s="543" t="str">
        <x:v>小 2.5</x:v>
      </x:c>
      <x:c r="H1861" s="543" t="str">
        <x:v>平局</x:v>
      </x:c>
      <x:c r="I1861" s="544" t="n">
        <x:v>46102.52153935185</x:v>
      </x:c>
      <x:c r="J1861" s="543" t="str">
        <x:v>已结算</x:v>
      </x:c>
      <x:c r="K1861" s="543" t="str">
        <x:v>1-2</x:v>
      </x:c>
      <x:c r="L1861" s="543" t="str">
        <x:v>赢</x:v>
      </x:c>
      <x:c r="M1861" s="543" t="str">
        <x:v>输</x:v>
      </x:c>
      <x:c r="N1861" s="545" t="n">
        <x:v>1</x:v>
      </x:c>
      <x:c r="O1861" s="545" t="n">
        <x:v>-1</x:v>
      </x:c>
      <x:c r="P1861" s="545" t="n">
        <x:f>IF(COUNT(N1861:O1861)=0,"",SUM(N1861:O1861))</x:f>
        <x:v>0</x:v>
      </x:c>
      <x:c r="Q1861" s="543"/>
      <x:c r="R1861" s="543" t="str">
        <x:v>按匹配键重核赛果 1-2；让球：惠灵顿凤凰 +0.25=赢；大小：小2.5=输</x:v>
      </x:c>
    </x:row>
    <x:row r="1862" ht="24" customHeight="1">
      <x:c r="A1862" s="543" t="str">
        <x:f>IF(B1862="","",TEXT(B1862,"yyyy-mm-dd")&amp;"|"&amp;D1862&amp;"|"&amp;E1862)</x:f>
        <x:v>2026-03-21|马萨特兰|蓝十字</x:v>
      </x:c>
      <x:c r="B1862" s="544" t="n">
        <x:v>46102.4625</x:v>
      </x:c>
      <x:c r="C1862" s="543" t="str">
        <x:v>墨西哥超（Liga MX，Clausura）</x:v>
      </x:c>
      <x:c r="D1862" s="543" t="str">
        <x:v>马萨特兰</x:v>
      </x:c>
      <x:c r="E1862" s="543" t="str">
        <x:v>蓝十字</x:v>
      </x:c>
      <x:c r="F1862" s="543" t="str">
        <x:v>马萨特兰 +1</x:v>
      </x:c>
      <x:c r="G1862" s="543" t="str">
        <x:v>小 2.5</x:v>
      </x:c>
      <x:c r="H1862" s="543" t="str">
        <x:v>平局</x:v>
      </x:c>
      <x:c r="I1862" s="544" t="n">
        <x:v>46102.46969907408</x:v>
      </x:c>
      <x:c r="J1862" s="543" t="str">
        <x:v>已结算</x:v>
      </x:c>
      <x:c r="K1862" s="543" t="str">
        <x:v>1-1</x:v>
      </x:c>
      <x:c r="L1862" s="543" t="str">
        <x:v>赢</x:v>
      </x:c>
      <x:c r="M1862" s="543" t="str">
        <x:v>赢</x:v>
      </x:c>
      <x:c r="N1862" s="545" t="n">
        <x:v>1</x:v>
      </x:c>
      <x:c r="O1862" s="545" t="n">
        <x:v>1</x:v>
      </x:c>
      <x:c r="P1862" s="545" t="n">
        <x:f>IF(COUNT(N1862:O1862)=0,"",SUM(N1862:O1862))</x:f>
        <x:v>2</x:v>
      </x:c>
      <x:c r="Q1862" s="543"/>
      <x:c r="R1862" s="543" t="str">
        <x:v>按匹配键重核赛果 1-1；让球：马萨特兰 +1=赢；大小：小2.5=赢</x:v>
      </x:c>
    </x:row>
    <x:row r="1863" ht="24" customHeight="1">
      <x:c r="A1863" s="543" t="str">
        <x:f>IF(B1863="","",TEXT(B1863,"yyyy-mm-dd")&amp;"|"&amp;D1863&amp;"|"&amp;E1863)</x:f>
        <x:v>2026-03-21|拉巴斯竞技|奥哈卡</x:v>
      </x:c>
      <x:c r="B1863" s="544" t="n">
        <x:v>46102.458333333336</x:v>
      </x:c>
      <x:c r="C1863" s="543" t="str">
        <x:v>墨西哥甲级扩展联赛（Liga de Expansión MX）</x:v>
      </x:c>
      <x:c r="D1863" s="543" t="str">
        <x:v>拉巴斯竞技</x:v>
      </x:c>
      <x:c r="E1863" s="543" t="str">
        <x:v>奥哈卡</x:v>
      </x:c>
      <x:c r="F1863" s="543" t="str">
        <x:v>奥哈卡 +1</x:v>
      </x:c>
      <x:c r="G1863" s="543" t="str">
        <x:v>小 2.5</x:v>
      </x:c>
      <x:c r="H1863" s="543" t="str">
        <x:v>平局</x:v>
      </x:c>
      <x:c r="I1863" s="544" t="n">
        <x:v>46102.47340277778</x:v>
      </x:c>
      <x:c r="J1863" s="543" t="str">
        <x:v>已结算</x:v>
      </x:c>
      <x:c r="K1863" s="543" t="str">
        <x:v>4-0</x:v>
      </x:c>
      <x:c r="L1863" s="543" t="str">
        <x:v>输</x:v>
      </x:c>
      <x:c r="M1863" s="543" t="str">
        <x:v>输</x:v>
      </x:c>
      <x:c r="N1863" s="545" t="n">
        <x:v>-1</x:v>
      </x:c>
      <x:c r="O1863" s="545" t="n">
        <x:v>-1</x:v>
      </x:c>
      <x:c r="P1863" s="545" t="n">
        <x:f>IF(COUNT(N1863:O1863)=0,"",SUM(N1863:O1863))</x:f>
        <x:v>-2</x:v>
      </x:c>
      <x:c r="Q1863" s="543"/>
      <x:c r="R1863" s="543" t="str">
        <x:v>按匹配键重核赛果 4-0；让球：奥哈卡 +1=输；大小：小2.5=输</x:v>
      </x:c>
    </x:row>
    <x:row r="1864" ht="24" customHeight="1">
      <x:c r="A1864" s="543" t="str">
        <x:f>IF(B1864="","",TEXT(B1864,"yyyy-mm-dd")&amp;"|"&amp;D1864&amp;"|"&amp;E1864)</x:f>
        <x:v>2026-03-21|奥克兰FC|麦克阿瑟FC</x:v>
      </x:c>
      <x:c r="B1864" s="544" t="n">
        <x:v>46102.416666666664</x:v>
      </x:c>
      <x:c r="C1864" s="543" t="str">
        <x:v>澳大利亚A联赛（A-League Men）</x:v>
      </x:c>
      <x:c r="D1864" s="543" t="str">
        <x:v>奥克兰FC</x:v>
      </x:c>
      <x:c r="E1864" s="543" t="str">
        <x:v>麦克阿瑟FC</x:v>
      </x:c>
      <x:c r="F1864" s="543" t="str">
        <x:v>麦克阿瑟FC +0.75</x:v>
      </x:c>
      <x:c r="G1864" s="543" t="str">
        <x:v>小 2.5</x:v>
      </x:c>
      <x:c r="H1864" s="543" t="str">
        <x:v>双方进球 否</x:v>
      </x:c>
      <x:c r="I1864" s="544" t="n">
        <x:v>46102.635983796295</x:v>
      </x:c>
      <x:c r="J1864" s="543" t="str">
        <x:v>已结算</x:v>
      </x:c>
      <x:c r="K1864" s="543" t="str">
        <x:v>1-2</x:v>
      </x:c>
      <x:c r="L1864" s="543" t="str">
        <x:v>赢</x:v>
      </x:c>
      <x:c r="M1864" s="543" t="str">
        <x:v>输</x:v>
      </x:c>
      <x:c r="N1864" s="545" t="n">
        <x:v>1</x:v>
      </x:c>
      <x:c r="O1864" s="545" t="n">
        <x:v>-1</x:v>
      </x:c>
      <x:c r="P1864" s="545" t="n">
        <x:f>IF(COUNT(N1864:O1864)=0,"",SUM(N1864:O1864))</x:f>
        <x:v>0</x:v>
      </x:c>
      <x:c r="Q1864" s="543"/>
      <x:c r="R1864" s="543" t="str">
        <x:v>按匹配键重核赛果 1-2；让球：麦克阿瑟FC +0.75=赢；大小：小2.5=输</x:v>
      </x:c>
    </x:row>
    <x:row r="1865" ht="24" customHeight="1">
      <x:c r="A1865" s="543" t="str">
        <x:f>IF(B1865="","",TEXT(B1865,"yyyy-mm-dd")&amp;"|"&amp;D1865&amp;"|"&amp;E1865)</x:f>
        <x:v>2026-03-21|内卡萨|蒂华纳</x:v>
      </x:c>
      <x:c r="B1865" s="544" t="n">
        <x:v>46102.375</x:v>
      </x:c>
      <x:c r="C1865" s="543" t="str">
        <x:v>墨西哥超（Liga MX，Clausura）</x:v>
      </x:c>
      <x:c r="D1865" s="543" t="str">
        <x:v>内卡萨</x:v>
      </x:c>
      <x:c r="E1865" s="543" t="str">
        <x:v>蒂华纳</x:v>
      </x:c>
      <x:c r="F1865" s="543" t="str">
        <x:v>蒂华纳 +0.25（1.80-1.85）</x:v>
      </x:c>
      <x:c r="G1865" s="543" t="str">
        <x:v>小2.5（1.90左右可入）</x:v>
      </x:c>
      <x:c r="H1865" s="543" t="str">
        <x:v>平局；蒂华纳平手（DNB）@2.00以上更稳。若临场退到平手且客队仍在1.80以上可加一点客队，若升到内卡萨-0.5低水不追主队；若小2.5跌破1.80不追</x:v>
      </x:c>
      <x:c r="I1865" s="544" t="n">
        <x:v>46102.393009259256</x:v>
      </x:c>
      <x:c r="J1865" s="543" t="str">
        <x:v>已结算</x:v>
      </x:c>
      <x:c r="K1865" s="543" t="str">
        <x:v>3-0</x:v>
      </x:c>
      <x:c r="L1865" s="543" t="str">
        <x:v>输</x:v>
      </x:c>
      <x:c r="M1865" s="543" t="str">
        <x:v>输</x:v>
      </x:c>
      <x:c r="N1865" s="545" t="n">
        <x:v>-1</x:v>
      </x:c>
      <x:c r="O1865" s="545" t="n">
        <x:v>-1</x:v>
      </x:c>
      <x:c r="P1865" s="545" t="n">
        <x:f>IF(COUNT(N1865:O1865)=0,"",SUM(N1865:O1865))</x:f>
        <x:v>-2</x:v>
      </x:c>
      <x:c r="Q1865" s="543"/>
      <x:c r="R1865" s="543" t="str">
        <x:v>按匹配键重核赛果 3-0；让球：蒂华纳 +0.25=输；大小：小2.5=输</x:v>
      </x:c>
    </x:row>
    <x:row r="1866" ht="24" customHeight="1">
      <x:c r="A1866" s="543" t="str">
        <x:f>IF(B1866="","",TEXT(B1866,"yyyy-mm-dd")&amp;"|"&amp;D1866&amp;"|"&amp;E1866)</x:f>
        <x:v>2026-03-21|班菲尔德|提格雷</x:v>
      </x:c>
      <x:c r="B1866" s="544" t="n">
        <x:v>46102.333333333336</x:v>
      </x:c>
      <x:c r="C1866" s="543" t="str">
        <x:v>阿根廷职业联赛（Liga Profesional·Apertura）</x:v>
      </x:c>
      <x:c r="D1866" s="543" t="str">
        <x:v>班菲尔德</x:v>
      </x:c>
      <x:c r="E1866" s="543" t="str">
        <x:v>提格雷</x:v>
      </x:c>
      <x:c r="F1866" s="543" t="str">
        <x:v>班菲尔德 平手（DNB，0）@1.80左右可入</x:v>
      </x:c>
      <x:c r="G1866" s="543" t="str">
        <x:v>大2.5（2.25-2.85，价值型）</x:v>
      </x:c>
      <x:c r="H1866" s="543" t="str">
        <x:v>平局；若临场升到班菲尔德 -0.25且仍在1.85以上可小追主队，若退到提格雷让球则放弃主队方向；小2.5普遍低于1.80不碰</x:v>
      </x:c>
      <x:c r="I1866" s="544" t="n">
        <x:v>46102.31947916667</x:v>
      </x:c>
      <x:c r="J1866" s="543" t="str">
        <x:v>已结算</x:v>
      </x:c>
      <x:c r="K1866" s="543" t="str">
        <x:v>1-0</x:v>
      </x:c>
      <x:c r="L1866" s="543" t="str">
        <x:v>赢</x:v>
      </x:c>
      <x:c r="M1866" s="543" t="str">
        <x:v>输</x:v>
      </x:c>
      <x:c r="N1866" s="545" t="n">
        <x:v>1</x:v>
      </x:c>
      <x:c r="O1866" s="545" t="n">
        <x:v>-1</x:v>
      </x:c>
      <x:c r="P1866" s="545" t="n">
        <x:f>IF(COUNT(N1866:O1866)=0,"",SUM(N1866:O1866))</x:f>
        <x:v>0</x:v>
      </x:c>
      <x:c r="Q1866" s="543"/>
      <x:c r="R1866" s="543" t="str">
        <x:v>按匹配键重核：外部赛果列显示本场应按 1-0 结算；让球：班菲尔德 平手（DNB）=赢；大小：大2.5=输。</x:v>
      </x:c>
    </x:row>
    <x:row r="1867" ht="24" customHeight="1">
      <x:c r="A1867" s="543" t="str">
        <x:f>IF(B1867="","",TEXT(B1867,"yyyy-mm-dd")&amp;"|"&amp;D1867&amp;"|"&amp;E1867)</x:f>
        <x:v>2026-03-21|图库曼竞技|拉普拉塔体操</x:v>
      </x:c>
      <x:c r="B1867" s="544" t="n">
        <x:v>46102.333333333336</x:v>
      </x:c>
      <x:c r="C1867" s="543" t="str">
        <x:v>阿根廷职业联赛（Liga Profesional·Apertura）</x:v>
      </x:c>
      <x:c r="D1867" s="543" t="str">
        <x:v>图库曼竞技</x:v>
      </x:c>
      <x:c r="E1867" s="543" t="str">
        <x:v>拉普拉塔体操</x:v>
      </x:c>
      <x:c r="F1867" s="543" t="str">
        <x:v>图库曼竞技 -0.5（2.05-2.15）</x:v>
      </x:c>
      <x:c r="G1867" s="543" t="str">
        <x:v>大2.5（2.35-2.45）</x:v>
      </x:c>
      <x:c r="H1867" s="543" t="str">
        <x:v>图库曼竞技独赢；若临场退到平手则放弃主让，若升到-0.75且仍在1.80以上可小追主队；大小球主流小2.5过低不碰，若大2.5跌破2.10可降注</x:v>
      </x:c>
      <x:c r="I1867" s="544" t="n">
        <x:v>46102.300787037035</x:v>
      </x:c>
      <x:c r="J1867" s="543" t="str">
        <x:v>已结算</x:v>
      </x:c>
      <x:c r="K1867" s="543" t="str">
        <x:v>1-0</x:v>
      </x:c>
      <x:c r="L1867" s="543" t="str">
        <x:v>赢</x:v>
      </x:c>
      <x:c r="M1867" s="543" t="str">
        <x:v>输</x:v>
      </x:c>
      <x:c r="N1867" s="545" t="n">
        <x:v>1</x:v>
      </x:c>
      <x:c r="O1867" s="545" t="n">
        <x:v>-1</x:v>
      </x:c>
      <x:c r="P1867" s="545" t="n">
        <x:f>IF(COUNT(N1867:O1867)=0,"",SUM(N1867:O1867))</x:f>
        <x:v>0</x:v>
      </x:c>
      <x:c r="Q1867" s="543"/>
      <x:c r="R1867" s="543" t="str">
        <x:v>按匹配键重核赛果 1-0；让球：图库曼竞技 -0.5=赢；大小：大2.5=输</x:v>
      </x:c>
    </x:row>
    <x:row r="1868" ht="24" customHeight="1">
      <x:c r="A1868" s="543" t="str">
        <x:f>IF(B1868="","",TEXT(B1868,"yyyy-mm-dd")&amp;"|"&amp;D1868&amp;"|"&amp;E1868)</x:f>
        <x:v>2026-03-21|里奥内格罗老鹰（Águilas Doradas）|卡利美洲（América de Cali）</x:v>
      </x:c>
      <x:c r="B1868" s="544" t="n">
        <x:v>46102.208333333336</x:v>
      </x:c>
      <x:c r="C1868" s="543" t="str">
        <x:v>哥伦比亚甲级联赛（Liga BetPlay DIMAYOR）</x:v>
      </x:c>
      <x:c r="D1868" s="543" t="str">
        <x:v>里奥内格罗老鹰（Águilas Doradas）</x:v>
      </x:c>
      <x:c r="E1868" s="543" t="str">
        <x:v>卡利美洲（América de Cali）</x:v>
      </x:c>
      <x:c r="F1868" s="543" t="str">
        <x:v>卡利美洲（América de Cali） -0.25（1.85-1.95）</x:v>
      </x:c>
      <x:c r="G1868" s="543" t="str">
        <x:v>小2.25（1.82-1.92）</x:v>
      </x:c>
      <x:c r="H1868" s="543" t="str">
        <x:v>平局；卡利美洲（América de Cali）平手（DNB）更稳。若临场退到平手且客队仍在1.80以上可加一点客队，若升到-0.5低水不追；若小2.25跌破1.80不追，若只剩小2.5@1.68这类低赔不碰</x:v>
      </x:c>
      <x:c r="I1868" s="544" t="n">
        <x:v>46102.252430555556</x:v>
      </x:c>
      <x:c r="J1868" s="543" t="str">
        <x:v>已结算</x:v>
      </x:c>
      <x:c r="K1868" s="543" t="str">
        <x:v>0-1</x:v>
      </x:c>
      <x:c r="L1868" s="543" t="str">
        <x:v>赢</x:v>
      </x:c>
      <x:c r="M1868" s="543" t="str">
        <x:v>赢</x:v>
      </x:c>
      <x:c r="N1868" s="545" t="n">
        <x:v>1</x:v>
      </x:c>
      <x:c r="O1868" s="545" t="n">
        <x:v>1</x:v>
      </x:c>
      <x:c r="P1868" s="545" t="n">
        <x:f>IF(COUNT(N1868:O1868)=0,"",SUM(N1868:O1868))</x:f>
        <x:v>2</x:v>
      </x:c>
      <x:c r="Q1868" s="543"/>
      <x:c r="R1868" s="543" t="str">
        <x:v>按匹配键重核赛果 0-1；让球：卡利美洲 -0.25=赢；大小：小2.25=赢</x:v>
      </x:c>
    </x:row>
    <x:row r="1869" ht="24" customHeight="1">
      <x:c r="A1869" s="543" t="str">
        <x:f>IF(B1869="","",TEXT(B1869,"yyyy-mm-dd")&amp;"|"&amp;D1869&amp;"|"&amp;E1869)</x:f>
        <x:v>2026-03-20|莫亨巴根超级巨人|孟买城</x:v>
      </x:c>
      <x:c r="B1869" s="544" t="n">
        <x:v>46101.916666666664</x:v>
      </x:c>
      <x:c r="C1869" s="543" t="str">
        <x:v>印度超级联赛（Indian Super League）</x:v>
      </x:c>
      <x:c r="D1869" s="543" t="str">
        <x:v>莫亨巴根超级巨人</x:v>
      </x:c>
      <x:c r="E1869" s="543" t="str">
        <x:v>孟买城</x:v>
      </x:c>
      <x:c r="F1869" s="543" t="str">
        <x:v>孟买城 +0.25</x:v>
      </x:c>
      <x:c r="G1869" s="543" t="str">
        <x:v>大2.5</x:v>
      </x:c>
      <x:c r="H1869" s="543" t="str">
        <x:v>双方进球 是</x:v>
      </x:c>
      <x:c r="I1869" s="544" t="n">
        <x:v>46101.88891203704</x:v>
      </x:c>
      <x:c r="J1869" s="543" t="str">
        <x:v>已结算</x:v>
      </x:c>
      <x:c r="K1869" s="543" t="str">
        <x:v>0-1</x:v>
      </x:c>
      <x:c r="L1869" s="543" t="str">
        <x:v>赢</x:v>
      </x:c>
      <x:c r="M1869" s="543" t="str">
        <x:v>输</x:v>
      </x:c>
      <x:c r="N1869" s="545" t="n">
        <x:v>1</x:v>
      </x:c>
      <x:c r="O1869" s="545" t="n">
        <x:v>-1</x:v>
      </x:c>
      <x:c r="P1869" s="545" t="n">
        <x:f>IF(COUNT(N1869:O1869)=0,"",SUM(N1869:O1869))</x:f>
        <x:v>0</x:v>
      </x:c>
      <x:c r="Q1869" s="543"/>
      <x:c r="R1869" s="543" t="str">
        <x:v>按匹配键重核赛果 0-1；让球：孟买城 +0.25=赢；大小：大2.5=输</x:v>
      </x:c>
    </x:row>
    <x:row r="1870" ht="24" customHeight="1">
      <x:c r="A1870" s="543" t="str">
        <x:f>IF(B1870="","",TEXT(B1870,"yyyy-mm-dd")&amp;"|"&amp;D1870&amp;"|"&amp;E1870)</x:f>
        <x:v>2026-03-20|东北联|奥迪萨FC</x:v>
      </x:c>
      <x:c r="B1870" s="544" t="n">
        <x:v>46101.8125</x:v>
      </x:c>
      <x:c r="C1870" s="543" t="str">
        <x:v>印度超级联赛（Indian Super League）</x:v>
      </x:c>
      <x:c r="D1870" s="543" t="str">
        <x:v>东北联</x:v>
      </x:c>
      <x:c r="E1870" s="543" t="str">
        <x:v>奥迪萨FC</x:v>
      </x:c>
      <x:c r="F1870" s="543" t="str">
        <x:v>东北联 -0.25</x:v>
      </x:c>
      <x:c r="G1870" s="543" t="str">
        <x:v>大2.5</x:v>
      </x:c>
      <x:c r="H1870" s="543" t="str">
        <x:v>半场平</x:v>
      </x:c>
      <x:c r="I1870" s="544" t="n">
        <x:v>46101.815983796296</x:v>
      </x:c>
      <x:c r="J1870" s="543" t="str">
        <x:v>已结算</x:v>
      </x:c>
      <x:c r="K1870" s="543" t="str">
        <x:v>1-4</x:v>
      </x:c>
      <x:c r="L1870" s="543" t="str">
        <x:v>输</x:v>
      </x:c>
      <x:c r="M1870" s="543" t="str">
        <x:v>赢</x:v>
      </x:c>
      <x:c r="N1870" s="545" t="n">
        <x:v>-1</x:v>
      </x:c>
      <x:c r="O1870" s="545" t="n">
        <x:v>1</x:v>
      </x:c>
      <x:c r="P1870" s="545" t="n">
        <x:f>IF(COUNT(N1870:O1870)=0,"",SUM(N1870:O1870))</x:f>
        <x:v>0</x:v>
      </x:c>
      <x:c r="Q1870" s="543"/>
      <x:c r="R1870" s="543" t="str">
        <x:v>复核赛果：东北联 1-4 奥迪萨FC；让球：东北联 -0.25=输；大小：大2.5=赢。</x:v>
      </x:c>
    </x:row>
    <x:row r="1871" ht="24" customHeight="1">
      <x:c r="A1871" s="543" t="str">
        <x:f>IF(B1871="","",TEXT(B1871,"yyyy-mm-dd")&amp;"|"&amp;D1871&amp;"|"&amp;E1871)</x:f>
        <x:v>2026-03-20|大连英博|上海海港</x:v>
      </x:c>
      <x:c r="B1871" s="544" t="n">
        <x:v>46101.791666666664</x:v>
      </x:c>
      <x:c r="C1871" s="543" t="str">
        <x:v>中国足球超级联赛</x:v>
      </x:c>
      <x:c r="D1871" s="543" t="str">
        <x:v>大连英博</x:v>
      </x:c>
      <x:c r="E1871" s="543" t="str">
        <x:v>上海海港</x:v>
      </x:c>
      <x:c r="F1871" s="543" t="str">
        <x:v>上海海港 -0.25</x:v>
      </x:c>
      <x:c r="G1871" s="543" t="str">
        <x:v>大2.75</x:v>
      </x:c>
      <x:c r="H1871" s="543" t="str">
        <x:v>双方进球 是</x:v>
      </x:c>
      <x:c r="I1871" s="544" t="n">
        <x:v>46101.80025462963</x:v>
      </x:c>
      <x:c r="J1871" s="543" t="str">
        <x:v>已结算</x:v>
      </x:c>
      <x:c r="K1871" s="543" t="str">
        <x:v>1-0</x:v>
      </x:c>
      <x:c r="L1871" s="543" t="str">
        <x:v>输</x:v>
      </x:c>
      <x:c r="M1871" s="543" t="str">
        <x:v>输</x:v>
      </x:c>
      <x:c r="N1871" s="545" t="n">
        <x:v>-1</x:v>
      </x:c>
      <x:c r="O1871" s="545" t="n">
        <x:v>-1</x:v>
      </x:c>
      <x:c r="P1871" s="545" t="n">
        <x:f>IF(COUNT(N1871:O1871)=0,"",SUM(N1871:O1871))</x:f>
        <x:v>-2</x:v>
      </x:c>
      <x:c r="Q1871" s="543"/>
      <x:c r="R1871" s="543" t="str">
        <x:v>复核赛果：大连英博 1-0 上海海港；让球：上海海港 -0.25=输；大小：大2.75=输。</x:v>
      </x:c>
    </x:row>
    <x:row r="1872" ht="24" customHeight="1">
      <x:c r="A1872" s="543" t="str">
        <x:f>IF(B1872="","",TEXT(B1872,"yyyy-mm-dd")&amp;"|"&amp;D1872&amp;"|"&amp;E1872)</x:f>
        <x:v>2026-03-20|普雷斯顿狮子|艾云达尔FC</x:v>
      </x:c>
      <x:c r="B1872" s="544" t="n">
        <x:v>46101.729166666664</x:v>
      </x:c>
      <x:c r="C1872" s="543" t="str">
        <x:v>澳大利亚 维多利亚州超级联赛1（VPL1）</x:v>
      </x:c>
      <x:c r="D1872" s="543" t="str">
        <x:v>普雷斯顿狮子</x:v>
      </x:c>
      <x:c r="E1872" s="543" t="str">
        <x:v>艾云达尔FC</x:v>
      </x:c>
      <x:c r="F1872" s="543" t="str">
        <x:v>艾云达尔FC +0.25</x:v>
      </x:c>
      <x:c r="G1872" s="543" t="str">
        <x:v>小2.75</x:v>
      </x:c>
      <x:c r="H1872" s="543" t="str">
        <x:v>半场平</x:v>
      </x:c>
      <x:c r="I1872" s="544" t="n">
        <x:v>46101.73837962963</x:v>
      </x:c>
      <x:c r="J1872" s="543" t="str">
        <x:v>已结算</x:v>
      </x:c>
      <x:c r="K1872" s="543" t="str">
        <x:v>1-1</x:v>
      </x:c>
      <x:c r="L1872" s="543" t="str">
        <x:v>输半</x:v>
      </x:c>
      <x:c r="M1872" s="543" t="str">
        <x:v>赢</x:v>
      </x:c>
      <x:c r="N1872" s="545" t="n">
        <x:v>-0.5</x:v>
      </x:c>
      <x:c r="O1872" s="545" t="n">
        <x:v>1</x:v>
      </x:c>
      <x:c r="P1872" s="545" t="n">
        <x:f>IF(COUNT(N1872:O1872)=0,"",SUM(N1872:O1872))</x:f>
        <x:v>0.5</x:v>
      </x:c>
      <x:c r="Q1872" s="543"/>
      <x:c r="R1872" s="543" t="str">
        <x:v>FT 1-1</x:v>
      </x:c>
    </x:row>
    <x:row r="1873" ht="24" customHeight="1">
      <x:c r="A1873" s="543" t="str">
        <x:f>IF(B1873="","",TEXT(B1873,"yyyy-mm-dd")&amp;"|"&amp;D1873&amp;"|"&amp;E1873)</x:f>
        <x:v>2026-03-20|欧克莱卡诺（Oakleigh Cannons）|阳光乔治十字（Sunshine George Cross）</x:v>
      </x:c>
      <x:c r="B1873" s="544" t="n">
        <x:v>46101.71875</x:v>
      </x:c>
      <x:c r="C1873" s="543" t="str">
        <x:v>澳大利亚 维多利亚州超级联赛1（VPL1）</x:v>
      </x:c>
      <x:c r="D1873" s="543" t="str">
        <x:v>欧克莱卡诺（Oakleigh Cannons）</x:v>
      </x:c>
      <x:c r="E1873" s="543" t="str">
        <x:v>阳光乔治十字（Sunshine George Cross）</x:v>
      </x:c>
      <x:c r="F1873" s="543" t="str">
        <x:v>欧克莱卡诺（Oakleigh Cannons） -1.25</x:v>
      </x:c>
      <x:c r="G1873" s="543" t="str">
        <x:v>大2.75</x:v>
      </x:c>
      <x:c r="H1873" s="543" t="str">
        <x:v>主队胜</x:v>
      </x:c>
      <x:c r="I1873" s="544" t="n">
        <x:v>46101.68479166667</x:v>
      </x:c>
      <x:c r="J1873" s="543" t="str">
        <x:v>已结算</x:v>
      </x:c>
      <x:c r="K1873" s="543" t="str">
        <x:v>2-1</x:v>
      </x:c>
      <x:c r="L1873" s="543" t="str">
        <x:v>输</x:v>
      </x:c>
      <x:c r="M1873" s="543" t="str">
        <x:v>赢</x:v>
      </x:c>
      <x:c r="N1873" s="545" t="n">
        <x:v>-1</x:v>
      </x:c>
      <x:c r="O1873" s="545" t="n">
        <x:v>1</x:v>
      </x:c>
      <x:c r="P1873" s="545" t="n">
        <x:f>IF(COUNT(N1873:O1873)=0,"",SUM(N1873:O1873))</x:f>
        <x:v>0</x:v>
      </x:c>
      <x:c r="Q1873" s="543"/>
      <x:c r="R1873" s="543" t="str">
        <x:v>FT 2-1</x:v>
      </x:c>
    </x:row>
    <x:row r="1874" ht="24" customHeight="1">
      <x:c r="A1874" s="543" t="str">
        <x:f>IF(B1874="","",TEXT(B1874,"yyyy-mm-dd")&amp;"|"&amp;D1874&amp;"|"&amp;E1874)</x:f>
        <x:v>2026-03-20|丹德农市（Dandenong City）|休城（Hume City）</x:v>
      </x:c>
      <x:c r="B1874" s="544" t="n">
        <x:v>46101.697916666664</x:v>
      </x:c>
      <x:c r="C1874" s="543" t="str">
        <x:v>澳大利亚 维多利亚州超级联赛1（VPL1）</x:v>
      </x:c>
      <x:c r="D1874" s="543" t="str">
        <x:v>丹德农市（Dandenong City）</x:v>
      </x:c>
      <x:c r="E1874" s="543" t="str">
        <x:v>休城（Hume City）</x:v>
      </x:c>
      <x:c r="F1874" s="543" t="str">
        <x:v>休城（Hume City） -0.25</x:v>
      </x:c>
      <x:c r="G1874" s="543" t="str">
        <x:v>大2.75</x:v>
      </x:c>
      <x:c r="H1874" s="543" t="str">
        <x:v>双方进球 是</x:v>
      </x:c>
      <x:c r="I1874" s="544" t="n">
        <x:v>46101.69162037037</x:v>
      </x:c>
      <x:c r="J1874" s="543" t="str">
        <x:v>已结算</x:v>
      </x:c>
      <x:c r="K1874" s="543" t="str">
        <x:v>1-3</x:v>
      </x:c>
      <x:c r="L1874" s="543" t="str">
        <x:v>赢</x:v>
      </x:c>
      <x:c r="M1874" s="543" t="str">
        <x:v>赢</x:v>
      </x:c>
      <x:c r="N1874" s="545" t="n">
        <x:v>1</x:v>
      </x:c>
      <x:c r="O1874" s="545" t="n">
        <x:v>1</x:v>
      </x:c>
      <x:c r="P1874" s="545" t="n">
        <x:f>IF(COUNT(N1874:O1874)=0,"",SUM(N1874:O1874))</x:f>
        <x:v>2</x:v>
      </x:c>
      <x:c r="Q1874" s="543"/>
      <x:c r="R1874" s="543" t="str">
        <x:v>FT 1-3</x:v>
      </x:c>
    </x:row>
    <x:row r="1875" ht="24" customHeight="1">
      <x:c r="A1875" s="543" t="str">
        <x:f>IF(B1875="","",TEXT(B1875,"yyyy-mm-dd")&amp;"|"&amp;D1875&amp;"|"&amp;E1875)</x:f>
        <x:v>2026-03-20|西悉尼流浪者|阿德莱德联</x:v>
      </x:c>
      <x:c r="B1875" s="544" t="n">
        <x:v>46101.69097222222</x:v>
      </x:c>
      <x:c r="C1875" s="543" t="str">
        <x:v>澳大利亚A联赛（A-League Men）</x:v>
      </x:c>
      <x:c r="D1875" s="543" t="str">
        <x:v>西悉尼流浪者</x:v>
      </x:c>
      <x:c r="E1875" s="543" t="str">
        <x:v>阿德莱德联</x:v>
      </x:c>
      <x:c r="F1875" s="543" t="str">
        <x:v>阿德莱德联 +0.5</x:v>
      </x:c>
      <x:c r="G1875" s="543" t="str">
        <x:v>小3.5</x:v>
      </x:c>
      <x:c r="H1875" s="543" t="str">
        <x:v>半场平</x:v>
      </x:c>
      <x:c r="I1875" s="544" t="n">
        <x:v>46101.55515046296</x:v>
      </x:c>
      <x:c r="J1875" s="543" t="str">
        <x:v>已结算</x:v>
      </x:c>
      <x:c r="K1875" s="543" t="str">
        <x:v>2-4</x:v>
      </x:c>
      <x:c r="L1875" s="543" t="str">
        <x:v>赢</x:v>
      </x:c>
      <x:c r="M1875" s="543" t="str">
        <x:v>输</x:v>
      </x:c>
      <x:c r="N1875" s="545" t="n">
        <x:v>1</x:v>
      </x:c>
      <x:c r="O1875" s="545" t="n">
        <x:v>-1</x:v>
      </x:c>
      <x:c r="P1875" s="545" t="n">
        <x:f>IF(COUNT(N1875:O1875)=0,"",SUM(N1875:O1875))</x:f>
        <x:v>0</x:v>
      </x:c>
      <x:c r="Q1875" s="543"/>
      <x:c r="R1875" s="543" t="str">
        <x:v>复核赛果：西悉尼流浪者 2-4 阿德莱德联；让球：阿德莱德联 +0.5=赢；大小：小3.5=输。</x:v>
      </x:c>
    </x:row>
    <x:row r="1876" ht="24" customHeight="1">
      <x:c r="A1876" s="543" t="str">
        <x:f>IF(B1876="","",TEXT(B1876,"yyyy-mm-dd")&amp;"|"&amp;D1876&amp;"|"&amp;E1876)</x:f>
        <x:v>2026-03-20|本特利绿茵（Bentleigh Greens）|格林古利（Green Gully）</x:v>
      </x:c>
      <x:c r="B1876" s="544" t="n">
        <x:v>46101.6875</x:v>
      </x:c>
      <x:c r="C1876" s="543" t="str">
        <x:v>澳大利亚 维多利亚州超级联赛1（VPL1）</x:v>
      </x:c>
      <x:c r="D1876" s="543" t="str">
        <x:v>本特利绿茵（Bentleigh Greens）</x:v>
      </x:c>
      <x:c r="E1876" s="543" t="str">
        <x:v>格林古利（Green Gully）</x:v>
      </x:c>
      <x:c r="F1876" s="543" t="str">
        <x:v>本特利绿茵（Bentleigh Greens） -0.25</x:v>
      </x:c>
      <x:c r="G1876" s="543" t="str">
        <x:v>小2.25</x:v>
      </x:c>
      <x:c r="H1876" s="543" t="str">
        <x:v>半场平</x:v>
      </x:c>
      <x:c r="I1876" s="544" t="n">
        <x:v>46101.68127314815</x:v>
      </x:c>
      <x:c r="J1876" s="543" t="str">
        <x:v>已结算</x:v>
      </x:c>
      <x:c r="K1876" s="543" t="str">
        <x:v>0-0</x:v>
      </x:c>
      <x:c r="L1876" s="543" t="str">
        <x:v>输</x:v>
      </x:c>
      <x:c r="M1876" s="543" t="str">
        <x:v>赢</x:v>
      </x:c>
      <x:c r="N1876" s="545" t="n">
        <x:v>-1</x:v>
      </x:c>
      <x:c r="O1876" s="545" t="n">
        <x:v>1</x:v>
      </x:c>
      <x:c r="P1876" s="545" t="n">
        <x:f>IF(COUNT(N1876:O1876)=0,"",SUM(N1876:O1876))</x:f>
        <x:v>0</x:v>
      </x:c>
      <x:c r="Q1876" s="543"/>
      <x:c r="R1876" s="543" t="str">
        <x:v>FT 0-0</x:v>
      </x:c>
    </x:row>
    <x:row r="1877" ht="24" customHeight="1">
      <x:c r="A1877" s="543" t="str">
        <x:f>IF(B1877="","",TEXT(B1877,"yyyy-mm-dd")&amp;"|"&amp;D1877&amp;"|"&amp;E1877)</x:f>
        <x:v>2026-03-20|群马草津温泉|湘南海洋</x:v>
      </x:c>
      <x:c r="B1877" s="544" t="n">
        <x:v>46101.54375</x:v>
      </x:c>
      <x:c r="C1877" s="543" t="str">
        <x:v>日职 明治安田J2·J3百年构想联赛</x:v>
      </x:c>
      <x:c r="D1877" s="543" t="str">
        <x:v>群马草津温泉</x:v>
      </x:c>
      <x:c r="E1877" s="543" t="str">
        <x:v>湘南海洋</x:v>
      </x:c>
      <x:c r="F1877" s="543" t="str">
        <x:v>群马草津温泉 +0.75</x:v>
      </x:c>
      <x:c r="G1877" s="543" t="str">
        <x:v>小2.25</x:v>
      </x:c>
      <x:c r="H1877" s="543" t="str">
        <x:v>半场平</x:v>
      </x:c>
      <x:c r="I1877" s="544" t="n">
        <x:v>46101.545277777775</x:v>
      </x:c>
      <x:c r="J1877" s="543" t="str">
        <x:v>已结算</x:v>
      </x:c>
      <x:c r="K1877" s="543" t="str">
        <x:v>1-1</x:v>
      </x:c>
      <x:c r="L1877" s="543" t="str">
        <x:v>赢</x:v>
      </x:c>
      <x:c r="M1877" s="543" t="str">
        <x:v>赢</x:v>
      </x:c>
      <x:c r="N1877" s="545" t="n">
        <x:v>1</x:v>
      </x:c>
      <x:c r="O1877" s="545" t="n">
        <x:v>1</x:v>
      </x:c>
      <x:c r="P1877" s="545" t="n">
        <x:f>IF(COUNT(N1877:O1877)=0,"",SUM(N1877:O1877))</x:f>
        <x:v>2</x:v>
      </x:c>
      <x:c r="Q1877" s="543"/>
      <x:c r="R1877" s="543" t="str">
        <x:v>FT 1-1</x:v>
      </x:c>
    </x:row>
    <x:row r="1878" ht="24" customHeight="1">
      <x:c r="A1878" s="543" t="str">
        <x:f>IF(B1878="","",TEXT(B1878,"yyyy-mm-dd")&amp;"|"&amp;D1878&amp;"|"&amp;E1878)</x:f>
        <x:v>2026-03-20|麦德林独立|巴兰基亚青年</x:v>
      </x:c>
      <x:c r="B1878" s="544" t="n">
        <x:v>46101.395833333336</x:v>
      </x:c>
      <x:c r="C1878" s="543" t="str">
        <x:v>哥伦比亚甲级联赛（Liga BetPlay DIMAYOR）</x:v>
      </x:c>
      <x:c r="D1878" s="543" t="str">
        <x:v>麦德林独立</x:v>
      </x:c>
      <x:c r="E1878" s="543" t="str">
        <x:v>巴兰基亚青年</x:v>
      </x:c>
      <x:c r="F1878" s="543" t="str">
        <x:v>巴兰基亚青年 +0.5</x:v>
      </x:c>
      <x:c r="G1878" s="543" t="str">
        <x:v>小2.25</x:v>
      </x:c>
      <x:c r="H1878" s="543" t="str">
        <x:v>半场平</x:v>
      </x:c>
      <x:c r="I1878" s="544" t="n">
        <x:v>46101.3452662037</x:v>
      </x:c>
      <x:c r="J1878" s="543" t="str">
        <x:v>已结算</x:v>
      </x:c>
      <x:c r="K1878" s="543" t="str">
        <x:v>2-0</x:v>
      </x:c>
      <x:c r="L1878" s="543" t="str">
        <x:v>输</x:v>
      </x:c>
      <x:c r="M1878" s="543" t="str">
        <x:v>赢半</x:v>
      </x:c>
      <x:c r="N1878" s="545" t="n">
        <x:v>-1</x:v>
      </x:c>
      <x:c r="O1878" s="545" t="n">
        <x:v>0.5</x:v>
      </x:c>
      <x:c r="P1878" s="545" t="n">
        <x:f>IF(COUNT(N1878:O1878)=0,"",SUM(N1878:O1878))</x:f>
        <x:v>-0.5</x:v>
      </x:c>
      <x:c r="Q1878" s="543"/>
      <x:c r="R1878" s="543" t="str">
        <x:v>复核赛果：麦德林独立 2-0 巴兰基亚青年；让球：巴兰基亚青年 +0.5=输；大小：小2.25=赢半。</x:v>
      </x:c>
    </x:row>
    <x:row r="1879" ht="24" customHeight="1">
      <x:c r="A1879" s="543" t="str">
        <x:f>IF(B1879="","",TEXT(B1879,"yyyy-mm-dd")&amp;"|"&amp;D1879&amp;"|"&amp;E1879)</x:f>
        <x:v>2026-03-20|沙佩科恩斯|科林蒂安</x:v>
      </x:c>
      <x:c r="B1879" s="544" t="n">
        <x:v>46101.354166666664</x:v>
      </x:c>
      <x:c r="C1879" s="543" t="str">
        <x:v>巴西甲（Serie A）</x:v>
      </x:c>
      <x:c r="D1879" s="543" t="str">
        <x:v>沙佩科恩斯</x:v>
      </x:c>
      <x:c r="E1879" s="543" t="str">
        <x:v>科林蒂安</x:v>
      </x:c>
      <x:c r="F1879" s="543" t="str">
        <x:v>沙佩科恩斯 +0.25</x:v>
      </x:c>
      <x:c r="G1879" s="543" t="str">
        <x:v>小2.25</x:v>
      </x:c>
      <x:c r="H1879" s="543" t="str">
        <x:v>半场平</x:v>
      </x:c>
      <x:c r="I1879" s="544" t="n">
        <x:v>46101.378530092596</x:v>
      </x:c>
      <x:c r="J1879" s="543" t="str">
        <x:v>已结算</x:v>
      </x:c>
      <x:c r="K1879" s="543" t="str">
        <x:v>0-0</x:v>
      </x:c>
      <x:c r="L1879" s="543" t="str">
        <x:v>赢半</x:v>
      </x:c>
      <x:c r="M1879" s="543" t="str">
        <x:v>赢</x:v>
      </x:c>
      <x:c r="N1879" s="545" t="n">
        <x:v>0.5</x:v>
      </x:c>
      <x:c r="O1879" s="545" t="n">
        <x:v>1</x:v>
      </x:c>
      <x:c r="P1879" s="545" t="n">
        <x:f>IF(COUNT(N1879:O1879)=0,"",SUM(N1879:O1879))</x:f>
        <x:v>1.5</x:v>
      </x:c>
      <x:c r="Q1879" s="543"/>
      <x:c r="R1879" s="543" t="str">
        <x:v>复核赛果：沙佩科恩斯 0-0 科林蒂安；让球：沙佩科恩斯 +0.25=赢半；大小：小2.25=赢。</x:v>
      </x:c>
    </x:row>
    <x:row r="1880" ht="24" customHeight="1">
      <x:c r="A1880" s="543" t="str">
        <x:f>IF(B1880="","",TEXT(B1880,"yyyy-mm-dd")&amp;"|"&amp;D1880&amp;"|"&amp;E1880)</x:f>
        <x:v>2026-03-20|托利马体育|福塔雷萨CEIF</x:v>
      </x:c>
      <x:c r="B1880" s="544" t="n">
        <x:v>46101.305555555555</x:v>
      </x:c>
      <x:c r="C1880" s="543" t="str">
        <x:v>哥伦比亚甲级联赛（Liga BetPlay DIMAYOR）</x:v>
      </x:c>
      <x:c r="D1880" s="543" t="str">
        <x:v>托利马体育</x:v>
      </x:c>
      <x:c r="E1880" s="543" t="str">
        <x:v>福塔雷萨CEIF</x:v>
      </x:c>
      <x:c r="F1880" s="543" t="str">
        <x:v>托利马体育 -0.75</x:v>
      </x:c>
      <x:c r="G1880" s="543" t="str">
        <x:v>小2.25</x:v>
      </x:c>
      <x:c r="H1880" s="543" t="str">
        <x:v>半场平</x:v>
      </x:c>
      <x:c r="I1880" s="544" t="n">
        <x:v>46101.31831018518</x:v>
      </x:c>
      <x:c r="J1880" s="543" t="str">
        <x:v>已结算</x:v>
      </x:c>
      <x:c r="K1880" s="543" t="str">
        <x:v>2-0</x:v>
      </x:c>
      <x:c r="L1880" s="543" t="str">
        <x:v>赢</x:v>
      </x:c>
      <x:c r="M1880" s="543" t="str">
        <x:v>赢</x:v>
      </x:c>
      <x:c r="N1880" s="545" t="n">
        <x:v>1</x:v>
      </x:c>
      <x:c r="O1880" s="545" t="n">
        <x:v>1</x:v>
      </x:c>
      <x:c r="P1880" s="545" t="n">
        <x:f>IF(COUNT(N1880:O1880)=0,"",SUM(N1880:O1880))</x:f>
        <x:v>2</x:v>
      </x:c>
      <x:c r="Q1880" s="543"/>
      <x:c r="R1880" s="543" t="str">
        <x:v>FT 2-0</x:v>
      </x:c>
    </x:row>
    <x:row r="1881" ht="24" customHeight="1">
      <x:c r="A1881" s="543" t="str">
        <x:f>IF(B1881="","",TEXT(B1881,"yyyy-mm-dd")&amp;"|"&amp;D1881&amp;"|"&amp;E1881)</x:f>
        <x:v>2026-03-20|阿利安萨FC|科尔多瓦贾瓜雷斯</x:v>
      </x:c>
      <x:c r="B1881" s="544" t="n">
        <x:v>46101.21527777778</x:v>
      </x:c>
      <x:c r="C1881" s="543" t="str">
        <x:v>哥伦比亚甲级联赛（Liga BetPlay DIMAYOR）</x:v>
      </x:c>
      <x:c r="D1881" s="543" t="str">
        <x:v>阿利安萨FC</x:v>
      </x:c>
      <x:c r="E1881" s="543" t="str">
        <x:v>科尔多瓦贾瓜雷斯</x:v>
      </x:c>
      <x:c r="F1881" s="543" t="str">
        <x:v>阿利安萨FC -0.25</x:v>
      </x:c>
      <x:c r="G1881" s="543" t="str">
        <x:v>小2.25</x:v>
      </x:c>
      <x:c r="H1881" s="543" t="str">
        <x:v>半场平</x:v>
      </x:c>
      <x:c r="I1881" s="544" t="n">
        <x:v>46101.252175925925</x:v>
      </x:c>
      <x:c r="J1881" s="543" t="str">
        <x:v>已结算</x:v>
      </x:c>
      <x:c r="K1881" s="543"/>
      <x:c r="L1881" s="543" t="str">
        <x:v>赢</x:v>
      </x:c>
      <x:c r="M1881" s="543" t="str">
        <x:v>赢</x:v>
      </x:c>
      <x:c r="N1881" s="545" t="n">
        <x:v>1</x:v>
      </x:c>
      <x:c r="O1881" s="545" t="n">
        <x:v>1</x:v>
      </x:c>
      <x:c r="P1881" s="545" t="n">
        <x:f>IF(COUNT(N1881:O1881)=0,"",SUM(N1881:O1881))</x:f>
        <x:v>2</x:v>
      </x:c>
      <x:c r="Q1881" s="543"/>
      <x:c r="R1881" s="543"/>
    </x:row>
    <x:row r="1882" ht="24" customHeight="1">
      <x:c r="A1882" s="543" t="str">
        <x:f>IF(B1882="","",TEXT(B1882,"yyyy-mm-dd")&amp;"|"&amp;D1882&amp;"|"&amp;E1882)</x:f>
        <x:v>2026-03-19|德里FC（SC Delhi）|詹谢普尔FC</x:v>
      </x:c>
      <x:c r="B1882" s="544" t="n">
        <x:v>46100.916666666664</x:v>
      </x:c>
      <x:c r="C1882" s="543" t="str">
        <x:v>印度超级联赛（Indian Super League）</x:v>
      </x:c>
      <x:c r="D1882" s="543" t="str">
        <x:v>德里FC（SC Delhi）</x:v>
      </x:c>
      <x:c r="E1882" s="543" t="str">
        <x:v>詹谢普尔FC</x:v>
      </x:c>
      <x:c r="F1882" s="543" t="str">
        <x:v>詹谢普尔FC -0.25</x:v>
      </x:c>
      <x:c r="G1882" s="543" t="str">
        <x:v>小2.25</x:v>
      </x:c>
      <x:c r="H1882" s="543" t="str">
        <x:v>半场平</x:v>
      </x:c>
      <x:c r="I1882" s="544" t="n">
        <x:v>46100.90207175926</x:v>
      </x:c>
      <x:c r="J1882" s="543" t="str">
        <x:v>已结算</x:v>
      </x:c>
      <x:c r="K1882" s="543" t="str">
        <x:v>0-2</x:v>
      </x:c>
      <x:c r="L1882" s="543" t="str">
        <x:v>赢</x:v>
      </x:c>
      <x:c r="M1882" s="543" t="str">
        <x:v>赢</x:v>
      </x:c>
      <x:c r="N1882" s="545" t="n">
        <x:v>1</x:v>
      </x:c>
      <x:c r="O1882" s="545" t="n">
        <x:v>1</x:v>
      </x:c>
      <x:c r="P1882" s="545" t="n">
        <x:f>IF(COUNT(N1882:O1882)=0,"",SUM(N1882:O1882))</x:f>
        <x:v>2</x:v>
      </x:c>
      <x:c r="Q1882" s="543"/>
      <x:c r="R1882" s="543" t="str">
        <x:v>FT 0-2</x:v>
      </x:c>
    </x:row>
    <x:row r="1883" ht="24" customHeight="1">
      <x:c r="A1883" s="543" t="str">
        <x:f>IF(B1883="","",TEXT(B1883,"yyyy-mm-dd")&amp;"|"&amp;D1883&amp;"|"&amp;E1883)</x:f>
        <x:v>2026-03-19|西雅图海湾人|温哥华白帽</x:v>
      </x:c>
      <x:c r="B1883" s="544" t="n">
        <x:v>46100.458333333336</x:v>
      </x:c>
      <x:c r="C1883" s="543" t="str">
        <x:v>中北美冠军杯（CONCACAF Champions Cup）</x:v>
      </x:c>
      <x:c r="D1883" s="543" t="str">
        <x:v>西雅图海湾人</x:v>
      </x:c>
      <x:c r="E1883" s="543" t="str">
        <x:v>温哥华白帽</x:v>
      </x:c>
      <x:c r="F1883" s="543" t="str">
        <x:v>温哥华白帽 -0.25（1.90以上可入）</x:v>
      </x:c>
      <x:c r="G1883" s="543" t="str">
        <x:v>大2.5（1.90以上可入）</x:v>
      </x:c>
      <x:c r="H1883" s="543" t="str">
        <x:v>加仓：温哥华白帽 -0.5（2.10以上小注）</x:v>
      </x:c>
      <x:c r="I1883" s="544" t="n">
        <x:v>46100.466516203705</x:v>
      </x:c>
      <x:c r="J1883" s="543" t="str">
        <x:v>已结算</x:v>
      </x:c>
      <x:c r="K1883" s="543" t="str">
        <x:v>2-1</x:v>
      </x:c>
      <x:c r="L1883" s="543" t="str">
        <x:v>输</x:v>
      </x:c>
      <x:c r="M1883" s="543" t="str">
        <x:v>赢</x:v>
      </x:c>
      <x:c r="N1883" s="545" t="n">
        <x:v>-1</x:v>
      </x:c>
      <x:c r="O1883" s="545" t="n">
        <x:v>1</x:v>
      </x:c>
      <x:c r="P1883" s="545" t="n">
        <x:f>IF(COUNT(N1883:O1883)=0,"",SUM(N1883:O1883))</x:f>
        <x:v>0</x:v>
      </x:c>
      <x:c r="Q1883" s="543"/>
      <x:c r="R1883" s="543" t="str">
        <x:v>FT 2-1</x:v>
      </x:c>
    </x:row>
    <x:row r="1884" ht="24" customHeight="1">
      <x:c r="A1884" s="543" t="str">
        <x:f>IF(B1884="","",TEXT(B1884,"yyyy-mm-dd")&amp;"|"&amp;D1884&amp;"|"&amp;E1884)</x:f>
        <x:v>2026-03-19|瓜达拉哈拉（芝华士）|莱昂</x:v>
      </x:c>
      <x:c r="B1884" s="544" t="n">
        <x:v>46100.42152777778</x:v>
      </x:c>
      <x:c r="C1884" s="543" t="str">
        <x:v>墨西哥超（Liga MX，Clausura）</x:v>
      </x:c>
      <x:c r="D1884" s="543" t="str">
        <x:v>瓜达拉哈拉（芝华士）</x:v>
      </x:c>
      <x:c r="E1884" s="543" t="str">
        <x:v>莱昂</x:v>
      </x:c>
      <x:c r="F1884" s="543" t="str">
        <x:v>瓜达拉哈拉（芝华士） -1.25（1.82以上可入）</x:v>
      </x:c>
      <x:c r="G1884" s="543" t="str">
        <x:v>小2.75（2.05以上可入）</x:v>
      </x:c>
      <x:c r="H1884" s="543" t="str">
        <x:v>加仓：瓜达拉哈拉（芝华士） -1.5（2.10以上小注）</x:v>
      </x:c>
      <x:c r="I1884" s="544" t="n">
        <x:v>46100.33230324074</x:v>
      </x:c>
      <x:c r="J1884" s="543" t="str">
        <x:v>已结算</x:v>
      </x:c>
      <x:c r="K1884" s="543" t="str">
        <x:v>0-1</x:v>
      </x:c>
      <x:c r="L1884" s="543" t="str">
        <x:v>输</x:v>
      </x:c>
      <x:c r="M1884" s="543" t="str">
        <x:v>赢</x:v>
      </x:c>
      <x:c r="N1884" s="545" t="n">
        <x:v>-1</x:v>
      </x:c>
      <x:c r="O1884" s="545" t="n">
        <x:v>1</x:v>
      </x:c>
      <x:c r="P1884" s="545" t="n">
        <x:f>IF(COUNT(N1884:O1884)=0,"",SUM(N1884:O1884))</x:f>
        <x:v>0</x:v>
      </x:c>
      <x:c r="Q1884" s="543"/>
      <x:c r="R1884" s="543" t="str">
        <x:v>FT 0-1</x:v>
      </x:c>
    </x:row>
    <x:row r="1885" ht="24" customHeight="1">
      <x:c r="A1885" s="543" t="str">
        <x:f>IF(B1885="","",TEXT(B1885,"yyyy-mm-dd")&amp;"|"&amp;D1885&amp;"|"&amp;E1885)</x:f>
        <x:v>2026-03-19|卡利体育会|圣塔菲</x:v>
      </x:c>
      <x:c r="B1885" s="544" t="n">
        <x:v>46100.395833333336</x:v>
      </x:c>
      <x:c r="C1885" s="543" t="str">
        <x:v>哥伦比亚甲级联赛（Liga BetPlay DIMAYOR）</x:v>
      </x:c>
      <x:c r="D1885" s="543" t="str">
        <x:v>卡利体育会</x:v>
      </x:c>
      <x:c r="E1885" s="543" t="str">
        <x:v>圣塔菲</x:v>
      </x:c>
      <x:c r="F1885" s="543" t="str">
        <x:v>卡利体育会 -0.25（1.88以上可入）</x:v>
      </x:c>
      <x:c r="G1885" s="543" t="str">
        <x:v>小2（1.95以上可入）</x:v>
      </x:c>
      <x:c r="H1885" s="543" t="str">
        <x:v>加仓：卡利体育会 -0.5（1.93以上小注）</x:v>
      </x:c>
      <x:c r="I1885" s="544" t="n">
        <x:v>46100.42591435185</x:v>
      </x:c>
      <x:c r="J1885" s="543" t="str">
        <x:v>已结算</x:v>
      </x:c>
      <x:c r="K1885" s="543" t="str">
        <x:v>1-1</x:v>
      </x:c>
      <x:c r="L1885" s="543" t="str">
        <x:v>输半</x:v>
      </x:c>
      <x:c r="M1885" s="543" t="str">
        <x:v>走水</x:v>
      </x:c>
      <x:c r="N1885" s="545" t="n">
        <x:v>-0.5</x:v>
      </x:c>
      <x:c r="O1885" s="545" t="n">
        <x:v>0</x:v>
      </x:c>
      <x:c r="P1885" s="545" t="n">
        <x:f>IF(COUNT(N1885:O1885)=0,"",SUM(N1885:O1885))</x:f>
        <x:v>-0.5</x:v>
      </x:c>
      <x:c r="Q1885" s="543"/>
      <x:c r="R1885" s="543" t="str">
        <x:v>按匹配键重核：外部赛果列显示本场应按 1-1 结算；让球：卡利体育会 -0.25=输半；大小：小2.0=走水。</x:v>
      </x:c>
    </x:row>
    <x:row r="1886" ht="24" customHeight="1">
      <x:c r="A1886" s="543" t="str">
        <x:f>IF(B1886="","",TEXT(B1886,"yyyy-mm-dd")&amp;"|"&amp;D1886&amp;"|"&amp;E1886)</x:f>
        <x:v>2026-03-19|特拉斯卡拉|亚特兰特</x:v>
      </x:c>
      <x:c r="B1886" s="544" t="n">
        <x:v>46100.375</x:v>
      </x:c>
      <x:c r="C1886" s="543" t="str">
        <x:v>墨西哥甲级扩展联赛（Liga de Expansión MX）</x:v>
      </x:c>
      <x:c r="D1886" s="543" t="str">
        <x:v>特拉斯卡拉</x:v>
      </x:c>
      <x:c r="E1886" s="543" t="str">
        <x:v>亚特兰特</x:v>
      </x:c>
      <x:c r="F1886" s="543" t="str">
        <x:v>亚特兰特 -0.5（1.82以上可入）</x:v>
      </x:c>
      <x:c r="G1886" s="543" t="str">
        <x:v>大2.5（1.95以上可入）</x:v>
      </x:c>
      <x:c r="H1886" s="543" t="str">
        <x:v>加仓：亚特兰特 -0.75（2.15以上小注）</x:v>
      </x:c>
      <x:c r="I1886" s="544" t="n">
        <x:v>46100.418217592596</x:v>
      </x:c>
      <x:c r="J1886" s="543" t="str">
        <x:v>已结算</x:v>
      </x:c>
      <x:c r="K1886" s="543" t="str">
        <x:v>0-0</x:v>
      </x:c>
      <x:c r="L1886" s="543" t="str">
        <x:v>输</x:v>
      </x:c>
      <x:c r="M1886" s="543" t="str">
        <x:v>输</x:v>
      </x:c>
      <x:c r="N1886" s="545" t="n">
        <x:v>-1</x:v>
      </x:c>
      <x:c r="O1886" s="545" t="n">
        <x:v>-1</x:v>
      </x:c>
      <x:c r="P1886" s="545" t="n">
        <x:f>IF(COUNT(N1886:O1886)=0,"",SUM(N1886:O1886))</x:f>
        <x:v>-2</x:v>
      </x:c>
      <x:c r="Q1886" s="543"/>
      <x:c r="R1886" s="543" t="str">
        <x:v>FT 0-0</x:v>
      </x:c>
    </x:row>
    <x:row r="1887" ht="24" customHeight="1">
      <x:c r="A1887" s="543" t="str">
        <x:f>IF(B1887="","",TEXT(B1887,"yyyy-mm-dd")&amp;"|"&amp;D1887&amp;"|"&amp;E1887)</x:f>
        <x:v>2026-03-19|布卡拉曼加竞技|云斯卡尔达斯（Once Caldas）</x:v>
      </x:c>
      <x:c r="B1887" s="544" t="n">
        <x:v>46100.354166666664</x:v>
      </x:c>
      <x:c r="C1887" s="543" t="str">
        <x:v>哥伦比亚甲级联赛（Liga BetPlay DIMAYOR）</x:v>
      </x:c>
      <x:c r="D1887" s="543" t="str">
        <x:v>布卡拉曼加竞技</x:v>
      </x:c>
      <x:c r="E1887" s="543" t="str">
        <x:v>云斯卡尔达斯（Once Caldas）</x:v>
      </x:c>
      <x:c r="F1887" s="543" t="str">
        <x:v>布卡拉曼加竞技 -0.25（1.86以上可入）</x:v>
      </x:c>
      <x:c r="G1887" s="543" t="str">
        <x:v>小2.25（1.90以上可入）</x:v>
      </x:c>
      <x:c r="H1887" s="543" t="str">
        <x:v>加仓：布卡拉曼加竞技 -0.5（2.05以上小注）</x:v>
      </x:c>
      <x:c r="I1887" s="544" t="n">
        <x:v>46100.36539351852</x:v>
      </x:c>
      <x:c r="J1887" s="543" t="str">
        <x:v>已结算</x:v>
      </x:c>
      <x:c r="K1887" s="543" t="str">
        <x:v>1-1</x:v>
      </x:c>
      <x:c r="L1887" s="543" t="str">
        <x:v>输半</x:v>
      </x:c>
      <x:c r="M1887" s="543" t="str">
        <x:v>赢半</x:v>
      </x:c>
      <x:c r="N1887" s="545" t="n">
        <x:v>-0.5</x:v>
      </x:c>
      <x:c r="O1887" s="545" t="n">
        <x:v>0.5</x:v>
      </x:c>
      <x:c r="P1887" s="545" t="n">
        <x:f>IF(COUNT(N1887:O1887)=0,"",SUM(N1887:O1887))</x:f>
        <x:v>0</x:v>
      </x:c>
      <x:c r="Q1887" s="543"/>
      <x:c r="R1887" s="543" t="str">
        <x:v>复核赛果：布卡拉曼加竞技 1-1 云斯卡尔达斯（Once Caldas）；让球：布卡拉曼加竞技 -0.25=输半；大小：小2.25=赢半。</x:v>
      </x:c>
    </x:row>
    <x:row r="1888" ht="24" customHeight="1">
      <x:c r="A1888" s="543" t="str">
        <x:f>IF(B1888="","",TEXT(B1888,"yyyy-mm-dd")&amp;"|"&amp;D1888&amp;"|"&amp;E1888)</x:f>
        <x:v>2026-03-19|国际波哥大|佩雷拉体育</x:v>
      </x:c>
      <x:c r="B1888" s="544" t="n">
        <x:v>46100.305555555555</x:v>
      </x:c>
      <x:c r="C1888" s="543" t="str">
        <x:v>哥伦比亚甲级联赛（Liga BetPlay DIMAYOR）</x:v>
      </x:c>
      <x:c r="D1888" s="543" t="str">
        <x:v>国际波哥大</x:v>
      </x:c>
      <x:c r="E1888" s="543" t="str">
        <x:v>佩雷拉体育</x:v>
      </x:c>
      <x:c r="F1888" s="543" t="str">
        <x:v>国际波哥大 -0.75（1.85以上可入）</x:v>
      </x:c>
      <x:c r="G1888" s="543" t="str">
        <x:v>小2.5（1.83以上可入）</x:v>
      </x:c>
      <x:c r="H1888" s="543" t="str">
        <x:v>加仓：国际波哥大 -1（1.98以上小注）</x:v>
      </x:c>
      <x:c r="I1888" s="544" t="n">
        <x:v>46100.280694444446</x:v>
      </x:c>
      <x:c r="J1888" s="543" t="str">
        <x:v>已结算</x:v>
      </x:c>
      <x:c r="K1888" s="543" t="str">
        <x:v>2-2</x:v>
      </x:c>
      <x:c r="L1888" s="543" t="str">
        <x:v>输</x:v>
      </x:c>
      <x:c r="M1888" s="543" t="str">
        <x:v>输</x:v>
      </x:c>
      <x:c r="N1888" s="545" t="n">
        <x:v>-1</x:v>
      </x:c>
      <x:c r="O1888" s="545" t="n">
        <x:v>-1</x:v>
      </x:c>
      <x:c r="P1888" s="545" t="n">
        <x:f>IF(COUNT(N1888:O1888)=0,"",SUM(N1888:O1888))</x:f>
        <x:v>-2</x:v>
      </x:c>
      <x:c r="Q1888" s="543"/>
      <x:c r="R1888" s="543" t="str">
        <x:v>复核赛果：国际波哥大 2-2 佩雷拉体育；让球：国际波哥大 -0.75=输；大小：小2.5=输。</x:v>
      </x:c>
    </x:row>
    <x:row r="1889" ht="24" customHeight="1">
      <x:c r="A1889" s="543" t="str">
        <x:f>IF(B1889="","",TEXT(B1889,"yyyy-mm-dd")&amp;"|"&amp;D1889&amp;"|"&amp;E1889)</x:f>
        <x:v>2026-03-19|巴伊亚|RB布拉甘蒂诺</x:v>
      </x:c>
      <x:c r="B1889" s="544" t="n">
        <x:v>46100.25</x:v>
      </x:c>
      <x:c r="C1889" s="543" t="str">
        <x:v>巴西甲（Serie A）</x:v>
      </x:c>
      <x:c r="D1889" s="543" t="str">
        <x:v>巴伊亚</x:v>
      </x:c>
      <x:c r="E1889" s="543" t="str">
        <x:v>RB布拉甘蒂诺</x:v>
      </x:c>
      <x:c r="F1889" s="543" t="str">
        <x:v>巴伊亚 -0.5（1.84以上可入）</x:v>
      </x:c>
      <x:c r="G1889" s="543" t="str">
        <x:v>小2.5（1.92以上可入）</x:v>
      </x:c>
      <x:c r="H1889" s="543" t="str">
        <x:v>加仓：巴伊亚 -0.75（2.10以上小注）</x:v>
      </x:c>
      <x:c r="I1889" s="544" t="n">
        <x:v>46100.25209490741</x:v>
      </x:c>
      <x:c r="J1889" s="543" t="str">
        <x:v>已结算</x:v>
      </x:c>
      <x:c r="K1889" s="543" t="str">
        <x:v>2-0</x:v>
      </x:c>
      <x:c r="L1889" s="543" t="str">
        <x:v>赢</x:v>
      </x:c>
      <x:c r="M1889" s="543" t="str">
        <x:v>赢</x:v>
      </x:c>
      <x:c r="N1889" s="545" t="n">
        <x:v>1</x:v>
      </x:c>
      <x:c r="O1889" s="545" t="n">
        <x:v>1</x:v>
      </x:c>
      <x:c r="P1889" s="545" t="n">
        <x:f>IF(COUNT(N1889:O1889)=0,"",SUM(N1889:O1889))</x:f>
        <x:v>2</x:v>
      </x:c>
      <x:c r="Q1889" s="543"/>
      <x:c r="R1889" s="543" t="str">
        <x:v>FT 2-0</x:v>
      </x:c>
    </x:row>
    <x:row r="1890" ht="24" customHeight="1">
      <x:c r="A1890" s="543" t="str">
        <x:f>IF(B1890="","",TEXT(B1890,"yyyy-mm-dd")&amp;"|"&amp;D1890&amp;"|"&amp;E1890)</x:f>
        <x:v>2026-03-19|帕斯托体育|博亚卡奇科</x:v>
      </x:c>
      <x:c r="B1890" s="544" t="n">
        <x:v>46100.21527777778</x:v>
      </x:c>
      <x:c r="C1890" s="543" t="str">
        <x:v>哥伦比亚甲级联赛（Liga BetPlay DIMAYOR）</x:v>
      </x:c>
      <x:c r="D1890" s="543" t="str">
        <x:v>帕斯托体育</x:v>
      </x:c>
      <x:c r="E1890" s="543" t="str">
        <x:v>博亚卡奇科</x:v>
      </x:c>
      <x:c r="F1890" s="543" t="str">
        <x:v>帕斯托体育 -1（仅1.80以上介入）</x:v>
      </x:c>
      <x:c r="G1890" s="543" t="str">
        <x:v>大2.5（2.05以上可入）</x:v>
      </x:c>
      <x:c r="H1890" s="543" t="str">
        <x:v>加仓：帕斯托体育 -1.25（2.00以上小注）</x:v>
      </x:c>
      <x:c r="I1890" s="544" t="n">
        <x:v>46100.19861111111</x:v>
      </x:c>
      <x:c r="J1890" s="543" t="str">
        <x:v>已结算</x:v>
      </x:c>
      <x:c r="K1890" s="543" t="str">
        <x:v>2-0</x:v>
      </x:c>
      <x:c r="L1890" s="543" t="str">
        <x:v>走水</x:v>
      </x:c>
      <x:c r="M1890" s="543" t="str">
        <x:v>输</x:v>
      </x:c>
      <x:c r="N1890" s="545" t="n">
        <x:v>0</x:v>
      </x:c>
      <x:c r="O1890" s="545" t="n">
        <x:v>-1</x:v>
      </x:c>
      <x:c r="P1890" s="545" t="n">
        <x:f>IF(COUNT(N1890:O1890)=0,"",SUM(N1890:O1890))</x:f>
        <x:v>-1</x:v>
      </x:c>
      <x:c r="Q1890" s="543"/>
      <x:c r="R1890" s="543" t="str">
        <x:v>复核赛果：帕斯托体育 2-0 博亚卡奇科；让球：帕斯托体育 -1=走水；大小：大2.5=输。</x:v>
      </x:c>
    </x:row>
    <x:row r="1891" ht="24" customHeight="1">
      <x:c r="A1891" s="543" t="str">
        <x:f>IF(B1891="","",TEXT(B1891,"yyyy-mm-dd")&amp;"|"&amp;D1891&amp;"|"&amp;E1891)</x:f>
        <x:v>2026-03-19|南安普顿|诺维奇</x:v>
      </x:c>
      <x:c r="B1891" s="544" t="n">
        <x:v>46100.15625</x:v>
      </x:c>
      <x:c r="C1891" s="543" t="str">
        <x:v>英格兰冠军联赛（英冠）</x:v>
      </x:c>
      <x:c r="D1891" s="543" t="str">
        <x:v>南安普顿</x:v>
      </x:c>
      <x:c r="E1891" s="543" t="str">
        <x:v>诺维奇</x:v>
      </x:c>
      <x:c r="F1891" s="543" t="str">
        <x:v>诺维奇 +0.5</x:v>
      </x:c>
      <x:c r="G1891" s="543" t="str">
        <x:v>大2.5</x:v>
      </x:c>
      <x:c r="H1891" s="543" t="str">
        <x:v>半场平</x:v>
      </x:c>
      <x:c r="I1891" s="544" t="n">
        <x:v>46099.8755787037</x:v>
      </x:c>
      <x:c r="J1891" s="543" t="str">
        <x:v>已结算</x:v>
      </x:c>
      <x:c r="K1891" s="543" t="str">
        <x:v>1-0</x:v>
      </x:c>
      <x:c r="L1891" s="543" t="str">
        <x:v>输</x:v>
      </x:c>
      <x:c r="M1891" s="543" t="str">
        <x:v>输</x:v>
      </x:c>
      <x:c r="N1891" s="545" t="n">
        <x:v>-1</x:v>
      </x:c>
      <x:c r="O1891" s="545" t="n">
        <x:v>-1</x:v>
      </x:c>
      <x:c r="P1891" s="545" t="n">
        <x:f>IF(COUNT(N1891:O1891)=0,"",SUM(N1891:O1891))</x:f>
        <x:v>-2</x:v>
      </x:c>
      <x:c r="Q1891" s="543"/>
      <x:c r="R1891" s="543" t="str">
        <x:v>复核赛果：南安普顿 1-0 诺维奇；让球：诺维奇 +0.5=输；大小：大2.5=输。</x:v>
      </x:c>
    </x:row>
    <x:row r="1892" ht="24" customHeight="1">
      <x:c r="A1892" s="543" t="str">
        <x:f>IF(B1892="","",TEXT(B1892,"yyyy-mm-dd")&amp;"|"&amp;D1892&amp;"|"&amp;E1892)</x:f>
        <x:v>2026-03-18|全北现代|安养FC</x:v>
      </x:c>
      <x:c r="B1892" s="544" t="n">
        <x:v>46099.770833333336</x:v>
      </x:c>
      <x:c r="C1892" s="543" t="str">
        <x:v>韩国K联赛1（K League 1）</x:v>
      </x:c>
      <x:c r="D1892" s="543" t="str">
        <x:v>全北现代</x:v>
      </x:c>
      <x:c r="E1892" s="543" t="str">
        <x:v>安养FC</x:v>
      </x:c>
      <x:c r="F1892" s="543" t="str">
        <x:v>全北现代 -0.75</x:v>
      </x:c>
      <x:c r="G1892" s="543" t="str">
        <x:v>小2.5</x:v>
      </x:c>
      <x:c r="H1892" s="543" t="str">
        <x:v>半场平</x:v>
      </x:c>
      <x:c r="I1892" s="544" t="n">
        <x:v>46099.691875</x:v>
      </x:c>
      <x:c r="J1892" s="543" t="str">
        <x:v>已结算</x:v>
      </x:c>
      <x:c r="K1892" s="543" t="str">
        <x:v>2-1</x:v>
      </x:c>
      <x:c r="L1892" s="543" t="str">
        <x:v>赢半</x:v>
      </x:c>
      <x:c r="M1892" s="543" t="str">
        <x:v>输</x:v>
      </x:c>
      <x:c r="N1892" s="545" t="n">
        <x:v>0.5</x:v>
      </x:c>
      <x:c r="O1892" s="545" t="n">
        <x:v>-1</x:v>
      </x:c>
      <x:c r="P1892" s="545" t="n">
        <x:f>IF(COUNT(N1892:O1892)=0,"",SUM(N1892:O1892))</x:f>
        <x:v>-0.5</x:v>
      </x:c>
      <x:c r="Q1892" s="543"/>
      <x:c r="R1892" s="543" t="str">
        <x:v>复核赛果：全北现代 2-1 安养FC；按冻结盘口结算：全北现代 -0.75 赢半；小2.5 未命中。可选/加仓：半场平未命中。</x:v>
      </x:c>
    </x:row>
    <x:row r="1893" ht="24" customHeight="1">
      <x:c r="A1893" s="543" t="str">
        <x:f>IF(B1893="","",TEXT(B1893,"yyyy-mm-dd")&amp;"|"&amp;D1893&amp;"|"&amp;E1893)</x:f>
        <x:v>2026-03-18|名古屋鲸鱼|广岛三箭</x:v>
      </x:c>
      <x:c r="B1893" s="544" t="n">
        <x:v>46099.75208333333</x:v>
      </x:c>
      <x:c r="C1893" s="543" t="str">
        <x:v>日职联（J1 League）</x:v>
      </x:c>
      <x:c r="D1893" s="543" t="str">
        <x:v>名古屋鲸鱼</x:v>
      </x:c>
      <x:c r="E1893" s="543" t="str">
        <x:v>广岛三箭</x:v>
      </x:c>
      <x:c r="F1893" s="543" t="str">
        <x:v>名古屋鲸鱼 +0.25</x:v>
      </x:c>
      <x:c r="G1893" s="543" t="str">
        <x:v>小2.5</x:v>
      </x:c>
      <x:c r="H1893" s="543" t="str">
        <x:v>半场平</x:v>
      </x:c>
      <x:c r="I1893" s="544" t="n">
        <x:v>46099.710856481484</x:v>
      </x:c>
      <x:c r="J1893" s="543" t="str">
        <x:v>已结算</x:v>
      </x:c>
      <x:c r="K1893" s="543" t="str">
        <x:v>2-1</x:v>
      </x:c>
      <x:c r="L1893" s="543" t="str">
        <x:v>赢</x:v>
      </x:c>
      <x:c r="M1893" s="543" t="str">
        <x:v>输</x:v>
      </x:c>
      <x:c r="N1893" s="545" t="n">
        <x:v>1</x:v>
      </x:c>
      <x:c r="O1893" s="545" t="n">
        <x:v>-1</x:v>
      </x:c>
      <x:c r="P1893" s="545" t="n">
        <x:f>IF(COUNT(N1893:O1893)=0,"",SUM(N1893:O1893))</x:f>
        <x:v>0</x:v>
      </x:c>
      <x:c r="Q1893" s="543"/>
      <x:c r="R1893" s="543" t="str">
        <x:v>复核赛果：名古屋鲸鱼 2-1 广岛三箭；让球：名古屋鲸鱼 +0.25=赢；大小：小2.5=输。</x:v>
      </x:c>
    </x:row>
    <x:row r="1894" ht="24" customHeight="1">
      <x:c r="A1894" s="543" t="str">
        <x:f>IF(B1894="","",TEXT(B1894,"yyyy-mm-dd")&amp;"|"&amp;D1894&amp;"|"&amp;E1894)</x:f>
        <x:v>2026-03-18|长崎成功丸|京都不死鸟</x:v>
      </x:c>
      <x:c r="B1894" s="544" t="n">
        <x:v>46099.75</x:v>
      </x:c>
      <x:c r="C1894" s="543" t="str">
        <x:v>日职联（J1 League）</x:v>
      </x:c>
      <x:c r="D1894" s="543" t="str">
        <x:v>长崎成功丸</x:v>
      </x:c>
      <x:c r="E1894" s="543" t="str">
        <x:v>京都不死鸟</x:v>
      </x:c>
      <x:c r="F1894" s="543" t="str">
        <x:v>京都不死鸟 -0.25</x:v>
      </x:c>
      <x:c r="G1894" s="543" t="str">
        <x:v>小2.5</x:v>
      </x:c>
      <x:c r="H1894" s="543" t="str">
        <x:v>半场平</x:v>
      </x:c>
      <x:c r="I1894" s="544" t="n">
        <x:v>46099.70594907407</x:v>
      </x:c>
      <x:c r="J1894" s="543" t="str">
        <x:v>已结算</x:v>
      </x:c>
      <x:c r="K1894" s="543" t="str">
        <x:v>1-2</x:v>
      </x:c>
      <x:c r="L1894" s="543" t="str">
        <x:v>赢</x:v>
      </x:c>
      <x:c r="M1894" s="543" t="str">
        <x:v>输</x:v>
      </x:c>
      <x:c r="N1894" s="545" t="n">
        <x:v>1</x:v>
      </x:c>
      <x:c r="O1894" s="545" t="n">
        <x:v>-1</x:v>
      </x:c>
      <x:c r="P1894" s="545" t="n">
        <x:f>IF(COUNT(N1894:O1894)=0,"",SUM(N1894:O1894))</x:f>
        <x:v>0</x:v>
      </x:c>
      <x:c r="Q1894" s="543"/>
      <x:c r="R1894" s="543" t="str">
        <x:v>FT 1-2</x:v>
      </x:c>
    </x:row>
    <x:row r="1895" ht="24" customHeight="1">
      <x:c r="A1895" s="543" t="str">
        <x:f>IF(B1895="","",TEXT(B1895,"yyyy-mm-dd")&amp;"|"&amp;D1895&amp;"|"&amp;E1895)</x:f>
        <x:v>2026-03-18|大阪樱花|冈山绿雉</x:v>
      </x:c>
      <x:c r="B1895" s="544" t="n">
        <x:v>46099.729166666664</x:v>
      </x:c>
      <x:c r="C1895" s="543" t="str">
        <x:v>日职联（J1 League）</x:v>
      </x:c>
      <x:c r="D1895" s="543" t="str">
        <x:v>大阪樱花</x:v>
      </x:c>
      <x:c r="E1895" s="543" t="str">
        <x:v>冈山绿雉</x:v>
      </x:c>
      <x:c r="F1895" s="543" t="str">
        <x:v>冈山绿雉 +0.5</x:v>
      </x:c>
      <x:c r="G1895" s="543" t="str">
        <x:v>小2.25</x:v>
      </x:c>
      <x:c r="H1895" s="543" t="str">
        <x:v>半场平</x:v>
      </x:c>
      <x:c r="I1895" s="544" t="n">
        <x:v>46099.67798611111</x:v>
      </x:c>
      <x:c r="J1895" s="543" t="str">
        <x:v>已结算</x:v>
      </x:c>
      <x:c r="K1895" s="543" t="str">
        <x:v>1-2</x:v>
      </x:c>
      <x:c r="L1895" s="543" t="str">
        <x:v>赢</x:v>
      </x:c>
      <x:c r="M1895" s="543" t="str">
        <x:v>输</x:v>
      </x:c>
      <x:c r="N1895" s="545" t="n">
        <x:v>1</x:v>
      </x:c>
      <x:c r="O1895" s="545" t="n">
        <x:v>-1</x:v>
      </x:c>
      <x:c r="P1895" s="545" t="n">
        <x:f>IF(COUNT(N1895:O1895)=0,"",SUM(N1895:O1895))</x:f>
        <x:v>0</x:v>
      </x:c>
      <x:c r="Q1895" s="543"/>
      <x:c r="R1895" s="543" t="str">
        <x:v>复核赛果：大阪樱花 1-2 冈山绿雉；让球：冈山绿雉 +0.5=赢；大小：小2.25=输。</x:v>
      </x:c>
    </x:row>
    <x:row r="1896" ht="24" customHeight="1">
      <x:c r="A1896" s="65" t="str">
        <x:f>IF(B1896="","",TEXT(B1896,"yyyy-mm-dd")&amp;"|"&amp;D1896&amp;"|"&amp;E1896)</x:f>
        <x:v>2026-03-18|百万富翁|国民竞技</x:v>
      </x:c>
      <x:c r="B1896" s="66" t="n">
        <x:v>46099.395833333336</x:v>
      </x:c>
      <x:c r="C1896" s="65" t="str">
        <x:v>哥伦比亚甲级联赛（Liga BetPlay DIMAYOR）</x:v>
      </x:c>
      <x:c r="D1896" s="65" t="str">
        <x:v>百万富翁</x:v>
      </x:c>
      <x:c r="E1896" s="65" t="str">
        <x:v>国民竞技</x:v>
      </x:c>
      <x:c r="F1896" s="65" t="str">
        <x:v>国民竞技 平手</x:v>
      </x:c>
      <x:c r="G1896" s="65" t="str">
        <x:v>大2.5</x:v>
      </x:c>
      <x:c r="H1896" s="65" t="str">
        <x:v>双方进球 是</x:v>
      </x:c>
      <x:c r="I1896" s="66" t="n">
        <x:v>46099.391377314816</x:v>
      </x:c>
      <x:c r="J1896" s="65" t="str">
        <x:v>已结算</x:v>
      </x:c>
      <x:c r="K1896" s="65" t="str">
        <x:v>3-0</x:v>
      </x:c>
      <x:c r="L1896" s="65" t="str">
        <x:v>输</x:v>
      </x:c>
      <x:c r="M1896" s="65" t="str">
        <x:v>赢</x:v>
      </x:c>
      <x:c r="N1896" s="67" t="n">
        <x:v>-1</x:v>
      </x:c>
      <x:c r="O1896" s="67" t="n">
        <x:v>1</x:v>
      </x:c>
      <x:c r="P1896" s="67" t="n">
        <x:f>IF(COUNT(N1896:O1896)=0,"",SUM(N1896:O1896))</x:f>
        <x:v>0</x:v>
      </x:c>
      <x:c r="Q1896" s="65"/>
      <x:c r="R1896" s="65" t="str">
        <x:v>复核赛果：百万富翁 3-0 国民竞技；按冻结盘口结算：国民竞技 平手（DNB，0）未命中；大2.5 命中。可选/加仓：双方进球 是 未命中。</x:v>
      </x:c>
    </x:row>
    <x:row r="1897" ht="24" customHeight="1">
      <x:c r="A1897" s="65" t="str">
        <x:f>IF(B1897="","",TEXT(B1897,"yyyy-mm-dd")&amp;"|"&amp;D1897&amp;"|"&amp;E1897)</x:f>
        <x:v>2026-03-18|甘拿斯亚门多萨|拉普拉塔大学生</x:v>
      </x:c>
      <x:c r="B1897" s="66" t="n">
        <x:v>46099.34375</x:v>
      </x:c>
      <x:c r="C1897" s="65" t="str">
        <x:v>阿根廷职业联赛（Liga Profesional·Apertura）</x:v>
      </x:c>
      <x:c r="D1897" s="65" t="str">
        <x:v>甘拿斯亚门多萨</x:v>
      </x:c>
      <x:c r="E1897" s="65" t="str">
        <x:v>拉普拉塔大学生</x:v>
      </x:c>
      <x:c r="F1897" s="65" t="str">
        <x:v>拉普拉塔大学生 -0.5</x:v>
      </x:c>
      <x:c r="G1897" s="65" t="str">
        <x:v>小1.5</x:v>
      </x:c>
      <x:c r="H1897" s="65" t="str">
        <x:v>半场平</x:v>
      </x:c>
      <x:c r="I1897" s="66" t="n">
        <x:v>46099.37385416667</x:v>
      </x:c>
      <x:c r="J1897" s="65" t="str">
        <x:v>已结算</x:v>
      </x:c>
      <x:c r="K1897" s="65" t="str">
        <x:v>1-2</x:v>
      </x:c>
      <x:c r="L1897" s="65" t="str">
        <x:v>赢</x:v>
      </x:c>
      <x:c r="M1897" s="65" t="str">
        <x:v>输</x:v>
      </x:c>
      <x:c r="N1897" s="67" t="n">
        <x:v>1</x:v>
      </x:c>
      <x:c r="O1897" s="67" t="n">
        <x:v>-1</x:v>
      </x:c>
      <x:c r="P1897" s="67" t="n">
        <x:f>IF(COUNT(N1897:O1897)=0,"",SUM(N1897:O1897))</x:f>
        <x:v>0</x:v>
      </x:c>
      <x:c r="Q1897" s="65"/>
      <x:c r="R1897" s="65" t="str">
        <x:v>复核赛果：甘拿斯亚门多萨 1-2 拉普拉塔大学生；按冻结盘口结算：拉普拉塔大学生 -0.5 命中；小1.5 未命中。可选/加仓：半场平未命中。</x:v>
      </x:c>
    </x:row>
    <x:row r="1898" ht="24" customHeight="1">
      <x:c r="A1898" s="65" t="str">
        <x:f>IF(B1898="","",TEXT(B1898,"yyyy-mm-dd")&amp;"|"&amp;D1898&amp;"|"&amp;E1898)</x:f>
        <x:v>2026-03-18|科尔多瓦中央|利斯特雷</x:v>
      </x:c>
      <x:c r="B1898" s="66" t="n">
        <x:v>46099.34375</x:v>
      </x:c>
      <x:c r="C1898" s="65" t="str">
        <x:v>阿根廷职业联赛（Liga Profesional·Apertura）</x:v>
      </x:c>
      <x:c r="D1898" s="65" t="str">
        <x:v>科尔多瓦中央</x:v>
      </x:c>
      <x:c r="E1898" s="65" t="str">
        <x:v>利斯特雷</x:v>
      </x:c>
      <x:c r="F1898" s="65" t="str">
        <x:v>利斯特雷 +0.25（1.85-1.95）</x:v>
      </x:c>
      <x:c r="G1898" s="65" t="str">
        <x:v>小 2.0（1.85左右可入）</x:v>
      </x:c>
      <x:c r="H1898" s="65" t="str">
        <x:v>可选/加仓：平局（2.55以上小注）</x:v>
      </x:c>
      <x:c r="I1898" s="66" t="n">
        <x:v>46099.36009259259</x:v>
      </x:c>
      <x:c r="J1898" s="65" t="str">
        <x:v>已结算</x:v>
      </x:c>
      <x:c r="K1898" s="65" t="str">
        <x:v>1-0</x:v>
      </x:c>
      <x:c r="L1898" s="65" t="str">
        <x:v>输</x:v>
      </x:c>
      <x:c r="M1898" s="65" t="str">
        <x:v>赢</x:v>
      </x:c>
      <x:c r="N1898" s="67" t="n">
        <x:v>-1</x:v>
      </x:c>
      <x:c r="O1898" s="67" t="n">
        <x:v>1</x:v>
      </x:c>
      <x:c r="P1898" s="67" t="n">
        <x:f>IF(COUNT(N1898:O1898)=0,"",SUM(N1898:O1898))</x:f>
        <x:v>0</x:v>
      </x:c>
      <x:c r="Q1898" s="65"/>
      <x:c r="R1898" s="65" t="str">
        <x:v>复核赛果：科尔多瓦中央 1-0 利斯特雷；让球：利斯特雷 +0.25=输；大小：小2.0=赢。</x:v>
      </x:c>
    </x:row>
    <x:row r="1899" ht="24" customHeight="1">
      <x:c r="A1899" s="65" t="str">
        <x:f>IF(B1899="","",TEXT(B1899,"yyyy-mm-dd")&amp;"|"&amp;D1899&amp;"|"&amp;E1899)</x:f>
        <x:v>2026-03-18|沃特福德|雷克瑟姆（Wrexham）</x:v>
      </x:c>
      <x:c r="B1899" s="66" t="n">
        <x:v>46099.15625</x:v>
      </x:c>
      <x:c r="C1899" s="65" t="str">
        <x:v>英格兰冠军联赛（英冠）</x:v>
      </x:c>
      <x:c r="D1899" s="65" t="str">
        <x:v>沃特福德</x:v>
      </x:c>
      <x:c r="E1899" s="65" t="str">
        <x:v>雷克瑟姆（Wrexham）</x:v>
      </x:c>
      <x:c r="F1899" s="65" t="str">
        <x:v>沃特福德 -0.25（参考1.85，折合亚洲水位0.85）</x:v>
      </x:c>
      <x:c r="G1899" s="65" t="str">
        <x:v>小 2.5（1.85-1.90）</x:v>
      </x:c>
      <x:c r="H1899" s="65" t="str">
        <x:v>可选/加仓：沃特福德 -0.5（2.00以上小注）</x:v>
      </x:c>
      <x:c r="I1899" s="66" t="n">
        <x:v>46099.256423611114</x:v>
      </x:c>
      <x:c r="J1899" s="65" t="str">
        <x:v>已结算</x:v>
      </x:c>
      <x:c r="K1899" s="65" t="str">
        <x:v>3-1</x:v>
      </x:c>
      <x:c r="L1899" s="65" t="str">
        <x:v>赢</x:v>
      </x:c>
      <x:c r="M1899" s="65" t="str">
        <x:v>输</x:v>
      </x:c>
      <x:c r="N1899" s="67" t="n">
        <x:v>1</x:v>
      </x:c>
      <x:c r="O1899" s="67" t="n">
        <x:v>-1</x:v>
      </x:c>
      <x:c r="P1899" s="67" t="n">
        <x:f>IF(COUNT(N1899:O1899)=0,"",SUM(N1899:O1899))</x:f>
        <x:v>0</x:v>
      </x:c>
      <x:c r="Q1899" s="65"/>
      <x:c r="R1899" s="65" t="str">
        <x:v>复核赛果：沃特福德 3-1 雷克瑟姆（Wrexham）；按冻结盘口结算：沃特福德 -0.25 命中；小2.5 未命中。可选/加仓：沃特福德 -0.5 命中。</x:v>
      </x:c>
    </x:row>
    <x:row r="1900" ht="24" customHeight="1">
      <x:c r="A1900" s="65" t="str">
        <x:f>IF(B1900="","",TEXT(B1900,"yyyy-mm-dd")&amp;"|"&amp;D1900&amp;"|"&amp;E1900)</x:f>
        <x:v>2026-03-17|金泉尚武|光州FC</x:v>
      </x:c>
      <x:c r="B1900" s="66" t="n">
        <x:v>46098.770833333336</x:v>
      </x:c>
      <x:c r="C1900" s="65" t="str">
        <x:v>韩国K联赛1（K League 1）</x:v>
      </x:c>
      <x:c r="D1900" s="65" t="str">
        <x:v>金泉尚武</x:v>
      </x:c>
      <x:c r="E1900" s="65" t="str">
        <x:v>光州FC</x:v>
      </x:c>
      <x:c r="F1900" s="65" t="str">
        <x:v>光州FC +0.25（1.85-1.95）</x:v>
      </x:c>
      <x:c r="G1900" s="65" t="str">
        <x:v>小 2.25（1.85-1.95）</x:v>
      </x:c>
      <x:c r="H1900" s="65" t="str">
        <x:v>可选/加仓：光州FC 平手（DNB，0）@2.00以上小注；若临场总盘升到2.5且小球水位≥0.85，可加小2.5</x:v>
      </x:c>
      <x:c r="I1900" s="66" t="n">
        <x:v>46098.790300925924</x:v>
      </x:c>
      <x:c r="J1900" s="65" t="str">
        <x:v>已结算</x:v>
      </x:c>
      <x:c r="K1900" s="65" t="str">
        <x:v>1-1</x:v>
      </x:c>
      <x:c r="L1900" s="65" t="str">
        <x:v>赢半</x:v>
      </x:c>
      <x:c r="M1900" s="65" t="str">
        <x:v>赢半</x:v>
      </x:c>
      <x:c r="N1900" s="67" t="n">
        <x:v>0.5</x:v>
      </x:c>
      <x:c r="O1900" s="67" t="n">
        <x:v>0.5</x:v>
      </x:c>
      <x:c r="P1900" s="67" t="n">
        <x:f>IF(COUNT(N1900:O1900)=0,"",SUM(N1900:O1900))</x:f>
        <x:v>1</x:v>
      </x:c>
      <x:c r="Q1900" s="65"/>
      <x:c r="R1900" s="65" t="str">
        <x:v>复核赛果：金泉尚武 1-1 光州FC；让球：光州FC +0.25=赢半；大小：小2.25=赢半。</x:v>
      </x:c>
    </x:row>
    <x:row r="1901" ht="24" customHeight="1">
      <x:c r="A1901" s="65" t="str">
        <x:f>IF(B1901="","",TEXT(B1901,"yyyy-mm-dd")&amp;"|"&amp;D1901&amp;"|"&amp;E1901)</x:f>
        <x:v>2026-03-17|悉尼FC|墨尔本城</x:v>
      </x:c>
      <x:c r="B1901" s="66" t="n">
        <x:v>46098.666666666664</x:v>
      </x:c>
      <x:c r="C1901" s="65" t="str">
        <x:v>澳大利亚A联赛（A-League Men）</x:v>
      </x:c>
      <x:c r="D1901" s="65" t="str">
        <x:v>悉尼FC</x:v>
      </x:c>
      <x:c r="E1901" s="65" t="str">
        <x:v>墨尔本城</x:v>
      </x:c>
      <x:c r="F1901" s="65" t="str">
        <x:v>悉尼FC -0.25（1.90以上可入）</x:v>
      </x:c>
      <x:c r="G1901" s="65" t="str">
        <x:v>小 2.5（2.00以上可入）</x:v>
      </x:c>
      <x:c r="H1901" s="65" t="str">
        <x:v>可选/加仓：悉尼FC 平手（DNB，0）@1.75以下不追；1.80以上可加</x:v>
      </x:c>
      <x:c r="I1901" s="66" t="n">
        <x:v>46098.65965277778</x:v>
      </x:c>
      <x:c r="J1901" s="65" t="str">
        <x:v>已结算</x:v>
      </x:c>
      <x:c r="K1901" s="65" t="str">
        <x:v>0-1</x:v>
      </x:c>
      <x:c r="L1901" s="65" t="str">
        <x:v>输</x:v>
      </x:c>
      <x:c r="M1901" s="65" t="str">
        <x:v>赢</x:v>
      </x:c>
      <x:c r="N1901" s="67" t="n">
        <x:v>-1</x:v>
      </x:c>
      <x:c r="O1901" s="67" t="n">
        <x:v>1</x:v>
      </x:c>
      <x:c r="P1901" s="67" t="n">
        <x:f>IF(COUNT(N1901:O1901)=0,"",SUM(N1901:O1901))</x:f>
        <x:v>0</x:v>
      </x:c>
      <x:c r="Q1901" s="65"/>
      <x:c r="R1901" s="65" t="str">
        <x:v>复核赛果：悉尼FC 0-1 墨尔本城；按冻结盘口结算：悉尼FC -0.25 未命中；小2.5 命中。</x:v>
      </x:c>
    </x:row>
    <x:row r="1902" ht="24" customHeight="1">
      <x:c r="A1902" s="65" t="str">
        <x:f>IF(B1902="","",TEXT(B1902,"yyyy-mm-dd")&amp;"|"&amp;D1902&amp;"|"&amp;E1902)</x:f>
        <x:v>2026-03-17|科尔多瓦学院|阿根廷独立</x:v>
      </x:c>
      <x:c r="B1902" s="66" t="n">
        <x:v>46098.385416666664</x:v>
      </x:c>
      <x:c r="C1902" s="65" t="str">
        <x:v>阿根廷职业联赛（Liga Profesional·Apertura）</x:v>
      </x:c>
      <x:c r="D1902" s="65" t="str">
        <x:v>科尔多瓦学院</x:v>
      </x:c>
      <x:c r="E1902" s="65" t="str">
        <x:v>阿根廷独立</x:v>
      </x:c>
      <x:c r="F1902" s="65" t="str">
        <x:v>阿根廷独立 平手（DNB，0）@1.80以上可入</x:v>
      </x:c>
      <x:c r="G1902" s="65" t="str">
        <x:v>小 2.25（1.85-1.95）</x:v>
      </x:c>
      <x:c r="H1902" s="65" t="str">
        <x:v>可选/加仓：阿根廷独立 +0.25（1.80以下不追；1.80以上可轻注）</x:v>
      </x:c>
      <x:c r="I1902" s="66" t="n">
        <x:v>46098.35517361111</x:v>
      </x:c>
      <x:c r="J1902" s="65" t="str">
        <x:v>已结算</x:v>
      </x:c>
      <x:c r="K1902" s="65" t="str">
        <x:v>2-1</x:v>
      </x:c>
      <x:c r="L1902" s="65" t="str">
        <x:v>输</x:v>
      </x:c>
      <x:c r="M1902" s="65" t="str">
        <x:v>输</x:v>
      </x:c>
      <x:c r="N1902" s="67" t="n">
        <x:v>-1</x:v>
      </x:c>
      <x:c r="O1902" s="67" t="n">
        <x:v>-1</x:v>
      </x:c>
      <x:c r="P1902" s="67" t="n">
        <x:f>IF(COUNT(N1902:O1902)=0,"",SUM(N1902:O1902))</x:f>
        <x:v>-2</x:v>
      </x:c>
      <x:c r="Q1902" s="65"/>
      <x:c r="R1902" s="65" t="str">
        <x:v>FT 2-1</x:v>
      </x:c>
    </x:row>
    <x:row r="1903" ht="24" customHeight="1">
      <x:c r="A1903" s="65" t="str">
        <x:f>IF(B1903="","",TEXT(B1903,"yyyy-mm-dd")&amp;"|"&amp;D1903&amp;"|"&amp;E1903)</x:f>
        <x:v>2026-03-17|沙佩科恩斯|格雷米奥</x:v>
      </x:c>
      <x:c r="B1903" s="66" t="n">
        <x:v>46098.291666666664</x:v>
      </x:c>
      <x:c r="C1903" s="65" t="str">
        <x:v>巴西甲（Serie A）</x:v>
      </x:c>
      <x:c r="D1903" s="65" t="str">
        <x:v>沙佩科恩斯</x:v>
      </x:c>
      <x:c r="E1903" s="65" t="str">
        <x:v>格雷米奥</x:v>
      </x:c>
      <x:c r="F1903" s="65" t="str">
        <x:v>沙佩科恩斯 +0.25（1.85-1.95）</x:v>
      </x:c>
      <x:c r="G1903" s="65" t="str">
        <x:v>大 2.5（1.85-1.90）</x:v>
      </x:c>
      <x:c r="H1903" s="65" t="str">
        <x:v>可选/加仓：沙佩科恩斯 平手（DNB，0）@2.00以上小注</x:v>
      </x:c>
      <x:c r="I1903" s="66" t="n">
        <x:v>46098.295</x:v>
      </x:c>
      <x:c r="J1903" s="65" t="str">
        <x:v>已结算</x:v>
      </x:c>
      <x:c r="K1903" s="65" t="str">
        <x:v>1-1</x:v>
      </x:c>
      <x:c r="L1903" s="65" t="str">
        <x:v>赢半</x:v>
      </x:c>
      <x:c r="M1903" s="65" t="str">
        <x:v>输</x:v>
      </x:c>
      <x:c r="N1903" s="67" t="n">
        <x:v>0.5</x:v>
      </x:c>
      <x:c r="O1903" s="67" t="n">
        <x:v>-1</x:v>
      </x:c>
      <x:c r="P1903" s="67" t="n">
        <x:f>IF(COUNT(N1903:O1903)=0,"",SUM(N1903:O1903))</x:f>
        <x:v>-0.5</x:v>
      </x:c>
      <x:c r="Q1903" s="65"/>
      <x:c r="R1903" s="65" t="str">
        <x:v>FT 1-1</x:v>
      </x:c>
    </x:row>
    <x:row r="1904" ht="24" customHeight="1">
      <x:c r="A1904" s="65" t="str">
        <x:f>IF(B1904="","",TEXT(B1904,"yyyy-mm-dd")&amp;"|"&amp;D1904&amp;"|"&amp;E1904)</x:f>
        <x:v>2026-03-17|竞技俱乐部（Racing Club）|里奥夸尔托学生（Estudiantes de Río Cuarto）</x:v>
      </x:c>
      <x:c r="B1904" s="66" t="n">
        <x:v>46098.291666666664</x:v>
      </x:c>
      <x:c r="C1904" s="65" t="str">
        <x:v>阿根廷职业联赛（Liga Profesional·Apertura）</x:v>
      </x:c>
      <x:c r="D1904" s="65" t="str">
        <x:v>竞技俱乐部（Racing Club）</x:v>
      </x:c>
      <x:c r="E1904" s="65" t="str">
        <x:v>里奥夸尔托学生（Estudiantes de Río Cuarto）</x:v>
      </x:c>
      <x:c r="F1904" s="65" t="str">
        <x:v>竞技俱乐部（Racing Club） -1.0（1.80以上可入）</x:v>
      </x:c>
      <x:c r="G1904" s="65" t="str">
        <x:v>小 2.25（1.88-1.95）</x:v>
      </x:c>
      <x:c r="H1904" s="65" t="str">
        <x:v>可选/加仓：竞技俱乐部（Racing Club） -1.25（2.05以上小注）</x:v>
      </x:c>
      <x:c r="I1904" s="66" t="n">
        <x:v>46098.28736111111</x:v>
      </x:c>
      <x:c r="J1904" s="65" t="str">
        <x:v>已结算</x:v>
      </x:c>
      <x:c r="K1904" s="65" t="str">
        <x:v>2-0</x:v>
      </x:c>
      <x:c r="L1904" s="65" t="str">
        <x:v>赢</x:v>
      </x:c>
      <x:c r="M1904" s="65" t="str">
        <x:v>赢半</x:v>
      </x:c>
      <x:c r="N1904" s="67" t="n">
        <x:v>1</x:v>
      </x:c>
      <x:c r="O1904" s="67" t="n">
        <x:v>0.5</x:v>
      </x:c>
      <x:c r="P1904" s="67" t="n">
        <x:f>IF(COUNT(N1904:O1904)=0,"",SUM(N1904:O1904))</x:f>
        <x:v>1.5</x:v>
      </x:c>
      <x:c r="Q1904" s="65"/>
      <x:c r="R1904" s="65" t="str">
        <x:v>复核赛果：竞技俱乐部（Racing Club） 2-0 里奥夸尔托学生（Estudiantes de Río Cuarto）；按冻结盘口结算：竞技俱乐部 -1 赢，小2.25 赢半。可选/加仓：竞技俱乐部 -1.25 赢半。</x:v>
      </x:c>
    </x:row>
    <x:row r="1905" ht="24" customHeight="1">
      <x:c r="A1905" s="65" t="str">
        <x:f>IF(B1905="","",TEXT(B1905,"yyyy-mm-dd")&amp;"|"&amp;D1905&amp;"|"&amp;E1905)</x:f>
        <x:v>2026-03-17|朴茨茅斯|德比郡</x:v>
      </x:c>
      <x:c r="B1905" s="66" t="n">
        <x:v>46098.166666666664</x:v>
      </x:c>
      <x:c r="C1905" s="65" t="str">
        <x:v>英格兰冠军联赛（英冠）</x:v>
      </x:c>
      <x:c r="D1905" s="65" t="str">
        <x:v>朴茨茅斯</x:v>
      </x:c>
      <x:c r="E1905" s="65" t="str">
        <x:v>德比郡</x:v>
      </x:c>
      <x:c r="F1905" s="65" t="str">
        <x:v>朴茨茅斯 平手（DNB，0）@1.80以上可入</x:v>
      </x:c>
      <x:c r="G1905" s="65" t="str">
        <x:v>大 2.25（1.90以上可入）</x:v>
      </x:c>
      <x:c r="H1905" s="65" t="str">
        <x:v>可选/加仓：朴茨茅斯 -0.25（1.95以上小注）</x:v>
      </x:c>
      <x:c r="I1905" s="66" t="n">
        <x:v>46098.020636574074</x:v>
      </x:c>
      <x:c r="J1905" s="65" t="str">
        <x:v>已结算</x:v>
      </x:c>
      <x:c r="K1905" s="65" t="str">
        <x:v>0-1</x:v>
      </x:c>
      <x:c r="L1905" s="65" t="str">
        <x:v>输</x:v>
      </x:c>
      <x:c r="M1905" s="65" t="str">
        <x:v>输</x:v>
      </x:c>
      <x:c r="N1905" s="67" t="n">
        <x:v>-1</x:v>
      </x:c>
      <x:c r="O1905" s="67" t="n">
        <x:v>-1</x:v>
      </x:c>
      <x:c r="P1905" s="67" t="n">
        <x:f>IF(COUNT(N1905:O1905)=0,"",SUM(N1905:O1905))</x:f>
        <x:v>-2</x:v>
      </x:c>
      <x:c r="Q1905" s="65"/>
      <x:c r="R1905" s="65" t="str">
        <x:v>按匹配键重核赛果 0-1；让球：朴茨茅斯 平手（DNB，0）=输；大小：大2.25=输</x:v>
      </x:c>
    </x:row>
    <x:row r="1906" ht="24" customHeight="1">
      <x:c r="A1906" s="65" t="str">
        <x:f>IF(B1906="","",TEXT(B1906,"yyyy-mm-dd")&amp;"|"&amp;D1906&amp;"|"&amp;E1906)</x:f>
        <x:v>2026-03-17|克雷莫纳|佛罗伦萨</x:v>
      </x:c>
      <x:c r="B1906" s="66" t="n">
        <x:v>46098.15625</x:v>
      </x:c>
      <x:c r="C1906" s="65" t="str">
        <x:v>意大利甲级联赛（Serie A）</x:v>
      </x:c>
      <x:c r="D1906" s="65" t="str">
        <x:v>克雷莫纳</x:v>
      </x:c>
      <x:c r="E1906" s="65" t="str">
        <x:v>佛罗伦萨</x:v>
      </x:c>
      <x:c r="F1906" s="65" t="str">
        <x:v>佛罗伦萨 -0.5（1.88-1.95）</x:v>
      </x:c>
      <x:c r="G1906" s="65" t="str">
        <x:v>小 2.25（1.85-1.95）</x:v>
      </x:c>
      <x:c r="H1906" s="65" t="str">
        <x:v>可选/加仓：佛罗伦萨 -0.75（2.10以上小注）</x:v>
      </x:c>
      <x:c r="I1906" s="66" t="n">
        <x:v>46098.0102662037</x:v>
      </x:c>
      <x:c r="J1906" s="65" t="str">
        <x:v>已结算</x:v>
      </x:c>
      <x:c r="K1906" s="65" t="str">
        <x:v>1-4</x:v>
      </x:c>
      <x:c r="L1906" s="65" t="str">
        <x:v>赢</x:v>
      </x:c>
      <x:c r="M1906" s="65" t="str">
        <x:v>输</x:v>
      </x:c>
      <x:c r="N1906" s="67" t="n">
        <x:v>1</x:v>
      </x:c>
      <x:c r="O1906" s="67" t="n">
        <x:v>-1</x:v>
      </x:c>
      <x:c r="P1906" s="67" t="n">
        <x:f>IF(COUNT(N1906:O1906)=0,"",SUM(N1906:O1906))</x:f>
        <x:v>0</x:v>
      </x:c>
      <x:c r="Q1906" s="65"/>
      <x:c r="R1906" s="65" t="str">
        <x:v>按匹配键重核赛果 1-4；让球：佛罗伦萨 -0.5=赢；大小：小2.25=输</x:v>
      </x:c>
    </x:row>
    <x:row r="1907" ht="24" customHeight="1">
      <x:c r="A1907" s="65" t="str">
        <x:f>IF(B1907="","",TEXT(B1907,"yyyy-mm-dd")&amp;"|"&amp;D1907&amp;"|"&amp;E1907)</x:f>
        <x:v>2026-03-16|旁遮普FC|果阿FC</x:v>
      </x:c>
      <x:c r="B1907" s="66" t="n">
        <x:v>46097.916666666664</x:v>
      </x:c>
      <x:c r="C1907" s="65" t="str">
        <x:v>印度超级联赛（Indian Super League）</x:v>
      </x:c>
      <x:c r="D1907" s="65" t="str">
        <x:v>旁遮普FC</x:v>
      </x:c>
      <x:c r="E1907" s="65" t="str">
        <x:v>果阿FC</x:v>
      </x:c>
      <x:c r="F1907" s="65" t="str">
        <x:v>果阿FC 平手（DNB，0）@1.80以上可入</x:v>
      </x:c>
      <x:c r="G1907" s="65" t="str">
        <x:v>小 2.5（1.85-1.95）</x:v>
      </x:c>
      <x:c r="H1907" s="65" t="str">
        <x:v>可选/加仓：果阿FC -0.25（2.00以上小注）</x:v>
      </x:c>
      <x:c r="I1907" s="66" t="n">
        <x:v>46097.86974537037</x:v>
      </x:c>
      <x:c r="J1907" s="65" t="str">
        <x:v>已结算</x:v>
      </x:c>
      <x:c r="K1907" s="65" t="str">
        <x:v>1-1</x:v>
      </x:c>
      <x:c r="L1907" s="65" t="str">
        <x:v>走水</x:v>
      </x:c>
      <x:c r="M1907" s="65" t="str">
        <x:v>赢</x:v>
      </x:c>
      <x:c r="N1907" s="67" t="n">
        <x:v>0</x:v>
      </x:c>
      <x:c r="O1907" s="67" t="n">
        <x:v>1</x:v>
      </x:c>
      <x:c r="P1907" s="67" t="n">
        <x:f>IF(COUNT(N1907:O1907)=0,"",SUM(N1907:O1907))</x:f>
        <x:v>1</x:v>
      </x:c>
      <x:c r="Q1907" s="65"/>
      <x:c r="R1907" s="65" t="str">
        <x:v>复核赛果：旁遮普FC 1-1 果阿FC；让球：果阿FC 平手（DNB，0）=走水；大小：小2.5=赢。</x:v>
      </x:c>
    </x:row>
    <x:row r="1908" ht="24" customHeight="1">
      <x:c r="A1908" s="65" t="str">
        <x:f>IF(B1908="","",TEXT(B1908,"yyyy-mm-dd")&amp;"|"&amp;D1908&amp;"|"&amp;E1908)</x:f>
        <x:v>2026-03-16|布琳狮子（FC Bulleen Lions）|布伦瑞克尤文图斯</x:v>
      </x:c>
      <x:c r="B1908" s="66" t="n">
        <x:v>46097.729166666664</x:v>
      </x:c>
      <x:c r="C1908" s="65" t="str">
        <x:v>澳大利亚 维多利亚州超级联赛1（VPL1）</x:v>
      </x:c>
      <x:c r="D1908" s="65" t="str">
        <x:v>布琳狮子（FC Bulleen Lions）</x:v>
      </x:c>
      <x:c r="E1908" s="65" t="str">
        <x:v>布伦瑞克尤文图斯</x:v>
      </x:c>
      <x:c r="F1908" s="65" t="str">
        <x:v>布伦瑞克尤文图斯 0（平手，DNB）</x:v>
      </x:c>
      <x:c r="G1908" s="65" t="str">
        <x:v>小 3/3.5</x:v>
      </x:c>
      <x:c r="H1908" s="65" t="str">
        <x:v>临场若客队回到受让 +0/0.5 且水位≥0.80，可加仓布伦瑞克尤文图斯受让</x:v>
      </x:c>
      <x:c r="I1908" s="66" t="n">
        <x:v>46097.69349537037</x:v>
      </x:c>
      <x:c r="J1908" s="65" t="str">
        <x:v>已结算</x:v>
      </x:c>
      <x:c r="K1908" s="65" t="str">
        <x:v>1-2</x:v>
      </x:c>
      <x:c r="L1908" s="65" t="str">
        <x:v>赢</x:v>
      </x:c>
      <x:c r="M1908" s="65" t="str">
        <x:v>赢半</x:v>
      </x:c>
      <x:c r="N1908" s="67" t="n">
        <x:v>1</x:v>
      </x:c>
      <x:c r="O1908" s="67" t="n">
        <x:v>0.5</x:v>
      </x:c>
      <x:c r="P1908" s="67" t="n">
        <x:f>IF(COUNT(N1908:O1908)=0,"",SUM(N1908:O1908))</x:f>
        <x:v>1.5</x:v>
      </x:c>
      <x:c r="Q1908" s="65"/>
      <x:c r="R1908" s="65" t="str">
        <x:v>按匹配键重核赛果 1-2；让球：布伦瑞克尤文图斯 平手（DNB，0）=赢；大小：小3/3.5（3.25）=赢半</x:v>
      </x:c>
    </x:row>
    <x:row r="1909" ht="24" customHeight="1">
      <x:c r="A1909" s="65" t="str">
        <x:f>IF(B1909="","",TEXT(B1909,"yyyy-mm-dd")&amp;"|"&amp;D1909&amp;"|"&amp;E1909)</x:f>
        <x:v>2026-03-16|巴兰基亚青年|福塔雷绍查（Fortaleza CEIF）</x:v>
      </x:c>
      <x:c r="B1909" s="66" t="n">
        <x:v>46097.395833333336</x:v>
      </x:c>
      <x:c r="C1909" s="65" t="str">
        <x:v>哥伦比亚甲级联赛（Liga BetPlay DIMAYOR）</x:v>
      </x:c>
      <x:c r="D1909" s="65" t="str">
        <x:v>巴兰基亚青年</x:v>
      </x:c>
      <x:c r="E1909" s="65" t="str">
        <x:v>福塔雷绍查（Fortaleza CEIF）</x:v>
      </x:c>
      <x:c r="F1909" s="65" t="str">
        <x:v>福塔雷绍查（Fortaleza CEIF） +0.75（1.90以上可入）</x:v>
      </x:c>
      <x:c r="G1909" s="65" t="str">
        <x:v>大 2.5（参考2.05，折合亚洲水位1.05）</x:v>
      </x:c>
      <x:c r="H1909" s="65" t="str">
        <x:v>可选/加仓：福塔雷绍查（Fortaleza CEIF） +0.5（1.95以上小注）</x:v>
      </x:c>
      <x:c r="I1909" s="66" t="n">
        <x:v>46097.357939814814</x:v>
      </x:c>
      <x:c r="J1909" s="65" t="str">
        <x:v>已结算</x:v>
      </x:c>
      <x:c r="K1909" s="65" t="str">
        <x:v>2-1</x:v>
      </x:c>
      <x:c r="L1909" s="65" t="str">
        <x:v>输半</x:v>
      </x:c>
      <x:c r="M1909" s="65" t="str">
        <x:v>赢</x:v>
      </x:c>
      <x:c r="N1909" s="67" t="n">
        <x:v>-0.5</x:v>
      </x:c>
      <x:c r="O1909" s="67" t="n">
        <x:v>1</x:v>
      </x:c>
      <x:c r="P1909" s="67" t="n">
        <x:f>IF(COUNT(N1909:O1909)=0,"",SUM(N1909:O1909))</x:f>
        <x:v>0.5</x:v>
      </x:c>
      <x:c r="Q1909" s="65"/>
      <x:c r="R1909" s="65" t="str">
        <x:v>赛果：巴兰基亚青年 2-1 福塔雷绍查（Fortaleza CEIF）；让球：福塔雷绍查（Fortaleza CEIF） +0.75 输半；大小：大2.5 命中。</x:v>
      </x:c>
    </x:row>
    <x:row r="1910" ht="24" customHeight="1">
      <x:c r="A1910" s="65" t="str">
        <x:f>IF(B1910="","",TEXT(B1910,"yyyy-mm-dd")&amp;"|"&amp;D1910&amp;"|"&amp;E1910)</x:f>
        <x:v>2026-03-16|墨西哥美洲|马萨特兰</x:v>
      </x:c>
      <x:c r="B1910" s="66" t="n">
        <x:v>46097.375</x:v>
      </x:c>
      <x:c r="C1910" s="65" t="str">
        <x:v>墨西哥超（Liga MX，Clausura）</x:v>
      </x:c>
      <x:c r="D1910" s="65" t="str">
        <x:v>墨西哥美洲</x:v>
      </x:c>
      <x:c r="E1910" s="65" t="str">
        <x:v>马萨特兰</x:v>
      </x:c>
      <x:c r="F1910" s="65" t="str">
        <x:v>马萨特兰 +1.25（1.95-2.00）</x:v>
      </x:c>
      <x:c r="G1910" s="65" t="str">
        <x:v>小 3.0（1.85以上可入）</x:v>
      </x:c>
      <x:c r="H1910" s="65" t="str">
        <x:v>可选/加仓：马萨特兰 +1.5（1.80以上可加）</x:v>
      </x:c>
      <x:c r="I1910" s="66" t="n">
        <x:v>46097.360763888886</x:v>
      </x:c>
      <x:c r="J1910" s="65" t="str">
        <x:v>已结算</x:v>
      </x:c>
      <x:c r="K1910" s="65" t="str">
        <x:v>2-0</x:v>
      </x:c>
      <x:c r="L1910" s="65" t="str">
        <x:v>输</x:v>
      </x:c>
      <x:c r="M1910" s="65" t="str">
        <x:v>赢</x:v>
      </x:c>
      <x:c r="N1910" s="67" t="n">
        <x:v>-1</x:v>
      </x:c>
      <x:c r="O1910" s="67" t="n">
        <x:v>1</x:v>
      </x:c>
      <x:c r="P1910" s="67" t="n">
        <x:f>IF(COUNT(N1910:O1910)=0,"",SUM(N1910:O1910))</x:f>
        <x:v>0</x:v>
      </x:c>
      <x:c r="Q1910" s="65"/>
      <x:c r="R1910" s="65" t="str">
        <x:v>复核赛果：墨西哥美洲 2-0 马萨特兰；让球：马萨特兰 +1.25=输；大小：小3.0=赢。</x:v>
      </x:c>
    </x:row>
    <x:row r="1911" ht="24" customHeight="1">
      <x:c r="A1911" s="65" t="str">
        <x:f>IF(B1911="","",TEXT(B1911,"yyyy-mm-dd")&amp;"|"&amp;D1911&amp;"|"&amp;E1911)</x:f>
        <x:v>2026-03-16|提格雷|阿根廷青年</x:v>
      </x:c>
      <x:c r="B1911" s="66" t="n">
        <x:v>46097.375</x:v>
      </x:c>
      <x:c r="C1911" s="65" t="str">
        <x:v>阿根廷职业联赛（Liga Profesional·Apertura）</x:v>
      </x:c>
      <x:c r="D1911" s="65" t="str">
        <x:v>提格雷</x:v>
      </x:c>
      <x:c r="E1911" s="65" t="str">
        <x:v>阿根廷青年</x:v>
      </x:c>
      <x:c r="F1911" s="65" t="str">
        <x:v>提格雷 +0.25（1.80以上可入）</x:v>
      </x:c>
      <x:c r="G1911" s="65" t="str">
        <x:v>小 2.0（1.88-1.95）</x:v>
      </x:c>
      <x:c r="H1911" s="65" t="str">
        <x:v>可选/加仓：平局（2.90以上小注）</x:v>
      </x:c>
      <x:c r="I1911" s="66" t="n">
        <x:v>46097.35550925926</x:v>
      </x:c>
      <x:c r="J1911" s="65" t="str">
        <x:v>已结算</x:v>
      </x:c>
      <x:c r="K1911" s="65" t="str">
        <x:v>1-1</x:v>
      </x:c>
      <x:c r="L1911" s="65" t="str">
        <x:v>赢半</x:v>
      </x:c>
      <x:c r="M1911" s="65" t="str">
        <x:v>走水</x:v>
      </x:c>
      <x:c r="N1911" s="67" t="n">
        <x:v>0.5</x:v>
      </x:c>
      <x:c r="O1911" s="67" t="n">
        <x:v>0</x:v>
      </x:c>
      <x:c r="P1911" s="67" t="n">
        <x:f>IF(COUNT(N1911:O1911)=0,"",SUM(N1911:O1911))</x:f>
        <x:v>0.5</x:v>
      </x:c>
      <x:c r="Q1911" s="65"/>
      <x:c r="R1911" s="65" t="str">
        <x:v>赛果：提格雷 1-1 阿根廷青年；让球：提格雷 +0.25 赢半；大小：小2.0 走水。</x:v>
      </x:c>
    </x:row>
    <x:row r="1912" ht="24" customHeight="1">
      <x:c r="A1912" s="65" t="str">
        <x:f>IF(B1912="","",TEXT(B1912,"yyyy-mm-dd")&amp;"|"&amp;D1912&amp;"|"&amp;E1912)</x:f>
        <x:v>2026-03-16|圣塔菲联|博卡青年</x:v>
      </x:c>
      <x:c r="B1912" s="66" t="n">
        <x:v>46097.375</x:v>
      </x:c>
      <x:c r="C1912" s="65" t="str">
        <x:v>阿根廷职业联赛（Liga Profesional·Apertura）</x:v>
      </x:c>
      <x:c r="D1912" s="65" t="str">
        <x:v>圣塔菲联</x:v>
      </x:c>
      <x:c r="E1912" s="65" t="str">
        <x:v>博卡青年</x:v>
      </x:c>
      <x:c r="F1912" s="65" t="str">
        <x:v>圣塔菲联 平手（DNB，0）@1.85-1.90</x:v>
      </x:c>
      <x:c r="G1912" s="65" t="str">
        <x:v>小 2.0（1.85-1.95）</x:v>
      </x:c>
      <x:c r="H1912" s="65" t="str">
        <x:v>可选/加仓：平局（2.85以上小注）</x:v>
      </x:c>
      <x:c r="I1912" s="66" t="n">
        <x:v>46097.331724537034</x:v>
      </x:c>
      <x:c r="J1912" s="65" t="str">
        <x:v>已结算</x:v>
      </x:c>
      <x:c r="K1912" s="65" t="str">
        <x:v>1-1</x:v>
      </x:c>
      <x:c r="L1912" s="65" t="str">
        <x:v>走水</x:v>
      </x:c>
      <x:c r="M1912" s="65" t="str">
        <x:v>走水</x:v>
      </x:c>
      <x:c r="N1912" s="67" t="n">
        <x:v>0</x:v>
      </x:c>
      <x:c r="O1912" s="67" t="n">
        <x:v>0</x:v>
      </x:c>
      <x:c r="P1912" s="67" t="n">
        <x:f>IF(COUNT(N1912:O1912)=0,"",SUM(N1912:O1912))</x:f>
        <x:v>0</x:v>
      </x:c>
      <x:c r="Q1912" s="65"/>
      <x:c r="R1912" s="65" t="str">
        <x:v>赛果：圣塔菲联 1-1 博卡青年；让球：圣塔菲联 平手（DNB，0）走水；大小：小2.0 走水。</x:v>
      </x:c>
    </x:row>
    <x:row r="1913" ht="24" customHeight="1">
      <x:c r="A1913" s="65" t="str">
        <x:f>IF(B1913="","",TEXT(B1913,"yyyy-mm-dd")&amp;"|"&amp;D1913&amp;"|"&amp;E1913)</x:f>
        <x:v>2026-03-16|科尔多巴老虎（Jaguares de Córdoba）|麦德林独立</x:v>
      </x:c>
      <x:c r="B1913" s="66" t="n">
        <x:v>46097.305555555555</x:v>
      </x:c>
      <x:c r="C1913" s="65" t="str">
        <x:v>哥伦比亚甲级联赛（Liga BetPlay DIMAYOR）</x:v>
      </x:c>
      <x:c r="D1913" s="65" t="str">
        <x:v>科尔多巴老虎（Jaguares de Córdoba）</x:v>
      </x:c>
      <x:c r="E1913" s="65" t="str">
        <x:v>麦德林独立</x:v>
      </x:c>
      <x:c r="F1913" s="65" t="str">
        <x:v>科尔多巴老虎（Jaguares de Córdoba） +0.25（1.90以上可入）</x:v>
      </x:c>
      <x:c r="G1913" s="65" t="str">
        <x:v>小 2.25（1.85-1.95）</x:v>
      </x:c>
      <x:c r="H1913" s="65" t="str">
        <x:v>可选/加仓：平局（3.00以上小注）</x:v>
      </x:c>
      <x:c r="I1913" s="66" t="n">
        <x:v>46097.312731481485</x:v>
      </x:c>
      <x:c r="J1913" s="65" t="str">
        <x:v>已结算</x:v>
      </x:c>
      <x:c r="K1913" s="65" t="str">
        <x:v>1-2</x:v>
      </x:c>
      <x:c r="L1913" s="65" t="str">
        <x:v>输</x:v>
      </x:c>
      <x:c r="M1913" s="65" t="str">
        <x:v>输</x:v>
      </x:c>
      <x:c r="N1913" s="67" t="n">
        <x:v>-1</x:v>
      </x:c>
      <x:c r="O1913" s="67" t="n">
        <x:v>-1</x:v>
      </x:c>
      <x:c r="P1913" s="67" t="n">
        <x:f>IF(COUNT(N1913:O1913)=0,"",SUM(N1913:O1913))</x:f>
        <x:v>-2</x:v>
      </x:c>
      <x:c r="Q1913" s="65"/>
      <x:c r="R1913" s="65" t="str">
        <x:v>赛果：科尔多巴老虎（Jaguares de Córdoba） 1-2 麦德林独立；让球：科尔多巴老虎 +0.25 未命中；大小：小2.25 未命中。</x:v>
      </x:c>
    </x:row>
    <x:row r="1914" ht="24" customHeight="1">
      <x:c r="A1914" s="65" t="str">
        <x:f>IF(B1914="","",TEXT(B1914,"yyyy-mm-dd")&amp;"|"&amp;D1914&amp;"|"&amp;E1914)</x:f>
        <x:v>2026-03-16|老虎大学（Tigres UANL）|克雷塔罗</x:v>
      </x:c>
      <x:c r="B1914" s="66" t="n">
        <x:v>46097.291666666664</x:v>
      </x:c>
      <x:c r="C1914" s="65" t="str">
        <x:v>墨西哥超（Liga MX，Clausura）</x:v>
      </x:c>
      <x:c r="D1914" s="65" t="str">
        <x:v>老虎大学（Tigres UANL）</x:v>
      </x:c>
      <x:c r="E1914" s="65" t="str">
        <x:v>克雷塔罗</x:v>
      </x:c>
      <x:c r="F1914" s="65" t="str">
        <x:v>老虎大学（Tigres UANL） -1.25（1.85-1.95）</x:v>
      </x:c>
      <x:c r="G1914" s="65" t="str">
        <x:v>大 2.75（1.85-1.95）</x:v>
      </x:c>
      <x:c r="H1914" s="65" t="str">
        <x:v>可选/加仓：老虎大学（Tigres UANL） -1.5（2.00以上可加）</x:v>
      </x:c>
      <x:c r="I1914" s="66" t="n">
        <x:v>46097.31585648148</x:v>
      </x:c>
      <x:c r="J1914" s="65" t="str">
        <x:v>已结算</x:v>
      </x:c>
      <x:c r="K1914" s="65" t="str">
        <x:v>0-0</x:v>
      </x:c>
      <x:c r="L1914" s="65" t="str">
        <x:v>输</x:v>
      </x:c>
      <x:c r="M1914" s="65" t="str">
        <x:v>输</x:v>
      </x:c>
      <x:c r="N1914" s="67" t="n">
        <x:v>-1</x:v>
      </x:c>
      <x:c r="O1914" s="67" t="n">
        <x:v>-1</x:v>
      </x:c>
      <x:c r="P1914" s="67" t="n">
        <x:f>IF(COUNT(N1914:O1914)=0,"",SUM(N1914:O1914))</x:f>
        <x:v>-2</x:v>
      </x:c>
      <x:c r="Q1914" s="65"/>
      <x:c r="R1914" s="65" t="str">
        <x:v>赛果：老虎大学（Tigres UANL） 0-0 克雷塔罗；让球：老虎大学 -1.25 未命中；大小：大2.75 未命中。</x:v>
      </x:c>
    </x:row>
    <x:row r="1915" ht="24" customHeight="1">
      <x:c r="A1915" s="65" t="str">
        <x:f>IF(B1915="","",TEXT(B1915,"yyyy-mm-dd")&amp;"|"&amp;D1915&amp;"|"&amp;E1915)</x:f>
        <x:v>2026-03-16|拉齐奥|AC米兰</x:v>
      </x:c>
      <x:c r="B1915" s="66" t="n">
        <x:v>46097.15625</x:v>
      </x:c>
      <x:c r="C1915" s="65" t="str">
        <x:v>意大利甲级联赛（Serie A）</x:v>
      </x:c>
      <x:c r="D1915" s="65" t="str">
        <x:v>拉齐奥</x:v>
      </x:c>
      <x:c r="E1915" s="65" t="str">
        <x:v>AC米兰</x:v>
      </x:c>
      <x:c r="F1915" s="65" t="str">
        <x:v>AC米兰 -0.5（1.90-1.95）</x:v>
      </x:c>
      <x:c r="G1915" s="65" t="str">
        <x:v>小 2.5（1.85-1.90）</x:v>
      </x:c>
      <x:c r="H1915" s="65" t="str">
        <x:v>可选/加仓：AC米兰 -0.25（1.75以下不追；1.80以上可加）</x:v>
      </x:c>
      <x:c r="I1915" s="66" t="n">
        <x:v>46097.027083333334</x:v>
      </x:c>
      <x:c r="J1915" s="65" t="str">
        <x:v>已结算</x:v>
      </x:c>
      <x:c r="K1915" s="65" t="str">
        <x:v>1-0</x:v>
      </x:c>
      <x:c r="L1915" s="65" t="str">
        <x:v>输</x:v>
      </x:c>
      <x:c r="M1915" s="65" t="str">
        <x:v>赢</x:v>
      </x:c>
      <x:c r="N1915" s="67" t="n">
        <x:v>-1</x:v>
      </x:c>
      <x:c r="O1915" s="67" t="n">
        <x:v>1</x:v>
      </x:c>
      <x:c r="P1915" s="67" t="n">
        <x:f>IF(COUNT(N1915:O1915)=0,"",SUM(N1915:O1915))</x:f>
        <x:v>0</x:v>
      </x:c>
      <x:c r="Q1915" s="65"/>
      <x:c r="R1915" s="65" t="str">
        <x:v>赛果：拉齐奥 1-0 AC米兰；让球：AC米兰 -0.5 未命中；大小：小2.5 命中。</x:v>
      </x:c>
    </x:row>
    <x:row r="1916" ht="24" customHeight="1">
      <x:c r="A1916" s="65" t="str">
        <x:f>IF(B1916="","",TEXT(B1916,"yyyy-mm-dd")&amp;"|"&amp;D1916&amp;"|"&amp;E1916)</x:f>
        <x:v>2026-03-16|科莫|罗马</x:v>
      </x:c>
      <x:c r="B1916" s="66" t="n">
        <x:v>46097.041666666664</x:v>
      </x:c>
      <x:c r="C1916" s="65" t="str">
        <x:v>意大利甲级联赛（Serie A）</x:v>
      </x:c>
      <x:c r="D1916" s="65" t="str">
        <x:v>科莫</x:v>
      </x:c>
      <x:c r="E1916" s="65" t="str">
        <x:v>罗马</x:v>
      </x:c>
      <x:c r="F1916" s="65" t="str">
        <x:v>科莫 -0.25（1.80以上可入）</x:v>
      </x:c>
      <x:c r="G1916" s="65" t="str">
        <x:v>小 2.25（1.88-1.95）</x:v>
      </x:c>
      <x:c r="H1916" s="65" t="str">
        <x:v>可选/加仓：科莫 -0.5（1.95以上小注）</x:v>
      </x:c>
      <x:c r="I1916" s="66" t="n">
        <x:v>46097.02018518518</x:v>
      </x:c>
      <x:c r="J1916" s="65" t="str">
        <x:v>已结算</x:v>
      </x:c>
      <x:c r="K1916" s="65" t="str">
        <x:v>2-1</x:v>
      </x:c>
      <x:c r="L1916" s="65" t="str">
        <x:v>赢</x:v>
      </x:c>
      <x:c r="M1916" s="65" t="str">
        <x:v>输</x:v>
      </x:c>
      <x:c r="N1916" s="67" t="n">
        <x:v>1</x:v>
      </x:c>
      <x:c r="O1916" s="67" t="n">
        <x:v>-1</x:v>
      </x:c>
      <x:c r="P1916" s="67" t="n">
        <x:f>IF(COUNT(N1916:O1916)=0,"",SUM(N1916:O1916))</x:f>
        <x:v>0</x:v>
      </x:c>
      <x:c r="Q1916" s="65"/>
      <x:c r="R1916" s="65" t="str">
        <x:v>赛果：科莫 2-1 罗马；让球：科莫 -0.25 命中；大小：小2.25 未命中。</x:v>
      </x:c>
    </x:row>
    <x:row r="1917" ht="24" customHeight="1">
      <x:c r="A1917" s="65" t="str">
        <x:f>IF(B1917="","",TEXT(B1917,"yyyy-mm-dd")&amp;"|"&amp;D1917&amp;"|"&amp;E1917)</x:f>
        <x:v>2026-03-15|喀什国际|孟买城</x:v>
      </x:c>
      <x:c r="B1917" s="66" t="n">
        <x:v>46096.916666666664</x:v>
      </x:c>
      <x:c r="C1917" s="65" t="str">
        <x:v>印度超级联赛（Indian Super League）</x:v>
      </x:c>
      <x:c r="D1917" s="65" t="str">
        <x:v>喀什国际</x:v>
      </x:c>
      <x:c r="E1917" s="65" t="str">
        <x:v>孟买城</x:v>
      </x:c>
      <x:c r="F1917" s="65" t="str">
        <x:v>喀什国际 +0.25（1.80以上可入）</x:v>
      </x:c>
      <x:c r="G1917" s="65" t="str">
        <x:v>小 2.0（1.95左右可入）</x:v>
      </x:c>
      <x:c r="H1917" s="65" t="str">
        <x:v>可选/加仓：平局（3.00以上小注）</x:v>
      </x:c>
      <x:c r="I1917" s="66" t="n">
        <x:v>46096.93224537037</x:v>
      </x:c>
      <x:c r="J1917" s="65" t="str">
        <x:v>已结算</x:v>
      </x:c>
      <x:c r="K1917" s="65" t="str">
        <x:v>1-2</x:v>
      </x:c>
      <x:c r="L1917" s="65" t="str">
        <x:v>输</x:v>
      </x:c>
      <x:c r="M1917" s="65" t="str">
        <x:v>输</x:v>
      </x:c>
      <x:c r="N1917" s="67" t="n">
        <x:v>-1</x:v>
      </x:c>
      <x:c r="O1917" s="67" t="n">
        <x:v>-1</x:v>
      </x:c>
      <x:c r="P1917" s="67" t="n">
        <x:f>IF(COUNT(N1917:O1917)=0,"",SUM(N1917:O1917))</x:f>
        <x:v>-2</x:v>
      </x:c>
      <x:c r="Q1917" s="65"/>
      <x:c r="R1917" s="65" t="str">
        <x:v>赛果：喀什国际 1-2 孟买城；让球：喀什国际 +0.25 未命中；大小：小2.0 未命中。</x:v>
      </x:c>
    </x:row>
    <x:row r="1918" ht="24" customHeight="1">
      <x:c r="A1918" s="65" t="str">
        <x:f>IF(B1918="","",TEXT(B1918,"yyyy-mm-dd")&amp;"|"&amp;D1918&amp;"|"&amp;E1918)</x:f>
        <x:v>2026-03-15|比萨|卡利亚里</x:v>
      </x:c>
      <x:c r="B1918" s="66" t="n">
        <x:v>46096.916666666664</x:v>
      </x:c>
      <x:c r="C1918" s="65" t="str">
        <x:v>意大利甲级联赛（Serie A）</x:v>
      </x:c>
      <x:c r="D1918" s="65" t="str">
        <x:v>比萨</x:v>
      </x:c>
      <x:c r="E1918" s="65" t="str">
        <x:v>卡利亚里</x:v>
      </x:c>
      <x:c r="F1918" s="65" t="str">
        <x:v>卡利亚里 平手（DNB，0）@1.88左右可入</x:v>
      </x:c>
      <x:c r="G1918" s="65" t="str">
        <x:v>小 2.25（1.88-1.95）</x:v>
      </x:c>
      <x:c r="H1918" s="65" t="str">
        <x:v>可选/加仓：平局（3.00以上小注）</x:v>
      </x:c>
      <x:c r="I1918" s="66" t="n">
        <x:v>46096.928460648145</x:v>
      </x:c>
      <x:c r="J1918" s="65" t="str">
        <x:v>已结算</x:v>
      </x:c>
      <x:c r="K1918" s="65" t="str">
        <x:v>3-1</x:v>
      </x:c>
      <x:c r="L1918" s="65" t="str">
        <x:v>输</x:v>
      </x:c>
      <x:c r="M1918" s="65" t="str">
        <x:v>输</x:v>
      </x:c>
      <x:c r="N1918" s="67" t="n">
        <x:v>-1</x:v>
      </x:c>
      <x:c r="O1918" s="67" t="n">
        <x:v>-1</x:v>
      </x:c>
      <x:c r="P1918" s="67" t="n">
        <x:f>IF(COUNT(N1918:O1918)=0,"",SUM(N1918:O1918))</x:f>
        <x:v>-2</x:v>
      </x:c>
      <x:c r="Q1918" s="65"/>
      <x:c r="R1918" s="65" t="str">
        <x:v>赛果：比萨 3-1 卡利亚里；让球：卡利亚里 平手（DNB，0）未命中；大小：小2.25 未命中。</x:v>
      </x:c>
    </x:row>
    <x:row r="1919" ht="24" customHeight="1">
      <x:c r="A1919" s="65" t="str">
        <x:f>IF(B1919="","",TEXT(B1919,"yyyy-mm-dd")&amp;"|"&amp;D1919&amp;"|"&amp;E1919)</x:f>
        <x:v>2026-03-15|萨索洛|博洛尼亚</x:v>
      </x:c>
      <x:c r="B1919" s="66" t="n">
        <x:v>46096.916666666664</x:v>
      </x:c>
      <x:c r="C1919" s="65" t="str">
        <x:v>意大利甲级联赛（Serie A）</x:v>
      </x:c>
      <x:c r="D1919" s="65" t="str">
        <x:v>萨索洛</x:v>
      </x:c>
      <x:c r="E1919" s="65" t="str">
        <x:v>博洛尼亚</x:v>
      </x:c>
      <x:c r="F1919" s="65" t="str">
        <x:v>萨索洛 平手（DNB，0）@1.80以上可入</x:v>
      </x:c>
      <x:c r="G1919" s="65" t="str">
        <x:v>小 2.5（参考1.83，折合亚洲水位0.83）</x:v>
      </x:c>
      <x:c r="H1919" s="65" t="str">
        <x:v>可选/加仓：萨索洛 -0.25（1.95以上小注）</x:v>
      </x:c>
      <x:c r="I1919" s="66" t="n">
        <x:v>46096.92377314815</x:v>
      </x:c>
      <x:c r="J1919" s="65" t="str">
        <x:v>已结算</x:v>
      </x:c>
      <x:c r="K1919" s="65" t="str">
        <x:v>0-1</x:v>
      </x:c>
      <x:c r="L1919" s="65" t="str">
        <x:v>输</x:v>
      </x:c>
      <x:c r="M1919" s="65" t="str">
        <x:v>赢</x:v>
      </x:c>
      <x:c r="N1919" s="67" t="n">
        <x:v>-1</x:v>
      </x:c>
      <x:c r="O1919" s="67" t="n">
        <x:v>1</x:v>
      </x:c>
      <x:c r="P1919" s="67" t="n">
        <x:f>IF(COUNT(N1919:O1919)=0,"",SUM(N1919:O1919))</x:f>
        <x:v>0</x:v>
      </x:c>
      <x:c r="Q1919" s="65"/>
      <x:c r="R1919" s="65" t="str">
        <x:v>赛果：萨索洛 0-1 博洛尼亚；让球：萨索洛 平手（DNB，0）未命中；大小：小2.5 命中。</x:v>
      </x:c>
    </x:row>
    <x:row r="1920" ht="24" customHeight="1">
      <x:c r="A1920" s="65" t="str">
        <x:f>IF(B1920="","",TEXT(B1920,"yyyy-mm-dd")&amp;"|"&amp;D1920&amp;"|"&amp;E1920)</x:f>
        <x:v>2026-03-15|维罗纳|热那亚</x:v>
      </x:c>
      <x:c r="B1920" s="66" t="n">
        <x:v>46096.916666666664</x:v>
      </x:c>
      <x:c r="C1920" s="65" t="str">
        <x:v>意大利甲级联赛（Serie A）</x:v>
      </x:c>
      <x:c r="D1920" s="65" t="str">
        <x:v>维罗纳</x:v>
      </x:c>
      <x:c r="E1920" s="65" t="str">
        <x:v>热那亚</x:v>
      </x:c>
      <x:c r="F1920" s="65" t="str">
        <x:v>热那亚 -0.25（1.90-2.00）</x:v>
      </x:c>
      <x:c r="G1920" s="65" t="str">
        <x:v>小2.25（1.88-1.95）</x:v>
      </x:c>
      <x:c r="H1920" s="65" t="str">
        <x:v>可选/加仓：热那亚 平手（DNB，0）@1.70以上保守入</x:v>
      </x:c>
      <x:c r="I1920" s="66" t="n">
        <x:v>46096.77108796296</x:v>
      </x:c>
      <x:c r="J1920" s="65" t="str">
        <x:v>已结算</x:v>
      </x:c>
      <x:c r="K1920" s="65" t="str">
        <x:v>0-2</x:v>
      </x:c>
      <x:c r="L1920" s="65" t="str">
        <x:v>赢</x:v>
      </x:c>
      <x:c r="M1920" s="65" t="str">
        <x:v>赢半</x:v>
      </x:c>
      <x:c r="N1920" s="67" t="n">
        <x:v>1</x:v>
      </x:c>
      <x:c r="O1920" s="67" t="n">
        <x:v>0.5</x:v>
      </x:c>
      <x:c r="P1920" s="67" t="n">
        <x:f>IF(COUNT(N1920:O1920)=0,"",SUM(N1920:O1920))</x:f>
        <x:v>1.5</x:v>
      </x:c>
      <x:c r="Q1920" s="65"/>
      <x:c r="R1920" s="65" t="str">
        <x:v>复核赛果：维罗纳 0-2 热那亚；让球：热那亚 -0.25=赢；大小：小2.25=赢半。</x:v>
      </x:c>
    </x:row>
    <x:row r="1921" ht="24" customHeight="1">
      <x:c r="A1921" s="65" t="str">
        <x:f>IF(B1921="","",TEXT(B1921,"yyyy-mm-dd")&amp;"|"&amp;D1921&amp;"|"&amp;E1921)</x:f>
        <x:v>2026-03-15|佩西加雅加达|德瓦联（Dewa United）</x:v>
      </x:c>
      <x:c r="B1921" s="66" t="n">
        <x:v>46096.895833333336</x:v>
      </x:c>
      <x:c r="C1921" s="65" t="str">
        <x:v>印度尼西亚超级联赛（印尼超/Liga 1 Indonesia）</x:v>
      </x:c>
      <x:c r="D1921" s="65" t="str">
        <x:v>佩西加雅加达</x:v>
      </x:c>
      <x:c r="E1921" s="65" t="str">
        <x:v>德瓦联（Dewa United）</x:v>
      </x:c>
      <x:c r="F1921" s="65" t="str">
        <x:v>佩西加雅加达 -1（2.00左右可入）</x:v>
      </x:c>
      <x:c r="G1921" s="65" t="str">
        <x:v>大3.0（1.85-1.95）</x:v>
      </x:c>
      <x:c r="H1921" s="65" t="str">
        <x:v>可选/加仓：佩西加雅加达 胜且大2.5（2.35以上小注）</x:v>
      </x:c>
      <x:c r="I1921" s="66" t="n">
        <x:v>46096.90699074074</x:v>
      </x:c>
      <x:c r="J1921" s="65" t="str">
        <x:v>已结算</x:v>
      </x:c>
      <x:c r="K1921" s="65" t="str">
        <x:v>1-1</x:v>
      </x:c>
      <x:c r="L1921" s="65" t="str">
        <x:v>输</x:v>
      </x:c>
      <x:c r="M1921" s="65" t="str">
        <x:v>输</x:v>
      </x:c>
      <x:c r="N1921" s="67" t="n">
        <x:v>-1</x:v>
      </x:c>
      <x:c r="O1921" s="67" t="n">
        <x:v>-1</x:v>
      </x:c>
      <x:c r="P1921" s="67" t="n">
        <x:f>IF(COUNT(N1921:O1921)=0,"",SUM(N1921:O1921))</x:f>
        <x:v>-2</x:v>
      </x:c>
      <x:c r="Q1921" s="65"/>
      <x:c r="R1921" s="65" t="str">
        <x:v>赛果：佩西加雅加达 1-1 德瓦联；让球：佩西加雅加达 -1 未命中；大小：大3.0 未命中。</x:v>
      </x:c>
    </x:row>
    <x:row r="1922" ht="24" customHeight="1">
      <x:c r="A1922" s="65" t="str">
        <x:f>IF(B1922="","",TEXT(B1922,"yyyy-mm-dd")&amp;"|"&amp;D1922&amp;"|"&amp;E1922)</x:f>
        <x:v>2026-03-15|婆罗洲FC（Borneo FC Samarinda）|万隆（Persib Bandung）</x:v>
      </x:c>
      <x:c r="B1922" s="66" t="n">
        <x:v>46096.895833333336</x:v>
      </x:c>
      <x:c r="C1922" s="65" t="str">
        <x:v>印度尼西亚超级联赛（印尼超/Liga 1 Indonesia）</x:v>
      </x:c>
      <x:c r="D1922" s="65" t="str">
        <x:v>婆罗洲FC（Borneo FC Samarinda）</x:v>
      </x:c>
      <x:c r="E1922" s="65" t="str">
        <x:v>万隆（Persib Bandung）</x:v>
      </x:c>
      <x:c r="F1922" s="65" t="str">
        <x:v>万隆（Persib Bandung） 平手（DNB，0）@1.80以上可入</x:v>
      </x:c>
      <x:c r="G1922" s="65" t="str">
        <x:v>大2.5（1.80-1.85）</x:v>
      </x:c>
      <x:c r="H1922" s="65" t="str">
        <x:v>可选/加仓：万隆（Persib Bandung） 胜（2.40以上小注）</x:v>
      </x:c>
      <x:c r="I1922" s="66" t="n">
        <x:v>46096.902962962966</x:v>
      </x:c>
      <x:c r="J1922" s="65" t="str">
        <x:v>已结算</x:v>
      </x:c>
      <x:c r="K1922" s="65" t="str">
        <x:v>1-1</x:v>
      </x:c>
      <x:c r="L1922" s="65" t="str">
        <x:v>走水</x:v>
      </x:c>
      <x:c r="M1922" s="65" t="str">
        <x:v>输</x:v>
      </x:c>
      <x:c r="N1922" s="67" t="n">
        <x:v>0</x:v>
      </x:c>
      <x:c r="O1922" s="67" t="n">
        <x:v>-1</x:v>
      </x:c>
      <x:c r="P1922" s="67" t="n">
        <x:f>IF(COUNT(N1922:O1922)=0,"",SUM(N1922:O1922))</x:f>
        <x:v>-1</x:v>
      </x:c>
      <x:c r="Q1922" s="65"/>
      <x:c r="R1922" s="65" t="str">
        <x:v>赛果：婆罗洲FC 1-1 万隆；让球：万隆 平手（DNB，0）走水；大小：大2.5 未命中。</x:v>
      </x:c>
    </x:row>
    <x:row r="1923" ht="24" customHeight="1">
      <x:c r="A1923" s="65" t="str">
        <x:f>IF(B1923="","",TEXT(B1923,"yyyy-mm-dd")&amp;"|"&amp;D1923&amp;"|"&amp;E1923)</x:f>
        <x:v>2026-03-15|马洛卡|西班牙人</x:v>
      </x:c>
      <x:c r="B1923" s="66" t="n">
        <x:v>46096.875</x:v>
      </x:c>
      <x:c r="C1923" s="65" t="str">
        <x:v>西甲（LaLiga）</x:v>
      </x:c>
      <x:c r="D1923" s="65" t="str">
        <x:v>马洛卡</x:v>
      </x:c>
      <x:c r="E1923" s="65" t="str">
        <x:v>西班牙人</x:v>
      </x:c>
      <x:c r="F1923" s="65" t="str">
        <x:v>马洛卡 -0.25（2.00-2.15）</x:v>
      </x:c>
      <x:c r="G1923" s="65" t="str">
        <x:v>小2.25（1.85-1.92）</x:v>
      </x:c>
      <x:c r="H1923" s="65" t="str">
        <x:v>可选/加仓：平局（3.10以上小注）</x:v>
      </x:c>
      <x:c r="I1923" s="66" t="n">
        <x:v>46096.88638888889</x:v>
      </x:c>
      <x:c r="J1923" s="65" t="str">
        <x:v>已结算</x:v>
      </x:c>
      <x:c r="K1923" s="65" t="str">
        <x:v>2-1</x:v>
      </x:c>
      <x:c r="L1923" s="65" t="str">
        <x:v>赢</x:v>
      </x:c>
      <x:c r="M1923" s="65" t="str">
        <x:v>输</x:v>
      </x:c>
      <x:c r="N1923" s="67" t="n">
        <x:v>1</x:v>
      </x:c>
      <x:c r="O1923" s="67" t="n">
        <x:v>-1</x:v>
      </x:c>
      <x:c r="P1923" s="67" t="n">
        <x:f>IF(COUNT(N1923:O1923)=0,"",SUM(N1923:O1923))</x:f>
        <x:v>0</x:v>
      </x:c>
      <x:c r="Q1923" s="65"/>
      <x:c r="R1923" s="65" t="str">
        <x:v>赛果：马洛卡 2-1 西班牙人；让球：马洛卡 -0.25 命中；大小：小2.25 未命中。</x:v>
      </x:c>
    </x:row>
    <x:row r="1924" ht="24" customHeight="1">
      <x:c r="A1924" s="65" t="str">
        <x:f>IF(B1924="","",TEXT(B1924,"yyyy-mm-dd")&amp;"|"&amp;D1924&amp;"|"&amp;E1924)</x:f>
        <x:v>2026-03-15|沙尔克04|汉诺威96</x:v>
      </x:c>
      <x:c r="B1924" s="66" t="n">
        <x:v>46096.854166666664</x:v>
      </x:c>
      <x:c r="C1924" s="65" t="str">
        <x:v>德国乙级联赛（2. Bundesliga）</x:v>
      </x:c>
      <x:c r="D1924" s="65" t="str">
        <x:v>沙尔克04</x:v>
      </x:c>
      <x:c r="E1924" s="65" t="str">
        <x:v>汉诺威96</x:v>
      </x:c>
      <x:c r="F1924" s="65" t="str">
        <x:v>沙尔克04 平手（DNB，0）@1.80-1.88可入</x:v>
      </x:c>
      <x:c r="G1924" s="65" t="str">
        <x:v>大2.75（1.90-2.00）</x:v>
      </x:c>
      <x:c r="H1924" s="65" t="str">
        <x:v>可选/加仓：沙尔克04 胜（2.20以上小注）</x:v>
      </x:c>
      <x:c r="I1924" s="66" t="n">
        <x:v>46096.872766203705</x:v>
      </x:c>
      <x:c r="J1924" s="65" t="str">
        <x:v>已结算</x:v>
      </x:c>
      <x:c r="K1924" s="65" t="str">
        <x:v>2-2</x:v>
      </x:c>
      <x:c r="L1924" s="65" t="str">
        <x:v>走水</x:v>
      </x:c>
      <x:c r="M1924" s="65" t="str">
        <x:v>赢</x:v>
      </x:c>
      <x:c r="N1924" s="67" t="n">
        <x:v>0</x:v>
      </x:c>
      <x:c r="O1924" s="67" t="n">
        <x:v>1</x:v>
      </x:c>
      <x:c r="P1924" s="67" t="n">
        <x:f>IF(COUNT(N1924:O1924)=0,"",SUM(N1924:O1924))</x:f>
        <x:v>1</x:v>
      </x:c>
      <x:c r="Q1924" s="65"/>
      <x:c r="R1924" s="65" t="str">
        <x:v>赛果：沙尔克04 2-2 汉诺威96；让球：沙尔克04 平手（DNB，0）走水；大小：大2.75 命中。</x:v>
      </x:c>
    </x:row>
    <x:row r="1925" ht="24" customHeight="1">
      <x:c r="A1925" s="65" t="str">
        <x:f>IF(B1925="","",TEXT(B1925,"yyyy-mm-dd")&amp;"|"&amp;D1925&amp;"|"&amp;E1925)</x:f>
        <x:v>2026-03-15|圣米伦|格拉斯哥流浪者</x:v>
      </x:c>
      <x:c r="B1925" s="66" t="n">
        <x:v>46096.833333333336</x:v>
      </x:c>
      <x:c r="C1925" s="65" t="str">
        <x:v>苏格兰超级联赛</x:v>
      </x:c>
      <x:c r="D1925" s="65" t="str">
        <x:v>圣米伦</x:v>
      </x:c>
      <x:c r="E1925" s="65" t="str">
        <x:v>格拉斯哥流浪者</x:v>
      </x:c>
      <x:c r="F1925" s="65" t="str">
        <x:v>格拉斯哥流浪者 -0.75（1.90-1.95）</x:v>
      </x:c>
      <x:c r="G1925" s="65" t="str">
        <x:v>小2.5（1.90左右可入）</x:v>
      </x:c>
      <x:c r="H1925" s="65" t="str">
        <x:v>可选/加仓：格拉斯哥流浪者 -1（2.00以上小注）</x:v>
      </x:c>
      <x:c r="I1925" s="66" t="n">
        <x:v>46096.86534722222</x:v>
      </x:c>
      <x:c r="J1925" s="65" t="str">
        <x:v>已结算</x:v>
      </x:c>
      <x:c r="K1925" s="65" t="str">
        <x:v>0-1</x:v>
      </x:c>
      <x:c r="L1925" s="65" t="str">
        <x:v>赢半</x:v>
      </x:c>
      <x:c r="M1925" s="65" t="str">
        <x:v>赢</x:v>
      </x:c>
      <x:c r="N1925" s="67" t="n">
        <x:v>0.5</x:v>
      </x:c>
      <x:c r="O1925" s="67" t="n">
        <x:v>1</x:v>
      </x:c>
      <x:c r="P1925" s="67" t="n">
        <x:f>IF(COUNT(N1925:O1925)=0,"",SUM(N1925:O1925))</x:f>
        <x:v>1.5</x:v>
      </x:c>
      <x:c r="Q1925" s="65"/>
      <x:c r="R1925" s="65" t="str">
        <x:v>赛果：圣米伦 0-1 格拉斯哥流浪者；让球：格拉斯哥流浪者 -0.75 赢半；大小：小2.5 命中。</x:v>
      </x:c>
    </x:row>
    <x:row r="1926" ht="24" customHeight="1">
      <x:c r="A1926" s="65" t="str">
        <x:f>IF(B1926="","",TEXT(B1926,"yyyy-mm-dd")&amp;"|"&amp;D1926&amp;"|"&amp;E1926)</x:f>
        <x:v>2026-03-15|河南|云南玉昆</x:v>
      </x:c>
      <x:c r="B1926" s="66" t="n">
        <x:v>46096.81597222222</x:v>
      </x:c>
      <x:c r="C1926" s="65" t="str">
        <x:v>中国足球超级联赛</x:v>
      </x:c>
      <x:c r="D1926" s="65" t="str">
        <x:v>河南</x:v>
      </x:c>
      <x:c r="E1926" s="65" t="str">
        <x:v>云南玉昆</x:v>
      </x:c>
      <x:c r="F1926" s="65" t="str">
        <x:v>河南 平手（DNB，0）@1.85以上可入</x:v>
      </x:c>
      <x:c r="G1926" s="65" t="str">
        <x:v>小2.25（1.88-1.95）</x:v>
      </x:c>
      <x:c r="H1926" s="65" t="str">
        <x:v>可选/加仓：平局（3.10以上小注）</x:v>
      </x:c>
      <x:c r="I1926" s="66" t="n">
        <x:v>46096.6078587963</x:v>
      </x:c>
      <x:c r="J1926" s="65" t="str">
        <x:v>已结算</x:v>
      </x:c>
      <x:c r="K1926" s="65" t="str">
        <x:v>2-1</x:v>
      </x:c>
      <x:c r="L1926" s="65" t="str">
        <x:v>赢</x:v>
      </x:c>
      <x:c r="M1926" s="65" t="str">
        <x:v>输</x:v>
      </x:c>
      <x:c r="N1926" s="67" t="n">
        <x:v>1</x:v>
      </x:c>
      <x:c r="O1926" s="67" t="n">
        <x:v>-1</x:v>
      </x:c>
      <x:c r="P1926" s="67" t="n">
        <x:f>IF(COUNT(N1926:O1926)=0,"",SUM(N1926:O1926))</x:f>
        <x:v>0</x:v>
      </x:c>
      <x:c r="Q1926" s="65"/>
      <x:c r="R1926" s="65" t="str">
        <x:v>赛果：河南 2-1 云南玉昆；让球：河南 平手（DNB，0）命中；大小：小2.25 未命中。</x:v>
      </x:c>
    </x:row>
    <x:row r="1927" ht="24" customHeight="1">
      <x:c r="A1927" s="65" t="str">
        <x:f>IF(B1927="","",TEXT(B1927,"yyyy-mm-dd")&amp;"|"&amp;D1927&amp;"|"&amp;E1927)</x:f>
        <x:v>2026-03-15|东北联|詹谢普尔FC</x:v>
      </x:c>
      <x:c r="B1927" s="66" t="n">
        <x:v>46096.8125</x:v>
      </x:c>
      <x:c r="C1927" s="65" t="str">
        <x:v>印度超级联赛（Indian Super League）</x:v>
      </x:c>
      <x:c r="D1927" s="65" t="str">
        <x:v>东北联</x:v>
      </x:c>
      <x:c r="E1927" s="65" t="str">
        <x:v>詹谢普尔FC</x:v>
      </x:c>
      <x:c r="F1927" s="65" t="str">
        <x:v>詹谢普尔FC -0.25（1.90-2.00）</x:v>
      </x:c>
      <x:c r="G1927" s="65" t="str">
        <x:v>小2.5（1.85-1.95）</x:v>
      </x:c>
      <x:c r="H1927" s="65" t="str">
        <x:v>可选/加仓：詹谢普尔FC 平手（DNB，0）@1.75以上保守入</x:v>
      </x:c>
      <x:c r="I1927" s="66" t="n">
        <x:v>46096.83230324074</x:v>
      </x:c>
      <x:c r="J1927" s="65" t="str">
        <x:v>已结算</x:v>
      </x:c>
      <x:c r="K1927" s="65" t="str">
        <x:v>2-1</x:v>
      </x:c>
      <x:c r="L1927" s="65" t="str">
        <x:v>输</x:v>
      </x:c>
      <x:c r="M1927" s="65" t="str">
        <x:v>输</x:v>
      </x:c>
      <x:c r="N1927" s="67" t="n">
        <x:v>-1</x:v>
      </x:c>
      <x:c r="O1927" s="67" t="n">
        <x:v>-1</x:v>
      </x:c>
      <x:c r="P1927" s="67" t="n">
        <x:f>IF(COUNT(N1927:O1927)=0,"",SUM(N1927:O1927))</x:f>
        <x:v>-2</x:v>
      </x:c>
      <x:c r="Q1927" s="65"/>
      <x:c r="R1927" s="65" t="str">
        <x:v>赛果：东北联 2-1 詹谢普尔FC；让球：詹谢普尔FC -0.25 未命中；大小：小2.5 未命中。</x:v>
      </x:c>
    </x:row>
    <x:row r="1928" ht="24" customHeight="1">
      <x:c r="A1928" s="65" t="str">
        <x:f>IF(B1928="","",TEXT(B1928,"yyyy-mm-dd")&amp;"|"&amp;D1928&amp;"|"&amp;E1928)</x:f>
        <x:v>2026-03-15|上海海港|青岛西海岸</x:v>
      </x:c>
      <x:c r="B1928" s="66" t="n">
        <x:v>46096.791666666664</x:v>
      </x:c>
      <x:c r="C1928" s="65" t="str">
        <x:v>中国足球超级联赛</x:v>
      </x:c>
      <x:c r="D1928" s="65" t="str">
        <x:v>上海海港</x:v>
      </x:c>
      <x:c r="E1928" s="65" t="str">
        <x:v>青岛西海岸</x:v>
      </x:c>
      <x:c r="F1928" s="65" t="str">
        <x:v>青岛西海岸 +1.25（1.85-1.95）</x:v>
      </x:c>
      <x:c r="G1928" s="65" t="str">
        <x:v>小3.25（1.85-1.95）</x:v>
      </x:c>
      <x:c r="H1928" s="65" t="str">
        <x:v>可选/加仓：青岛西海岸 +1（1.95左右可入）</x:v>
      </x:c>
      <x:c r="I1928" s="66" t="n">
        <x:v>46096.78576388889</x:v>
      </x:c>
      <x:c r="J1928" s="65" t="str">
        <x:v>已结算</x:v>
      </x:c>
      <x:c r="K1928" s="65" t="str">
        <x:v>4-1</x:v>
      </x:c>
      <x:c r="L1928" s="65" t="str">
        <x:v>输</x:v>
      </x:c>
      <x:c r="M1928" s="65" t="str">
        <x:v>输</x:v>
      </x:c>
      <x:c r="N1928" s="67" t="n">
        <x:v>-1</x:v>
      </x:c>
      <x:c r="O1928" s="67" t="n">
        <x:v>-1</x:v>
      </x:c>
      <x:c r="P1928" s="67" t="n">
        <x:f>IF(COUNT(N1928:O1928)=0,"",SUM(N1928:O1928))</x:f>
        <x:v>-2</x:v>
      </x:c>
      <x:c r="Q1928" s="65"/>
      <x:c r="R1928" s="65" t="str">
        <x:v>赛果：上海海港 4-1 青岛西海岸；让球：青岛西海岸 +1.25 未命中；大小：小3.25 未命中。</x:v>
      </x:c>
    </x:row>
    <x:row r="1929" ht="24" customHeight="1">
      <x:c r="A1929" s="65" t="str">
        <x:f>IF(B1929="","",TEXT(B1929,"yyyy-mm-dd")&amp;"|"&amp;D1929&amp;"|"&amp;E1929)</x:f>
        <x:v>2026-03-15|墨尔本胜利|麦克阿瑟FC（Macarthur FC）</x:v>
      </x:c>
      <x:c r="B1929" s="66" t="n">
        <x:v>46096.666666666664</x:v>
      </x:c>
      <x:c r="C1929" s="65" t="str">
        <x:v>澳大利亚A联赛（A-League Men）</x:v>
      </x:c>
      <x:c r="D1929" s="65" t="str">
        <x:v>墨尔本胜利</x:v>
      </x:c>
      <x:c r="E1929" s="65" t="str">
        <x:v>麦克阿瑟FC（Macarthur FC）</x:v>
      </x:c>
      <x:c r="F1929" s="65" t="str">
        <x:v>墨尔本胜利 -0.75（1.85-1.95）</x:v>
      </x:c>
      <x:c r="G1929" s="65" t="str">
        <x:v>大3.25（1.87-2.03）</x:v>
      </x:c>
      <x:c r="H1929" s="65" t="str">
        <x:v>可选/加仓：墨尔本胜利 -1（2.05以上小注）</x:v>
      </x:c>
      <x:c r="I1929" s="66" t="n">
        <x:v>46096.641331018516</x:v>
      </x:c>
      <x:c r="J1929" s="65" t="str">
        <x:v>已结算</x:v>
      </x:c>
      <x:c r="K1929" s="65" t="str">
        <x:v>4-1</x:v>
      </x:c>
      <x:c r="L1929" s="65" t="str">
        <x:v>赢</x:v>
      </x:c>
      <x:c r="M1929" s="65" t="str">
        <x:v>赢</x:v>
      </x:c>
      <x:c r="N1929" s="67" t="n">
        <x:v>1</x:v>
      </x:c>
      <x:c r="O1929" s="67" t="n">
        <x:v>1</x:v>
      </x:c>
      <x:c r="P1929" s="67" t="n">
        <x:f>IF(COUNT(N1929:O1929)=0,"",SUM(N1929:O1929))</x:f>
        <x:v>2</x:v>
      </x:c>
      <x:c r="Q1929" s="65"/>
      <x:c r="R1929" s="65" t="str">
        <x:v>赛果：墨尔本胜利 4-1 麦克阿瑟FC；让球：墨尔本胜利 -0.75 命中；大小：大3.25 命中。</x:v>
      </x:c>
    </x:row>
    <x:row r="1930" ht="24" customHeight="1">
      <x:c r="A1930" s="65" t="str">
        <x:f>IF(B1930="","",TEXT(B1930,"yyyy-mm-dd")&amp;"|"&amp;D1930&amp;"|"&amp;E1930)</x:f>
        <x:v>2026-03-15|黑镇市（Blacktown City）|马可尼（Marconi Stallions）</x:v>
      </x:c>
      <x:c r="B1930" s="66" t="n">
        <x:v>46096.5</x:v>
      </x:c>
      <x:c r="C1930" s="65" t="str">
        <x:v>澳大利亚 维多利亚州超级联赛1（VPL1）</x:v>
      </x:c>
      <x:c r="D1930" s="65" t="str">
        <x:v>黑镇市（Blacktown City）</x:v>
      </x:c>
      <x:c r="E1930" s="65" t="str">
        <x:v>马可尼（Marconi Stallions）</x:v>
      </x:c>
      <x:c r="F1930" s="65" t="str">
        <x:v>马可尼（Marconi Stallions） -0.25（1.90-2.00）</x:v>
      </x:c>
      <x:c r="G1930" s="65" t="str">
        <x:v>大3.0（1.85-1.95）</x:v>
      </x:c>
      <x:c r="H1930" s="65" t="str">
        <x:v>可选/加仓：马可尼（Marconi Stallions） 胜（2.00以上可入）</x:v>
      </x:c>
      <x:c r="I1930" s="66" t="n">
        <x:v>46096.516550925924</x:v>
      </x:c>
      <x:c r="J1930" s="65" t="str">
        <x:v>已结算</x:v>
      </x:c>
      <x:c r="K1930" s="65" t="str">
        <x:v>0-1</x:v>
      </x:c>
      <x:c r="L1930" s="65" t="str">
        <x:v>赢</x:v>
      </x:c>
      <x:c r="M1930" s="65" t="str">
        <x:v>输</x:v>
      </x:c>
      <x:c r="N1930" s="67" t="n">
        <x:v>1</x:v>
      </x:c>
      <x:c r="O1930" s="67" t="n">
        <x:v>-1</x:v>
      </x:c>
      <x:c r="P1930" s="67" t="n">
        <x:f>IF(COUNT(N1930:O1930)=0,"",SUM(N1930:O1930))</x:f>
        <x:v>0</x:v>
      </x:c>
      <x:c r="Q1930" s="65"/>
      <x:c r="R1930" s="65" t="str">
        <x:v>赛果：黑镇市 0-1 马可尼；让球：马可尼 -0.25 命中；大小：大3.0 未命中。</x:v>
      </x:c>
    </x:row>
    <x:row r="1931" ht="24" customHeight="1">
      <x:c r="A1931" s="65" t="str">
        <x:f>IF(B1931="","",TEXT(B1931,"yyyy-mm-dd")&amp;"|"&amp;D1931&amp;"|"&amp;E1931)</x:f>
        <x:v>2026-03-15|多拉多斯（Dorados de Sinaloa）|瓜达拉哈拉大学（Leones Negros UdeG）</x:v>
      </x:c>
      <x:c r="B1931" s="66" t="n">
        <x:v>46096.458333333336</x:v>
      </x:c>
      <x:c r="C1931" s="65" t="str">
        <x:v>墨西哥甲级扩展联赛（Liga de Expansión MX）</x:v>
      </x:c>
      <x:c r="D1931" s="65" t="str">
        <x:v>多拉多斯（Dorados de Sinaloa）</x:v>
      </x:c>
      <x:c r="E1931" s="65" t="str">
        <x:v>瓜达拉哈拉大学（Leones Negros UdeG）</x:v>
      </x:c>
      <x:c r="F1931" s="65" t="str">
        <x:v>瓜达拉哈拉大学（Leones Negros UdeG） +0.25（1.85-1.95）</x:v>
      </x:c>
      <x:c r="G1931" s="65" t="str">
        <x:v>小2.5（1.85-1.95）</x:v>
      </x:c>
      <x:c r="H1931" s="65" t="str">
        <x:v>可选/加仓：平局（3.20以上小注）</x:v>
      </x:c>
      <x:c r="I1931" s="66" t="n">
        <x:v>46096.4737962963</x:v>
      </x:c>
      <x:c r="J1931" s="65" t="str">
        <x:v>已结算</x:v>
      </x:c>
      <x:c r="K1931" s="65" t="str">
        <x:v>1-1</x:v>
      </x:c>
      <x:c r="L1931" s="65" t="str">
        <x:v>赢半</x:v>
      </x:c>
      <x:c r="M1931" s="65" t="str">
        <x:v>赢</x:v>
      </x:c>
      <x:c r="N1931" s="67" t="n">
        <x:v>0.5</x:v>
      </x:c>
      <x:c r="O1931" s="67" t="n">
        <x:v>1</x:v>
      </x:c>
      <x:c r="P1931" s="67" t="n">
        <x:f>IF(COUNT(N1931:O1931)=0,"",SUM(N1931:O1931))</x:f>
        <x:v>1.5</x:v>
      </x:c>
      <x:c r="Q1931" s="65"/>
      <x:c r="R1931" s="65" t="str">
        <x:v>赛果：多拉多斯 1-1 瓜达拉哈拉大学；让球：瓜达拉哈拉大学 +0.25 赢半；大小：小2.5 命中。</x:v>
      </x:c>
    </x:row>
    <x:row r="1932" ht="24" customHeight="1">
      <x:c r="A1932" s="65" t="str">
        <x:f>IF(B1932="","",TEXT(B1932,"yyyy-mm-dd")&amp;"|"&amp;D1932&amp;"|"&amp;E1932)</x:f>
        <x:v>2026-03-15|圣塔菲（Independiente Santa Fe）|阿利安萨FC（Alianza FC）</x:v>
      </x:c>
      <x:c r="B1932" s="66" t="n">
        <x:v>46096.395833333336</x:v>
      </x:c>
      <x:c r="C1932" s="65" t="str">
        <x:v>哥伦比亚甲级联赛（Liga BetPlay DIMAYOR）</x:v>
      </x:c>
      <x:c r="D1932" s="65" t="str">
        <x:v>圣塔菲（Independiente Santa Fe）</x:v>
      </x:c>
      <x:c r="E1932" s="65" t="str">
        <x:v>阿利安萨FC（Alianza FC）</x:v>
      </x:c>
      <x:c r="F1932" s="65" t="str">
        <x:v>圣塔菲（Independiente Santa Fe） -0.75（1.90-1.98）</x:v>
      </x:c>
      <x:c r="G1932" s="65" t="str">
        <x:v>小2.0（2.00左右可入）</x:v>
      </x:c>
      <x:c r="H1932" s="65" t="str">
        <x:v>可选/加仓：圣塔菲零封获胜（2.40以上小注）</x:v>
      </x:c>
      <x:c r="I1932" s="66" t="n">
        <x:v>46096.4053125</x:v>
      </x:c>
      <x:c r="J1932" s="65" t="str">
        <x:v>已结算</x:v>
      </x:c>
      <x:c r="K1932" s="65" t="str">
        <x:v>1-1</x:v>
      </x:c>
      <x:c r="L1932" s="65" t="str">
        <x:v>输</x:v>
      </x:c>
      <x:c r="M1932" s="65" t="str">
        <x:v>走水</x:v>
      </x:c>
      <x:c r="N1932" s="67" t="n">
        <x:v>-1</x:v>
      </x:c>
      <x:c r="O1932" s="67" t="n">
        <x:v>0</x:v>
      </x:c>
      <x:c r="P1932" s="67" t="n">
        <x:f>IF(COUNT(N1932:O1932)=0,"",SUM(N1932:O1932))</x:f>
        <x:v>-1</x:v>
      </x:c>
      <x:c r="Q1932" s="65"/>
      <x:c r="R1932" s="65" t="str">
        <x:v>赛果：圣塔菲 1-1 阿利安萨FC；让球：圣塔菲 -0.75 未命中；大小：小2.0 走水。</x:v>
      </x:c>
    </x:row>
    <x:row r="1933" ht="24" customHeight="1">
      <x:c r="A1933" s="65" t="str">
        <x:f>IF(B1933="","",TEXT(B1933,"yyyy-mm-dd")&amp;"|"&amp;D1933&amp;"|"&amp;E1933)</x:f>
        <x:v>2026-03-15|坎昆FC|拉巴斯竞技</x:v>
      </x:c>
      <x:c r="B1933" s="66" t="n">
        <x:v>46096.375</x:v>
      </x:c>
      <x:c r="C1933" s="65" t="str">
        <x:v>墨西哥甲级扩展联赛（Liga de Expansión MX）</x:v>
      </x:c>
      <x:c r="D1933" s="65" t="str">
        <x:v>坎昆FC</x:v>
      </x:c>
      <x:c r="E1933" s="65" t="str">
        <x:v>拉巴斯竞技</x:v>
      </x:c>
      <x:c r="F1933" s="65" t="str">
        <x:v>坎昆FC -0.25（1.90-2.00）</x:v>
      </x:c>
      <x:c r="G1933" s="65" t="str">
        <x:v>大2.5（1.95-2.05）</x:v>
      </x:c>
      <x:c r="H1933" s="65" t="str">
        <x:v>可选/加仓：坎昆FC 胜（1.80以上可入）</x:v>
      </x:c>
      <x:c r="I1933" s="66" t="n">
        <x:v>46096.387083333335</x:v>
      </x:c>
      <x:c r="J1933" s="65" t="str">
        <x:v>已结算</x:v>
      </x:c>
      <x:c r="K1933" s="65" t="str">
        <x:v>1-1</x:v>
      </x:c>
      <x:c r="L1933" s="65" t="str">
        <x:v>输半</x:v>
      </x:c>
      <x:c r="M1933" s="65" t="str">
        <x:v>输</x:v>
      </x:c>
      <x:c r="N1933" s="67" t="n">
        <x:v>-0.5</x:v>
      </x:c>
      <x:c r="O1933" s="67" t="n">
        <x:v>-1</x:v>
      </x:c>
      <x:c r="P1933" s="67" t="n">
        <x:f>IF(COUNT(N1933:O1933)=0,"",SUM(N1933:O1933))</x:f>
        <x:v>-1.5</x:v>
      </x:c>
      <x:c r="Q1933" s="65"/>
      <x:c r="R1933" s="65" t="str">
        <x:v>赛果：坎昆FC 1-1 拉巴斯竞技；让球：坎昆FC -0.25 输半；大小：大2.5 未命中。</x:v>
      </x:c>
    </x:row>
    <x:row r="1934" ht="24" customHeight="1">
      <x:c r="A1934" s="65" t="str">
        <x:f>IF(B1934="","",TEXT(B1934,"yyyy-mm-dd")&amp;"|"&amp;D1934&amp;"|"&amp;E1934)</x:f>
        <x:v>2026-03-15|托卢卡|阿特拉斯</x:v>
      </x:c>
      <x:c r="B1934" s="66" t="n">
        <x:v>46096.375</x:v>
      </x:c>
      <x:c r="C1934" s="65" t="str">
        <x:v>墨西哥超（Liga MX，Clausura）</x:v>
      </x:c>
      <x:c r="D1934" s="65" t="str">
        <x:v>托卢卡</x:v>
      </x:c>
      <x:c r="E1934" s="65" t="str">
        <x:v>阿特拉斯</x:v>
      </x:c>
      <x:c r="F1934" s="65" t="str">
        <x:v>托卢卡 -1.25（1.90-2.00）</x:v>
      </x:c>
      <x:c r="G1934" s="65" t="str">
        <x:v>大2.75（1.90左右可入）</x:v>
      </x:c>
      <x:c r="H1934" s="65" t="str">
        <x:v>可选/加仓：托卢卡 -1.5（2.20以上小注）</x:v>
      </x:c>
      <x:c r="I1934" s="66" t="n">
        <x:v>46096.381736111114</x:v>
      </x:c>
      <x:c r="J1934" s="65" t="str">
        <x:v>已结算</x:v>
      </x:c>
      <x:c r="K1934" s="65" t="str">
        <x:v>1-1</x:v>
      </x:c>
      <x:c r="L1934" s="65" t="str">
        <x:v>输</x:v>
      </x:c>
      <x:c r="M1934" s="65" t="str">
        <x:v>输</x:v>
      </x:c>
      <x:c r="N1934" s="67" t="n">
        <x:v>-1</x:v>
      </x:c>
      <x:c r="O1934" s="67" t="n">
        <x:v>-1</x:v>
      </x:c>
      <x:c r="P1934" s="67" t="n">
        <x:f>IF(COUNT(N1934:O1934)=0,"",SUM(N1934:O1934))</x:f>
        <x:v>-2</x:v>
      </x:c>
      <x:c r="Q1934" s="65"/>
      <x:c r="R1934" s="65" t="str">
        <x:v>赛果：托卢卡 1-1 阿特拉斯；让球：托卢卡 -1.25 未命中；大小：大2.75 未命中。</x:v>
      </x:c>
    </x:row>
    <x:row r="1935" ht="24" customHeight="1">
      <x:c r="A1935" s="65" t="str">
        <x:f>IF(B1935="","",TEXT(B1935,"yyyy-mm-dd")&amp;"|"&amp;D1935&amp;"|"&amp;E1935)</x:f>
        <x:v>2026-03-15|莱昂|蒂华纳</x:v>
      </x:c>
      <x:c r="B1935" s="66" t="n">
        <x:v>46096.375</x:v>
      </x:c>
      <x:c r="C1935" s="65" t="str">
        <x:v>墨西哥超（Liga MX，Clausura）</x:v>
      </x:c>
      <x:c r="D1935" s="65" t="str">
        <x:v>莱昂</x:v>
      </x:c>
      <x:c r="E1935" s="65" t="str">
        <x:v>蒂华纳</x:v>
      </x:c>
      <x:c r="F1935" s="65" t="str">
        <x:v>莱昂 -0.25（1.85-1.95）</x:v>
      </x:c>
      <x:c r="G1935" s="65" t="str">
        <x:v>大2.75（1.88-1.98）</x:v>
      </x:c>
      <x:c r="H1935" s="65" t="str">
        <x:v>可选/加仓：两队进球（BTTS）是（1.75以上可入）</x:v>
      </x:c>
      <x:c r="I1935" s="66" t="n">
        <x:v>46096.3797337963</x:v>
      </x:c>
      <x:c r="J1935" s="65" t="str">
        <x:v>已结算</x:v>
      </x:c>
      <x:c r="K1935" s="65" t="str">
        <x:v>0-3</x:v>
      </x:c>
      <x:c r="L1935" s="65" t="str">
        <x:v>输</x:v>
      </x:c>
      <x:c r="M1935" s="65" t="str">
        <x:v>赢半</x:v>
      </x:c>
      <x:c r="N1935" s="67" t="n">
        <x:v>-1</x:v>
      </x:c>
      <x:c r="O1935" s="67" t="n">
        <x:v>0.5</x:v>
      </x:c>
      <x:c r="P1935" s="67" t="n">
        <x:f>IF(COUNT(N1935:O1935)=0,"",SUM(N1935:O1935))</x:f>
        <x:v>-0.5</x:v>
      </x:c>
      <x:c r="Q1935" s="65"/>
      <x:c r="R1935" s="65" t="str">
        <x:v>复核赛果：莱昂 0-3 蒂华纳；让球：莱昂 -0.25=输；大小：大2.75=赢半（3球）。</x:v>
      </x:c>
    </x:row>
    <x:row r="1936" ht="24" customHeight="1">
      <x:c r="A1936" s="65" t="str">
        <x:f>IF(B1936="","",TEXT(B1936,"yyyy-mm-dd")&amp;"|"&amp;D1936&amp;"|"&amp;E1936)</x:f>
        <x:v>2026-03-15|茨高（Boyacá Chicó）|百万富翁</x:v>
      </x:c>
      <x:c r="B1936" s="66" t="n">
        <x:v>46096.305555555555</x:v>
      </x:c>
      <x:c r="C1936" s="65" t="str">
        <x:v>哥伦比亚甲级联赛（Liga BetPlay DIMAYOR）</x:v>
      </x:c>
      <x:c r="D1936" s="65" t="str">
        <x:v>茨高（Boyacá Chicó）</x:v>
      </x:c>
      <x:c r="E1936" s="65" t="str">
        <x:v>百万富翁</x:v>
      </x:c>
      <x:c r="F1936" s="65" t="str">
        <x:v>百万富翁 -0.75（1.90-1.95）</x:v>
      </x:c>
      <x:c r="G1936" s="65" t="str">
        <x:v>小2.0（1.85-1.95）</x:v>
      </x:c>
      <x:c r="H1936" s="65" t="str">
        <x:v>可选/加仓：百万富翁 -1（2.15以上小注）</x:v>
      </x:c>
      <x:c r="I1936" s="66" t="n">
        <x:v>46096.31893518518</x:v>
      </x:c>
      <x:c r="J1936" s="65" t="str">
        <x:v>已结算</x:v>
      </x:c>
      <x:c r="K1936" s="65" t="str">
        <x:v>2-1</x:v>
      </x:c>
      <x:c r="L1936" s="65" t="str">
        <x:v>输</x:v>
      </x:c>
      <x:c r="M1936" s="65" t="str">
        <x:v>输</x:v>
      </x:c>
      <x:c r="N1936" s="67" t="n">
        <x:v>-1</x:v>
      </x:c>
      <x:c r="O1936" s="67" t="n">
        <x:v>-1</x:v>
      </x:c>
      <x:c r="P1936" s="67" t="n">
        <x:f>IF(COUNT(N1936:O1936)=0,"",SUM(N1936:O1936))</x:f>
        <x:v>-2</x:v>
      </x:c>
      <x:c r="Q1936" s="65"/>
      <x:c r="R1936" s="65" t="str">
        <x:v>赛果：茨高 2-1 百万富翁；让球：百万富翁 -0.75 未命中；大小：小2.0 未命中。</x:v>
      </x:c>
    </x:row>
    <x:row r="1937" ht="24" customHeight="1">
      <x:c r="A1937" s="65" t="str">
        <x:f>IF(B1937="","",TEXT(B1937,"yyyy-mm-dd")&amp;"|"&amp;D1937&amp;"|"&amp;E1937)</x:f>
        <x:v>2026-03-15|瓜达拉哈拉（Chivas Guadalajara）|桑托斯拉古纳</x:v>
      </x:c>
      <x:c r="B1937" s="66" t="n">
        <x:v>46096.29652777778</x:v>
      </x:c>
      <x:c r="C1937" s="65" t="str">
        <x:v>墨西哥超（Liga MX，Clausura）</x:v>
      </x:c>
      <x:c r="D1937" s="65" t="str">
        <x:v>瓜达拉哈拉（Chivas Guadalajara）</x:v>
      </x:c>
      <x:c r="E1937" s="65" t="str">
        <x:v>桑托斯拉古纳</x:v>
      </x:c>
      <x:c r="F1937" s="65" t="str">
        <x:v>瓜达拉哈拉（Chivas Guadalajara） -1.25（1.90-2.00）</x:v>
      </x:c>
      <x:c r="G1937" s="65" t="str">
        <x:v>大2.75（1.88-1.96）</x:v>
      </x:c>
      <x:c r="H1937" s="65" t="str">
        <x:v>可选/加仓：瓜达拉哈拉（Chivas Guadalajara） -1.5（2.10以上小注）</x:v>
      </x:c>
      <x:c r="I1937" s="66" t="n">
        <x:v>46096.314363425925</x:v>
      </x:c>
      <x:c r="J1937" s="65" t="str">
        <x:v>已结算</x:v>
      </x:c>
      <x:c r="K1937" s="65" t="str">
        <x:v>3-0</x:v>
      </x:c>
      <x:c r="L1937" s="65" t="str">
        <x:v>赢</x:v>
      </x:c>
      <x:c r="M1937" s="65" t="str">
        <x:v>赢半</x:v>
      </x:c>
      <x:c r="N1937" s="67" t="n">
        <x:v>1</x:v>
      </x:c>
      <x:c r="O1937" s="67" t="n">
        <x:v>0.5</x:v>
      </x:c>
      <x:c r="P1937" s="67" t="n">
        <x:f>IF(COUNT(N1937:O1937)=0,"",SUM(N1937:O1937))</x:f>
        <x:v>1.5</x:v>
      </x:c>
      <x:c r="Q1937" s="65"/>
      <x:c r="R1937" s="65" t="str">
        <x:v>复核赛果：瓜达拉哈拉（Chivas Guadalajara） 3-0 桑托斯拉古纳；让球：瓜达拉哈拉 -1.25=赢；大小：大2.75=赢半（3球）。</x:v>
      </x:c>
    </x:row>
    <x:row r="1938" ht="24" customHeight="1">
      <x:c r="A1938" s="65" t="str">
        <x:f>IF(B1938="","",TEXT(B1938,"yyyy-mm-dd")&amp;"|"&amp;D1938&amp;"|"&amp;E1938)</x:f>
        <x:v>2026-03-15|罗萨里奥中央|班菲尔德</x:v>
      </x:c>
      <x:c r="B1938" s="66" t="n">
        <x:v>46096.291666666664</x:v>
      </x:c>
      <x:c r="C1938" s="65" t="str">
        <x:v>阿根廷职业联赛（Liga Profesional·Apertura）</x:v>
      </x:c>
      <x:c r="D1938" s="65" t="str">
        <x:v>罗萨里奥中央</x:v>
      </x:c>
      <x:c r="E1938" s="65" t="str">
        <x:v>班菲尔德</x:v>
      </x:c>
      <x:c r="F1938" s="65" t="str">
        <x:v>罗萨里奥中央 -0.5（1.80-1.90）</x:v>
      </x:c>
      <x:c r="G1938" s="65" t="str">
        <x:v>小2.25（1.88-1.95）</x:v>
      </x:c>
      <x:c r="H1938" s="65" t="str">
        <x:v>可选/加仓：罗萨里奥中央 胜且总进球小于3.5（2.30以上小注）</x:v>
      </x:c>
      <x:c r="I1938" s="66" t="n">
        <x:v>46096.34144675926</x:v>
      </x:c>
      <x:c r="J1938" s="65" t="str">
        <x:v>已结算</x:v>
      </x:c>
      <x:c r="K1938" s="65" t="str">
        <x:v>2-1</x:v>
      </x:c>
      <x:c r="L1938" s="65" t="str">
        <x:v>赢</x:v>
      </x:c>
      <x:c r="M1938" s="65" t="str">
        <x:v>输</x:v>
      </x:c>
      <x:c r="N1938" s="67" t="n">
        <x:v>1</x:v>
      </x:c>
      <x:c r="O1938" s="67" t="n">
        <x:v>-1</x:v>
      </x:c>
      <x:c r="P1938" s="67" t="n">
        <x:f>IF(COUNT(N1938:O1938)=0,"",SUM(N1938:O1938))</x:f>
        <x:v>0</x:v>
      </x:c>
      <x:c r="Q1938" s="65"/>
      <x:c r="R1938" s="65" t="str">
        <x:v>赛果：罗萨里奥中央 2-1 班菲尔德；让球：罗萨里奥中央 -0.5 命中；大小：小2.25 未命中。</x:v>
      </x:c>
    </x:row>
    <x:row r="1939" ht="24" customHeight="1">
      <x:c r="A1939" s="65" t="str">
        <x:f>IF(B1939="","",TEXT(B1939,"yyyy-mm-dd")&amp;"|"&amp;D1939&amp;"|"&amp;E1939)</x:f>
        <x:v>2026-03-15|圣路易斯竞技（Atlético de San Luis）|帕丘卡</x:v>
      </x:c>
      <x:c r="B1939" s="66" t="n">
        <x:v>46096.291666666664</x:v>
      </x:c>
      <x:c r="C1939" s="65" t="str">
        <x:v>墨西哥超（Liga MX，Clausura）</x:v>
      </x:c>
      <x:c r="D1939" s="65" t="str">
        <x:v>圣路易斯竞技（Atlético de San Luis）</x:v>
      </x:c>
      <x:c r="E1939" s="65" t="str">
        <x:v>帕丘卡</x:v>
      </x:c>
      <x:c r="F1939" s="65" t="str">
        <x:v>圣路易斯竞技（Atlético de San Luis） +0.25（1.90-2.00）</x:v>
      </x:c>
      <x:c r="G1939" s="65" t="str">
        <x:v>大2.5（1.88-1.95）</x:v>
      </x:c>
      <x:c r="H1939" s="65" t="str">
        <x:v>可选/加仓：两队进球（BTTS）是（1.70以上可入）</x:v>
      </x:c>
      <x:c r="I1939" s="66" t="n">
        <x:v>46096.306608796294</x:v>
      </x:c>
      <x:c r="J1939" s="65" t="str">
        <x:v>已结算</x:v>
      </x:c>
      <x:c r="K1939" s="65" t="str">
        <x:v>1-1</x:v>
      </x:c>
      <x:c r="L1939" s="65" t="str">
        <x:v>赢半</x:v>
      </x:c>
      <x:c r="M1939" s="65" t="str">
        <x:v>输</x:v>
      </x:c>
      <x:c r="N1939" s="67" t="n">
        <x:v>0.5</x:v>
      </x:c>
      <x:c r="O1939" s="67" t="n">
        <x:v>-1</x:v>
      </x:c>
      <x:c r="P1939" s="67" t="n">
        <x:f>IF(COUNT(N1939:O1939)=0,"",SUM(N1939:O1939))</x:f>
        <x:v>-0.5</x:v>
      </x:c>
      <x:c r="Q1939" s="65"/>
      <x:c r="R1939" s="65" t="str">
        <x:v>赛果：圣路易斯竞技 1-1 帕丘卡；让球：圣路易斯竞技 +0.25 赢半；大小：大2.5 未命中。</x:v>
      </x:c>
    </x:row>
    <x:row r="1940" ht="24" customHeight="1">
      <x:c r="A1940" s="65" t="str">
        <x:f>IF(B1940="","",TEXT(B1940,"yyyy-mm-dd")&amp;"|"&amp;D1940&amp;"|"&amp;E1940)</x:f>
        <x:v>2026-03-14|班加罗尔|莫亨巴根超级巨人</x:v>
      </x:c>
      <x:c r="B1940" s="66" t="n">
        <x:v>46095.916666666664</x:v>
      </x:c>
      <x:c r="C1940" s="65" t="str">
        <x:v>印度超级联赛（Indian Super League）</x:v>
      </x:c>
      <x:c r="D1940" s="65" t="str">
        <x:v>班加罗尔</x:v>
      </x:c>
      <x:c r="E1940" s="65" t="str">
        <x:v>莫亨巴根超级巨人</x:v>
      </x:c>
      <x:c r="F1940" s="65" t="str">
        <x:v>莫亨巴根超级巨人 -0.75（1.90-2.00）</x:v>
      </x:c>
      <x:c r="G1940" s="65" t="str">
        <x:v>大2.75（1.88-1.96）</x:v>
      </x:c>
      <x:c r="H1940" s="65" t="str">
        <x:v>可选/加仓：两队进球（BTTS）是（1.80以上可入）</x:v>
      </x:c>
      <x:c r="I1940" s="66" t="n">
        <x:v>46095.92748842593</x:v>
      </x:c>
      <x:c r="J1940" s="65" t="str">
        <x:v>已结算</x:v>
      </x:c>
      <x:c r="K1940" s="65" t="str">
        <x:v>0-0</x:v>
      </x:c>
      <x:c r="L1940" s="65" t="str">
        <x:v>输</x:v>
      </x:c>
      <x:c r="M1940" s="65" t="str">
        <x:v>输</x:v>
      </x:c>
      <x:c r="N1940" s="67" t="n">
        <x:v>-1</x:v>
      </x:c>
      <x:c r="O1940" s="67" t="n">
        <x:v>-1</x:v>
      </x:c>
      <x:c r="P1940" s="67" t="n">
        <x:f>IF(COUNT(N1940:O1940)=0,"",SUM(N1940:O1940))</x:f>
        <x:v>-2</x:v>
      </x:c>
      <x:c r="Q1940" s="65"/>
      <x:c r="R1940" s="65" t="str">
        <x:v>按匹配键重核：外部赛果列显示本场应按 0-0 结算；让球：莫亨巴根超级巨人 -0.75=输；大小：大2.75=输。</x:v>
      </x:c>
    </x:row>
    <x:row r="1941" ht="24" customHeight="1">
      <x:c r="A1941" s="65" t="str">
        <x:f>IF(B1941="","",TEXT(B1941,"yyyy-mm-dd")&amp;"|"&amp;D1941&amp;"|"&amp;E1941)</x:f>
        <x:v>2026-03-14|国际米兰|亚特兰大</x:v>
      </x:c>
      <x:c r="B1941" s="66" t="n">
        <x:v>46095.916666666664</x:v>
      </x:c>
      <x:c r="C1941" s="65" t="str">
        <x:v>意大利甲级联赛（Serie A）</x:v>
      </x:c>
      <x:c r="D1941" s="65" t="str">
        <x:v>国际米兰</x:v>
      </x:c>
      <x:c r="E1941" s="65" t="str">
        <x:v>亚特兰大</x:v>
      </x:c>
      <x:c r="F1941" s="65" t="str">
        <x:v>国际米兰 -0.75（1.90-1.98）</x:v>
      </x:c>
      <x:c r="G1941" s="65" t="str">
        <x:v>小2.75（1.90-1.98）</x:v>
      </x:c>
      <x:c r="H1941" s="65" t="str">
        <x:v>可选/加仓：国际米兰 -1（2.05以上小注）</x:v>
      </x:c>
      <x:c r="I1941" s="66" t="n">
        <x:v>46095.92549768519</x:v>
      </x:c>
      <x:c r="J1941" s="65" t="str">
        <x:v>已结算</x:v>
      </x:c>
      <x:c r="K1941" s="65" t="str">
        <x:v>1-1</x:v>
      </x:c>
      <x:c r="L1941" s="65" t="str">
        <x:v>输</x:v>
      </x:c>
      <x:c r="M1941" s="65" t="str">
        <x:v>赢</x:v>
      </x:c>
      <x:c r="N1941" s="67" t="n">
        <x:v>-1</x:v>
      </x:c>
      <x:c r="O1941" s="67" t="n">
        <x:v>1</x:v>
      </x:c>
      <x:c r="P1941" s="67" t="n">
        <x:f>IF(COUNT(N1941:O1941)=0,"",SUM(N1941:O1941))</x:f>
        <x:v>0</x:v>
      </x:c>
      <x:c r="Q1941" s="65"/>
      <x:c r="R1941" s="65" t="str">
        <x:v>按匹配键重核：外部赛果列显示本场应按 1-1 结算；让球：国际米兰 -0.75=输；大小：小2.75=赢。</x:v>
      </x:c>
    </x:row>
    <x:row r="1942" ht="24" customHeight="1">
      <x:c r="A1942" s="65" t="str">
        <x:f>IF(B1942="","",TEXT(B1942,"yyyy-mm-dd")&amp;"|"&amp;D1942&amp;"|"&amp;E1942)</x:f>
        <x:v>2026-03-14|米德尔斯堡|布里斯托尔城</x:v>
      </x:c>
      <x:c r="B1942" s="66" t="n">
        <x:v>46095.854166666664</x:v>
      </x:c>
      <x:c r="C1942" s="65" t="str">
        <x:v>英格兰冠军联赛（英冠）</x:v>
      </x:c>
      <x:c r="D1942" s="65" t="str">
        <x:v>米德尔斯堡</x:v>
      </x:c>
      <x:c r="E1942" s="65" t="str">
        <x:v>布里斯托尔城</x:v>
      </x:c>
      <x:c r="F1942" s="65" t="str">
        <x:v>米德尔斯堡 -1.25（1.83-2.00）</x:v>
      </x:c>
      <x:c r="G1942" s="65" t="str">
        <x:v>小3.0（1.95-2.02）</x:v>
      </x:c>
      <x:c r="H1942" s="65" t="str">
        <x:v>可选/加仓：米德尔斯堡 -1.5（2.20左右小注）</x:v>
      </x:c>
      <x:c r="I1942" s="66" t="n">
        <x:v>46095.84442129629</x:v>
      </x:c>
      <x:c r="J1942" s="65" t="str">
        <x:v>已结算</x:v>
      </x:c>
      <x:c r="K1942" s="65" t="str">
        <x:v>1-1</x:v>
      </x:c>
      <x:c r="L1942" s="65" t="str">
        <x:v>输</x:v>
      </x:c>
      <x:c r="M1942" s="65" t="str">
        <x:v>赢</x:v>
      </x:c>
      <x:c r="N1942" s="67" t="n">
        <x:v>-1</x:v>
      </x:c>
      <x:c r="O1942" s="67" t="n">
        <x:v>1</x:v>
      </x:c>
      <x:c r="P1942" s="67" t="n">
        <x:f>IF(COUNT(N1942:O1942)=0,"",SUM(N1942:O1942))</x:f>
        <x:v>0</x:v>
      </x:c>
      <x:c r="Q1942" s="65"/>
      <x:c r="R1942" s="65" t="str">
        <x:v>赛果：米德尔斯堡 1-1 布里斯托尔城；让球：米德尔斯堡 -1.25 未命中；大小：小3.0 命中。</x:v>
      </x:c>
    </x:row>
    <x:row r="1943" ht="24" customHeight="1">
      <x:c r="A1943" s="65" t="str">
        <x:f>IF(B1943="","",TEXT(B1943,"yyyy-mm-dd")&amp;"|"&amp;D1943&amp;"|"&amp;E1943)</x:f>
        <x:v>2026-03-14|牛津联|查尔顿竞技</x:v>
      </x:c>
      <x:c r="B1943" s="66" t="n">
        <x:v>46095.854166666664</x:v>
      </x:c>
      <x:c r="C1943" s="65" t="str">
        <x:v>英格兰冠军联赛（英冠）</x:v>
      </x:c>
      <x:c r="D1943" s="65" t="str">
        <x:v>牛津联</x:v>
      </x:c>
      <x:c r="E1943" s="65" t="str">
        <x:v>查尔顿竞技</x:v>
      </x:c>
      <x:c r="F1943" s="65" t="str">
        <x:v>牛津联 -0.25（1.88左右可入）</x:v>
      </x:c>
      <x:c r="G1943" s="65" t="str">
        <x:v>小2.25（1.83以上可入）</x:v>
      </x:c>
      <x:c r="H1943" s="65" t="str">
        <x:v>可选/加仓：牛津联 平手（DNB，0）@1.60以上保守入</x:v>
      </x:c>
      <x:c r="I1943" s="66" t="n">
        <x:v>46095.840625</x:v>
      </x:c>
      <x:c r="J1943" s="65" t="str">
        <x:v>已结算</x:v>
      </x:c>
      <x:c r="K1943" s="65" t="str">
        <x:v>1-1</x:v>
      </x:c>
      <x:c r="L1943" s="65" t="str">
        <x:v>输半</x:v>
      </x:c>
      <x:c r="M1943" s="65" t="str">
        <x:v>赢半</x:v>
      </x:c>
      <x:c r="N1943" s="67" t="n">
        <x:v>-0.5</x:v>
      </x:c>
      <x:c r="O1943" s="67" t="n">
        <x:v>0.5</x:v>
      </x:c>
      <x:c r="P1943" s="67" t="n">
        <x:f>IF(COUNT(N1943:O1943)=0,"",SUM(N1943:O1943))</x:f>
        <x:v>0</x:v>
      </x:c>
      <x:c r="Q1943" s="65"/>
      <x:c r="R1943" s="65" t="str">
        <x:v>复核赛果：牛津联 1-1 查尔顿竞技；让球：牛津联 -0.25=输半；大小：小2.25=赢半。</x:v>
      </x:c>
    </x:row>
    <x:row r="1944" ht="24" customHeight="1">
      <x:c r="A1944" s="65" t="str">
        <x:f>IF(B1944="","",TEXT(B1944,"yyyy-mm-dd")&amp;"|"&amp;D1944&amp;"|"&amp;E1944)</x:f>
        <x:v>2026-03-14|比勒菲尔德|帕德博恩</x:v>
      </x:c>
      <x:c r="B1944" s="66" t="n">
        <x:v>46095.833333333336</x:v>
      </x:c>
      <x:c r="C1944" s="65" t="str">
        <x:v>德国乙级联赛（2. Bundesliga）</x:v>
      </x:c>
      <x:c r="D1944" s="65" t="str">
        <x:v>比勒菲尔德</x:v>
      </x:c>
      <x:c r="E1944" s="65" t="str">
        <x:v>帕德博恩</x:v>
      </x:c>
      <x:c r="F1944" s="65" t="str">
        <x:v>帕德博恩 平手（DNB，0）@1.80-1.90可入</x:v>
      </x:c>
      <x:c r="G1944" s="65" t="str">
        <x:v>大2.5（1.80以上可入）</x:v>
      </x:c>
      <x:c r="H1944" s="65" t="str">
        <x:v>可选/加仓：帕德博恩 胜（2.40以上小注）</x:v>
      </x:c>
      <x:c r="I1944" s="66" t="n">
        <x:v>46095.82071759259</x:v>
      </x:c>
      <x:c r="J1944" s="65" t="str">
        <x:v>已结算</x:v>
      </x:c>
      <x:c r="K1944" s="65" t="str">
        <x:v>2-2</x:v>
      </x:c>
      <x:c r="L1944" s="65" t="str">
        <x:v>走水</x:v>
      </x:c>
      <x:c r="M1944" s="65" t="str">
        <x:v>赢</x:v>
      </x:c>
      <x:c r="N1944" s="67" t="n">
        <x:v>0</x:v>
      </x:c>
      <x:c r="O1944" s="67" t="n">
        <x:v>1</x:v>
      </x:c>
      <x:c r="P1944" s="67" t="n">
        <x:f>IF(COUNT(N1944:O1944)=0,"",SUM(N1944:O1944))</x:f>
        <x:v>1</x:v>
      </x:c>
      <x:c r="Q1944" s="65"/>
      <x:c r="R1944" s="65" t="str">
        <x:v>赛果：比勒菲尔德 2-2 帕德博恩；让球：帕德博恩 平手（DNB，0）走水；大小：大2.5 命中。</x:v>
      </x:c>
    </x:row>
    <x:row r="1945" ht="24" customHeight="1">
      <x:c r="A1945" s="65" t="str">
        <x:f>IF(B1945="","",TEXT(B1945,"yyyy-mm-dd")&amp;"|"&amp;D1945&amp;"|"&amp;E1945)</x:f>
        <x:v>2026-03-14|布伦瑞克（Eintracht Braunschweig）|杜塞尔多夫</x:v>
      </x:c>
      <x:c r="B1945" s="66" t="n">
        <x:v>46095.833333333336</x:v>
      </x:c>
      <x:c r="C1945" s="65" t="str">
        <x:v>德国乙级联赛（2. Bundesliga）</x:v>
      </x:c>
      <x:c r="D1945" s="65" t="str">
        <x:v>布伦瑞克（Eintracht Braunschweig）</x:v>
      </x:c>
      <x:c r="E1945" s="65" t="str">
        <x:v>杜塞尔多夫</x:v>
      </x:c>
      <x:c r="F1945" s="65" t="str">
        <x:v>布伦瑞克（Eintracht Braunschweig） 平手（DNB，0）@2.00以上可入</x:v>
      </x:c>
      <x:c r="G1945" s="65" t="str">
        <x:v>小2.5（1.95-2.05）</x:v>
      </x:c>
      <x:c r="H1945" s="65" t="str">
        <x:v>可选/加仓：平局（3.30以上小注）</x:v>
      </x:c>
      <x:c r="I1945" s="66" t="n">
        <x:v>46095.81857638889</x:v>
      </x:c>
      <x:c r="J1945" s="65" t="str">
        <x:v>已结算</x:v>
      </x:c>
      <x:c r="K1945" s="65" t="str">
        <x:v>1-0</x:v>
      </x:c>
      <x:c r="L1945" s="65" t="str">
        <x:v>赢</x:v>
      </x:c>
      <x:c r="M1945" s="65" t="str">
        <x:v>赢</x:v>
      </x:c>
      <x:c r="N1945" s="67" t="n">
        <x:v>1</x:v>
      </x:c>
      <x:c r="O1945" s="67" t="n">
        <x:v>1</x:v>
      </x:c>
      <x:c r="P1945" s="67" t="n">
        <x:f>IF(COUNT(N1945:O1945)=0,"",SUM(N1945:O1945))</x:f>
        <x:v>2</x:v>
      </x:c>
      <x:c r="Q1945" s="65"/>
      <x:c r="R1945" s="65" t="str">
        <x:v>赛果：布伦瑞克 1-0 杜塞尔多夫；让球：布伦瑞克 平手（DNB，0）命中；大小：小2.5 命中。</x:v>
      </x:c>
    </x:row>
    <x:row r="1946" ht="24" customHeight="1">
      <x:c r="A1946" s="65" t="str">
        <x:f>IF(B1946="","",TEXT(B1946,"yyyy-mm-dd")&amp;"|"&amp;D1946&amp;"|"&amp;E1946)</x:f>
        <x:v>2026-03-14|荷尔施泰因基尔|纽伦堡</x:v>
      </x:c>
      <x:c r="B1946" s="66" t="n">
        <x:v>46095.833333333336</x:v>
      </x:c>
      <x:c r="C1946" s="65" t="str">
        <x:v>德国乙级联赛（2. Bundesliga）</x:v>
      </x:c>
      <x:c r="D1946" s="65" t="str">
        <x:v>荷尔施泰因基尔</x:v>
      </x:c>
      <x:c r="E1946" s="65" t="str">
        <x:v>纽伦堡</x:v>
      </x:c>
      <x:c r="F1946" s="65" t="str">
        <x:v>纽伦堡 平手（DNB，0）@2.00左右可入</x:v>
      </x:c>
      <x:c r="G1946" s="65" t="str">
        <x:v>小2.5（2.00左右可入）</x:v>
      </x:c>
      <x:c r="H1946" s="65" t="str">
        <x:v>可选/加仓：平局（3.30以上小注）</x:v>
      </x:c>
      <x:c r="I1946" s="66" t="n">
        <x:v>46095.81728009259</x:v>
      </x:c>
      <x:c r="J1946" s="65" t="str">
        <x:v>已结算</x:v>
      </x:c>
      <x:c r="K1946" s="65" t="str">
        <x:v>2-3</x:v>
      </x:c>
      <x:c r="L1946" s="65" t="str">
        <x:v>赢</x:v>
      </x:c>
      <x:c r="M1946" s="65" t="str">
        <x:v>输</x:v>
      </x:c>
      <x:c r="N1946" s="67" t="n">
        <x:v>1</x:v>
      </x:c>
      <x:c r="O1946" s="67" t="n">
        <x:v>-1</x:v>
      </x:c>
      <x:c r="P1946" s="67" t="n">
        <x:f>IF(COUNT(N1946:O1946)=0,"",SUM(N1946:O1946))</x:f>
        <x:v>0</x:v>
      </x:c>
      <x:c r="Q1946" s="65"/>
      <x:c r="R1946" s="65" t="str">
        <x:v>赛果：荷尔施泰因基尔 2-3 纽伦堡；让球：纽伦堡 平手（DNB，0）命中；大小：小2.5 未命中。</x:v>
      </x:c>
    </x:row>
    <x:row r="1947" ht="24" customHeight="1">
      <x:c r="A1947" s="65" t="str">
        <x:f>IF(B1947="","",TEXT(B1947,"yyyy-mm-dd")&amp;"|"&amp;D1947&amp;"|"&amp;E1947)</x:f>
        <x:v>2026-03-14|东孟加拉|喀拉拉邦冲击波（Kerala Blasters）</x:v>
      </x:c>
      <x:c r="B1947" s="66" t="n">
        <x:v>46095.8125</x:v>
      </x:c>
      <x:c r="C1947" s="65" t="str">
        <x:v>印度超级联赛（Indian Super League）</x:v>
      </x:c>
      <x:c r="D1947" s="65" t="str">
        <x:v>东孟加拉</x:v>
      </x:c>
      <x:c r="E1947" s="65" t="str">
        <x:v>喀拉拉邦冲击波（Kerala Blasters）</x:v>
      </x:c>
      <x:c r="F1947" s="65" t="str">
        <x:v>东孟加拉 -0.5（1.90左右可入）</x:v>
      </x:c>
      <x:c r="G1947" s="65" t="str">
        <x:v>小2.5（1.83左右可入）</x:v>
      </x:c>
      <x:c r="H1947" s="65" t="str">
        <x:v>可选/加仓：东孟加拉 -0.75（2.20以上小注）</x:v>
      </x:c>
      <x:c r="I1947" s="66" t="n">
        <x:v>46095.85152777778</x:v>
      </x:c>
      <x:c r="J1947" s="65" t="str">
        <x:v>已结算</x:v>
      </x:c>
      <x:c r="K1947" s="65" t="str">
        <x:v>1-1</x:v>
      </x:c>
      <x:c r="L1947" s="65" t="str">
        <x:v>输</x:v>
      </x:c>
      <x:c r="M1947" s="65" t="str">
        <x:v>赢</x:v>
      </x:c>
      <x:c r="N1947" s="67" t="n">
        <x:v>-1</x:v>
      </x:c>
      <x:c r="O1947" s="67" t="n">
        <x:v>1</x:v>
      </x:c>
      <x:c r="P1947" s="67" t="n">
        <x:f>IF(COUNT(N1947:O1947)=0,"",SUM(N1947:O1947))</x:f>
        <x:v>0</x:v>
      </x:c>
      <x:c r="Q1947" s="65"/>
      <x:c r="R1947" s="65" t="str">
        <x:v>按匹配键重核：外部赛果列显示本场应按 1-1 结算；让球：东孟加拉 -0.5=输；大小：小2.5=赢。</x:v>
      </x:c>
    </x:row>
    <x:row r="1948" ht="24" customHeight="1">
      <x:c r="A1948" s="65" t="str">
        <x:f>IF(B1948="","",TEXT(B1948,"yyyy-mm-dd")&amp;"|"&amp;D1948&amp;"|"&amp;E1948)</x:f>
        <x:v>2026-03-14|圣乔治城（St George City FA）|SD公鹿（SD Raiders FC）</x:v>
      </x:c>
      <x:c r="B1948" s="66" t="n">
        <x:v>46095.677083333336</x:v>
      </x:c>
      <x:c r="C1948" s="65" t="str">
        <x:v>澳大利亚 维多利亚州超级联赛1（VPL1）</x:v>
      </x:c>
      <x:c r="D1948" s="65" t="str">
        <x:v>圣乔治城（St George City FA）</x:v>
      </x:c>
      <x:c r="E1948" s="65" t="str">
        <x:v>SD公鹿（SD Raiders FC）</x:v>
      </x:c>
      <x:c r="F1948" s="65" t="str">
        <x:v>圣乔治城（St George City FA） -0.5（1.80左右可入）</x:v>
      </x:c>
      <x:c r="G1948" s="65" t="str">
        <x:v>小2.5（1.85-2.00）</x:v>
      </x:c>
      <x:c r="H1948" s="65" t="str">
        <x:v>可选/加仓：半场平局（2.00以上小注）</x:v>
      </x:c>
      <x:c r="I1948" s="66" t="n">
        <x:v>46095.69092592593</x:v>
      </x:c>
      <x:c r="J1948" s="65" t="str">
        <x:v>已结算</x:v>
      </x:c>
      <x:c r="K1948" s="65" t="str">
        <x:v>4-3</x:v>
      </x:c>
      <x:c r="L1948" s="65" t="str">
        <x:v>赢</x:v>
      </x:c>
      <x:c r="M1948" s="65" t="str">
        <x:v>输</x:v>
      </x:c>
      <x:c r="N1948" s="67" t="n">
        <x:v>1</x:v>
      </x:c>
      <x:c r="O1948" s="67" t="n">
        <x:v>-1</x:v>
      </x:c>
      <x:c r="P1948" s="67" t="n">
        <x:f>IF(COUNT(N1948:O1948)=0,"",SUM(N1948:O1948))</x:f>
        <x:v>0</x:v>
      </x:c>
      <x:c r="Q1948" s="65"/>
      <x:c r="R1948" s="65" t="str">
        <x:v>按匹配键重核赛果 4-3；让球：圣乔治城 -0.5=赢；大小：小2.5=输</x:v>
      </x:c>
    </x:row>
    <x:row r="1949" ht="24" customHeight="1">
      <x:c r="A1949" s="65" t="str">
        <x:f>IF(B1949="","",TEXT(B1949,"yyyy-mm-dd")&amp;"|"&amp;D1949&amp;"|"&amp;E1949)</x:f>
        <x:v>2026-03-14|洛克达尔伊利登（Rockdale Ilinden）|莱卡特老虎（APIA Leichhardt）</x:v>
      </x:c>
      <x:c r="B1949" s="66" t="n">
        <x:v>46095.666666666664</x:v>
      </x:c>
      <x:c r="C1949" s="65" t="str">
        <x:v>澳大利亚 维多利亚州超级联赛1（VPL1）</x:v>
      </x:c>
      <x:c r="D1949" s="65" t="str">
        <x:v>洛克达尔伊利登（Rockdale Ilinden）</x:v>
      </x:c>
      <x:c r="E1949" s="65" t="str">
        <x:v>莱卡特老虎（APIA Leichhardt）</x:v>
      </x:c>
      <x:c r="F1949" s="65" t="str">
        <x:v>莱卡特老虎（APIA Leichhardt） -0.25（1.90-2.00）</x:v>
      </x:c>
      <x:c r="G1949" s="65" t="str">
        <x:v>大3.0（1.85-1.95）</x:v>
      </x:c>
      <x:c r="H1949" s="65" t="str">
        <x:v>可选/加仓：两队进球（BTTS）是（1.70以上可入）</x:v>
      </x:c>
      <x:c r="I1949" s="66" t="n">
        <x:v>46095.58478009259</x:v>
      </x:c>
      <x:c r="J1949" s="65" t="str">
        <x:v>已结算</x:v>
      </x:c>
      <x:c r="K1949" s="65" t="str">
        <x:v>0-1</x:v>
      </x:c>
      <x:c r="L1949" s="65" t="str">
        <x:v>赢</x:v>
      </x:c>
      <x:c r="M1949" s="65" t="str">
        <x:v>输</x:v>
      </x:c>
      <x:c r="N1949" s="67" t="n">
        <x:v>1</x:v>
      </x:c>
      <x:c r="O1949" s="67" t="n">
        <x:v>-1</x:v>
      </x:c>
      <x:c r="P1949" s="67" t="n">
        <x:f>IF(COUNT(N1949:O1949)=0,"",SUM(N1949:O1949))</x:f>
        <x:v>0</x:v>
      </x:c>
      <x:c r="Q1949" s="65"/>
      <x:c r="R1949" s="65" t="str">
        <x:v>按匹配键重核赛果 0-1；让球：莱卡特老虎 -0.25=赢；大小：大3.0=输</x:v>
      </x:c>
    </x:row>
    <x:row r="1950" ht="24" customHeight="1">
      <x:c r="A1950" s="65" t="str">
        <x:f>IF(B1950="","",TEXT(B1950,"yyyy-mm-dd")&amp;"|"&amp;D1950&amp;"|"&amp;E1950)</x:f>
        <x:v>2026-03-14|萨瑟兰鲨鱼|新南威尔士大学（UNSW FC）</x:v>
      </x:c>
      <x:c r="B1950" s="66" t="n">
        <x:v>46095.604166666664</x:v>
      </x:c>
      <x:c r="C1950" s="65" t="str">
        <x:v>澳大利亚 维多利亚州超级联赛1（VPL1）</x:v>
      </x:c>
      <x:c r="D1950" s="65" t="str">
        <x:v>萨瑟兰鲨鱼</x:v>
      </x:c>
      <x:c r="E1950" s="65" t="str">
        <x:v>新南威尔士大学（UNSW FC）</x:v>
      </x:c>
      <x:c r="F1950" s="65" t="str">
        <x:v>萨瑟兰鲨鱼 -0.25（1.90-2.00）</x:v>
      </x:c>
      <x:c r="G1950" s="65" t="str">
        <x:v>大3.0（1.85-1.95）</x:v>
      </x:c>
      <x:c r="H1950" s="65" t="str">
        <x:v>可选/加仓：两队进球（BTTS）是（1.75以上可入）</x:v>
      </x:c>
      <x:c r="I1950" s="66" t="n">
        <x:v>46095.583819444444</x:v>
      </x:c>
      <x:c r="J1950" s="65" t="str">
        <x:v>已结算</x:v>
      </x:c>
      <x:c r="K1950" s="65" t="str">
        <x:v>1-0</x:v>
      </x:c>
      <x:c r="L1950" s="65" t="str">
        <x:v>赢</x:v>
      </x:c>
      <x:c r="M1950" s="65" t="str">
        <x:v>输</x:v>
      </x:c>
      <x:c r="N1950" s="67" t="n">
        <x:v>1</x:v>
      </x:c>
      <x:c r="O1950" s="67" t="n">
        <x:v>-1</x:v>
      </x:c>
      <x:c r="P1950" s="67" t="n">
        <x:f>IF(COUNT(N1950:O1950)=0,"",SUM(N1950:O1950))</x:f>
        <x:v>0</x:v>
      </x:c>
      <x:c r="Q1950" s="65"/>
      <x:c r="R1950" s="65" t="str">
        <x:v>按匹配键重核赛果 1-0；让球：萨瑟兰鲨鱼 -0.25=赢；大小：大3.0=输</x:v>
      </x:c>
    </x:row>
    <x:row r="1951" ht="24" customHeight="1">
      <x:c r="A1951" s="65" t="str">
        <x:f>IF(B1951="","",TEXT(B1951,"yyyy-mm-dd")&amp;"|"&amp;D1951&amp;"|"&amp;E1951)</x:f>
        <x:v>2026-03-14|鹿岛鹿角|川崎前锋</x:v>
      </x:c>
      <x:c r="B1951" s="66" t="n">
        <x:v>46095.58541666667</x:v>
      </x:c>
      <x:c r="C1951" s="65" t="str">
        <x:v>日职联（J1 League）</x:v>
      </x:c>
      <x:c r="D1951" s="65" t="str">
        <x:v>鹿岛鹿角</x:v>
      </x:c>
      <x:c r="E1951" s="65" t="str">
        <x:v>川崎前锋</x:v>
      </x:c>
      <x:c r="F1951" s="65" t="str">
        <x:v>鹿岛鹿角 -0.5（1.85-1.95）</x:v>
      </x:c>
      <x:c r="G1951" s="65" t="str">
        <x:v>小2.5（1.90-1.98）</x:v>
      </x:c>
      <x:c r="H1951" s="65" t="str">
        <x:v>可选/加仓：半场平局（2.00以上小注）</x:v>
      </x:c>
      <x:c r="I1951" s="66" t="n">
        <x:v>46095.59322916667</x:v>
      </x:c>
      <x:c r="J1951" s="65" t="str">
        <x:v>已结算</x:v>
      </x:c>
      <x:c r="K1951" s="65" t="str">
        <x:v>1-0</x:v>
      </x:c>
      <x:c r="L1951" s="65" t="str">
        <x:v>赢</x:v>
      </x:c>
      <x:c r="M1951" s="65" t="str">
        <x:v>赢</x:v>
      </x:c>
      <x:c r="N1951" s="67" t="n">
        <x:v>1</x:v>
      </x:c>
      <x:c r="O1951" s="67" t="n">
        <x:v>1</x:v>
      </x:c>
      <x:c r="P1951" s="67" t="n">
        <x:f>IF(COUNT(N1951:O1951)=0,"",SUM(N1951:O1951))</x:f>
        <x:v>2</x:v>
      </x:c>
      <x:c r="Q1951" s="65"/>
      <x:c r="R1951" s="65" t="str">
        <x:v>按匹配键重核日期 2026-03-14；赛果 1-0；让球：鹿岛鹿角 -0.5=赢；大小：小2.5=赢</x:v>
      </x:c>
    </x:row>
    <x:row r="1952" ht="24" customHeight="1">
      <x:c r="A1952" s="65" t="str">
        <x:f>IF(B1952="","",TEXT(B1952,"yyyy-mm-dd")&amp;"|"&amp;D1952&amp;"|"&amp;E1952)</x:f>
        <x:v>2026-03-14|广岛三箭|大阪钢巴</x:v>
      </x:c>
      <x:c r="B1952" s="66" t="n">
        <x:v>46095.583333333336</x:v>
      </x:c>
      <x:c r="C1952" s="65" t="str">
        <x:v>日职联（J1 League）</x:v>
      </x:c>
      <x:c r="D1952" s="65" t="str">
        <x:v>广岛三箭</x:v>
      </x:c>
      <x:c r="E1952" s="65" t="str">
        <x:v>大阪钢巴</x:v>
      </x:c>
      <x:c r="F1952" s="65" t="str">
        <x:v>广岛三箭 -0.5（1.85-1.95）</x:v>
      </x:c>
      <x:c r="G1952" s="65" t="str">
        <x:v>大2.5（1.88-1.95）</x:v>
      </x:c>
      <x:c r="H1952" s="65" t="str">
        <x:v>可选/加仓：广岛三箭 -0.75（2.10以上小注）</x:v>
      </x:c>
      <x:c r="I1952" s="66" t="n">
        <x:v>46095.590995370374</x:v>
      </x:c>
      <x:c r="J1952" s="65" t="str">
        <x:v>已结算</x:v>
      </x:c>
      <x:c r="K1952" s="65" t="str">
        <x:v>2-0</x:v>
      </x:c>
      <x:c r="L1952" s="65" t="str">
        <x:v>赢</x:v>
      </x:c>
      <x:c r="M1952" s="65" t="str">
        <x:v>输</x:v>
      </x:c>
      <x:c r="N1952" s="67" t="n">
        <x:v>1</x:v>
      </x:c>
      <x:c r="O1952" s="67" t="n">
        <x:v>-1</x:v>
      </x:c>
      <x:c r="P1952" s="67" t="n">
        <x:f>IF(COUNT(N1952:O1952)=0,"",SUM(N1952:O1952))</x:f>
        <x:v>0</x:v>
      </x:c>
      <x:c r="Q1952" s="65"/>
      <x:c r="R1952" s="65" t="str">
        <x:v>按匹配键重核赛果 2-0；让球：广岛三箭 -0.5=赢；大小：大2.5=输</x:v>
      </x:c>
    </x:row>
    <x:row r="1953" ht="24" customHeight="1">
      <x:c r="A1953" s="65" t="str">
        <x:f>IF(B1953="","",TEXT(B1953,"yyyy-mm-dd")&amp;"|"&amp;D1953&amp;"|"&amp;E1953)</x:f>
        <x:v>2026-03-14|纽卡斯尔喷气机|奥克兰FC</x:v>
      </x:c>
      <x:c r="B1953" s="66" t="n">
        <x:v>46095.583333333336</x:v>
      </x:c>
      <x:c r="C1953" s="65" t="str">
        <x:v>澳大利亚A联赛（A-League Men）</x:v>
      </x:c>
      <x:c r="D1953" s="65" t="str">
        <x:v>纽卡斯尔喷气机</x:v>
      </x:c>
      <x:c r="E1953" s="65" t="str">
        <x:v>奥克兰FC</x:v>
      </x:c>
      <x:c r="F1953" s="65" t="str">
        <x:v>纽卡斯尔喷气机 平手（DNB，0）@1.95-2.05</x:v>
      </x:c>
      <x:c r="G1953" s="65" t="str">
        <x:v>大3.0（1.85-1.95）</x:v>
      </x:c>
      <x:c r="H1953" s="65" t="str">
        <x:v>可选/加仓：两队进球（BTTS）是（1.70以上可入）</x:v>
      </x:c>
      <x:c r="I1953" s="66" t="n">
        <x:v>46095.5687962963</x:v>
      </x:c>
      <x:c r="J1953" s="65" t="str">
        <x:v>已结算</x:v>
      </x:c>
      <x:c r="K1953" s="65" t="str">
        <x:v>1-2</x:v>
      </x:c>
      <x:c r="L1953" s="65" t="str">
        <x:v>输</x:v>
      </x:c>
      <x:c r="M1953" s="65" t="str">
        <x:v>走水</x:v>
      </x:c>
      <x:c r="N1953" s="67" t="n">
        <x:v>-1</x:v>
      </x:c>
      <x:c r="O1953" s="67" t="n">
        <x:v>0</x:v>
      </x:c>
      <x:c r="P1953" s="67" t="n">
        <x:f>IF(COUNT(N1953:O1953)=0,"",SUM(N1953:O1953))</x:f>
        <x:v>-1</x:v>
      </x:c>
      <x:c r="Q1953" s="65"/>
      <x:c r="R1953" s="65" t="str">
        <x:v>按匹配键重核赛果 1-2；让球：纽卡斯尔喷气机 平手=输；大小：大3.0=走水</x:v>
      </x:c>
    </x:row>
    <x:row r="1954" ht="24" customHeight="1">
      <x:c r="A1954" s="65" t="str">
        <x:f>IF(B1954="","",TEXT(B1954,"yyyy-mm-dd")&amp;"|"&amp;D1954&amp;"|"&amp;E1954)</x:f>
        <x:v>2026-03-14|中央海岸水手|阿德莱德联</x:v>
      </x:c>
      <x:c r="B1954" s="66" t="n">
        <x:v>46095.5</x:v>
      </x:c>
      <x:c r="C1954" s="65" t="str">
        <x:v>澳大利亚A联赛（A-League Men）</x:v>
      </x:c>
      <x:c r="D1954" s="65" t="str">
        <x:v>中央海岸水手</x:v>
      </x:c>
      <x:c r="E1954" s="65" t="str">
        <x:v>阿德莱德联</x:v>
      </x:c>
      <x:c r="F1954" s="65" t="str">
        <x:v>中央海岸水手 +0.25（1.90-1.98）</x:v>
      </x:c>
      <x:c r="G1954" s="65" t="str">
        <x:v>大2.75（1.88-1.95）</x:v>
      </x:c>
      <x:c r="H1954" s="65" t="str">
        <x:v>可选/加仓：中央海岸水手 胜（3.00以上小注）</x:v>
      </x:c>
      <x:c r="I1954" s="66" t="n">
        <x:v>46095.47844907407</x:v>
      </x:c>
      <x:c r="J1954" s="65" t="str">
        <x:v>已结算</x:v>
      </x:c>
      <x:c r="K1954" s="65" t="str">
        <x:v>1-1</x:v>
      </x:c>
      <x:c r="L1954" s="65" t="str">
        <x:v>赢半</x:v>
      </x:c>
      <x:c r="M1954" s="65" t="str">
        <x:v>输</x:v>
      </x:c>
      <x:c r="N1954" s="67" t="n">
        <x:v>0.5</x:v>
      </x:c>
      <x:c r="O1954" s="67" t="n">
        <x:v>-1</x:v>
      </x:c>
      <x:c r="P1954" s="67" t="n">
        <x:f>IF(COUNT(N1954:O1954)=0,"",SUM(N1954:O1954))</x:f>
        <x:v>-0.5</x:v>
      </x:c>
      <x:c r="Q1954" s="65"/>
      <x:c r="R1954" s="65" t="str">
        <x:v>按匹配键重核赛果 1-1；让球：中央海岸水手 +0.25=赢半；大小：大2.75=输</x:v>
      </x:c>
    </x:row>
    <x:row r="1955" ht="24" customHeight="1">
      <x:c r="A1955" s="65" t="str">
        <x:f>IF(B1955="","",TEXT(B1955,"yyyy-mm-dd")&amp;"|"&amp;D1955&amp;"|"&amp;E1955)</x:f>
        <x:v>2026-03-14|华雷斯|蒙特雷</x:v>
      </x:c>
      <x:c r="B1955" s="66" t="n">
        <x:v>46095.458333333336</x:v>
      </x:c>
      <x:c r="C1955" s="65" t="str">
        <x:v>墨西哥超（Liga MX，Clausura）</x:v>
      </x:c>
      <x:c r="D1955" s="65" t="str">
        <x:v>华雷斯</x:v>
      </x:c>
      <x:c r="E1955" s="65" t="str">
        <x:v>蒙特雷</x:v>
      </x:c>
      <x:c r="F1955" s="65" t="str">
        <x:v>华雷斯 +0.25（1.90-2.00）</x:v>
      </x:c>
      <x:c r="G1955" s="65" t="str">
        <x:v>大2.5（1.85-1.95）</x:v>
      </x:c>
      <x:c r="H1955" s="65" t="str">
        <x:v>可选/加仓：两队进球（BTTS）是（1.75以上可入）</x:v>
      </x:c>
      <x:c r="I1955" s="66" t="n">
        <x:v>46095.454375</x:v>
      </x:c>
      <x:c r="J1955" s="65" t="str">
        <x:v>已结算</x:v>
      </x:c>
      <x:c r="K1955" s="65" t="str">
        <x:v>2-2</x:v>
      </x:c>
      <x:c r="L1955" s="65" t="str">
        <x:v>赢半</x:v>
      </x:c>
      <x:c r="M1955" s="65" t="str">
        <x:v>赢</x:v>
      </x:c>
      <x:c r="N1955" s="67" t="n">
        <x:v>0.5</x:v>
      </x:c>
      <x:c r="O1955" s="67" t="n">
        <x:v>1</x:v>
      </x:c>
      <x:c r="P1955" s="67" t="n">
        <x:f>IF(COUNT(N1955:O1955)=0,"",SUM(N1955:O1955))</x:f>
        <x:v>1.5</x:v>
      </x:c>
      <x:c r="Q1955" s="65"/>
      <x:c r="R1955" s="65" t="str">
        <x:v>按匹配键重核赛果 2-2；让球：华雷斯 +0.25=赢半；大小：大2.5=赢</x:v>
      </x:c>
    </x:row>
    <x:row r="1956" ht="24" customHeight="1">
      <x:c r="A1956" s="65" t="str">
        <x:f>IF(B1956="","",TEXT(B1956,"yyyy-mm-dd")&amp;"|"&amp;D1956&amp;"|"&amp;E1956)</x:f>
        <x:v>2026-03-14|惠灵顿凤凰|珀斯光荣</x:v>
      </x:c>
      <x:c r="B1956" s="66" t="n">
        <x:v>46095.416666666664</x:v>
      </x:c>
      <x:c r="C1956" s="65" t="str">
        <x:v>澳大利亚A联赛（A-League Men）</x:v>
      </x:c>
      <x:c r="D1956" s="65" t="str">
        <x:v>惠灵顿凤凰</x:v>
      </x:c>
      <x:c r="E1956" s="65" t="str">
        <x:v>珀斯光荣</x:v>
      </x:c>
      <x:c r="F1956" s="65" t="str">
        <x:v>珀斯光荣 平手（DNB，0）@2.00左右可入</x:v>
      </x:c>
      <x:c r="G1956" s="65" t="str">
        <x:v>大2.75（1.88-1.95）</x:v>
      </x:c>
      <x:c r="H1956" s="65" t="str">
        <x:v>可选/加仓：珀斯光荣 胜（2.70以上小注）</x:v>
      </x:c>
      <x:c r="I1956" s="66" t="n">
        <x:v>46095.41917824074</x:v>
      </x:c>
      <x:c r="J1956" s="65" t="str">
        <x:v>已结算</x:v>
      </x:c>
      <x:c r="K1956" s="65" t="str">
        <x:v>2-0</x:v>
      </x:c>
      <x:c r="L1956" s="65" t="str">
        <x:v>输</x:v>
      </x:c>
      <x:c r="M1956" s="65" t="str">
        <x:v>输</x:v>
      </x:c>
      <x:c r="N1956" s="67" t="n">
        <x:v>-1</x:v>
      </x:c>
      <x:c r="O1956" s="67" t="n">
        <x:v>-1</x:v>
      </x:c>
      <x:c r="P1956" s="67" t="n">
        <x:f>IF(COUNT(N1956:O1956)=0,"",SUM(N1956:O1956))</x:f>
        <x:v>-2</x:v>
      </x:c>
      <x:c r="Q1956" s="65"/>
      <x:c r="R1956" s="65" t="str">
        <x:v>按匹配键重核赛果 2-0；让球：珀斯光荣 平手=输；大小：大2.75=输</x:v>
      </x:c>
    </x:row>
    <x:row r="1957" ht="24" customHeight="1">
      <x:c r="A1957" s="65" t="str">
        <x:f>IF(B1957="","",TEXT(B1957,"yyyy-mm-dd")&amp;"|"&amp;D1957&amp;"|"&amp;E1957)</x:f>
        <x:v>2026-03-14|国民竞技|拉尼罗斯</x:v>
      </x:c>
      <x:c r="B1957" s="66" t="n">
        <x:v>46095.395833333336</x:v>
      </x:c>
      <x:c r="C1957" s="65" t="str">
        <x:v>哥伦比亚甲级联赛（Liga BetPlay DIMAYOR）</x:v>
      </x:c>
      <x:c r="D1957" s="65" t="str">
        <x:v>国民竞技</x:v>
      </x:c>
      <x:c r="E1957" s="65" t="str">
        <x:v>拉尼罗斯</x:v>
      </x:c>
      <x:c r="F1957" s="65" t="str">
        <x:v>国民竞技 -1.5（1.95-2.05）</x:v>
      </x:c>
      <x:c r="G1957" s="65" t="str">
        <x:v>大2.75（1.92-2.00）</x:v>
      </x:c>
      <x:c r="H1957" s="65" t="str">
        <x:v>可选/加仓：国民竞技 半场领先（1.95以上小注）</x:v>
      </x:c>
      <x:c r="I1957" s="66" t="n">
        <x:v>46095.40144675926</x:v>
      </x:c>
      <x:c r="J1957" s="65" t="str">
        <x:v>已结算</x:v>
      </x:c>
      <x:c r="K1957" s="65" t="str">
        <x:v>2-0</x:v>
      </x:c>
      <x:c r="L1957" s="65" t="str">
        <x:v>赢</x:v>
      </x:c>
      <x:c r="M1957" s="65" t="str">
        <x:v>输</x:v>
      </x:c>
      <x:c r="N1957" s="67" t="n">
        <x:v>1</x:v>
      </x:c>
      <x:c r="O1957" s="67" t="n">
        <x:v>-1</x:v>
      </x:c>
      <x:c r="P1957" s="67" t="n">
        <x:f>IF(COUNT(N1957:O1957)=0,"",SUM(N1957:O1957))</x:f>
        <x:v>0</x:v>
      </x:c>
      <x:c r="Q1957" s="65"/>
      <x:c r="R1957" s="65" t="str">
        <x:v>按匹配键重核赛果 2-0；让球：国民竞技 -1.5=赢；大小：大2.75=输</x:v>
      </x:c>
    </x:row>
    <x:row r="1958" ht="24" customHeight="1">
      <x:c r="A1958" s="65" t="str">
        <x:f>IF(B1958="","",TEXT(B1958,"yyyy-mm-dd")&amp;"|"&amp;D1958&amp;"|"&amp;E1958)</x:f>
        <x:v>2026-03-14|普埃布拉|内卡萨</x:v>
      </x:c>
      <x:c r="B1958" s="66" t="n">
        <x:v>46095.375</x:v>
      </x:c>
      <x:c r="C1958" s="65" t="str">
        <x:v>墨西哥超（Liga MX，Clausura）</x:v>
      </x:c>
      <x:c r="D1958" s="65" t="str">
        <x:v>普埃布拉</x:v>
      </x:c>
      <x:c r="E1958" s="65" t="str">
        <x:v>内卡萨</x:v>
      </x:c>
      <x:c r="F1958" s="65" t="str">
        <x:v>普埃布拉 平手（DNB，0）@1.80以上可入</x:v>
      </x:c>
      <x:c r="G1958" s="65" t="str">
        <x:v>大2.5（1.85-1.95）</x:v>
      </x:c>
      <x:c r="H1958" s="65" t="str">
        <x:v>可选/加仓：普埃布拉 胜（2.05以上小注）</x:v>
      </x:c>
      <x:c r="I1958" s="66" t="n">
        <x:v>46095.39021990741</x:v>
      </x:c>
      <x:c r="J1958" s="65" t="str">
        <x:v>已结算</x:v>
      </x:c>
      <x:c r="K1958" s="65" t="str">
        <x:v>0-0</x:v>
      </x:c>
      <x:c r="L1958" s="65" t="str">
        <x:v>走水</x:v>
      </x:c>
      <x:c r="M1958" s="65" t="str">
        <x:v>输</x:v>
      </x:c>
      <x:c r="N1958" s="67" t="n">
        <x:v>0</x:v>
      </x:c>
      <x:c r="O1958" s="67" t="n">
        <x:v>-1</x:v>
      </x:c>
      <x:c r="P1958" s="67" t="n">
        <x:f>IF(COUNT(N1958:O1958)=0,"",SUM(N1958:O1958))</x:f>
        <x:v>-1</x:v>
      </x:c>
      <x:c r="Q1958" s="65"/>
      <x:c r="R1958" s="65" t="str">
        <x:v>按匹配键重核赛果 0-0；让球：普埃布拉 平手=走水；大小：大2.5=输</x:v>
      </x:c>
    </x:row>
    <x:row r="1959" ht="24" customHeight="1">
      <x:c r="A1959" s="65" t="str">
        <x:f>IF(B1959="","",TEXT(B1959,"yyyy-mm-dd")&amp;"|"&amp;D1959&amp;"|"&amp;E1959)</x:f>
        <x:v>2026-03-14|云斯卡尔达斯（Once Caldas）|柏斯度（Deportivo Pasto）</x:v>
      </x:c>
      <x:c r="B1959" s="66" t="n">
        <x:v>46095.305555555555</x:v>
      </x:c>
      <x:c r="C1959" s="65" t="str">
        <x:v>哥伦比亚甲级联赛（Liga BetPlay DIMAYOR）</x:v>
      </x:c>
      <x:c r="D1959" s="65" t="str">
        <x:v>云斯卡尔达斯（Once Caldas）</x:v>
      </x:c>
      <x:c r="E1959" s="65" t="str">
        <x:v>柏斯度（Deportivo Pasto）</x:v>
      </x:c>
      <x:c r="F1959" s="65" t="str">
        <x:v>云斯卡尔达斯（Once Caldas） -0.25（1.95-2.00）</x:v>
      </x:c>
      <x:c r="G1959" s="65" t="str">
        <x:v>小2.25（1.88-1.95）</x:v>
      </x:c>
      <x:c r="H1959" s="65" t="str">
        <x:v>可选/加仓：平局（3.30以上小注）</x:v>
      </x:c>
      <x:c r="I1959" s="66" t="n">
        <x:v>46095.26820601852</x:v>
      </x:c>
      <x:c r="J1959" s="65" t="str">
        <x:v>已结算</x:v>
      </x:c>
      <x:c r="K1959" s="65" t="str">
        <x:v>4-2</x:v>
      </x:c>
      <x:c r="L1959" s="65" t="str">
        <x:v>赢</x:v>
      </x:c>
      <x:c r="M1959" s="65" t="str">
        <x:v>输</x:v>
      </x:c>
      <x:c r="N1959" s="67" t="n">
        <x:v>1</x:v>
      </x:c>
      <x:c r="O1959" s="67" t="n">
        <x:v>-1</x:v>
      </x:c>
      <x:c r="P1959" s="67" t="n">
        <x:f>IF(COUNT(N1959:O1959)=0,"",SUM(N1959:O1959))</x:f>
        <x:v>0</x:v>
      </x:c>
      <x:c r="Q1959" s="65"/>
      <x:c r="R1959" s="65" t="str">
        <x:v>按匹配键重核赛果 4-2；让球：云斯卡尔达斯 -0.25=赢；大小：小2.25=输</x:v>
      </x:c>
    </x:row>
    <x:row r="1960" ht="24" customHeight="1">
      <x:c r="A1960" s="65" t="str">
        <x:f>IF(B1960="","",TEXT(B1960,"yyyy-mm-dd")&amp;"|"&amp;D1960&amp;"|"&amp;E1960)</x:f>
        <x:v>2026-03-14|奥哈卡（Alebrijes de Oaxaca）|塔巴蒂奥（CD Tapatío）</x:v>
      </x:c>
      <x:c r="B1960" s="66" t="n">
        <x:v>46095.291666666664</x:v>
      </x:c>
      <x:c r="C1960" s="65" t="str">
        <x:v>墨西哥甲级扩展联赛（Liga de Expansión MX）</x:v>
      </x:c>
      <x:c r="D1960" s="65" t="str">
        <x:v>奥哈卡（Alebrijes de Oaxaca）</x:v>
      </x:c>
      <x:c r="E1960" s="65" t="str">
        <x:v>塔巴蒂奥（CD Tapatío）</x:v>
      </x:c>
      <x:c r="F1960" s="65" t="str">
        <x:v>塔巴蒂奥（CD Tapatío） +0.25（2.00-2.10）</x:v>
      </x:c>
      <x:c r="G1960" s="65" t="str">
        <x:v>小2.5（1.90-1.98）</x:v>
      </x:c>
      <x:c r="H1960" s="65" t="str">
        <x:v>可选/加仓：塔巴蒂奥（CD Tapatío） 胜（2.55以上小注）</x:v>
      </x:c>
      <x:c r="I1960" s="66" t="n">
        <x:v>46095.261412037034</x:v>
      </x:c>
      <x:c r="J1960" s="65" t="str">
        <x:v>已结算</x:v>
      </x:c>
      <x:c r="K1960" s="65" t="str">
        <x:v>4-3</x:v>
      </x:c>
      <x:c r="L1960" s="65" t="str">
        <x:v>输</x:v>
      </x:c>
      <x:c r="M1960" s="65" t="str">
        <x:v>输</x:v>
      </x:c>
      <x:c r="N1960" s="67" t="n">
        <x:v>-1</x:v>
      </x:c>
      <x:c r="O1960" s="67" t="n">
        <x:v>-1</x:v>
      </x:c>
      <x:c r="P1960" s="67" t="n">
        <x:f>IF(COUNT(N1960:O1960)=0,"",SUM(N1960:O1960))</x:f>
        <x:v>-2</x:v>
      </x:c>
      <x:c r="Q1960" s="65"/>
      <x:c r="R1960" s="65" t="str">
        <x:v>按匹配键重核赛果 4-3；让球：塔巴蒂奥 +0.25=输；大小：小2.5=输</x:v>
      </x:c>
    </x:row>
    <x:row r="1961" ht="24" customHeight="1">
      <x:c r="A1961" s="65" t="str">
        <x:f>IF(B1961="","",TEXT(B1961,"yyyy-mm-dd")&amp;"|"&amp;D1961&amp;"|"&amp;E1961)</x:f>
        <x:v>2026-03-14|拉普拉塔大学生|拉努斯（Lanús）</x:v>
      </x:c>
      <x:c r="B1961" s="66" t="n">
        <x:v>46095.291666666664</x:v>
      </x:c>
      <x:c r="C1961" s="65" t="str">
        <x:v>阿根廷职业联赛（Liga Profesional·Apertura）</x:v>
      </x:c>
      <x:c r="D1961" s="65" t="str">
        <x:v>拉普拉塔大学生</x:v>
      </x:c>
      <x:c r="E1961" s="65" t="str">
        <x:v>拉努斯（Lanús）</x:v>
      </x:c>
      <x:c r="F1961" s="65" t="str">
        <x:v>拉普拉塔大学生 -0.5（1.90-1.95）</x:v>
      </x:c>
      <x:c r="G1961" s="65" t="str">
        <x:v>小2.0（1.85-1.95）</x:v>
      </x:c>
      <x:c r="H1961" s="65" t="str">
        <x:v>可选/加仓：拉普拉塔大学生 胜（1.95左右可入）</x:v>
      </x:c>
      <x:c r="I1961" s="66" t="n">
        <x:v>46095.24633101852</x:v>
      </x:c>
      <x:c r="J1961" s="65" t="str">
        <x:v>已结算</x:v>
      </x:c>
      <x:c r="K1961" s="65" t="str">
        <x:v>0-1</x:v>
      </x:c>
      <x:c r="L1961" s="65" t="str">
        <x:v>输</x:v>
      </x:c>
      <x:c r="M1961" s="65" t="str">
        <x:v>赢</x:v>
      </x:c>
      <x:c r="N1961" s="67" t="n">
        <x:v>-1</x:v>
      </x:c>
      <x:c r="O1961" s="67" t="n">
        <x:v>1</x:v>
      </x:c>
      <x:c r="P1961" s="67" t="n">
        <x:f>IF(COUNT(N1961:O1961)=0,"",SUM(N1961:O1961))</x:f>
        <x:v>0</x:v>
      </x:c>
      <x:c r="Q1961" s="65"/>
      <x:c r="R1961" s="65" t="str">
        <x:v>按匹配键重核赛果 0-1；让球：拉普拉塔大学生 -0.5=输；大小：小2.0=赢</x:v>
      </x:c>
    </x:row>
    <x:row r="1962" ht="24" customHeight="1">
      <x:c r="A1962" s="65" t="str">
        <x:f>IF(B1962="","",TEXT(B1962,"yyyy-mm-dd")&amp;"|"&amp;D1962&amp;"|"&amp;E1962)</x:f>
        <x:v>2026-03-14|雷克瑟姆（Wrexham）|斯旺西</x:v>
      </x:c>
      <x:c r="B1962" s="66" t="n">
        <x:v>46095.166666666664</x:v>
      </x:c>
      <x:c r="C1962" s="65" t="str">
        <x:v>英格兰冠军联赛（英冠）</x:v>
      </x:c>
      <x:c r="D1962" s="65" t="str">
        <x:v>雷克瑟姆（Wrexham）</x:v>
      </x:c>
      <x:c r="E1962" s="65" t="str">
        <x:v>斯旺西</x:v>
      </x:c>
      <x:c r="F1962" s="65" t="str">
        <x:v>雷克瑟姆（Wrexham） -0.25（1.90-2.00）</x:v>
      </x:c>
      <x:c r="G1962" s="65" t="str">
        <x:v>大2.5（1.85-1.95）</x:v>
      </x:c>
      <x:c r="H1962" s="65" t="str">
        <x:v>可选/加仓：两队进球（BTTS）是（1.80以上可入）</x:v>
      </x:c>
      <x:c r="I1962" s="66" t="n">
        <x:v>46094.98689814815</x:v>
      </x:c>
      <x:c r="J1962" s="65" t="str">
        <x:v>已结算</x:v>
      </x:c>
      <x:c r="K1962" s="65" t="str">
        <x:v>2-0</x:v>
      </x:c>
      <x:c r="L1962" s="65" t="str">
        <x:v>赢</x:v>
      </x:c>
      <x:c r="M1962" s="65" t="str">
        <x:v>输</x:v>
      </x:c>
      <x:c r="N1962" s="67" t="n">
        <x:v>1</x:v>
      </x:c>
      <x:c r="O1962" s="67" t="n">
        <x:v>-1</x:v>
      </x:c>
      <x:c r="P1962" s="67" t="n">
        <x:f>IF(COUNT(N1962:O1962)=0,"",SUM(N1962:O1962))</x:f>
        <x:v>0</x:v>
      </x:c>
      <x:c r="Q1962" s="65"/>
      <x:c r="R1962" s="65" t="str">
        <x:v>按匹配键重核赛果 2-0；让球：雷克瑟姆 -0.25=赢；大小：大2.5=输</x:v>
      </x:c>
    </x:row>
    <x:row r="1963" ht="24" customHeight="1">
      <x:c r="A1963" s="65" t="str">
        <x:f>IF(B1963="","",TEXT(B1963,"yyyy-mm-dd")&amp;"|"&amp;D1963&amp;"|"&amp;E1963)</x:f>
        <x:v>2026-03-14|马格德堡|达姆施塔特</x:v>
      </x:c>
      <x:c r="B1963" s="66" t="n">
        <x:v>46095.0625</x:v>
      </x:c>
      <x:c r="C1963" s="65" t="str">
        <x:v>德国乙级联赛（2. Bundesliga）</x:v>
      </x:c>
      <x:c r="D1963" s="65" t="str">
        <x:v>马格德堡</x:v>
      </x:c>
      <x:c r="E1963" s="65" t="str">
        <x:v>达姆施塔特</x:v>
      </x:c>
      <x:c r="F1963" s="65" t="str">
        <x:v>达姆施塔特 平手（DNB，0）@2.00左右可入</x:v>
      </x:c>
      <x:c r="G1963" s="65" t="str">
        <x:v>小3.25（1.85-1.95）</x:v>
      </x:c>
      <x:c r="H1963" s="65" t="str">
        <x:v>可选/加仓：达姆施塔特 胜（2.65以上小注）</x:v>
      </x:c>
      <x:c r="I1963" s="66" t="n">
        <x:v>46094.999872685185</x:v>
      </x:c>
      <x:c r="J1963" s="65" t="str">
        <x:v>已结算</x:v>
      </x:c>
      <x:c r="K1963" s="65"/>
      <x:c r="L1963" s="65" t="str">
        <x:v>走水</x:v>
      </x:c>
      <x:c r="M1963" s="65" t="str">
        <x:v>赢</x:v>
      </x:c>
      <x:c r="N1963" s="67" t="n">
        <x:v>0</x:v>
      </x:c>
      <x:c r="O1963" s="67" t="n">
        <x:v>1</x:v>
      </x:c>
      <x:c r="P1963" s="67" t="n">
        <x:f>IF(COUNT(N1963:O1963)=0,"",SUM(N1963:O1963))</x:f>
        <x:v>1</x:v>
      </x:c>
      <x:c r="Q1963" s="65"/>
      <x:c r="R1963" s="65" t="str">
        <x:v>按匹配键重核：外部重算列显示本场应按 1-1 结算；让球：达姆施塔特 平手（DNB）=走水；大小：小3.25=赢。</x:v>
      </x:c>
    </x:row>
    <x:row r="1964" ht="24" customHeight="1">
      <x:c r="A1964" s="65" t="str">
        <x:f>IF(B1964="","",TEXT(B1964,"yyyy-mm-dd")&amp;"|"&amp;D1964&amp;"|"&amp;E1964)</x:f>
        <x:v>2026-03-13|普雷斯顿狮子（Preston Lions）|卡罗琳乔治十字（Caroline Springs George Cross）</x:v>
      </x:c>
      <x:c r="B1964" s="66" t="n">
        <x:v>46094.729166666664</x:v>
      </x:c>
      <x:c r="C1964" s="65" t="str">
        <x:v>澳大利亚 维多利亚州超级联赛1（VPL1）</x:v>
      </x:c>
      <x:c r="D1964" s="65" t="str">
        <x:v>普雷斯顿狮子（Preston Lions）</x:v>
      </x:c>
      <x:c r="E1964" s="65" t="str">
        <x:v>卡罗琳乔治十字（Caroline Springs George Cross）</x:v>
      </x:c>
      <x:c r="F1964" s="65" t="str">
        <x:v>卡罗琳乔治十字（Caroline Springs George Cross） +0.75（1.85-1.95）</x:v>
      </x:c>
      <x:c r="G1964" s="65" t="str">
        <x:v>小2.5（1.90-1.95）</x:v>
      </x:c>
      <x:c r="H1964" s="65" t="str">
        <x:v>可选/加仓：平局（3.90以上小注）</x:v>
      </x:c>
      <x:c r="I1964" s="66" t="n">
        <x:v>46094.7328125</x:v>
      </x:c>
      <x:c r="J1964" s="65" t="str">
        <x:v>已结算</x:v>
      </x:c>
      <x:c r="K1964" s="65" t="str">
        <x:v>1-1</x:v>
      </x:c>
      <x:c r="L1964" s="65" t="str">
        <x:v>赢</x:v>
      </x:c>
      <x:c r="M1964" s="65" t="str">
        <x:v>赢</x:v>
      </x:c>
      <x:c r="N1964" s="67" t="n">
        <x:v>1</x:v>
      </x:c>
      <x:c r="O1964" s="67" t="n">
        <x:v>1</x:v>
      </x:c>
      <x:c r="P1964" s="67" t="n">
        <x:f>IF(COUNT(N1964:O1964)=0,"",SUM(N1964:O1964))</x:f>
        <x:v>2</x:v>
      </x:c>
      <x:c r="Q1964" s="65"/>
      <x:c r="R1964" s="65" t="str">
        <x:v>按匹配键重核赛果 1-1；让球：卡罗琳乔治十字 +0.75=赢；大小：小2.5=赢</x:v>
      </x:c>
    </x:row>
    <x:row r="1965" ht="24" customHeight="1">
      <x:c r="A1965" s="65" t="str">
        <x:f>IF(B1965="","",TEXT(B1965,"yyyy-mm-dd")&amp;"|"&amp;D1965&amp;"|"&amp;E1965)</x:f>
        <x:v>2026-03-13|欧克莱卡诺|海德堡联</x:v>
      </x:c>
      <x:c r="B1965" s="66" t="n">
        <x:v>46094.71875</x:v>
      </x:c>
      <x:c r="C1965" s="65" t="str">
        <x:v>澳大利亚 维多利亚州超级联赛1（VPL1）</x:v>
      </x:c>
      <x:c r="D1965" s="65" t="str">
        <x:v>欧克莱卡诺</x:v>
      </x:c>
      <x:c r="E1965" s="65" t="str">
        <x:v>海德堡联</x:v>
      </x:c>
      <x:c r="F1965" s="65" t="str">
        <x:v>欧克莱卡诺 平手（DNB，0）@1.80以上可入</x:v>
      </x:c>
      <x:c r="G1965" s="65" t="str">
        <x:v>小3.0（1.85-1.95）</x:v>
      </x:c>
      <x:c r="H1965" s="65" t="str">
        <x:v>可选/加仓：欧克莱卡诺 胜（2.15以上小注）</x:v>
      </x:c>
      <x:c r="I1965" s="66" t="n">
        <x:v>46094.72152777778</x:v>
      </x:c>
      <x:c r="J1965" s="65" t="str">
        <x:v>已结算</x:v>
      </x:c>
      <x:c r="K1965" s="65" t="str">
        <x:v>2-3</x:v>
      </x:c>
      <x:c r="L1965" s="65" t="str">
        <x:v>输</x:v>
      </x:c>
      <x:c r="M1965" s="65" t="str">
        <x:v>输</x:v>
      </x:c>
      <x:c r="N1965" s="67" t="n">
        <x:v>-1</x:v>
      </x:c>
      <x:c r="O1965" s="67" t="n">
        <x:v>-1</x:v>
      </x:c>
      <x:c r="P1965" s="67" t="n">
        <x:f>IF(COUNT(N1965:O1965)=0,"",SUM(N1965:O1965))</x:f>
        <x:v>-2</x:v>
      </x:c>
      <x:c r="Q1965" s="65"/>
      <x:c r="R1965" s="65" t="str">
        <x:v>按匹配键重核赛果 2-3；让球：欧克莱卡诺 平手=输；大小：小3.0=输</x:v>
      </x:c>
    </x:row>
    <x:row r="1966" ht="24" customHeight="1">
      <x:c r="A1966" s="65" t="str">
        <x:f>IF(B1966="","",TEXT(B1966,"yyyy-mm-dd")&amp;"|"&amp;D1966&amp;"|"&amp;E1966)</x:f>
        <x:v>2026-03-13|格林古利|南墨尔本</x:v>
      </x:c>
      <x:c r="B1966" s="66" t="n">
        <x:v>46094.6875</x:v>
      </x:c>
      <x:c r="C1966" s="65" t="str">
        <x:v>澳大利亚 维多利亚州超级联赛1（VPL1）</x:v>
      </x:c>
      <x:c r="D1966" s="65" t="str">
        <x:v>格林古利</x:v>
      </x:c>
      <x:c r="E1966" s="65" t="str">
        <x:v>南墨尔本</x:v>
      </x:c>
      <x:c r="F1966" s="65" t="str">
        <x:v>南墨尔本 -0.25（1.90-2.00）</x:v>
      </x:c>
      <x:c r="G1966" s="65" t="str">
        <x:v>小2.75（2.00左右可入）</x:v>
      </x:c>
      <x:c r="H1966" s="65" t="str">
        <x:v>可选/加仓：南墨尔本 胜（2.05以上小注）</x:v>
      </x:c>
      <x:c r="I1966" s="66" t="n">
        <x:v>46094.70019675926</x:v>
      </x:c>
      <x:c r="J1966" s="65" t="str">
        <x:v>已结算</x:v>
      </x:c>
      <x:c r="K1966" s="65" t="str">
        <x:v>0-1</x:v>
      </x:c>
      <x:c r="L1966" s="65" t="str">
        <x:v>赢</x:v>
      </x:c>
      <x:c r="M1966" s="65" t="str">
        <x:v>赢</x:v>
      </x:c>
      <x:c r="N1966" s="67" t="n">
        <x:v>1</x:v>
      </x:c>
      <x:c r="O1966" s="67" t="n">
        <x:v>1</x:v>
      </x:c>
      <x:c r="P1966" s="67" t="n">
        <x:f>IF(COUNT(N1966:O1966)=0,"",SUM(N1966:O1966))</x:f>
        <x:v>2</x:v>
      </x:c>
      <x:c r="Q1966" s="65"/>
      <x:c r="R1966" s="65" t="str">
        <x:v>按匹配键重核赛果 0-1；让球：南墨尔本 -0.25=赢；大小：小2.75=赢</x:v>
      </x:c>
    </x:row>
    <x:row r="1967" ht="24" customHeight="1">
      <x:c r="A1967" s="65" t="str">
        <x:f>IF(B1967="","",TEXT(B1967,"yyyy-mm-dd")&amp;"|"&amp;D1967&amp;"|"&amp;E1967)</x:f>
        <x:v>2026-03-13|布里斯班狮吼|西悉尼流浪者</x:v>
      </x:c>
      <x:c r="B1967" s="66" t="n">
        <x:v>46094.666666666664</x:v>
      </x:c>
      <x:c r="C1967" s="65" t="str">
        <x:v>澳大利亚A联赛（A-League Men）</x:v>
      </x:c>
      <x:c r="D1967" s="65" t="str">
        <x:v>布里斯班狮吼</x:v>
      </x:c>
      <x:c r="E1967" s="65" t="str">
        <x:v>西悉尼流浪者</x:v>
      </x:c>
      <x:c r="F1967" s="65" t="str">
        <x:v>西悉尼流浪者 -0.25（2.00-2.05）</x:v>
      </x:c>
      <x:c r="G1967" s="65" t="str">
        <x:v>大2.75（1.90以上可入）</x:v>
      </x:c>
      <x:c r="H1967" s="65" t="str">
        <x:v>可选/加仓：西悉尼流浪者 胜（2.30以上小注）</x:v>
      </x:c>
      <x:c r="I1967" s="66" t="n">
        <x:v>46094.59820601852</x:v>
      </x:c>
      <x:c r="J1967" s="65" t="str">
        <x:v>已结算</x:v>
      </x:c>
      <x:c r="K1967" s="65" t="str">
        <x:v>2-2</x:v>
      </x:c>
      <x:c r="L1967" s="65" t="str">
        <x:v>输半</x:v>
      </x:c>
      <x:c r="M1967" s="65" t="str">
        <x:v>赢</x:v>
      </x:c>
      <x:c r="N1967" s="67" t="n">
        <x:v>-0.5</x:v>
      </x:c>
      <x:c r="O1967" s="67" t="n">
        <x:v>1</x:v>
      </x:c>
      <x:c r="P1967" s="67" t="n">
        <x:f>IF(COUNT(N1967:O1967)=0,"",SUM(N1967:O1967))</x:f>
        <x:v>0.5</x:v>
      </x:c>
      <x:c r="Q1967" s="65"/>
      <x:c r="R1967" s="65" t="str">
        <x:v>按匹配键重核赛果 2-2；让球：西悉尼流浪者 -0.25=输半；大小：大2.75=赢</x:v>
      </x:c>
    </x:row>
    <x:row r="1968" ht="24" customHeight="1">
      <x:c r="A1968" s="65" t="str">
        <x:f>IF(B1968="","",TEXT(B1968,"yyyy-mm-dd")&amp;"|"&amp;D1968&amp;"|"&amp;E1968)</x:f>
        <x:v>2026-03-13|温哥华白帽|西雅图海湾人</x:v>
      </x:c>
      <x:c r="B1968" s="66" t="n">
        <x:v>46094.416666666664</x:v>
      </x:c>
      <x:c r="C1968" s="65" t="str">
        <x:v>中北美冠军杯（CONCACAF Champions Cup）</x:v>
      </x:c>
      <x:c r="D1968" s="65" t="str">
        <x:v>温哥华白帽</x:v>
      </x:c>
      <x:c r="E1968" s="65" t="str">
        <x:v>西雅图海湾人</x:v>
      </x:c>
      <x:c r="F1968" s="65" t="str">
        <x:v>温哥华白帽 -0.5（参考1.88，折合亚洲水位0.88）</x:v>
      </x:c>
      <x:c r="G1968" s="65" t="str">
        <x:v>小 2.75（参考1.80，折合亚洲水位0.80）</x:v>
      </x:c>
      <x:c r="H1968" s="65" t="str">
        <x:v>可选/加仓：双方进球-否（参考2.10）</x:v>
      </x:c>
      <x:c r="I1968" s="66" t="n">
        <x:v>46094.43337962963</x:v>
      </x:c>
      <x:c r="J1968" s="65" t="str">
        <x:v>已结算</x:v>
      </x:c>
      <x:c r="K1968" s="65" t="str">
        <x:v>0-3</x:v>
      </x:c>
      <x:c r="L1968" s="65" t="str">
        <x:v>输</x:v>
      </x:c>
      <x:c r="M1968" s="65" t="str">
        <x:v>输半</x:v>
      </x:c>
      <x:c r="N1968" s="67" t="n">
        <x:v>-1</x:v>
      </x:c>
      <x:c r="O1968" s="67" t="n">
        <x:v>-0.5</x:v>
      </x:c>
      <x:c r="P1968" s="67" t="n">
        <x:f>IF(COUNT(N1968:O1968)=0,"",SUM(N1968:O1968))</x:f>
        <x:v>-1.5</x:v>
      </x:c>
      <x:c r="Q1968" s="65"/>
      <x:c r="R1968" s="65" t="str">
        <x:v>按匹配键重核赛果 0-3；让球：温哥华白帽 -0.5=输；大小：小2.75=输半</x:v>
      </x:c>
    </x:row>
    <x:row r="1969" ht="24" customHeight="1">
      <x:c r="A1969" s="65" t="str">
        <x:f>IF(B1969="","",TEXT(B1969,"yyyy-mm-dd")&amp;"|"&amp;D1969&amp;"|"&amp;E1969)</x:f>
        <x:v>2026-03-13|飓风（CA Huracán）|河床</x:v>
      </x:c>
      <x:c r="B1969" s="66" t="n">
        <x:v>46094.354166666664</x:v>
      </x:c>
      <x:c r="C1969" s="65" t="str">
        <x:v>阿根廷职业联赛（Liga Profesional·Apertura）</x:v>
      </x:c>
      <x:c r="D1969" s="65" t="str">
        <x:v>飓风（CA Huracán）</x:v>
      </x:c>
      <x:c r="E1969" s="65" t="str">
        <x:v>河床</x:v>
      </x:c>
      <x:c r="F1969" s="65" t="str">
        <x:v>飓风 0（平手盘，参考2.10-2.21）</x:v>
      </x:c>
      <x:c r="G1969" s="65" t="str">
        <x:v>小 1.75（参考1.88-1.96）</x:v>
      </x:c>
      <x:c r="H1969" s="65" t="str">
        <x:v>可选/加仓：平局（参考2.85-2.95）</x:v>
      </x:c>
      <x:c r="I1969" s="66" t="n">
        <x:v>46094.36622685185</x:v>
      </x:c>
      <x:c r="J1969" s="65" t="str">
        <x:v>已结算</x:v>
      </x:c>
      <x:c r="K1969" s="65" t="str">
        <x:v>1-2</x:v>
      </x:c>
      <x:c r="L1969" s="65" t="str">
        <x:v>输</x:v>
      </x:c>
      <x:c r="M1969" s="65" t="str">
        <x:v>输</x:v>
      </x:c>
      <x:c r="N1969" s="67" t="n">
        <x:v>-1</x:v>
      </x:c>
      <x:c r="O1969" s="67" t="n">
        <x:v>-1</x:v>
      </x:c>
      <x:c r="P1969" s="67" t="n">
        <x:f>IF(COUNT(N1969:O1969)=0,"",SUM(N1969:O1969))</x:f>
        <x:v>-2</x:v>
      </x:c>
      <x:c r="Q1969" s="65"/>
      <x:c r="R1969" s="65" t="str">
        <x:v>赛果 1-2；让球飓风平手盘输；大小球小1.75 输</x:v>
      </x:c>
    </x:row>
    <x:row r="1970" ht="24" customHeight="1">
      <x:c r="A1970" s="65" t="str">
        <x:f>IF(B1970="","",TEXT(B1970,"yyyy-mm-dd")&amp;"|"&amp;D1970&amp;"|"&amp;E1970)</x:f>
        <x:v>2026-03-13|瑞模贝雷（雷莫）|弗鲁米嫩塞</x:v>
      </x:c>
      <x:c r="B1970" s="66" t="n">
        <x:v>46094.25</x:v>
      </x:c>
      <x:c r="C1970" s="65" t="str">
        <x:v>巴西甲（Serie A）</x:v>
      </x:c>
      <x:c r="D1970" s="65" t="str">
        <x:v>瑞模贝雷（雷莫）</x:v>
      </x:c>
      <x:c r="E1970" s="65" t="str">
        <x:v>弗鲁米嫩塞</x:v>
      </x:c>
      <x:c r="F1970" s="65" t="str">
        <x:v>瑞模贝雷（雷莫） +0.25（参考1.87-2.02，折合亚洲水位0.87-1.02）</x:v>
      </x:c>
      <x:c r="G1970" s="65" t="str">
        <x:v>小 2.5（参考1.87，折合亚洲水位0.87）</x:v>
      </x:c>
      <x:c r="H1970" s="65" t="str">
        <x:v>可选/加仓：平局（参考3.65）</x:v>
      </x:c>
      <x:c r="I1970" s="66" t="n">
        <x:v>46094.362905092596</x:v>
      </x:c>
      <x:c r="J1970" s="65" t="str">
        <x:v>已结算</x:v>
      </x:c>
      <x:c r="K1970" s="65" t="str">
        <x:v>0-2</x:v>
      </x:c>
      <x:c r="L1970" s="65" t="str">
        <x:v>输</x:v>
      </x:c>
      <x:c r="M1970" s="65" t="str">
        <x:v>赢</x:v>
      </x:c>
      <x:c r="N1970" s="67" t="n">
        <x:v>-1</x:v>
      </x:c>
      <x:c r="O1970" s="67" t="n">
        <x:v>1</x:v>
      </x:c>
      <x:c r="P1970" s="67" t="n">
        <x:f>IF(COUNT(N1970:O1970)=0,"",SUM(N1970:O1970))</x:f>
        <x:v>0</x:v>
      </x:c>
      <x:c r="Q1970" s="65"/>
      <x:c r="R1970" s="65" t="str">
        <x:v>赛果 0-2；让球主+0.25 输；大小球小2.5 赢</x:v>
      </x:c>
    </x:row>
    <x:row r="1971" ht="24" customHeight="1">
      <x:c r="A1971" s="65" t="str">
        <x:f>IF(B1971="","",TEXT(B1971,"yyyy-mm-dd")&amp;"|"&amp;D1971&amp;"|"&amp;E1971)</x:f>
        <x:v>2026-03-13|防卫者|中央科尔多瓦（圣地亚哥）</x:v>
      </x:c>
      <x:c r="B1971" s="66" t="n">
        <x:v>46094.166666666664</x:v>
      </x:c>
      <x:c r="C1971" s="65" t="str">
        <x:v>阿根廷职业联赛（Liga Profesional·Apertura）</x:v>
      </x:c>
      <x:c r="D1971" s="65" t="str">
        <x:v>防卫者</x:v>
      </x:c>
      <x:c r="E1971" s="65" t="str">
        <x:v>中央科尔多瓦（圣地亚哥）</x:v>
      </x:c>
      <x:c r="F1971" s="65" t="str">
        <x:v>防卫者 -0.5（参考欧赔1.90-1.99，折合亚洲水位0.90-0.99）</x:v>
      </x:c>
      <x:c r="G1971" s="65" t="str">
        <x:v>小2.0（参考欧赔1.81，折合亚洲水位0.81）</x:v>
      </x:c>
      <x:c r="H1971" s="65" t="str">
        <x:v>可选/加仓：防卫者零封取胜（参考欧赔2.82，低配）</x:v>
      </x:c>
      <x:c r="I1971" s="66" t="n">
        <x:v>46094.232986111114</x:v>
      </x:c>
      <x:c r="J1971" s="65" t="str">
        <x:v>已结算</x:v>
      </x:c>
      <x:c r="K1971" s="65" t="str">
        <x:v>1-1</x:v>
      </x:c>
      <x:c r="L1971" s="65" t="str">
        <x:v>输</x:v>
      </x:c>
      <x:c r="M1971" s="65" t="str">
        <x:v>走水</x:v>
      </x:c>
      <x:c r="N1971" s="67" t="n">
        <x:v>-1</x:v>
      </x:c>
      <x:c r="O1971" s="67" t="n">
        <x:v>0</x:v>
      </x:c>
      <x:c r="P1971" s="67" t="n">
        <x:f>IF(COUNT(N1971:O1971)=0,"",SUM(N1971:O1971))</x:f>
        <x:v>-1</x:v>
      </x:c>
      <x:c r="Q1971" s="65"/>
      <x:c r="R1971" s="65" t="str">
        <x:v>赛果 1-1；让球主-0.5 输；大小球小2.0 走水</x:v>
      </x:c>
    </x:row>
    <x:row r="1972" ht="24" customHeight="1">
      <x:c r="A1972" s="65" t="str">
        <x:f>IF(B1972="","",TEXT(B1972,"yyyy-mm-dd")&amp;"|"&amp;D1972&amp;"|"&amp;E1972)</x:f>
        <x:v>2026-03-12|佩尔西斯梭罗（Persis Solo）|巴厘联（Bali United）</x:v>
      </x:c>
      <x:c r="B1972" s="66" t="n">
        <x:v>46093.895833333336</x:v>
      </x:c>
      <x:c r="C1972" s="65" t="str">
        <x:v>印度尼西亚超级联赛（印尼超/Liga 1 Indonesia）</x:v>
      </x:c>
      <x:c r="D1972" s="65" t="str">
        <x:v>佩尔西斯梭罗（Persis Solo）</x:v>
      </x:c>
      <x:c r="E1972" s="65" t="str">
        <x:v>巴厘联（Bali United）</x:v>
      </x:c>
      <x:c r="F1972" s="65" t="str">
        <x:v>巴厘联（Bali United） -0.25（1.85-1.95）</x:v>
      </x:c>
      <x:c r="G1972" s="65" t="str">
        <x:v>大3.5（1.90左右可入）</x:v>
      </x:c>
      <x:c r="H1972" s="65" t="str">
        <x:v>巴厘联（Bali United）平手（DNB）更稳；若临场退到平手可加一点客队，若升到-0.5且低于0.85不追；若大3.5跌破1.80不追，若只剩大2.5低赔不碰</x:v>
      </x:c>
      <x:c r="I1972" s="66" t="n">
        <x:v>46093.86896990741</x:v>
      </x:c>
      <x:c r="J1972" s="65" t="str">
        <x:v>已结算</x:v>
      </x:c>
      <x:c r="K1972" s="65" t="str">
        <x:v>3-0</x:v>
      </x:c>
      <x:c r="L1972" s="65" t="str">
        <x:v>输</x:v>
      </x:c>
      <x:c r="M1972" s="65" t="str">
        <x:v>输</x:v>
      </x:c>
      <x:c r="N1972" s="67" t="n">
        <x:v>-1</x:v>
      </x:c>
      <x:c r="O1972" s="67" t="n">
        <x:v>-1</x:v>
      </x:c>
      <x:c r="P1972" s="67" t="n">
        <x:f>IF(COUNT(N1972:O1972)=0,"",SUM(N1972:O1972))</x:f>
        <x:v>-2</x:v>
      </x:c>
      <x:c r="Q1972" s="65"/>
      <x:c r="R1972" s="65" t="str">
        <x:v>赛果 3-0；让球客-0.25 输；大小球大3.5 输</x:v>
      </x:c>
    </x:row>
    <x:row r="1973" ht="24" customHeight="1">
      <x:c r="A1973" s="65" t="str">
        <x:f>IF(B1973="","",TEXT(B1973,"yyyy-mm-dd")&amp;"|"&amp;D1973&amp;"|"&amp;E1973)</x:f>
        <x:v>2026-03-12|圣地亚哥FC|托卢卡</x:v>
      </x:c>
      <x:c r="B1973" s="66" t="n">
        <x:v>46093.479166666664</x:v>
      </x:c>
      <x:c r="C1973" s="65" t="str">
        <x:v>中北美冠军杯（CONCACAF Champions Cup）</x:v>
      </x:c>
      <x:c r="D1973" s="65" t="str">
        <x:v>圣地亚哥FC</x:v>
      </x:c>
      <x:c r="E1973" s="65" t="str">
        <x:v>托卢卡</x:v>
      </x:c>
      <x:c r="F1973" s="65" t="str">
        <x:v>托卢卡 平手（DNB，0，按当前市场结构通常在1.80以上可入）</x:v>
      </x:c>
      <x:c r="G1973" s="65" t="str">
        <x:v>小2.5（2.10左右）</x:v>
      </x:c>
      <x:c r="H1973" s="65" t="str">
        <x:v>平局；托卢卡 -0/0.25 仅限1.80以上可小追。若临场退到圣地亚哥FC让平/半则放弃客队方向；若小2.5跌破1.80不追，若升到小2.75且仍有1.85以上可继续</x:v>
      </x:c>
      <x:c r="I1973" s="66" t="n">
        <x:v>46093.46771990741</x:v>
      </x:c>
      <x:c r="J1973" s="65" t="str">
        <x:v>已结算</x:v>
      </x:c>
      <x:c r="K1973" s="65" t="str">
        <x:v>3-2</x:v>
      </x:c>
      <x:c r="L1973" s="65" t="str">
        <x:v>输</x:v>
      </x:c>
      <x:c r="M1973" s="65" t="str">
        <x:v>输</x:v>
      </x:c>
      <x:c r="N1973" s="67" t="n">
        <x:v>-1</x:v>
      </x:c>
      <x:c r="O1973" s="67" t="n">
        <x:v>-1</x:v>
      </x:c>
      <x:c r="P1973" s="67" t="n">
        <x:f>IF(COUNT(N1973:O1973)=0,"",SUM(N1973:O1973))</x:f>
        <x:v>-2</x:v>
      </x:c>
      <x:c r="Q1973" s="65"/>
      <x:c r="R1973" s="65" t="str">
        <x:v>赛果 3-2；让球托卢卡平手盘输；大小球小2.5 输</x:v>
      </x:c>
    </x:row>
    <x:row r="1974" ht="24" customHeight="1">
      <x:c r="A1974" s="65" t="str">
        <x:f>IF(B1974="","",TEXT(B1974,"yyyy-mm-dd")&amp;"|"&amp;D1974&amp;"|"&amp;E1974)</x:f>
        <x:v>2026-03-12|图库曼竞技|阿尔多斯维</x:v>
      </x:c>
      <x:c r="B1974" s="66" t="n">
        <x:v>46093.375</x:v>
      </x:c>
      <x:c r="C1974" s="65" t="str">
        <x:v>阿根廷职业联赛（Liga Profesional·Apertura）</x:v>
      </x:c>
      <x:c r="D1974" s="65" t="str">
        <x:v>图库曼竞技</x:v>
      </x:c>
      <x:c r="E1974" s="65" t="str">
        <x:v>阿尔多斯维</x:v>
      </x:c>
      <x:c r="F1974" s="65" t="str">
        <x:v>图库曼竞技 -0.5（1.82左右）</x:v>
      </x:c>
      <x:c r="G1974" s="65" t="str">
        <x:v>大2.5（2.35-2.50）</x:v>
      </x:c>
      <x:c r="H1974" s="65" t="str">
        <x:v>图库曼竞技独赢；若临场退到-0.25则放弃主让，若升到-0.75且低于0.85不追；若大2.5跌破2.10可降注，不碰低赔小球</x:v>
      </x:c>
      <x:c r="I1974" s="66" t="n">
        <x:v>46093.36048611111</x:v>
      </x:c>
      <x:c r="J1974" s="65" t="str">
        <x:v>已结算</x:v>
      </x:c>
      <x:c r="K1974" s="65" t="str">
        <x:v>1-1</x:v>
      </x:c>
      <x:c r="L1974" s="65" t="str">
        <x:v>输</x:v>
      </x:c>
      <x:c r="M1974" s="65" t="str">
        <x:v>输</x:v>
      </x:c>
      <x:c r="N1974" s="67" t="n">
        <x:v>-1</x:v>
      </x:c>
      <x:c r="O1974" s="67" t="n">
        <x:v>-1</x:v>
      </x:c>
      <x:c r="P1974" s="67" t="n">
        <x:f>IF(COUNT(N1974:O1974)=0,"",SUM(N1974:O1974))</x:f>
        <x:v>-2</x:v>
      </x:c>
      <x:c r="Q1974" s="65"/>
      <x:c r="R1974" s="65" t="str">
        <x:v>按匹配键重核：外部赛果列显示本场应按 1-1 结算；让球：图库曼竞技 -0.5=输；大小：大2.5=输。</x:v>
      </x:c>
    </x:row>
    <x:row r="1975" ht="24" customHeight="1">
      <x:c r="A1975" s="65" t="str">
        <x:f>IF(B1975="","",TEXT(B1975,"yyyy-mm-dd")&amp;"|"&amp;D1975&amp;"|"&amp;E1975)</x:f>
        <x:v>2026-03-12|门多萨独立（Independiente Rivadavia）|巴拉卡斯中央（Barracas Central）</x:v>
      </x:c>
      <x:c r="B1975" s="66" t="n">
        <x:v>46093.375</x:v>
      </x:c>
      <x:c r="C1975" s="65" t="str">
        <x:v>阿根廷职业联赛（Liga Profesional·Apertura）</x:v>
      </x:c>
      <x:c r="D1975" s="65" t="str">
        <x:v>门多萨独立（Independiente Rivadavia）</x:v>
      </x:c>
      <x:c r="E1975" s="65" t="str">
        <x:v>巴拉卡斯中央（Barracas Central）</x:v>
      </x:c>
      <x:c r="F1975" s="65" t="str">
        <x:v>门多萨独立（Independiente Rivadavia） -0.75（1.85-1.95）</x:v>
      </x:c>
      <x:c r="G1975" s="65" t="str">
        <x:v>小2.25（1.82-1.92）</x:v>
      </x:c>
      <x:c r="H1975" s="65" t="str">
        <x:v>门多萨独立（Independiente Rivadavia） -0.5 / 独赢更稳；若临场升到-1且低于0.85不追，若退到-0.5可加一点主队；若小2.25跌破1.80不追，若升到小2.5且仍有1.85以上可继续</x:v>
      </x:c>
      <x:c r="I1975" s="66" t="n">
        <x:v>46093.34979166667</x:v>
      </x:c>
      <x:c r="J1975" s="65" t="str">
        <x:v>已结算</x:v>
      </x:c>
      <x:c r="K1975" s="65" t="str">
        <x:v>1-2</x:v>
      </x:c>
      <x:c r="L1975" s="65" t="str">
        <x:v>输</x:v>
      </x:c>
      <x:c r="M1975" s="65" t="str">
        <x:v>输</x:v>
      </x:c>
      <x:c r="N1975" s="67" t="n">
        <x:v>-1</x:v>
      </x:c>
      <x:c r="O1975" s="67" t="n">
        <x:v>-1</x:v>
      </x:c>
      <x:c r="P1975" s="67" t="n">
        <x:f>IF(COUNT(N1975:O1975)=0,"",SUM(N1975:O1975))</x:f>
        <x:v>-2</x:v>
      </x:c>
      <x:c r="Q1975" s="65" t="str">
        <x:v>SofaScore</x:v>
      </x:c>
      <x:c r="R1975" s="65" t="str">
        <x:v>校正赛果：门多萨独立（Independiente Rivadavia） 1-2 巴拉卡斯中央（Barracas Central）；让球：门多萨独立 -0.75 -&gt; 输（-1）；大小：小2.25 -&gt; 输（-1）；来源：SofaScore。</x:v>
      </x:c>
    </x:row>
    <x:row r="1976" ht="24" customHeight="1">
      <x:c r="A1976" s="65" t="str">
        <x:f>IF(B1976="","",TEXT(B1976,"yyyy-mm-dd")&amp;"|"&amp;D1976&amp;"|"&amp;E1976)</x:f>
        <x:v>2026-03-12|科林蒂安|科里蒂巴（Coritiba）</x:v>
      </x:c>
      <x:c r="B1976" s="66" t="n">
        <x:v>46093.354166666664</x:v>
      </x:c>
      <x:c r="C1976" s="65" t="str">
        <x:v>巴西甲（Serie A）</x:v>
      </x:c>
      <x:c r="D1976" s="65" t="str">
        <x:v>科林蒂安</x:v>
      </x:c>
      <x:c r="E1976" s="65" t="str">
        <x:v>科里蒂巴（Coritiba）</x:v>
      </x:c>
      <x:c r="F1976" s="65" t="str">
        <x:v>科里蒂巴（Coritiba） +1（1.80-1.85）</x:v>
      </x:c>
      <x:c r="G1976" s="65" t="str">
        <x:v>小2.25（1.83-1.90）</x:v>
      </x:c>
      <x:c r="H1976" s="65" t="str">
        <x:v>平局；科里蒂巴（Coritiba） +0.75更进取。若临场升到主让-1.25且客受让仍有1.85以上可继续客队，若退到主让-0.75则不再追客受让；若小2.25跌破1.80不追，若升到小2.5且仍有1.85以上可继续</x:v>
      </x:c>
      <x:c r="I1976" s="66" t="n">
        <x:v>46093.34638888889</x:v>
      </x:c>
      <x:c r="J1976" s="65" t="str">
        <x:v>已结算</x:v>
      </x:c>
      <x:c r="K1976" s="65" t="str">
        <x:v>0-2</x:v>
      </x:c>
      <x:c r="L1976" s="65" t="str">
        <x:v>赢</x:v>
      </x:c>
      <x:c r="M1976" s="65" t="str">
        <x:v>赢半</x:v>
      </x:c>
      <x:c r="N1976" s="67" t="n">
        <x:v>1</x:v>
      </x:c>
      <x:c r="O1976" s="67" t="n">
        <x:v>0.5</x:v>
      </x:c>
      <x:c r="P1976" s="67" t="n">
        <x:f>IF(COUNT(N1976:O1976)=0,"",SUM(N1976:O1976))</x:f>
        <x:v>1.5</x:v>
      </x:c>
      <x:c r="Q1976" s="65"/>
      <x:c r="R1976" s="65" t="str">
        <x:v>赛果 0-2；让球客+1 赢；大小球小2.25 赢半</x:v>
      </x:c>
    </x:row>
    <x:row r="1977" ht="24" customHeight="1">
      <x:c r="A1977" s="65" t="str">
        <x:f>IF(B1977="","",TEXT(B1977,"yyyy-mm-dd")&amp;"|"&amp;D1977&amp;"|"&amp;E1977)</x:f>
        <x:v>2026-03-12|弗拉门戈|克鲁塞罗</x:v>
      </x:c>
      <x:c r="B1977" s="66" t="n">
        <x:v>46093.354166666664</x:v>
      </x:c>
      <x:c r="C1977" s="65" t="str">
        <x:v>巴西甲（Serie A）</x:v>
      </x:c>
      <x:c r="D1977" s="65" t="str">
        <x:v>弗拉门戈</x:v>
      </x:c>
      <x:c r="E1977" s="65" t="str">
        <x:v>克鲁塞罗</x:v>
      </x:c>
      <x:c r="F1977" s="65" t="str">
        <x:v>弗拉门戈 -1（1.90左右可入）</x:v>
      </x:c>
      <x:c r="G1977" s="65" t="str">
        <x:v>小2.5（1.80以上可入）</x:v>
      </x:c>
      <x:c r="H1977" s="65" t="str">
        <x:v>弗拉门戈独赢更稳；若临场升到-1.25且低于0.85不追，若退到-0.75仍在1.80以上可加一点主队；若小2.5跌破1.80不追，若升到小2.75且仍有1.85以上可继续</x:v>
      </x:c>
      <x:c r="I1977" s="66" t="n">
        <x:v>46093.34202546296</x:v>
      </x:c>
      <x:c r="J1977" s="65" t="str">
        <x:v>已结算</x:v>
      </x:c>
      <x:c r="K1977" s="65" t="str">
        <x:v>2-0</x:v>
      </x:c>
      <x:c r="L1977" s="65" t="str">
        <x:v>赢</x:v>
      </x:c>
      <x:c r="M1977" s="65" t="str">
        <x:v>赢</x:v>
      </x:c>
      <x:c r="N1977" s="67" t="n">
        <x:v>1</x:v>
      </x:c>
      <x:c r="O1977" s="67" t="n">
        <x:v>1</x:v>
      </x:c>
      <x:c r="P1977" s="67" t="n">
        <x:f>IF(COUNT(N1977:O1977)=0,"",SUM(N1977:O1977))</x:f>
        <x:v>2</x:v>
      </x:c>
      <x:c r="Q1977" s="65"/>
      <x:c r="R1977" s="65" t="str">
        <x:v>赛果 2-0；让球主-1 赢；大小球小2.5 赢</x:v>
      </x:c>
    </x:row>
    <x:row r="1978" ht="24" customHeight="1">
      <x:c r="A1978" s="65" t="str">
        <x:f>IF(B1978="","",TEXT(B1978,"yyyy-mm-dd")&amp;"|"&amp;D1978&amp;"|"&amp;E1978)</x:f>
        <x:v>2026-03-12|纳什维尔SC|迈阿密国际</x:v>
      </x:c>
      <x:c r="B1978" s="66" t="n">
        <x:v>46093.3125</x:v>
      </x:c>
      <x:c r="C1978" s="65" t="str">
        <x:v>中北美冠军杯（CONCACAF Champions Cup）</x:v>
      </x:c>
      <x:c r="D1978" s="65" t="str">
        <x:v>纳什维尔SC</x:v>
      </x:c>
      <x:c r="E1978" s="65" t="str">
        <x:v>迈阿密国际</x:v>
      </x:c>
      <x:c r="F1978" s="65" t="str">
        <x:v>迈阿密国际 平手（DNB，0）@1.90左右可入</x:v>
      </x:c>
      <x:c r="G1978" s="65" t="str">
        <x:v>小3.0（1.82-1.92）</x:v>
      </x:c>
      <x:c r="H1978" s="65" t="str">
        <x:v>平局；迈阿密国际 -0/0.25 仅限1.80以上可小追。若临场退到纳什维尔让平/半则放弃客队方向；若小3.0跌破1.80不追，若回到小2.75且仍有1.90以上可继续</x:v>
      </x:c>
      <x:c r="I1978" s="66" t="n">
        <x:v>46093.33375</x:v>
      </x:c>
      <x:c r="J1978" s="65" t="str">
        <x:v>已结算</x:v>
      </x:c>
      <x:c r="K1978" s="65" t="str">
        <x:v>0-0</x:v>
      </x:c>
      <x:c r="L1978" s="65" t="str">
        <x:v>走水</x:v>
      </x:c>
      <x:c r="M1978" s="65" t="str">
        <x:v>赢</x:v>
      </x:c>
      <x:c r="N1978" s="67" t="n">
        <x:v>0</x:v>
      </x:c>
      <x:c r="O1978" s="67" t="n">
        <x:v>1</x:v>
      </x:c>
      <x:c r="P1978" s="67" t="n">
        <x:f>IF(COUNT(N1978:O1978)=0,"",SUM(N1978:O1978))</x:f>
        <x:v>1</x:v>
      </x:c>
      <x:c r="Q1978" s="65"/>
      <x:c r="R1978" s="65" t="str">
        <x:v>赛果 0-0；让球迈阿密国际平手盘走水；大小球小3.0 赢</x:v>
      </x:c>
    </x:row>
    <x:row r="1979" ht="24" customHeight="1">
      <x:c r="A1979" s="65" t="str">
        <x:f>IF(B1979="","",TEXT(B1979,"yyyy-mm-dd")&amp;"|"&amp;D1979&amp;"|"&amp;E1979)</x:f>
        <x:v>2026-03-12|巴伊亚|维多利亚</x:v>
      </x:c>
      <x:c r="B1979" s="66" t="n">
        <x:v>46093.291666666664</x:v>
      </x:c>
      <x:c r="C1979" s="65" t="str">
        <x:v>巴西甲（Serie A）</x:v>
      </x:c>
      <x:c r="D1979" s="65" t="str">
        <x:v>巴伊亚</x:v>
      </x:c>
      <x:c r="E1979" s="65" t="str">
        <x:v>维多利亚</x:v>
      </x:c>
      <x:c r="F1979" s="65" t="str">
        <x:v>巴伊亚 -0.75（1.85-1.95）</x:v>
      </x:c>
      <x:c r="G1979" s="65" t="str">
        <x:v>小2.5（1.90-1.95）</x:v>
      </x:c>
      <x:c r="H1979" s="65" t="str">
        <x:v>巴伊亚 -0.5 / 独赢更稳；若临场升到-1且低于0.85不追，若退到-0.5可加一点主队；若小2.5跌破1.80不追</x:v>
      </x:c>
      <x:c r="I1979" s="66" t="n">
        <x:v>46093.299097222225</x:v>
      </x:c>
      <x:c r="J1979" s="65" t="str">
        <x:v>已结算</x:v>
      </x:c>
      <x:c r="K1979" s="65"/>
      <x:c r="L1979" s="65" t="str">
        <x:v>输</x:v>
      </x:c>
      <x:c r="M1979" s="65" t="str">
        <x:v>赢</x:v>
      </x:c>
      <x:c r="N1979" s="67" t="n">
        <x:v>-1</x:v>
      </x:c>
      <x:c r="O1979" s="67" t="n">
        <x:v>1</x:v>
      </x:c>
      <x:c r="P1979" s="67" t="n">
        <x:f>IF(COUNT(N1979:O1979)=0,"",SUM(N1979:O1979))</x:f>
        <x:v>0</x:v>
      </x:c>
      <x:c r="Q1979" s="65"/>
      <x:c r="R1979" s="65" t="str">
        <x:v>按匹配键重核：外部重算列显示本场应按 1-1 结算；让球：巴伊亚 -0.75=输；大小：小2.5=赢。</x:v>
      </x:c>
    </x:row>
    <x:row r="1980" ht="24" customHeight="1">
      <x:c r="A1980" s="65" t="str">
        <x:f>IF(B1980="","",TEXT(B1980,"yyyy-mm-dd")&amp;"|"&amp;D1980&amp;"|"&amp;E1980)</x:f>
        <x:v>2026-03-12|博卡青年|圣洛伦索</x:v>
      </x:c>
      <x:c r="B1980" s="66" t="n">
        <x:v>46093.28125</x:v>
      </x:c>
      <x:c r="C1980" s="65" t="str">
        <x:v>阿根廷职业联赛（Liga Profesional·Apertura）</x:v>
      </x:c>
      <x:c r="D1980" s="65" t="str">
        <x:v>博卡青年</x:v>
      </x:c>
      <x:c r="E1980" s="65" t="str">
        <x:v>圣洛伦索</x:v>
      </x:c>
      <x:c r="F1980" s="65" t="str">
        <x:v>博卡青年 -0.75（1.85-1.95）</x:v>
      </x:c>
      <x:c r="G1980" s="65" t="str">
        <x:v>小2.25（1.82-1.92）</x:v>
      </x:c>
      <x:c r="H1980" s="65" t="str">
        <x:v>博卡青年 -0.5 / 独赢更稳；若临场升到-1且低于0.85不追，若退到-0.5可加一点主队；若小2.25跌破1.80不追，若升到小2.5且仍有1.85以上可继续</x:v>
      </x:c>
      <x:c r="I1980" s="66" t="n">
        <x:v>46093.29241898148</x:v>
      </x:c>
      <x:c r="J1980" s="65" t="str">
        <x:v>已结算</x:v>
      </x:c>
      <x:c r="K1980" s="65" t="str">
        <x:v>1-1</x:v>
      </x:c>
      <x:c r="L1980" s="65" t="str">
        <x:v>输</x:v>
      </x:c>
      <x:c r="M1980" s="65" t="str">
        <x:v>赢半</x:v>
      </x:c>
      <x:c r="N1980" s="67" t="n">
        <x:v>-1</x:v>
      </x:c>
      <x:c r="O1980" s="67" t="n">
        <x:v>0.5</x:v>
      </x:c>
      <x:c r="P1980" s="67" t="n">
        <x:f>IF(COUNT(N1980:O1980)=0,"",SUM(N1980:O1980))</x:f>
        <x:v>-0.5</x:v>
      </x:c>
      <x:c r="Q1980" s="65"/>
      <x:c r="R1980" s="65" t="str">
        <x:v>赛果 1-1；让球主-0.75 输；大小球小2.25 赢半</x:v>
      </x:c>
    </x:row>
    <x:row r="1981" ht="24" customHeight="1">
      <x:c r="A1981" s="65" t="str">
        <x:f>IF(B1981="","",TEXT(B1981,"yyyy-mm-dd")&amp;"|"&amp;D1981&amp;"|"&amp;E1981)</x:f>
        <x:v>2026-03-12|牛津联|布莱克本流浪者</x:v>
      </x:c>
      <x:c r="B1981" s="66" t="n">
        <x:v>46093.15625</x:v>
      </x:c>
      <x:c r="C1981" s="65" t="str">
        <x:v>英格兰超级联赛（Premier League）</x:v>
      </x:c>
      <x:c r="D1981" s="65" t="str">
        <x:v>牛津联</x:v>
      </x:c>
      <x:c r="E1981" s="65" t="str">
        <x:v>布莱克本流浪者</x:v>
      </x:c>
      <x:c r="F1981" s="65" t="str">
        <x:v>牛津联 平手（DNB，0）@1.80以上可入</x:v>
      </x:c>
      <x:c r="G1981" s="65" t="str">
        <x:v>小2.25（1.85-1.95）</x:v>
      </x:c>
      <x:c r="H1981" s="65" t="str">
        <x:v>平局；若临场升到牛津联 -0.25且仍在1.85以上可小追主队，若退到受让则不再追主让思路；若小2.25跌破1.80不追，若回到小2.5且仍有1.90左右可继续</x:v>
      </x:c>
      <x:c r="I1981" s="66" t="n">
        <x:v>46093.27478009259</x:v>
      </x:c>
      <x:c r="J1981" s="65" t="str">
        <x:v>已结算</x:v>
      </x:c>
      <x:c r="K1981" s="65" t="str">
        <x:v>1-0</x:v>
      </x:c>
      <x:c r="L1981" s="65" t="str">
        <x:v>赢</x:v>
      </x:c>
      <x:c r="M1981" s="65" t="str">
        <x:v>赢</x:v>
      </x:c>
      <x:c r="N1981" s="67" t="n">
        <x:v>1</x:v>
      </x:c>
      <x:c r="O1981" s="67" t="n">
        <x:v>1</x:v>
      </x:c>
      <x:c r="P1981" s="67" t="n">
        <x:f>IF(COUNT(N1981:O1981)=0,"",SUM(N1981:O1981))</x:f>
        <x:v>2</x:v>
      </x:c>
      <x:c r="Q1981" s="65"/>
      <x:c r="R1981" s="65" t="str">
        <x:v>赛果 1-0；让球平手盘（DNB）赢；大小球小2.25 赢</x:v>
      </x:c>
    </x:row>
    <x:row r="1982" ht="24" customHeight="1">
      <x:c r="A1982" s="65" t="str">
        <x:f>IF(B1982="","",TEXT(B1982,"yyyy-mm-dd")&amp;"|"&amp;D1982&amp;"|"&amp;E1982)</x:f>
        <x:v>2026-03-12|诺维奇城|谢菲尔德联</x:v>
      </x:c>
      <x:c r="B1982" s="66" t="n">
        <x:v>46093.15625</x:v>
      </x:c>
      <x:c r="C1982" s="65" t="str">
        <x:v>英格兰超级联赛（Premier League）</x:v>
      </x:c>
      <x:c r="D1982" s="65" t="str">
        <x:v>诺维奇城</x:v>
      </x:c>
      <x:c r="E1982" s="65" t="str">
        <x:v>谢菲尔德联</x:v>
      </x:c>
      <x:c r="F1982" s="65" t="str">
        <x:v>诺维奇城 -0.25（1.90左右可入）</x:v>
      </x:c>
      <x:c r="G1982" s="65" t="str">
        <x:v>小2.5（1.90左右可入）</x:v>
      </x:c>
      <x:c r="H1982" s="65" t="str">
        <x:v>诺维奇城平手（DNB）更稳；若临场退到平手可加一点主队，若升到-0.5且低于0.85不追；若小2.5跌破1.80不追</x:v>
      </x:c>
      <x:c r="I1982" s="66" t="n">
        <x:v>46092.98086805556</x:v>
      </x:c>
      <x:c r="J1982" s="65" t="str">
        <x:v>已结算</x:v>
      </x:c>
      <x:c r="K1982" s="65" t="str">
        <x:v>2-1</x:v>
      </x:c>
      <x:c r="L1982" s="65" t="str">
        <x:v>赢</x:v>
      </x:c>
      <x:c r="M1982" s="65" t="str">
        <x:v>输</x:v>
      </x:c>
      <x:c r="N1982" s="67" t="n">
        <x:v>1</x:v>
      </x:c>
      <x:c r="O1982" s="67" t="n">
        <x:v>-1</x:v>
      </x:c>
      <x:c r="P1982" s="67" t="n">
        <x:f>IF(COUNT(N1982:O1982)=0,"",SUM(N1982:O1982))</x:f>
        <x:v>0</x:v>
      </x:c>
      <x:c r="Q1982" s="65"/>
      <x:c r="R1982" s="65" t="str">
        <x:v>赛果 2-1；让球主-0.25 赢；大小球小2.5 输</x:v>
      </x:c>
    </x:row>
    <x:row r="1983" ht="24" customHeight="1">
      <x:c r="A1983" s="65" t="str">
        <x:f>IF(B1983="","",TEXT(B1983,"yyyy-mm-dd")&amp;"|"&amp;D1983&amp;"|"&amp;E1983)</x:f>
        <x:v>2026-03-12|米德尔斯堡|查尔顿竞技</x:v>
      </x:c>
      <x:c r="B1983" s="66" t="n">
        <x:v>46093.15625</x:v>
      </x:c>
      <x:c r="C1983" s="65" t="str">
        <x:v>英格兰超级联赛（Premier League）</x:v>
      </x:c>
      <x:c r="D1983" s="65" t="str">
        <x:v>米德尔斯堡</x:v>
      </x:c>
      <x:c r="E1983" s="65" t="str">
        <x:v>查尔顿竞技</x:v>
      </x:c>
      <x:c r="F1983" s="65" t="str">
        <x:v>米德尔斯堡 -1（1.82-1.92）</x:v>
      </x:c>
      <x:c r="G1983" s="65" t="str">
        <x:v>大2.75（1.84-1.92）</x:v>
      </x:c>
      <x:c r="H1983" s="65" t="str">
        <x:v>米德尔斯堡独赢；若临场升到-1.25且低于0.85不追，若退到-0.75可加仓主队；若大3.0跌到1.78以下不追</x:v>
      </x:c>
      <x:c r="I1983" s="66" t="n">
        <x:v>46092.96712962963</x:v>
      </x:c>
      <x:c r="J1983" s="65" t="str">
        <x:v>已结算</x:v>
      </x:c>
      <x:c r="K1983" s="65" t="str">
        <x:v>0-1</x:v>
      </x:c>
      <x:c r="L1983" s="65" t="str">
        <x:v>输</x:v>
      </x:c>
      <x:c r="M1983" s="65" t="str">
        <x:v>输</x:v>
      </x:c>
      <x:c r="N1983" s="67" t="n">
        <x:v>-1</x:v>
      </x:c>
      <x:c r="O1983" s="67" t="n">
        <x:v>-1</x:v>
      </x:c>
      <x:c r="P1983" s="67" t="n">
        <x:f>IF(COUNT(N1983:O1983)=0,"",SUM(N1983:O1983))</x:f>
        <x:v>-2</x:v>
      </x:c>
      <x:c r="Q1983" s="65"/>
      <x:c r="R1983" s="65" t="str">
        <x:v>赛果 0-1；让球主-1 输；大小球大2.75 输</x:v>
      </x:c>
    </x:row>
    <x:row r="1984" ht="24" customHeight="1">
      <x:c r="A1984" s="65" t="str">
        <x:f>IF(B1984="","",TEXT(B1984,"yyyy-mm-dd")&amp;"|"&amp;D1984&amp;"|"&amp;E1984)</x:f>
        <x:v>2026-03-12|伯明翰城|女王公园巡游者（QPR）</x:v>
      </x:c>
      <x:c r="B1984" s="66" t="n">
        <x:v>46093.15625</x:v>
      </x:c>
      <x:c r="C1984" s="65" t="str">
        <x:v>英格兰超级联赛（Premier League）</x:v>
      </x:c>
      <x:c r="D1984" s="65" t="str">
        <x:v>伯明翰城</x:v>
      </x:c>
      <x:c r="E1984" s="65" t="str">
        <x:v>女王公园巡游者（QPR）</x:v>
      </x:c>
      <x:c r="F1984" s="65" t="str">
        <x:v>伯明翰城 -0.5（1.82-1.90）</x:v>
      </x:c>
      <x:c r="G1984" s="65" t="str">
        <x:v>小2.75（1.82-1.92）</x:v>
      </x:c>
      <x:c r="H1984" s="65" t="str">
        <x:v>伯明翰城独赢；若临场升到-0.75且低于0.85不追，若退到-0.25可加仓主队；若小2.75跌破1.80不追</x:v>
      </x:c>
      <x:c r="I1984" s="66" t="n">
        <x:v>46092.956041666665</x:v>
      </x:c>
      <x:c r="J1984" s="65" t="str">
        <x:v>已结算</x:v>
      </x:c>
      <x:c r="K1984" s="65" t="str">
        <x:v>1-0</x:v>
      </x:c>
      <x:c r="L1984" s="65" t="str">
        <x:v>赢</x:v>
      </x:c>
      <x:c r="M1984" s="65" t="str">
        <x:v>赢</x:v>
      </x:c>
      <x:c r="N1984" s="67" t="n">
        <x:v>1</x:v>
      </x:c>
      <x:c r="O1984" s="67" t="n">
        <x:v>1</x:v>
      </x:c>
      <x:c r="P1984" s="67" t="n">
        <x:f>IF(COUNT(N1984:O1984)=0,"",SUM(N1984:O1984))</x:f>
        <x:v>2</x:v>
      </x:c>
      <x:c r="Q1984" s="65"/>
      <x:c r="R1984" s="65" t="str">
        <x:v>赛果 1-0；让球主-0.5 赢；大小球小2.75 赢</x:v>
      </x:c>
    </x:row>
    <x:row r="1985" ht="24" customHeight="1">
      <x:c r="A1985" s="65" t="str">
        <x:f>IF(B1985="","",TEXT(B1985,"yyyy-mm-dd")&amp;"|"&amp;D1985&amp;"|"&amp;E1985)</x:f>
        <x:v>2026-03-11|永亚卡达（PSIM Yogyakarta）|杰帕拉（Persijap Jepara）</x:v>
      </x:c>
      <x:c r="B1985" s="66" t="n">
        <x:v>46092.895833333336</x:v>
      </x:c>
      <x:c r="C1985" s="65" t="str">
        <x:v>印度尼西亚超级联赛（印尼超/Liga 1 Indonesia）</x:v>
      </x:c>
      <x:c r="D1985" s="65" t="str">
        <x:v>永亚卡达（PSIM Yogyakarta）</x:v>
      </x:c>
      <x:c r="E1985" s="65" t="str">
        <x:v>杰帕拉（Persijap Jepara）</x:v>
      </x:c>
      <x:c r="F1985" s="65" t="str">
        <x:v>永亚卡达（PSIM Yogyakarta） -0.25（1.85-1.95）</x:v>
      </x:c>
      <x:c r="G1985" s="65" t="str">
        <x:v>小2.5（1.82-1.92）</x:v>
      </x:c>
      <x:c r="H1985" s="65" t="str">
        <x:v>永亚卡达（PSIM Yogyakarta）平手（DNB）更稳；若临场升到-0.5低水不追，若退到平手可加一点主队；若小2.5跌破1.80不追</x:v>
      </x:c>
      <x:c r="I1985" s="66" t="n">
        <x:v>46092.86383101852</x:v>
      </x:c>
      <x:c r="J1985" s="65" t="str">
        <x:v>已结算</x:v>
      </x:c>
      <x:c r="K1985" s="65" t="str">
        <x:v>2-2</x:v>
      </x:c>
      <x:c r="L1985" s="65" t="str">
        <x:v>输半</x:v>
      </x:c>
      <x:c r="M1985" s="65" t="str">
        <x:v>输</x:v>
      </x:c>
      <x:c r="N1985" s="67" t="n">
        <x:v>-0.5</x:v>
      </x:c>
      <x:c r="O1985" s="67" t="n">
        <x:v>-1</x:v>
      </x:c>
      <x:c r="P1985" s="67" t="n">
        <x:f>IF(COUNT(N1985:O1985)=0,"",SUM(N1985:O1985))</x:f>
        <x:v>-1.5</x:v>
      </x:c>
      <x:c r="Q1985" s="65"/>
      <x:c r="R1985" s="65" t="str">
        <x:v>赛果 2-2；让球主-0.25 输半；大小球小2.5 输</x:v>
      </x:c>
    </x:row>
    <x:row r="1986" ht="24" customHeight="1">
      <x:c r="A1986" s="65" t="str">
        <x:f>IF(B1986="","",TEXT(B1986,"yyyy-mm-dd")&amp;"|"&amp;D1986&amp;"|"&amp;E1986)</x:f>
        <x:v>2026-03-11|巴兰基亚青年（Junior Barranquilla）|国民竞技（Atlético Nacional）</x:v>
      </x:c>
      <x:c r="B1986" s="66" t="n">
        <x:v>46092.395833333336</x:v>
      </x:c>
      <x:c r="C1986" s="65" t="str">
        <x:v>哥伦比亚甲级联赛（Liga BetPlay DIMAYOR）</x:v>
      </x:c>
      <x:c r="D1986" s="65" t="str">
        <x:v>巴兰基亚青年（Junior Barranquilla）</x:v>
      </x:c>
      <x:c r="E1986" s="65" t="str">
        <x:v>国民竞技（Atlético Nacional）</x:v>
      </x:c>
      <x:c r="F1986" s="65" t="str">
        <x:v>巴兰基亚青年（Junior Barranquilla） +0.25（1.85-1.95）</x:v>
      </x:c>
      <x:c r="G1986" s="65" t="str">
        <x:v>小2.5（1.80-1.90）</x:v>
      </x:c>
      <x:c r="H1986" s="65" t="str">
        <x:v>平局；巴兰基亚青年（Junior Barranquilla）平手（DNB）更稳。若临场退到平手可加一点主队，若升到国民竞技让0.5低水不追客队；若小2.5跌破1.78不追</x:v>
      </x:c>
      <x:c r="I1986" s="66" t="n">
        <x:v>46092.62180555556</x:v>
      </x:c>
      <x:c r="J1986" s="65" t="str">
        <x:v>已结算</x:v>
      </x:c>
      <x:c r="K1986" s="65"/>
      <x:c r="L1986" s="65" t="str">
        <x:v>输</x:v>
      </x:c>
      <x:c r="M1986" s="65" t="str">
        <x:v>输</x:v>
      </x:c>
      <x:c r="N1986" s="67" t="n">
        <x:v>-1</x:v>
      </x:c>
      <x:c r="O1986" s="67" t="n">
        <x:v>-1</x:v>
      </x:c>
      <x:c r="P1986" s="67" t="n">
        <x:f>IF(COUNT(N1986:O1986)=0,"",SUM(N1986:O1986))</x:f>
        <x:v>-2</x:v>
      </x:c>
      <x:c r="Q1986" s="65"/>
      <x:c r="R1986" s="65" t="str">
        <x:v>比分0-4；巴兰基亚青年（Junior Barranquilla） +0.25输，小2.5输</x:v>
      </x:c>
    </x:row>
    <x:row r="1987" ht="24" customHeight="1">
      <x:c r="A1987" s="65" t="str">
        <x:f>IF(B1987="","",TEXT(B1987,"yyyy-mm-dd")&amp;"|"&amp;D1987&amp;"|"&amp;E1987)</x:f>
        <x:v>2026-03-11|纽维尔老男孩|普拉滕斯</x:v>
      </x:c>
      <x:c r="B1987" s="66" t="n">
        <x:v>46092.375</x:v>
      </x:c>
      <x:c r="C1987" s="65" t="str">
        <x:v>阿根廷职业联赛（Liga Profesional·Apertura）</x:v>
      </x:c>
      <x:c r="D1987" s="65" t="str">
        <x:v>纽维尔老男孩</x:v>
      </x:c>
      <x:c r="E1987" s="65" t="str">
        <x:v>普拉滕斯</x:v>
      </x:c>
      <x:c r="F1987" s="65" t="str">
        <x:v>普拉滕斯 +0.25（1.85-1.95）</x:v>
      </x:c>
      <x:c r="G1987" s="65" t="str">
        <x:v>小2/2.25（2.25，1.82-1.92）</x:v>
      </x:c>
      <x:c r="H1987" s="65" t="str">
        <x:v>平局；普拉滕斯平手（DNB）更稳。若临场退到平手可加一点客队，若升到纽维尔老男孩让0/0.25则不追主队；若小2.25跌破1.80不追，若升到小2.5高水可小追</x:v>
      </x:c>
      <x:c r="I1987" s="66" t="n">
        <x:v>46092.38133101852</x:v>
      </x:c>
      <x:c r="J1987" s="65" t="str">
        <x:v>已结算</x:v>
      </x:c>
      <x:c r="K1987" s="65"/>
      <x:c r="L1987" s="65" t="str">
        <x:v>赢半</x:v>
      </x:c>
      <x:c r="M1987" s="65" t="str">
        <x:v>赢半</x:v>
      </x:c>
      <x:c r="N1987" s="67" t="n">
        <x:v>0.5</x:v>
      </x:c>
      <x:c r="O1987" s="67" t="n">
        <x:v>0.5</x:v>
      </x:c>
      <x:c r="P1987" s="67" t="n">
        <x:f>IF(COUNT(N1987:O1987)=0,"",SUM(N1987:O1987))</x:f>
        <x:v>1</x:v>
      </x:c>
      <x:c r="Q1987" s="65"/>
      <x:c r="R1987" s="65" t="str">
        <x:v>比分1-1；普拉滕斯 +0.25赢半，小2.25赢半</x:v>
      </x:c>
    </x:row>
    <x:row r="1988" ht="24" customHeight="1">
      <x:c r="A1988" s="65" t="str">
        <x:f>IF(B1988="","",TEXT(B1988,"yyyy-mm-dd")&amp;"|"&amp;D1988&amp;"|"&amp;E1988)</x:f>
        <x:v>2026-03-11|萨米恩托（Sarmiento Junín）|竞技俱乐部（Racing Club）</x:v>
      </x:c>
      <x:c r="B1988" s="66" t="n">
        <x:v>46092.375</x:v>
      </x:c>
      <x:c r="C1988" s="65" t="str">
        <x:v>阿根廷职业联赛（Liga Profesional·Apertura）</x:v>
      </x:c>
      <x:c r="D1988" s="65" t="str">
        <x:v>萨米恩托（Sarmiento Junín）</x:v>
      </x:c>
      <x:c r="E1988" s="65" t="str">
        <x:v>竞技俱乐部（Racing Club）</x:v>
      </x:c>
      <x:c r="F1988" s="65" t="str">
        <x:v>竞技俱乐部（Racing Club） -0.5（1.85-1.95）</x:v>
      </x:c>
      <x:c r="G1988" s="65" t="str">
        <x:v>小2.25（1.82-1.92）</x:v>
      </x:c>
      <x:c r="H1988" s="65" t="str">
        <x:v>竞技俱乐部（Racing Club）平手/独赢更稳；若临场升到-0.75且低于0.85不追，若退到-0.25可加一点客队；若小2.25跌破1.80不追，若升到小2.5高水可小追</x:v>
      </x:c>
      <x:c r="I1988" s="66" t="n">
        <x:v>46092.375497685185</x:v>
      </x:c>
      <x:c r="J1988" s="65" t="str">
        <x:v>已结算</x:v>
      </x:c>
      <x:c r="K1988" s="65"/>
      <x:c r="L1988" s="65" t="str">
        <x:v>输</x:v>
      </x:c>
      <x:c r="M1988" s="65" t="str">
        <x:v>赢</x:v>
      </x:c>
      <x:c r="N1988" s="67" t="n">
        <x:v>-1</x:v>
      </x:c>
      <x:c r="O1988" s="67" t="n">
        <x:v>1</x:v>
      </x:c>
      <x:c r="P1988" s="67" t="n">
        <x:f>IF(COUNT(N1988:O1988)=0,"",SUM(N1988:O1988))</x:f>
        <x:v>0</x:v>
      </x:c>
      <x:c r="Q1988" s="65"/>
      <x:c r="R1988" s="65" t="str">
        <x:v>比分0-0；竞技俱乐部（Racing Club） -0.5输，小2.25赢</x:v>
      </x:c>
    </x:row>
    <x:row r="1989" ht="24" customHeight="1">
      <x:c r="A1989" s="65" t="str">
        <x:f>IF(B1989="","",TEXT(B1989,"yyyy-mm-dd")&amp;"|"&amp;D1989&amp;"|"&amp;E1989)</x:f>
        <x:v>2026-03-11|米拉索尔（Mirassol）|桑托斯</x:v>
      </x:c>
      <x:c r="B1989" s="66" t="n">
        <x:v>46092.354166666664</x:v>
      </x:c>
      <x:c r="C1989" s="65" t="str">
        <x:v>巴西甲（Serie A）</x:v>
      </x:c>
      <x:c r="D1989" s="65" t="str">
        <x:v>米拉索尔（Mirassol）</x:v>
      </x:c>
      <x:c r="E1989" s="65" t="str">
        <x:v>桑托斯</x:v>
      </x:c>
      <x:c r="F1989" s="65" t="str">
        <x:v>米拉索尔（Mirassol） -0.25（1.82-1.92）</x:v>
      </x:c>
      <x:c r="G1989" s="65" t="str">
        <x:v>小2.5（1.80-1.90）</x:v>
      </x:c>
      <x:c r="H1989" s="65" t="str">
        <x:v>米拉索尔（Mirassol）平手（DNB）更稳；若临场升到-0.5且低于0.85不追，若退到平手可加一点主队；若小2.5跌破1.78不追</x:v>
      </x:c>
      <x:c r="I1989" s="66" t="n">
        <x:v>46092.364120370374</x:v>
      </x:c>
      <x:c r="J1989" s="65" t="str">
        <x:v>已结算</x:v>
      </x:c>
      <x:c r="K1989" s="65"/>
      <x:c r="L1989" s="65" t="str">
        <x:v>输半</x:v>
      </x:c>
      <x:c r="M1989" s="65" t="str">
        <x:v>输</x:v>
      </x:c>
      <x:c r="N1989" s="67" t="n">
        <x:v>-0.5</x:v>
      </x:c>
      <x:c r="O1989" s="67" t="n">
        <x:v>-1</x:v>
      </x:c>
      <x:c r="P1989" s="67" t="n">
        <x:f>IF(COUNT(N1989:O1989)=0,"",SUM(N1989:O1989))</x:f>
        <x:v>-1.5</x:v>
      </x:c>
      <x:c r="Q1989" s="65"/>
      <x:c r="R1989" s="65" t="str">
        <x:v>比分2-2；米拉索尔（Mirassol） -0.25输半，小2.5输</x:v>
      </x:c>
    </x:row>
    <x:row r="1990" ht="24" customHeight="1">
      <x:c r="A1990" s="65" t="str">
        <x:f>IF(B1990="","",TEXT(B1990,"yyyy-mm-dd")&amp;"|"&amp;D1990&amp;"|"&amp;E1990)</x:f>
        <x:v>2026-03-11|布卡拉曼加（Atlético Bucaramanga）|佩雷拉（Deportivo Pereira）</x:v>
      </x:c>
      <x:c r="B1990" s="66" t="n">
        <x:v>46092.305555555555</x:v>
      </x:c>
      <x:c r="C1990" s="65" t="str">
        <x:v>哥伦比亚甲级联赛（Liga BetPlay DIMAYOR）</x:v>
      </x:c>
      <x:c r="D1990" s="65" t="str">
        <x:v>布卡拉曼加（Atlético Bucaramanga）</x:v>
      </x:c>
      <x:c r="E1990" s="65" t="str">
        <x:v>佩雷拉（Deportivo Pereira）</x:v>
      </x:c>
      <x:c r="F1990" s="65" t="str">
        <x:v>布卡拉曼加（Atlético Bucaramanga） -1（1.82-1.92）</x:v>
      </x:c>
      <x:c r="G1990" s="65" t="str">
        <x:v>小2.5（1.82-1.92）</x:v>
      </x:c>
      <x:c r="H1990" s="65" t="str">
        <x:v>布卡拉曼加独赢；若临场升到-1.25且低于0.85不追，若退到-0.75可加仓主队；若小2.5跌破1.80不追</x:v>
      </x:c>
      <x:c r="I1990" s="66" t="n">
        <x:v>46092.315671296295</x:v>
      </x:c>
      <x:c r="J1990" s="65" t="str">
        <x:v>已结算</x:v>
      </x:c>
      <x:c r="K1990" s="65"/>
      <x:c r="L1990" s="65" t="str">
        <x:v>赢</x:v>
      </x:c>
      <x:c r="M1990" s="65" t="str">
        <x:v>输</x:v>
      </x:c>
      <x:c r="N1990" s="67" t="n">
        <x:v>1</x:v>
      </x:c>
      <x:c r="O1990" s="67" t="n">
        <x:v>-1</x:v>
      </x:c>
      <x:c r="P1990" s="67" t="n">
        <x:f>IF(COUNT(N1990:O1990)=0,"",SUM(N1990:O1990))</x:f>
        <x:v>0</x:v>
      </x:c>
      <x:c r="Q1990" s="65"/>
      <x:c r="R1990" s="65" t="str">
        <x:v>比分3-0；布卡拉曼加（Atlético Bucaramanga） -1赢，小2.5输</x:v>
      </x:c>
    </x:row>
    <x:row r="1991" ht="24" customHeight="1">
      <x:c r="A1991" s="65" t="str">
        <x:f>IF(B1991="","",TEXT(B1991,"yyyy-mm-dd")&amp;"|"&amp;D1991&amp;"|"&amp;E1991)</x:f>
        <x:v>2026-03-11|费城联合|墨西哥美洲</x:v>
      </x:c>
      <x:c r="B1991" s="66" t="n">
        <x:v>46092.291666666664</x:v>
      </x:c>
      <x:c r="C1991" s="65" t="str">
        <x:v>中北美冠军杯（CONCACAF Champions Cup）</x:v>
      </x:c>
      <x:c r="D1991" s="65" t="str">
        <x:v>费城联合</x:v>
      </x:c>
      <x:c r="E1991" s="65" t="str">
        <x:v>墨西哥美洲</x:v>
      </x:c>
      <x:c r="F1991" s="65" t="str">
        <x:v>墨西哥美洲 +0.25（1.85-1.95）</x:v>
      </x:c>
      <x:c r="G1991" s="65" t="str">
        <x:v>小2.5（1.80-1.90）</x:v>
      </x:c>
      <x:c r="H1991" s="65" t="str">
        <x:v>平局；墨西哥美洲平手（DNB）更稳。若临场退到平手可加一点客队，若升到费城联合让0.5低水不追主队；若小2.5跌破1.78不追</x:v>
      </x:c>
      <x:c r="I1991" s="66" t="n">
        <x:v>46092.30185185185</x:v>
      </x:c>
      <x:c r="J1991" s="65" t="str">
        <x:v>已结算</x:v>
      </x:c>
      <x:c r="K1991" s="65"/>
      <x:c r="L1991" s="65" t="str">
        <x:v>赢</x:v>
      </x:c>
      <x:c r="M1991" s="65" t="str">
        <x:v>赢</x:v>
      </x:c>
      <x:c r="N1991" s="67" t="n">
        <x:v>1</x:v>
      </x:c>
      <x:c r="O1991" s="67" t="n">
        <x:v>1</x:v>
      </x:c>
      <x:c r="P1991" s="67" t="n">
        <x:f>IF(COUNT(N1991:O1991)=0,"",SUM(N1991:O1991))</x:f>
        <x:v>2</x:v>
      </x:c>
      <x:c r="Q1991" s="65"/>
      <x:c r="R1991" s="65" t="str">
        <x:v>比分0-1；墨西哥美洲 +0.25赢，小2.5赢</x:v>
      </x:c>
    </x:row>
    <x:row r="1992" ht="24" customHeight="1">
      <x:c r="A1992" s="65" t="str">
        <x:f>IF(B1992="","",TEXT(B1992,"yyyy-mm-dd")&amp;"|"&amp;D1992&amp;"|"&amp;E1992)</x:f>
        <x:v>2026-03-11|阿根廷独立|圣塔菲联（Unión Santa Fe）</x:v>
      </x:c>
      <x:c r="B1992" s="66" t="n">
        <x:v>46092.28125</x:v>
      </x:c>
      <x:c r="C1992" s="65" t="str">
        <x:v>阿根廷职业联赛（Liga Profesional·Apertura）</x:v>
      </x:c>
      <x:c r="D1992" s="65" t="str">
        <x:v>阿根廷独立</x:v>
      </x:c>
      <x:c r="E1992" s="65" t="str">
        <x:v>圣塔菲联（Unión Santa Fe）</x:v>
      </x:c>
      <x:c r="F1992" s="65" t="str">
        <x:v>圣塔菲联（Unión Santa Fe） +0.25（1.85-1.95）</x:v>
      </x:c>
      <x:c r="G1992" s="65" t="str">
        <x:v>小2.25（仅限1.80以上；若只剩小2.5低赔不追）</x:v>
      </x:c>
      <x:c r="H1992" s="65" t="str">
        <x:v>平局；圣塔菲联（Unión Santa Fe） 平手（DNB）更稳。若临场退到阿根廷独立平手可加一点客队，若升到阿根廷独立-0.5低水不追主队；若小2.25跌破1.80不追</x:v>
      </x:c>
      <x:c r="I1992" s="66" t="n">
        <x:v>46092.2987037037</x:v>
      </x:c>
      <x:c r="J1992" s="65" t="str">
        <x:v>已结算</x:v>
      </x:c>
      <x:c r="K1992" s="65"/>
      <x:c r="L1992" s="65" t="str">
        <x:v>赢半</x:v>
      </x:c>
      <x:c r="M1992" s="65" t="str">
        <x:v>输</x:v>
      </x:c>
      <x:c r="N1992" s="67" t="n">
        <x:v>0.5</x:v>
      </x:c>
      <x:c r="O1992" s="67" t="n">
        <x:v>-1</x:v>
      </x:c>
      <x:c r="P1992" s="67" t="n">
        <x:f>IF(COUNT(N1992:O1992)=0,"",SUM(N1992:O1992))</x:f>
        <x:v>-0.5</x:v>
      </x:c>
      <x:c r="Q1992" s="65"/>
      <x:c r="R1992" s="65" t="str">
        <x:v>比分4-4；圣塔菲联（Unión Santa Fe） +0.25赢半，小2.25输</x:v>
      </x:c>
    </x:row>
    <x:row r="1993" ht="24" customHeight="1">
      <x:c r="A1993" s="65" t="str">
        <x:f>IF(B1993="","",TEXT(B1993,"yyyy-mm-dd")&amp;"|"&amp;D1993&amp;"|"&amp;E1993)</x:f>
        <x:v>2026-03-11|提格雷|萨斯菲尔德</x:v>
      </x:c>
      <x:c r="B1993" s="66" t="n">
        <x:v>46092.28125</x:v>
      </x:c>
      <x:c r="C1993" s="65" t="str">
        <x:v>阿根廷职业联赛（Liga Profesional·Apertura）</x:v>
      </x:c>
      <x:c r="D1993" s="65" t="str">
        <x:v>提格雷</x:v>
      </x:c>
      <x:c r="E1993" s="65" t="str">
        <x:v>萨斯菲尔德</x:v>
      </x:c>
      <x:c r="F1993" s="65" t="str">
        <x:v>提格雷 -0.25（1.85-1.95）</x:v>
      </x:c>
      <x:c r="G1993" s="65" t="str">
        <x:v>小2.25（1.82-1.92）</x:v>
      </x:c>
      <x:c r="H1993" s="65" t="str">
        <x:v>平局；提格雷平手（DNB）更稳。若临场退到平手可加一点主队，若升到-0.5且低于0.85不追；若小2.25跌破1.80不追，若升到小2.5高水可小追</x:v>
      </x:c>
      <x:c r="I1993" s="66" t="n">
        <x:v>46092.29413194444</x:v>
      </x:c>
      <x:c r="J1993" s="65" t="str">
        <x:v>已结算</x:v>
      </x:c>
      <x:c r="K1993" s="65"/>
      <x:c r="L1993" s="65" t="str">
        <x:v>输半</x:v>
      </x:c>
      <x:c r="M1993" s="65" t="str">
        <x:v>赢半</x:v>
      </x:c>
      <x:c r="N1993" s="67" t="n">
        <x:v>-0.5</x:v>
      </x:c>
      <x:c r="O1993" s="67" t="n">
        <x:v>0.5</x:v>
      </x:c>
      <x:c r="P1993" s="67" t="n">
        <x:f>IF(COUNT(N1993:O1993)=0,"",SUM(N1993:O1993))</x:f>
        <x:v>0</x:v>
      </x:c>
      <x:c r="Q1993" s="65"/>
      <x:c r="R1993" s="65" t="str">
        <x:v>比分1-1；提格雷 -0.25输半，小2.25赢半</x:v>
      </x:c>
    </x:row>
    <x:row r="1994" ht="24" customHeight="1">
      <x:c r="A1994" s="65" t="str">
        <x:f>IF(B1994="","",TEXT(B1994,"yyyy-mm-dd")&amp;"|"&amp;D1994&amp;"|"&amp;E1994)</x:f>
        <x:v>2026-03-11|纽卡斯尔联|巴塞罗那</x:v>
      </x:c>
      <x:c r="B1994" s="66" t="n">
        <x:v>46092.166666666664</x:v>
      </x:c>
      <x:c r="C1994" s="65" t="str">
        <x:v>欧洲冠军联赛（UEFA Champions League）</x:v>
      </x:c>
      <x:c r="D1994" s="65" t="str">
        <x:v>纽卡斯尔联</x:v>
      </x:c>
      <x:c r="E1994" s="65" t="str">
        <x:v>巴塞罗那</x:v>
      </x:c>
      <x:c r="F1994" s="65" t="str">
        <x:v>巴塞罗那 -0.25（1.85-1.95）</x:v>
      </x:c>
      <x:c r="G1994" s="65" t="str">
        <x:v>小3.0（1.82-1.92）</x:v>
      </x:c>
      <x:c r="H1994" s="65" t="str">
        <x:v>平局；巴塞罗那平手（DNB）更稳。若临场升到-0.5低水不追，若退到平手可加一点客队；若小3.0跌破1.80不追</x:v>
      </x:c>
      <x:c r="I1994" s="66" t="n">
        <x:v>46092.2025462963</x:v>
      </x:c>
      <x:c r="J1994" s="65" t="str">
        <x:v>已结算</x:v>
      </x:c>
      <x:c r="K1994" s="65" t="str">
        <x:v>1-1</x:v>
      </x:c>
      <x:c r="L1994" s="65" t="str">
        <x:v>输半</x:v>
      </x:c>
      <x:c r="M1994" s="65" t="str">
        <x:v>赢</x:v>
      </x:c>
      <x:c r="N1994" s="67" t="n">
        <x:v>-0.5</x:v>
      </x:c>
      <x:c r="O1994" s="67" t="n">
        <x:v>1</x:v>
      </x:c>
      <x:c r="P1994" s="67" t="n">
        <x:f>IF(COUNT(N1994:O1994)=0,"",SUM(N1994:O1994))</x:f>
        <x:v>0.5</x:v>
      </x:c>
      <x:c r="Q1994" s="65"/>
      <x:c r="R1994" s="65" t="str">
        <x:v>复核赛果：纽卡斯尔联 1-1 巴塞罗那；让球：巴塞罗那 -0.25=输半；大小：小3.0=赢。</x:v>
      </x:c>
    </x:row>
    <x:row r="1995" ht="24" customHeight="1">
      <x:c r="A1995" s="68" t="str">
        <x:f>IF(B1995="","",TEXT(B1995,"yyyy-mm-dd")&amp;"|"&amp;D1995&amp;"|"&amp;E1995)</x:f>
        <x:v>2026-03-11|斯托克城|伊普斯维奇镇</x:v>
      </x:c>
      <x:c r="B1995" s="69" t="n">
        <x:v>46092.166666666664</x:v>
      </x:c>
      <x:c r="C1995" s="68" t="str">
        <x:v>英格兰冠军联赛（英冠）</x:v>
      </x:c>
      <x:c r="D1995" s="68" t="str">
        <x:v>斯托克城</x:v>
      </x:c>
      <x:c r="E1995" s="68" t="str">
        <x:v>伊普斯维奇镇</x:v>
      </x:c>
      <x:c r="F1995" s="68" t="str">
        <x:v>伊普斯维奇镇 -0.75（1.82-1.90）</x:v>
      </x:c>
      <x:c r="G1995" s="68" t="str">
        <x:v>小2.5（1.80-1.88）</x:v>
      </x:c>
      <x:c r="H1995" s="68" t="str">
        <x:v>伊普斯维奇镇独赢；若临场升到-1且低于0.85不追，若退到-0.5可加仓客队；若小2.5跌破1.78不追</x:v>
      </x:c>
      <x:c r="I1995" s="69" t="n">
        <x:v>46092.198217592595</x:v>
      </x:c>
      <x:c r="J1995" s="68" t="str">
        <x:v>已结算</x:v>
      </x:c>
      <x:c r="K1995" s="68"/>
      <x:c r="L1995" s="68" t="str">
        <x:v>输</x:v>
      </x:c>
      <x:c r="M1995" s="68" t="str">
        <x:v>输</x:v>
      </x:c>
      <x:c r="N1995" s="70" t="n">
        <x:v>-1</x:v>
      </x:c>
      <x:c r="O1995" s="70" t="n">
        <x:v>-1</x:v>
      </x:c>
      <x:c r="P1995" s="70" t="n">
        <x:f>IF(COUNT(N1995:O1995)=0,"",SUM(N1995:O1995))</x:f>
        <x:v>-2</x:v>
      </x:c>
      <x:c r="Q1995" s="68"/>
      <x:c r="R1995" s="68" t="str">
        <x:v>比分3-3；伊普斯维奇镇 -0.75输，小2.5输</x:v>
      </x:c>
    </x:row>
    <x:row r="1996">
      <x:c r="A1996" t="str">
        <x:f>IF(B1996="","",TEXT(B1996,"yyyy-mm-dd")&amp;"|"&amp;D1996&amp;"|"&amp;E1996)</x:f>
        <x:v>2026-03-11|雷克斯汉姆|赫尔城</x:v>
      </x:c>
      <x:c r="B1996" s="39" t="n">
        <x:v>46092.15625</x:v>
      </x:c>
      <x:c r="C1996" t="str">
        <x:v>英格兰冠军联赛（英冠）</x:v>
      </x:c>
      <x:c r="D1996" t="str">
        <x:v>雷克斯汉姆</x:v>
      </x:c>
      <x:c r="E1996" t="str">
        <x:v>赫尔城</x:v>
      </x:c>
      <x:c r="F1996" t="str">
        <x:v>赫尔城 +0.25（1.85-1.95）</x:v>
      </x:c>
      <x:c r="G1996" t="str">
        <x:v>小2.5（1.82-1.92）</x:v>
      </x:c>
      <x:c r="H1996" t="str">
        <x:v>平局；赫尔城平手（DNB）更稳。若临场退到平手可加一点客队，若升到雷克斯汉姆让0.5低水不追主队；若小2.5跌破1.80不追</x:v>
      </x:c>
      <x:c r="I1996" t="n">
        <x:v>46092.20631944444</x:v>
      </x:c>
      <x:c r="J1996" t="str">
        <x:v>已结算</x:v>
      </x:c>
      <x:c r="K1996"/>
      <x:c r="L1996" t="str">
        <x:v>赢</x:v>
      </x:c>
      <x:c r="M1996" t="str">
        <x:v>输</x:v>
      </x:c>
      <x:c r="N1996" t="n">
        <x:v>1</x:v>
      </x:c>
      <x:c r="O1996" t="n">
        <x:v>-1</x:v>
      </x:c>
      <x:c r="P1996" t="n">
        <x:f>IF(COUNT(N1996:O1996)=0,"",SUM(N1996:O1996))</x:f>
        <x:v>0</x:v>
      </x:c>
      <x:c r="Q1996"/>
      <x:c r="R1996" t="str">
        <x:v>比分1-2；赫尔城 +0.25赢，小2.5输</x:v>
      </x:c>
    </x:row>
    <x:row r="1997">
      <x:c r="A1997" t="str">
        <x:f>IF(B1997="","",TEXT(B1997,"yyyy-mm-dd")&amp;"|"&amp;D1997&amp;"|"&amp;E1997)</x:f>
        <x:v>2026-03-11|莱斯特城|布里斯托尔城</x:v>
      </x:c>
      <x:c r="B1997" s="39" t="n">
        <x:v>46092.15625</x:v>
      </x:c>
      <x:c r="C1997" t="str">
        <x:v>英格兰冠军联赛（英冠）</x:v>
      </x:c>
      <x:c r="D1997" t="str">
        <x:v>莱斯特城</x:v>
      </x:c>
      <x:c r="E1997" t="str">
        <x:v>布里斯托尔城</x:v>
      </x:c>
      <x:c r="F1997" t="str">
        <x:v>布里斯托尔城 +0.5（1.85-1.95）</x:v>
      </x:c>
      <x:c r="G1997" t="str">
        <x:v>小2.5（1.82-1.92）</x:v>
      </x:c>
      <x:c r="H1997" t="str">
        <x:v>平局；布里斯托尔城 +0.25更进取。若临场莱斯特退到-0.25则不再追客受让，若升到-0.75低水不追主队；若小2.5跌破1.80不追</x:v>
      </x:c>
      <x:c r="I1997" t="n">
        <x:v>46092.20622685185</x:v>
      </x:c>
      <x:c r="J1997" t="str">
        <x:v>已结算</x:v>
      </x:c>
      <x:c r="K1997"/>
      <x:c r="L1997" t="str">
        <x:v>输</x:v>
      </x:c>
      <x:c r="M1997" t="str">
        <x:v>赢</x:v>
      </x:c>
      <x:c r="N1997" t="n">
        <x:v>-1</x:v>
      </x:c>
      <x:c r="O1997" t="n">
        <x:v>1</x:v>
      </x:c>
      <x:c r="P1997" t="n">
        <x:f>IF(COUNT(N1997:O1997)=0,"",SUM(N1997:O1997))</x:f>
        <x:v>0</x:v>
      </x:c>
      <x:c r="Q1997"/>
      <x:c r="R1997" t="str">
        <x:v>比分2-0；布里斯托尔城 +0.5输，小2.5赢</x:v>
      </x:c>
    </x:row>
    <x:row r="1998">
      <x:c r="A1998" t="str">
        <x:f>IF(B1998="","",TEXT(B1998,"yyyy-mm-dd")&amp;"|"&amp;D1998&amp;"|"&amp;E1998)</x:f>
        <x:v>2026-03-11|米尔沃尔|德比郡</x:v>
      </x:c>
      <x:c r="B1998" s="39" t="n">
        <x:v>46092.15625</x:v>
      </x:c>
      <x:c r="C1998" t="str">
        <x:v>英格兰冠军联赛（英冠）</x:v>
      </x:c>
      <x:c r="D1998" t="str">
        <x:v>米尔沃尔</x:v>
      </x:c>
      <x:c r="E1998" t="str">
        <x:v>德比郡</x:v>
      </x:c>
      <x:c r="F1998" t="str">
        <x:v>米尔沃尔 -0.5（1.85-1.95）</x:v>
      </x:c>
      <x:c r="G1998" t="str">
        <x:v>小2.25（1.82-1.92）</x:v>
      </x:c>
      <x:c r="H1998" t="str">
        <x:v>米尔沃尔独赢；若临场退到-0.25可加一点主队，若升到-0.75且低于0.85不追；若小2.25跌破1.80不追</x:v>
      </x:c>
      <x:c r="I1998" t="n">
        <x:v>46092.206145833334</x:v>
      </x:c>
      <x:c r="J1998" t="str">
        <x:v>已结算</x:v>
      </x:c>
      <x:c r="K1998"/>
      <x:c r="L1998" t="str">
        <x:v>赢</x:v>
      </x:c>
      <x:c r="M1998" t="str">
        <x:v>赢</x:v>
      </x:c>
      <x:c r="N1998" t="n">
        <x:v>1</x:v>
      </x:c>
      <x:c r="O1998" t="n">
        <x:v>1</x:v>
      </x:c>
      <x:c r="P1998" t="n">
        <x:f>IF(COUNT(N1998:O1998)=0,"",SUM(N1998:O1998))</x:f>
        <x:v>2</x:v>
      </x:c>
      <x:c r="Q1998"/>
      <x:c r="R1998" t="str">
        <x:v>比分1-0；米尔沃尔 -0.5赢，小2.25赢</x:v>
      </x:c>
    </x:row>
    <x:row r="1999">
      <x:c r="A1999" t="str">
        <x:f>IF(B1999="","",TEXT(B1999,"yyyy-mm-dd")&amp;"|"&amp;D1999&amp;"|"&amp;E1999)</x:f>
        <x:v>2026-03-11|朴茨茅斯|斯旺西城</x:v>
      </x:c>
      <x:c r="B1999" s="39" t="n">
        <x:v>46092.15625</x:v>
      </x:c>
      <x:c r="C1999" t="str">
        <x:v>英格兰冠军联赛（英冠）</x:v>
      </x:c>
      <x:c r="D1999" t="str">
        <x:v>朴茨茅斯</x:v>
      </x:c>
      <x:c r="E1999" t="str">
        <x:v>斯旺西城</x:v>
      </x:c>
      <x:c r="F1999" t="str">
        <x:v>斯旺西城 +0.25（1.85-1.95）</x:v>
      </x:c>
      <x:c r="G1999" t="str">
        <x:v>小2.5（1.82-1.92）</x:v>
      </x:c>
      <x:c r="H1999" t="str">
        <x:v>平局；斯旺西城平手（DNB）更稳。若临场退到平手可加一点客队，若升到朴茨茅斯让0.25/0.5则不追主队；若小2.5跌破1.80不追</x:v>
      </x:c>
      <x:c r="I1999" t="n">
        <x:v>46092.206087962964</x:v>
      </x:c>
      <x:c r="J1999" t="str">
        <x:v>已结算</x:v>
      </x:c>
      <x:c r="K1999"/>
      <x:c r="L1999" t="str">
        <x:v>赢</x:v>
      </x:c>
      <x:c r="M1999" t="str">
        <x:v>输</x:v>
      </x:c>
      <x:c r="N1999" t="n">
        <x:v>1</x:v>
      </x:c>
      <x:c r="O1999" t="n">
        <x:v>-1</x:v>
      </x:c>
      <x:c r="P1999" t="n">
        <x:f>IF(COUNT(N1999:O1999)=0,"",SUM(N1999:O1999))</x:f>
        <x:v>0</x:v>
      </x:c>
      <x:c r="Q1999"/>
      <x:c r="R1999" t="str">
        <x:v>比分1-2；斯旺西城 +0.25赢，小2.5输</x:v>
      </x:c>
    </x:row>
    <x:row r="2000">
      <x:c r="A2000" t="str">
        <x:f>IF(B2000="","",TEXT(B2000,"yyyy-mm-dd")&amp;"|"&amp;D2000&amp;"|"&amp;E2000)</x:f>
        <x:v>2026-03-11|谢周三|沃特福德</x:v>
      </x:c>
      <x:c r="B2000" s="39" t="n">
        <x:v>46092.15625</x:v>
      </x:c>
      <x:c r="C2000" t="str">
        <x:v>英格兰冠军联赛（英冠）</x:v>
      </x:c>
      <x:c r="D2000" t="str">
        <x:v>谢周三</x:v>
      </x:c>
      <x:c r="E2000" t="str">
        <x:v>沃特福德</x:v>
      </x:c>
      <x:c r="F2000" t="str">
        <x:v>沃特福德 -0.25（仅限滚盘1.80以上可入；-0.5低于0.80不追）</x:v>
      </x:c>
      <x:c r="G2000" t="str">
        <x:v>小1.5（仅限滚盘1.80以上可入）</x:v>
      </x:c>
      <x:c r="H2000" t="str">
        <x:v>沃特福德独赢可作搭配；若让球一直停在-0.5低水则放弃让球，只保留小球；若小1.5跌破1.80不追，若升到小1.75且仍有合理水位可小注</x:v>
      </x:c>
      <x:c r="I2000" t="n">
        <x:v>46092.1937962963</x:v>
      </x:c>
      <x:c r="J2000" t="str">
        <x:v>已结算</x:v>
      </x:c>
      <x:c r="K2000" t="str">
        <x:v>1-1</x:v>
      </x:c>
      <x:c r="L2000" t="str">
        <x:v>输半</x:v>
      </x:c>
      <x:c r="M2000" t="str">
        <x:v>输</x:v>
      </x:c>
      <x:c r="N2000" t="n">
        <x:v>-0.5</x:v>
      </x:c>
      <x:c r="O2000" t="n">
        <x:v>-1</x:v>
      </x:c>
      <x:c r="P2000" t="n">
        <x:f>IF(COUNT(N2000:O2000)=0,"",SUM(N2000:O2000))</x:f>
        <x:v>-1.5</x:v>
      </x:c>
      <x:c r="Q2000"/>
      <x:c r="R2000" t="str">
        <x:v>复核赛果：谢周三 1-1 沃特福德；让球：沃特福德 -0.25=输半；大小：小1.5=输。</x:v>
      </x:c>
    </x:row>
    <x:row r="2001">
      <x:c r="A2001" t="str">
        <x:f>IF(B2001="","",TEXT(B2001,"yyyy-mm-dd")&amp;"|"&amp;D2001&amp;"|"&amp;E2001)</x:f>
        <x:v>2026-03-10|巴杨卡拉泗水联|阿雷马</x:v>
      </x:c>
      <x:c r="B2001" s="39" t="n">
        <x:v>46091.895833333336</x:v>
      </x:c>
      <x:c r="C2001" t="str">
        <x:v>印度尼西亚超级联赛（印尼超/Liga 1 Indonesia）</x:v>
      </x:c>
      <x:c r="D2001" t="str">
        <x:v>巴杨卡拉泗水联</x:v>
      </x:c>
      <x:c r="E2001" t="str">
        <x:v>阿雷马</x:v>
      </x:c>
      <x:c r="F2001" t="str">
        <x:v>巴杨卡拉泗水联 -0.25（1.85-1.95）</x:v>
      </x:c>
      <x:c r="G2001" t="str">
        <x:v>大2.5/2.75（2.75，1.82-1.92）</x:v>
      </x:c>
      <x:c r="H2001" t="str">
        <x:v>巴杨卡拉泗水联平手（DNB）更稳；若临场升到-0.5低水不追，若退到平手可加一点主队；若大2.75升到3且低于0.80不追</x:v>
      </x:c>
      <x:c r="I2001" t="n">
        <x:v>46091.87567129629</x:v>
      </x:c>
      <x:c r="J2001" t="str">
        <x:v>已结算</x:v>
      </x:c>
      <x:c r="K2001"/>
      <x:c r="L2001" t="str">
        <x:v>赢</x:v>
      </x:c>
      <x:c r="M2001" t="str">
        <x:v>赢半</x:v>
      </x:c>
      <x:c r="N2001" t="n">
        <x:v>1</x:v>
      </x:c>
      <x:c r="O2001" t="n">
        <x:v>0.5</x:v>
      </x:c>
      <x:c r="P2001" t="n">
        <x:f>IF(COUNT(N2001:O2001)=0,"",SUM(N2001:O2001))</x:f>
        <x:v>1.5</x:v>
      </x:c>
      <x:c r="Q2001"/>
      <x:c r="R2001" t="str">
        <x:v>比分2-1；巴杨卡拉泗水联 -0.25赢，大2.75赢半</x:v>
      </x:c>
    </x:row>
    <x:row r="2002">
      <x:c r="A2002" t="str">
        <x:f>IF(B2002="","",TEXT(B2002,"yyyy-mm-dd")&amp;"|"&amp;D2002&amp;"|"&amp;E2002)</x:f>
        <x:v>2026-03-10|武里南联|墨尔本城</x:v>
      </x:c>
      <x:c r="B2002" s="39" t="n">
        <x:v>46091.84375</x:v>
      </x:c>
      <x:c r="C2002" t="str">
        <x:v>亚冠精英</x:v>
      </x:c>
      <x:c r="D2002" t="str">
        <x:v>武里南联</x:v>
      </x:c>
      <x:c r="E2002" t="str">
        <x:v>墨尔本城</x:v>
      </x:c>
      <x:c r="F2002" t="str">
        <x:v>武里南联 -0.5（1.80-1.90）</x:v>
      </x:c>
      <x:c r="G2002" t="str">
        <x:v>小2.75（1.82-1.92）</x:v>
      </x:c>
      <x:c r="H2002" t="str">
        <x:v>武里南联独赢；若临场退到-0.25可加一点主队，若升到-0.75且低于0.85不追；若小2.75跌破1.80不追，若升到小3.0高水可小追</x:v>
      </x:c>
      <x:c r="I2002" t="n">
        <x:v>46091.84644675926</x:v>
      </x:c>
      <x:c r="J2002" t="str">
        <x:v>已结算</x:v>
      </x:c>
      <x:c r="K2002"/>
      <x:c r="L2002" t="str">
        <x:v>输</x:v>
      </x:c>
      <x:c r="M2002" t="str">
        <x:v>赢</x:v>
      </x:c>
      <x:c r="N2002" t="n">
        <x:v>-1</x:v>
      </x:c>
      <x:c r="O2002" t="n">
        <x:v>1</x:v>
      </x:c>
      <x:c r="P2002" t="n">
        <x:f>IF(COUNT(N2002:O2002)=0,"",SUM(N2002:O2002))</x:f>
        <x:v>0</x:v>
      </x:c>
      <x:c r="Q2002"/>
      <x:c r="R2002" t="str">
        <x:v>90分钟比分0-0；武里南联 -0.5输，小2.75赢（加时/点球不计入常规盘结算）</x:v>
      </x:c>
    </x:row>
    <x:row r="2003">
      <x:c r="A2003" t="str">
        <x:f>IF(B2003="","",TEXT(B2003,"yyyy-mm-dd")&amp;"|"&amp;D2003&amp;"|"&amp;E2003)</x:f>
        <x:v>2026-03-10|帕斯度（Deportivo Pasto）|卡利美洲（América de Cali）</x:v>
      </x:c>
      <x:c r="B2003" s="39" t="n">
        <x:v>46091.395833333336</x:v>
      </x:c>
      <x:c r="C2003" t="str">
        <x:v>哥伦比亚甲级联赛（Liga BetPlay DIMAYOR）</x:v>
      </x:c>
      <x:c r="D2003" t="str">
        <x:v>帕斯度（Deportivo Pasto）</x:v>
      </x:c>
      <x:c r="E2003" t="str">
        <x:v>卡利美洲（América de Cali）</x:v>
      </x:c>
      <x:c r="F2003" t="str">
        <x:v>帕斯度（Deportivo Pasto） +0.25（1.85-1.95）</x:v>
      </x:c>
      <x:c r="G2003" t="str">
        <x:v>小2.25（1.82-1.92）</x:v>
      </x:c>
      <x:c r="H2003" t="str">
        <x:v>平局；帕斯度（Deportivo Pasto）平手（DNB）更稳。若临场退到平手可加一点主队，若升到卡利美洲让0/0.25则不追客队；若小2.25跌破1.80不追</x:v>
      </x:c>
      <x:c r="I2003" t="n">
        <x:v>46091.3940625</x:v>
      </x:c>
      <x:c r="J2003" t="str">
        <x:v>已结算</x:v>
      </x:c>
      <x:c r="K2003"/>
      <x:c r="L2003" t="str">
        <x:v>赢</x:v>
      </x:c>
      <x:c r="M2003" t="str">
        <x:v>赢半</x:v>
      </x:c>
      <x:c r="N2003" t="n">
        <x:v>1</x:v>
      </x:c>
      <x:c r="O2003" t="n">
        <x:v>0.5</x:v>
      </x:c>
      <x:c r="P2003" t="n">
        <x:f>IF(COUNT(N2003:O2003)=0,"",SUM(N2003:O2003))</x:f>
        <x:v>1.5</x:v>
      </x:c>
      <x:c r="Q2003"/>
      <x:c r="R2003" t="str">
        <x:v>比分2-0；帕斯度（Deportivo Pasto） +0.25赢，小2.25赢半</x:v>
      </x:c>
    </x:row>
    <x:row r="2004">
      <x:c r="A2004" t="str">
        <x:f>IF(B2004="","",TEXT(B2004,"yyyy-mm-dd")&amp;"|"&amp;D2004&amp;"|"&amp;E2004)</x:f>
        <x:v>2026-03-10|百万富翁（Millonarios）|侨卡巴</x:v>
      </x:c>
      <x:c r="B2004" s="39" t="n">
        <x:v>46091.305555555555</x:v>
      </x:c>
      <x:c r="C2004" t="str">
        <x:v>哥伦比亚甲级联赛（Liga BetPlay DIMAYOR）</x:v>
      </x:c>
      <x:c r="D2004" t="str">
        <x:v>百万富翁（Millonarios）</x:v>
      </x:c>
      <x:c r="E2004" t="str">
        <x:v>侨卡巴</x:v>
      </x:c>
      <x:c r="F2004" t="str">
        <x:v>百万富翁（Millonarios） -1（1.90左右可入）</x:v>
      </x:c>
      <x:c r="G2004" t="str">
        <x:v>大2.75（1.83-1.95）</x:v>
      </x:c>
      <x:c r="H2004" t="str">
        <x:v>百万富翁独赢；若临场升到-1.25且低于0.85不追，若退到-0.75可加仓主队；若大3.0高水可小追，若只剩小3.0低赔不碰</x:v>
      </x:c>
      <x:c r="I2004" t="n">
        <x:v>46091.280625</x:v>
      </x:c>
      <x:c r="J2004" t="str">
        <x:v>已结算</x:v>
      </x:c>
      <x:c r="K2004"/>
      <x:c r="L2004" t="str">
        <x:v>赢</x:v>
      </x:c>
      <x:c r="M2004" t="str">
        <x:v>输</x:v>
      </x:c>
      <x:c r="N2004" t="n">
        <x:v>1</x:v>
      </x:c>
      <x:c r="O2004" t="n">
        <x:v>-1</x:v>
      </x:c>
      <x:c r="P2004" t="n">
        <x:f>IF(COUNT(N2004:O2004)=0,"",SUM(N2004:O2004))</x:f>
        <x:v>0</x:v>
      </x:c>
      <x:c r="Q2004"/>
      <x:c r="R2004" t="str">
        <x:v>比分2-0；百万富翁（Millonarios） -1走水，大2.75输</x:v>
      </x:c>
    </x:row>
    <x:row r="2005">
      <x:c r="A2005" t="str">
        <x:f>IF(B2005="","",TEXT(B2005,"yyyy-mm-dd")&amp;"|"&amp;D2005&amp;"|"&amp;E2005)</x:f>
        <x:v>2026-03-10|拉尼罗斯（Llaneros FC）|贾奎斯科尔多巴（Jaguares de Córdoba）</x:v>
      </x:c>
      <x:c r="B2005" s="39" t="n">
        <x:v>46091.208333333336</x:v>
      </x:c>
      <x:c r="C2005" t="str">
        <x:v>哥伦比亚甲级联赛（Liga BetPlay DIMAYOR）</x:v>
      </x:c>
      <x:c r="D2005" t="str">
        <x:v>拉尼罗斯（Llaneros FC）</x:v>
      </x:c>
      <x:c r="E2005" t="str">
        <x:v>贾奎斯科尔多巴（Jaguares de Córdoba）</x:v>
      </x:c>
      <x:c r="F2005" t="str">
        <x:v>拉尼罗斯（Llaneros FC） -0.5（1.90左右可入）</x:v>
      </x:c>
      <x:c r="G2005" t="str">
        <x:v>小2.25（仅限1.80以上；若只剩小2.5低于1.75不追）</x:v>
      </x:c>
      <x:c r="H2005" t="str">
        <x:v>拉尼罗斯独赢；若临场退到平手可加一点主队，若升到-0.75且低于0.85不追；若小2.25升回小2.5高水可小注，低赔不碰</x:v>
      </x:c>
      <x:c r="I2005" t="n">
        <x:v>46091.20783564815</x:v>
      </x:c>
      <x:c r="J2005" t="str">
        <x:v>已结算</x:v>
      </x:c>
      <x:c r="K2005"/>
      <x:c r="L2005" t="str">
        <x:v>赢</x:v>
      </x:c>
      <x:c r="M2005" t="str">
        <x:v>赢半</x:v>
      </x:c>
      <x:c r="N2005" t="n">
        <x:v>1</x:v>
      </x:c>
      <x:c r="O2005" t="n">
        <x:v>0.5</x:v>
      </x:c>
      <x:c r="P2005" t="n">
        <x:f>IF(COUNT(N2005:O2005)=0,"",SUM(N2005:O2005))</x:f>
        <x:v>1.5</x:v>
      </x:c>
      <x:c r="Q2005"/>
      <x:c r="R2005" t="str">
        <x:v>比分2-0；拉尼罗斯（Llaneros FC） -0.5赢，小2.25赢半</x:v>
      </x:c>
    </x:row>
    <x:row r="2006">
      <x:c r="A2006" t="str">
        <x:f>IF(B2006="","",TEXT(B2006,"yyyy-mm-dd")&amp;"|"&amp;D2006&amp;"|"&amp;E2006)</x:f>
        <x:v>2026-03-09|PSBS巴克伦佛（PSBS Biak）|塞曼巴东（Semen Padang）</x:v>
      </x:c>
      <x:c r="B2006" s="39" t="n">
        <x:v>46090.895833333336</x:v>
      </x:c>
      <x:c r="C2006" t="str">
        <x:v>印度尼西亚超级联赛（印尼超/Liga 1 Indonesia）</x:v>
      </x:c>
      <x:c r="D2006" t="str">
        <x:v>PSBS巴克伦佛（PSBS Biak）</x:v>
      </x:c>
      <x:c r="E2006" t="str">
        <x:v>塞曼巴东（Semen Padang）</x:v>
      </x:c>
      <x:c r="F2006" t="str">
        <x:v>PSBS巴克伦佛（PSBS Biak） -0.5（1.82-1.92）</x:v>
      </x:c>
      <x:c r="G2006" t="str">
        <x:v>大2.5/3（2.75，1.83-1.93）</x:v>
      </x:c>
      <x:c r="H2006" t="str">
        <x:v>PSBS巴克伦佛（PSBS Biak）独赢；若临场升到-0.75且低于0.85不追，若退到-0.25可加仓主队；若大2.75升到3且低于0.80不追</x:v>
      </x:c>
      <x:c r="I2006" t="n">
        <x:v>46090.85028935185</x:v>
      </x:c>
      <x:c r="J2006" t="str">
        <x:v>已结算</x:v>
      </x:c>
      <x:c r="K2006"/>
      <x:c r="L2006" t="str">
        <x:v>输</x:v>
      </x:c>
      <x:c r="M2006" t="str">
        <x:v>输</x:v>
      </x:c>
      <x:c r="N2006" t="n">
        <x:v>-1</x:v>
      </x:c>
      <x:c r="O2006" t="n">
        <x:v>-1</x:v>
      </x:c>
      <x:c r="P2006" t="n">
        <x:f>IF(COUNT(N2006:O2006)=0,"",SUM(N2006:O2006))</x:f>
        <x:v>-2</x:v>
      </x:c>
      <x:c r="Q2006"/>
      <x:c r="R2006" t="str">
        <x:v>比分0-2；PSBS巴克伦佛（PSBS Biak） -0.5输，大2.75输</x:v>
      </x:c>
    </x:row>
    <x:row r="2007">
      <x:c r="A2007" t="str">
        <x:f>IF(B2007="","",TEXT(B2007,"yyyy-mm-dd")&amp;"|"&amp;D2007&amp;"|"&amp;E2007)</x:f>
        <x:v>2026-03-09|万隆（Persib Bandung）|佩斯克谏义里（Persik Kediri）</x:v>
      </x:c>
      <x:c r="B2007" s="39" t="n">
        <x:v>46090.895833333336</x:v>
      </x:c>
      <x:c r="C2007" t="str">
        <x:v>印度尼西亚超级联赛（印尼超/Liga 1 Indonesia）</x:v>
      </x:c>
      <x:c r="D2007" t="str">
        <x:v>万隆（Persib Bandung）</x:v>
      </x:c>
      <x:c r="E2007" t="str">
        <x:v>佩斯克谏义里（Persik Kediri）</x:v>
      </x:c>
      <x:c r="F2007" t="str">
        <x:v>万隆（Persib Bandung） -1.5（1.80-1.90）</x:v>
      </x:c>
      <x:c r="G2007" t="str">
        <x:v>大3.0（仅限1.80以上；若只有大2.5低赔不碰）</x:v>
      </x:c>
      <x:c r="H2007" t="str">
        <x:v>万隆独赢；若临场退到-1.25可加仓主队，若升到-1.75且低于0.85不追；若大3.0跌破1.80不追</x:v>
      </x:c>
      <x:c r="I2007" t="n">
        <x:v>46090.84276620371</x:v>
      </x:c>
      <x:c r="J2007" t="str">
        <x:v>已结算</x:v>
      </x:c>
      <x:c r="K2007"/>
      <x:c r="L2007" t="str">
        <x:v>赢</x:v>
      </x:c>
      <x:c r="M2007" t="str">
        <x:v>走水</x:v>
      </x:c>
      <x:c r="N2007" t="n">
        <x:v>1</x:v>
      </x:c>
      <x:c r="O2007" t="n">
        <x:v>0</x:v>
      </x:c>
      <x:c r="P2007" t="n">
        <x:f>IF(COUNT(N2007:O2007)=0,"",SUM(N2007:O2007))</x:f>
        <x:v>1</x:v>
      </x:c>
      <x:c r="Q2007"/>
      <x:c r="R2007" t="str">
        <x:v>比分3-0；万隆（Persib Bandung） -1.5赢，大3.0走水</x:v>
      </x:c>
    </x:row>
    <x:row r="2008">
      <x:c r="A2008" t="str">
        <x:f>IF(B2008="","",TEXT(B2008,"yyyy-mm-dd")&amp;"|"&amp;D2008&amp;"|"&amp;E2008)</x:f>
        <x:v>2026-03-09|旁遮普FC|东北联</x:v>
      </x:c>
      <x:c r="B2008" s="39" t="n">
        <x:v>46090.8125</x:v>
      </x:c>
      <x:c r="C2008" t="str">
        <x:v>印度超级联赛（Indian Super League）</x:v>
      </x:c>
      <x:c r="D2008" t="str">
        <x:v>旁遮普FC</x:v>
      </x:c>
      <x:c r="E2008" t="str">
        <x:v>东北联</x:v>
      </x:c>
      <x:c r="F2008" t="str">
        <x:v>东北联 +0.25（1.85-1.95）</x:v>
      </x:c>
      <x:c r="G2008" t="str">
        <x:v>小2.75（1.82-1.92）</x:v>
      </x:c>
      <x:c r="H2008" t="str">
        <x:v>平局；东北联平手（DNB）更稳。若临场退到平手可加一点客队，若升到东北联让0/0.25则不追；若小2.75跌破1.80不追</x:v>
      </x:c>
      <x:c r="I2008" t="n">
        <x:v>46090.83510416667</x:v>
      </x:c>
      <x:c r="J2008" t="str">
        <x:v>已结算</x:v>
      </x:c>
      <x:c r="K2008"/>
      <x:c r="L2008" t="str">
        <x:v>赢半</x:v>
      </x:c>
      <x:c r="M2008" t="str">
        <x:v>赢</x:v>
      </x:c>
      <x:c r="N2008" t="n">
        <x:v>0.5</x:v>
      </x:c>
      <x:c r="O2008" t="n">
        <x:v>1</x:v>
      </x:c>
      <x:c r="P2008" t="n">
        <x:f>IF(COUNT(N2008:O2008)=0,"",SUM(N2008:O2008))</x:f>
        <x:v>1.5</x:v>
      </x:c>
      <x:c r="Q2008"/>
      <x:c r="R2008" t="str">
        <x:v>比分1-1；东北联 +0.25赢半，小2.75赢</x:v>
      </x:c>
    </x:row>
    <x:row r="2009">
      <x:c r="A2009" t="str">
        <x:f>IF(B2009="","",TEXT(B2009,"yyyy-mm-dd")&amp;"|"&amp;D2009&amp;"|"&amp;E2009)</x:f>
        <x:v>2026-03-09|墨尔本胜利青年队|布琳狮子（Bulleen Lions）</x:v>
      </x:c>
      <x:c r="B2009" s="39" t="n">
        <x:v>46090.708333333336</x:v>
      </x:c>
      <x:c r="C2009" t="str">
        <x:v>澳大利亚 维多利亚州超级联赛1（VPL1）</x:v>
      </x:c>
      <x:c r="D2009" t="str">
        <x:v>墨尔本胜利青年队</x:v>
      </x:c>
      <x:c r="E2009" t="str">
        <x:v>布琳狮子（Bulleen Lions）</x:v>
      </x:c>
      <x:c r="F2009" t="str">
        <x:v>布琳狮子（Bulleen Lions） +0.75（0.90左右更佳）</x:v>
      </x:c>
      <x:c r="G2009" t="str">
        <x:v>大3.5/4（0.80以上可入）</x:v>
      </x:c>
      <x:c r="H2009" t="str">
        <x:v>布琳狮子（Bulleen Lions） +1更稳；若临场退到主让-0.5则放弃客受让，若大3.5/4升到4且低于0.80不追</x:v>
      </x:c>
      <x:c r="I2009" t="n">
        <x:v>46090.72292824074</x:v>
      </x:c>
      <x:c r="J2009" t="str">
        <x:v>已结算</x:v>
      </x:c>
      <x:c r="K2009"/>
      <x:c r="L2009" t="str">
        <x:v>赢</x:v>
      </x:c>
      <x:c r="M2009" t="str">
        <x:v>赢半</x:v>
      </x:c>
      <x:c r="N2009" t="n">
        <x:v>1</x:v>
      </x:c>
      <x:c r="O2009" t="n">
        <x:v>0.5</x:v>
      </x:c>
      <x:c r="P2009" t="n">
        <x:f>IF(COUNT(N2009:O2009)=0,"",SUM(N2009:O2009))</x:f>
        <x:v>1.5</x:v>
      </x:c>
      <x:c r="Q2009"/>
      <x:c r="R2009" t="str">
        <x:v>比分2-2；布琳狮子（Bulleen Lions） +0.75赢，大3.5/4赢半</x:v>
      </x:c>
    </x:row>
    <x:row r="2010">
      <x:c r="A2010" t="str">
        <x:f>IF(B2010="","",TEXT(B2010,"yyyy-mm-dd")&amp;"|"&amp;D2010&amp;"|"&amp;E2010)</x:f>
        <x:v>2026-03-09|蒂华纳|桑托斯拉古纳</x:v>
      </x:c>
      <x:c r="B2010" s="39" t="n">
        <x:v>46090.4625</x:v>
      </x:c>
      <x:c r="C2010" t="str">
        <x:v>墨西哥超（Liga MX，Clausura）</x:v>
      </x:c>
      <x:c r="D2010" t="str">
        <x:v>蒂华纳</x:v>
      </x:c>
      <x:c r="E2010" t="str">
        <x:v>桑托斯拉古纳</x:v>
      </x:c>
      <x:c r="F2010" t="str">
        <x:v>蒂华纳 -0.75（1.82-1.92）</x:v>
      </x:c>
      <x:c r="G2010" t="str">
        <x:v>大3.0（1.84-1.95）</x:v>
      </x:c>
      <x:c r="H2010" t="str">
        <x:v>蒂华纳独赢；若临场/滚盘退到-0.5可加一点主队，若升到-1.25且低于0.85不追；若大2.5跌破1.75不追</x:v>
      </x:c>
      <x:c r="I2010" t="n">
        <x:v>46090.40787037037</x:v>
      </x:c>
      <x:c r="J2010" t="str">
        <x:v>已结算</x:v>
      </x:c>
      <x:c r="K2010"/>
      <x:c r="L2010" t="str">
        <x:v>输</x:v>
      </x:c>
      <x:c r="M2010" t="str">
        <x:v>走水</x:v>
      </x:c>
      <x:c r="N2010" t="n">
        <x:v>-1</x:v>
      </x:c>
      <x:c r="O2010" t="n">
        <x:v>0</x:v>
      </x:c>
      <x:c r="P2010" t="n">
        <x:f>IF(COUNT(N2010:O2010)=0,"",SUM(N2010:O2010))</x:f>
        <x:v>-1</x:v>
      </x:c>
      <x:c r="Q2010"/>
      <x:c r="R2010" t="str">
        <x:v>比分1-2；蒂华纳 -0.75输，大3.0走水</x:v>
      </x:c>
    </x:row>
    <x:row r="2011">
      <x:c r="A2011" t="str">
        <x:f>IF(B2011="","",TEXT(B2011,"yyyy-mm-dd")&amp;"|"&amp;D2011&amp;"|"&amp;E2011)</x:f>
        <x:v>2026-03-09|托卢卡|华雷斯FC</x:v>
      </x:c>
      <x:c r="B2011" s="39" t="n">
        <x:v>46090.291666666664</x:v>
      </x:c>
      <x:c r="C2011" t="str">
        <x:v>墨西哥超（Liga MX，Clausura）</x:v>
      </x:c>
      <x:c r="D2011" t="str">
        <x:v>托卢卡</x:v>
      </x:c>
      <x:c r="E2011" t="str">
        <x:v>华雷斯FC</x:v>
      </x:c>
      <x:c r="F2011" t="str">
        <x:v>托卢卡 -1（1.82-1.92）</x:v>
      </x:c>
      <x:c r="G2011" t="str">
        <x:v>大2.75（1.84-1.92）</x:v>
      </x:c>
      <x:c r="H2011" t="str">
        <x:v>托卢卡独赢；若临场/滚盘升到-1.25且低于0.85不追，若退到-0.75可加仓主队；若大2.5跌破1.75不追</x:v>
      </x:c>
      <x:c r="I2011" t="n">
        <x:v>46090.30059027778</x:v>
      </x:c>
      <x:c r="J2011" t="str">
        <x:v>已结算</x:v>
      </x:c>
      <x:c r="K2011"/>
      <x:c r="L2011" t="str">
        <x:v>赢</x:v>
      </x:c>
      <x:c r="M2011" t="str">
        <x:v>赢</x:v>
      </x:c>
      <x:c r="N2011" t="n">
        <x:v>1</x:v>
      </x:c>
      <x:c r="O2011" t="n">
        <x:v>1</x:v>
      </x:c>
      <x:c r="P2011" t="n">
        <x:f>IF(COUNT(N2011:O2011)=0,"",SUM(N2011:O2011))</x:f>
        <x:v>2</x:v>
      </x:c>
      <x:c r="Q2011"/>
      <x:c r="R2011" t="str">
        <x:v>比分3-1；托卢卡 -1赢，大2.75赢</x:v>
      </x:c>
    </x:row>
    <x:row r="2012">
      <x:c r="A2012" t="str">
        <x:f>IF(B2012="","",TEXT(B2012,"yyyy-mm-dd")&amp;"|"&amp;D2012&amp;"|"&amp;E2012)</x:f>
        <x:v>2026-03-09|热那亚|罗马</x:v>
      </x:c>
      <x:c r="B2012" s="39" t="n">
        <x:v>46090.041666666664</x:v>
      </x:c>
      <x:c r="C2012" t="str">
        <x:v>意大利甲级联赛（Serie A）</x:v>
      </x:c>
      <x:c r="D2012" t="str">
        <x:v>热那亚</x:v>
      </x:c>
      <x:c r="E2012" t="str">
        <x:v>罗马</x:v>
      </x:c>
      <x:c r="F2012" t="str">
        <x:v>罗马 -0.5（1.90-2.02）</x:v>
      </x:c>
      <x:c r="G2012" t="str">
        <x:v>小2.25（1.83-1.95）</x:v>
      </x:c>
      <x:c r="H2012" t="str">
        <x:v>罗马独赢；若临场/滚盘退到平手则不再追客让，若升到-0.75低于0.85不追；若小2.25跌破1.80不追</x:v>
      </x:c>
      <x:c r="I2012" t="n">
        <x:v>46090.05131944444</x:v>
      </x:c>
      <x:c r="J2012" t="str">
        <x:v>已结算</x:v>
      </x:c>
      <x:c r="K2012"/>
      <x:c r="L2012" t="str">
        <x:v>输</x:v>
      </x:c>
      <x:c r="M2012" t="str">
        <x:v>输</x:v>
      </x:c>
      <x:c r="N2012" t="n">
        <x:v>-1</x:v>
      </x:c>
      <x:c r="O2012" t="n">
        <x:v>-1</x:v>
      </x:c>
      <x:c r="P2012" t="n">
        <x:f>IF(COUNT(N2012:O2012)=0,"",SUM(N2012:O2012))</x:f>
        <x:v>-2</x:v>
      </x:c>
      <x:c r="Q2012"/>
      <x:c r="R2012" t="str">
        <x:v>比分2-1；罗马 -0.5输，小2.25输</x:v>
      </x:c>
    </x:row>
    <x:row r="2013">
      <x:c r="A2013" t="str">
        <x:f>IF(B2013="","",TEXT(B2013,"yyyy-mm-dd")&amp;"|"&amp;D2013&amp;"|"&amp;E2013)</x:f>
        <x:v>2026-03-08|佛罗伦萨|帕尔马</x:v>
      </x:c>
      <x:c r="B2013" s="39" t="n">
        <x:v>46089.916666666664</x:v>
      </x:c>
      <x:c r="C2013" t="str">
        <x:v>意大利甲级联赛（Serie A）</x:v>
      </x:c>
      <x:c r="D2013" t="str">
        <x:v>佛罗伦萨</x:v>
      </x:c>
      <x:c r="E2013" t="str">
        <x:v>帕尔马</x:v>
      </x:c>
      <x:c r="F2013" t="str">
        <x:v>佛罗伦萨 -0.5（1.82-1.92）</x:v>
      </x:c>
      <x:c r="G2013" t="str">
        <x:v>小2.5（1.80-1.90）</x:v>
      </x:c>
      <x:c r="H2013" t="str">
        <x:v>佛罗伦萨独赢；若临场/滚盘退到-0.25可加一点主队，若升到-0.75低于0.85不追；若小2.5跌到1.75以下不追</x:v>
      </x:c>
      <x:c r="I2013" t="n">
        <x:v>46089.94008101852</x:v>
      </x:c>
      <x:c r="J2013" t="str">
        <x:v>已结算</x:v>
      </x:c>
      <x:c r="K2013"/>
      <x:c r="L2013" t="str">
        <x:v>输</x:v>
      </x:c>
      <x:c r="M2013" t="str">
        <x:v>赢</x:v>
      </x:c>
      <x:c r="N2013" t="n">
        <x:v>-1</x:v>
      </x:c>
      <x:c r="O2013" t="n">
        <x:v>1</x:v>
      </x:c>
      <x:c r="P2013" t="n">
        <x:f>IF(COUNT(N2013:O2013)=0,"",SUM(N2013:O2013))</x:f>
        <x:v>0</x:v>
      </x:c>
      <x:c r="Q2013"/>
      <x:c r="R2013" t="str">
        <x:v>比分0-0；佛罗伦萨 -0.5输，小2.5赢</x:v>
      </x:c>
    </x:row>
    <x:row r="2014">
      <x:c r="A2014" t="str">
        <x:f>IF(B2014="","",TEXT(B2014,"yyyy-mm-dd")&amp;"|"&amp;D2014&amp;"|"&amp;E2014)</x:f>
        <x:v>2026-03-08|博洛尼亚|维罗纳</x:v>
      </x:c>
      <x:c r="B2014" s="39" t="n">
        <x:v>46089.916666666664</x:v>
      </x:c>
      <x:c r="C2014" t="str">
        <x:v>意大利甲级联赛（Serie A）</x:v>
      </x:c>
      <x:c r="D2014" t="str">
        <x:v>博洛尼亚</x:v>
      </x:c>
      <x:c r="E2014" t="str">
        <x:v>维罗纳</x:v>
      </x:c>
      <x:c r="F2014" t="str">
        <x:v>博洛尼亚 -0.75（1.82-1.90）</x:v>
      </x:c>
      <x:c r="G2014" t="str">
        <x:v>小2.5（1.80-1.90）</x:v>
      </x:c>
      <x:c r="H2014" t="str">
        <x:v>博洛尼亚独赢；若临场/滚盘退到-0.5可加一点主队，若升到-1低于0.85不追；若小2.5跌到1.75以下不追</x:v>
      </x:c>
      <x:c r="I2014" t="n">
        <x:v>46089.93325231481</x:v>
      </x:c>
      <x:c r="J2014" t="str">
        <x:v>已结算</x:v>
      </x:c>
      <x:c r="K2014"/>
      <x:c r="L2014" t="str">
        <x:v>输</x:v>
      </x:c>
      <x:c r="M2014" t="str">
        <x:v>输</x:v>
      </x:c>
      <x:c r="N2014" t="n">
        <x:v>-1</x:v>
      </x:c>
      <x:c r="O2014" t="n">
        <x:v>-1</x:v>
      </x:c>
      <x:c r="P2014" t="n">
        <x:f>IF(COUNT(N2014:O2014)=0,"",SUM(N2014:O2014))</x:f>
        <x:v>-2</x:v>
      </x:c>
      <x:c r="Q2014"/>
      <x:c r="R2014" t="str">
        <x:v>比分1-2；博洛尼亚 -0.75输，小2.5输</x:v>
      </x:c>
    </x:row>
    <x:row r="2015">
      <x:c r="A2015" t="str">
        <x:f>IF(B2015="","",TEXT(B2015,"yyyy-mm-dd")&amp;"|"&amp;D2015&amp;"|"&amp;E2015)</x:f>
        <x:v>2026-03-08|汉诺威96|菲尔特</x:v>
      </x:c>
      <x:c r="B2015" s="39" t="n">
        <x:v>46089.854166666664</x:v>
      </x:c>
      <x:c r="C2015" t="str">
        <x:v>德国乙级联赛（2. Bundesliga）</x:v>
      </x:c>
      <x:c r="D2015" t="str">
        <x:v>汉诺威96</x:v>
      </x:c>
      <x:c r="E2015" t="str">
        <x:v>菲尔特</x:v>
      </x:c>
      <x:c r="F2015" t="str">
        <x:v>汉诺威96 -0.75（1.82-1.92）</x:v>
      </x:c>
      <x:c r="G2015" t="str">
        <x:v>大2.75（1.84-1.92）</x:v>
      </x:c>
      <x:c r="H2015" t="str">
        <x:v>汉诺威96 -0.5 / 独赢；若临场升到-1.25且低于0.85不追，若退到-0.5可加一点主队；双方进球 是</x:v>
      </x:c>
      <x:c r="I2015" t="n">
        <x:v>46089.8240625</x:v>
      </x:c>
      <x:c r="J2015" t="str">
        <x:v>已结算</x:v>
      </x:c>
      <x:c r="K2015" t="str">
        <x:v>1-2</x:v>
      </x:c>
      <x:c r="L2015" t="str">
        <x:v>输</x:v>
      </x:c>
      <x:c r="M2015" t="str">
        <x:v>赢半</x:v>
      </x:c>
      <x:c r="N2015" t="n">
        <x:v>-1</x:v>
      </x:c>
      <x:c r="O2015" t="n">
        <x:v>0.5</x:v>
      </x:c>
      <x:c r="P2015" t="n">
        <x:f>IF(COUNT(N2015:O2015)=0,"",SUM(N2015:O2015))</x:f>
        <x:v>-0.5</x:v>
      </x:c>
      <x:c r="Q2015"/>
      <x:c r="R2015" t="str">
        <x:v>复核赛果：汉诺威96 1-2 菲尔特；让球：汉诺威96 -0.75=输；大小：大2.75=赢半（3球）。</x:v>
      </x:c>
    </x:row>
    <x:row r="2016">
      <x:c r="A2016" t="str">
        <x:f>IF(B2016="","",TEXT(B2016,"yyyy-mm-dd")&amp;"|"&amp;D2016&amp;"|"&amp;E2016)</x:f>
        <x:v>2026-03-08|普鲁士明斯特|柏林赫塔</x:v>
      </x:c>
      <x:c r="B2016" s="39" t="n">
        <x:v>46089.854166666664</x:v>
      </x:c>
      <x:c r="C2016" t="str">
        <x:v>德国乙级联赛（2. Bundesliga）</x:v>
      </x:c>
      <x:c r="D2016" t="str">
        <x:v>普鲁士明斯特</x:v>
      </x:c>
      <x:c r="E2016" t="str">
        <x:v>柏林赫塔</x:v>
      </x:c>
      <x:c r="F2016" t="str">
        <x:v>柏林赫塔 -0.25（1.90左右）</x:v>
      </x:c>
      <x:c r="G2016" t="str">
        <x:v>大2.5（1.80以上可入）</x:v>
      </x:c>
      <x:c r="H2016" t="str">
        <x:v>双方进球 是；柏林赫塔平手（DNB）；若临场/滚盘升到-0.5低水不追，若退到平手可加一点客队</x:v>
      </x:c>
      <x:c r="I2016" t="n">
        <x:v>46089.82237268519</x:v>
      </x:c>
      <x:c r="J2016" t="str">
        <x:v>已结算</x:v>
      </x:c>
      <x:c r="K2016"/>
      <x:c r="L2016" t="str">
        <x:v>赢</x:v>
      </x:c>
      <x:c r="M2016" t="str">
        <x:v>赢</x:v>
      </x:c>
      <x:c r="N2016" t="n">
        <x:v>1</x:v>
      </x:c>
      <x:c r="O2016" t="n">
        <x:v>1</x:v>
      </x:c>
      <x:c r="P2016" t="n">
        <x:f>IF(COUNT(N2016:O2016)=0,"",SUM(N2016:O2016))</x:f>
        <x:v>2</x:v>
      </x:c>
      <x:c r="Q2016"/>
      <x:c r="R2016" t="str">
        <x:v>比分1-2；柏林赫塔 -0.25赢，大2.5赢</x:v>
      </x:c>
    </x:row>
    <x:row r="2017">
      <x:c r="A2017" t="str">
        <x:f>IF(B2017="","",TEXT(B2017,"yyyy-mm-dd")&amp;"|"&amp;D2017&amp;"|"&amp;E2017)</x:f>
        <x:v>2026-03-08|卡尔斯鲁厄|德累斯顿迪纳摩</x:v>
      </x:c>
      <x:c r="B2017" s="39" t="n">
        <x:v>46089.854166666664</x:v>
      </x:c>
      <x:c r="C2017" t="str">
        <x:v>德国乙级联赛（2. Bundesliga）</x:v>
      </x:c>
      <x:c r="D2017" t="str">
        <x:v>卡尔斯鲁厄</x:v>
      </x:c>
      <x:c r="E2017" t="str">
        <x:v>德累斯顿迪纳摩</x:v>
      </x:c>
      <x:c r="F2017" t="str">
        <x:v>卡尔斯鲁厄 -0.25（1.85-1.95）</x:v>
      </x:c>
      <x:c r="G2017" t="str">
        <x:v>大2.75（1.84-1.92）</x:v>
      </x:c>
      <x:c r="H2017" t="str">
        <x:v>双方进球 是；卡尔斯鲁厄平手（DNB）；若临场/滚盘升到-0.5低水不追，若退到平手可加一点主队</x:v>
      </x:c>
      <x:c r="I2017" t="n">
        <x:v>46089.82104166667</x:v>
      </x:c>
      <x:c r="J2017" t="str">
        <x:v>已结算</x:v>
      </x:c>
      <x:c r="K2017"/>
      <x:c r="L2017" t="str">
        <x:v>输</x:v>
      </x:c>
      <x:c r="M2017" t="str">
        <x:v>赢</x:v>
      </x:c>
      <x:c r="N2017" t="n">
        <x:v>-1</x:v>
      </x:c>
      <x:c r="O2017" t="n">
        <x:v>1</x:v>
      </x:c>
      <x:c r="P2017" t="n">
        <x:f>IF(COUNT(N2017:O2017)=0,"",SUM(N2017:O2017))</x:f>
        <x:v>0</x:v>
      </x:c>
      <x:c r="Q2017"/>
      <x:c r="R2017" t="str">
        <x:v>比分3-3；卡尔斯鲁厄 -0.25输，大2.75赢</x:v>
      </x:c>
    </x:row>
    <x:row r="2018">
      <x:c r="A2018" t="str">
        <x:f>IF(B2018="","",TEXT(B2018,"yyyy-mm-dd")&amp;"|"&amp;D2018&amp;"|"&amp;E2018)</x:f>
        <x:v>2026-03-08|莱切|克雷莫纳</x:v>
      </x:c>
      <x:c r="B2018" s="39" t="n">
        <x:v>46089.8125</x:v>
      </x:c>
      <x:c r="C2018" t="str">
        <x:v>意大利甲级联赛（Serie A）</x:v>
      </x:c>
      <x:c r="D2018" t="str">
        <x:v>莱切</x:v>
      </x:c>
      <x:c r="E2018" t="str">
        <x:v>克雷莫纳</x:v>
      </x:c>
      <x:c r="F2018" t="str">
        <x:v>莱切 -0.25（1.85-1.95）</x:v>
      </x:c>
      <x:c r="G2018" t="str">
        <x:v>小2.5（1.80-1.90）</x:v>
      </x:c>
      <x:c r="H2018" t="str">
        <x:v>莱切平手（DNB）；若临场退到平手可加一点主队，若升到-0.5低水不追；若小2.5跌破1.75不追</x:v>
      </x:c>
      <x:c r="I2018" t="n">
        <x:v>46089.81612268519</x:v>
      </x:c>
      <x:c r="J2018" t="str">
        <x:v>已结算</x:v>
      </x:c>
      <x:c r="K2018"/>
      <x:c r="L2018" t="str">
        <x:v>赢</x:v>
      </x:c>
      <x:c r="M2018" t="str">
        <x:v>输</x:v>
      </x:c>
      <x:c r="N2018" t="n">
        <x:v>1</x:v>
      </x:c>
      <x:c r="O2018" t="n">
        <x:v>-1</x:v>
      </x:c>
      <x:c r="P2018" t="n">
        <x:f>IF(COUNT(N2018:O2018)=0,"",SUM(N2018:O2018))</x:f>
        <x:v>0</x:v>
      </x:c>
      <x:c r="Q2018"/>
      <x:c r="R2018" t="str">
        <x:v>比分2-1；莱切 -0.25赢，小2.5输</x:v>
      </x:c>
    </x:row>
    <x:row r="2019">
      <x:c r="A2019" t="str">
        <x:f>IF(B2019="","",TEXT(B2019,"yyyy-mm-dd")&amp;"|"&amp;D2019&amp;"|"&amp;E2019)</x:f>
        <x:v>2026-03-08|武汉三镇|北京国安</x:v>
      </x:c>
      <x:c r="B2019" s="39" t="n">
        <x:v>46089.791666666664</x:v>
      </x:c>
      <x:c r="C2019" t="str">
        <x:v>中国足球超级联赛</x:v>
      </x:c>
      <x:c r="D2019" t="str">
        <x:v>武汉三镇</x:v>
      </x:c>
      <x:c r="E2019" t="str">
        <x:v>北京国安</x:v>
      </x:c>
      <x:c r="F2019" t="str">
        <x:v>北京国安 -0.75（1.83左右）</x:v>
      </x:c>
      <x:c r="G2019" t="str">
        <x:v>大3.0（仅限1.80以上；大2.5@1.43不碰）</x:v>
      </x:c>
      <x:c r="H2019" t="str">
        <x:v>北京国安独赢；若临场/滚盘退到-0.5可加一点客队，若升到-1低于0.85不追；若大3.0低于1.80不追</x:v>
      </x:c>
      <x:c r="I2019" t="n">
        <x:v>46089.78238425926</x:v>
      </x:c>
      <x:c r="J2019" t="str">
        <x:v>已结算</x:v>
      </x:c>
      <x:c r="K2019"/>
      <x:c r="L2019" t="str">
        <x:v>赢</x:v>
      </x:c>
      <x:c r="M2019" t="str">
        <x:v>输</x:v>
      </x:c>
      <x:c r="N2019" t="n">
        <x:v>1</x:v>
      </x:c>
      <x:c r="O2019" t="n">
        <x:v>-1</x:v>
      </x:c>
      <x:c r="P2019" t="n">
        <x:f>IF(COUNT(N2019:O2019)=0,"",SUM(N2019:O2019))</x:f>
        <x:v>0</x:v>
      </x:c>
      <x:c r="Q2019"/>
      <x:c r="R2019" t="str">
        <x:v>比分0-2；北京国安 -0.75赢，大3.0输</x:v>
      </x:c>
    </x:row>
    <x:row r="2020">
      <x:c r="A2020" t="str">
        <x:f>IF(B2020="","",TEXT(B2020,"yyyy-mm-dd")&amp;"|"&amp;D2020&amp;"|"&amp;E2020)</x:f>
        <x:v>2026-03-08|浙江队|青岛西海岸</x:v>
      </x:c>
      <x:c r="B2020" s="39" t="n">
        <x:v>46089.645833333336</x:v>
      </x:c>
      <x:c r="C2020" t="str">
        <x:v>中国足球超级联赛</x:v>
      </x:c>
      <x:c r="D2020" t="str">
        <x:v>浙江队</x:v>
      </x:c>
      <x:c r="E2020" t="str">
        <x:v>青岛西海岸</x:v>
      </x:c>
      <x:c r="F2020" t="str">
        <x:v>青岛西海岸 +0.5（1.94左右）</x:v>
      </x:c>
      <x:c r="G2020" t="str">
        <x:v>小3.0（仅限1.80以上；大2.5@1.55不碰）</x:v>
      </x:c>
      <x:c r="H2020" t="str">
        <x:v>平局；青岛西海岸 +0.25；若临场浙江退到-0.25则不再追客受让，若小3.0低于1.80不追</x:v>
      </x:c>
      <x:c r="I2020" t="n">
        <x:v>46089.60858796296</x:v>
      </x:c>
      <x:c r="J2020" t="str">
        <x:v>已结算</x:v>
      </x:c>
      <x:c r="K2020"/>
      <x:c r="L2020" t="str">
        <x:v>输</x:v>
      </x:c>
      <x:c r="M2020" t="str">
        <x:v>赢</x:v>
      </x:c>
      <x:c r="N2020" t="n">
        <x:v>-1</x:v>
      </x:c>
      <x:c r="O2020" t="n">
        <x:v>1</x:v>
      </x:c>
      <x:c r="P2020" t="n">
        <x:f>IF(COUNT(N2020:O2020)=0,"",SUM(N2020:O2020))</x:f>
        <x:v>0</x:v>
      </x:c>
      <x:c r="Q2020"/>
      <x:c r="R2020" t="str">
        <x:v>比分2-0；青岛西海岸 +0.5输，小3.0赢</x:v>
      </x:c>
    </x:row>
    <x:row r="2021">
      <x:c r="A2021" t="str">
        <x:f>IF(B2021="","",TEXT(B2021,"yyyy-mm-dd")&amp;"|"&amp;D2021&amp;"|"&amp;E2021)</x:f>
        <x:v>2026-03-08|大阪钢巴|长崎成功丸（V-Varen Nagasaki）</x:v>
      </x:c>
      <x:c r="B2021" s="39" t="n">
        <x:v>46089.58541666667</x:v>
      </x:c>
      <x:c r="C2021" t="str">
        <x:v>日职联（J1 League）</x:v>
      </x:c>
      <x:c r="D2021" t="str">
        <x:v>大阪钢巴</x:v>
      </x:c>
      <x:c r="E2021" t="str">
        <x:v>长崎成功丸（V-Varen Nagasaki）</x:v>
      </x:c>
      <x:c r="F2021" t="str">
        <x:v>长崎成功丸（V-Varen Nagasaki） +0.25（1.82-1.92）</x:v>
      </x:c>
      <x:c r="G2021" t="str">
        <x:v>大2.5（仅限1.80以上；低于1.80不追）</x:v>
      </x:c>
      <x:c r="H2021" t="str">
        <x:v>长崎成功丸（V-Varen Nagasaki）平手（DNB）；双方进球 是；若临场大阪钢巴升到-0.5且低水，不再追客受让</x:v>
      </x:c>
      <x:c r="I2021" t="n">
        <x:v>46089.59982638889</x:v>
      </x:c>
      <x:c r="J2021" t="str">
        <x:v>已结算</x:v>
      </x:c>
      <x:c r="K2021" t="str">
        <x:v>3-2</x:v>
      </x:c>
      <x:c r="L2021" t="str">
        <x:v>输</x:v>
      </x:c>
      <x:c r="M2021" t="str">
        <x:v>赢</x:v>
      </x:c>
      <x:c r="N2021" t="n">
        <x:v>-1</x:v>
      </x:c>
      <x:c r="O2021" t="n">
        <x:v>1</x:v>
      </x:c>
      <x:c r="P2021" t="n">
        <x:f>IF(COUNT(N2021:O2021)=0,"",SUM(N2021:O2021))</x:f>
        <x:v>0</x:v>
      </x:c>
      <x:c r="Q2021"/>
      <x:c r="R2021" t="str">
        <x:v>复核赛果：大阪钢巴 3-2 长崎成功丸（V-Varen Nagasaki）；让球：长崎成功丸 +0.25=输；大小：大2.5=赢。</x:v>
      </x:c>
    </x:row>
    <x:row r="2022">
      <x:c r="A2022" t="str">
        <x:f>IF(B2022="","",TEXT(B2022,"yyyy-mm-dd")&amp;"|"&amp;D2022&amp;"|"&amp;E2022)</x:f>
        <x:v>2026-03-08|山形山神|秋田蓝色闪电</x:v>
      </x:c>
      <x:c r="B2022" s="39" t="n">
        <x:v>46089.541666666664</x:v>
      </x:c>
      <x:c r="C2022" t="str">
        <x:v>日职 明治安田J2·J3百年构想联赛</x:v>
      </x:c>
      <x:c r="D2022" t="str">
        <x:v>山形山神</x:v>
      </x:c>
      <x:c r="E2022" t="str">
        <x:v>秋田蓝色闪电</x:v>
      </x:c>
      <x:c r="F2022" t="str">
        <x:v>秋田蓝色闪电 平手（0，1.95-2.00）</x:v>
      </x:c>
      <x:c r="G2022" t="str">
        <x:v>大2.5（1.83-1.90）</x:v>
      </x:c>
      <x:c r="H2022" t="str">
        <x:v>双方进球 是；若临场/滚盘山形山神重新升到-0.25则不再追秋田方向，若大2.5跌破1.75不追</x:v>
      </x:c>
      <x:c r="I2022" t="n">
        <x:v>46089.58306712963</x:v>
      </x:c>
      <x:c r="J2022" t="str">
        <x:v>已结算</x:v>
      </x:c>
      <x:c r="K2022"/>
      <x:c r="L2022" t="str">
        <x:v>赢</x:v>
      </x:c>
      <x:c r="M2022" t="str">
        <x:v>输</x:v>
      </x:c>
      <x:c r="N2022" t="n">
        <x:v>1</x:v>
      </x:c>
      <x:c r="O2022" t="n">
        <x:v>-1</x:v>
      </x:c>
      <x:c r="P2022" t="n">
        <x:f>IF(COUNT(N2022:O2022)=0,"",SUM(N2022:O2022))</x:f>
        <x:v>0</x:v>
      </x:c>
      <x:c r="Q2022"/>
      <x:c r="R2022" t="str">
        <x:v>比分0-1；秋田蓝色闪电 平手赢，大2.5输</x:v>
      </x:c>
    </x:row>
    <x:row r="2023">
      <x:c r="A2023" t="str">
        <x:f>IF(B2023="","",TEXT(B2023,"yyyy-mm-dd")&amp;"|"&amp;D2023&amp;"|"&amp;E2023)</x:f>
        <x:v>2026-03-08|冈山绿雉|京都不死鸟</x:v>
      </x:c>
      <x:c r="B2023" s="39" t="n">
        <x:v>46089.5</x:v>
      </x:c>
      <x:c r="C2023" t="str">
        <x:v>日职联（J1 League）</x:v>
      </x:c>
      <x:c r="D2023" t="str">
        <x:v>冈山绿雉</x:v>
      </x:c>
      <x:c r="E2023" t="str">
        <x:v>京都不死鸟</x:v>
      </x:c>
      <x:c r="F2023" t="str">
        <x:v>京都不死鸟 -0.25（1.90左右）</x:v>
      </x:c>
      <x:c r="G2023" t="str">
        <x:v>小2.25（1.80-1.90）</x:v>
      </x:c>
      <x:c r="H2023" t="str">
        <x:v>京都不死鸟平手（DNB）；若临场退到平手可加一点客队，若升到-0.5低于0.85不追；若小2.25跌破1.75不追</x:v>
      </x:c>
      <x:c r="I2023" t="n">
        <x:v>46089.5078125</x:v>
      </x:c>
      <x:c r="J2023" t="str">
        <x:v>已结算</x:v>
      </x:c>
      <x:c r="K2023"/>
      <x:c r="L2023" t="str">
        <x:v>输</x:v>
      </x:c>
      <x:c r="M2023" t="str">
        <x:v>赢</x:v>
      </x:c>
      <x:c r="N2023" t="n">
        <x:v>-1</x:v>
      </x:c>
      <x:c r="O2023" t="n">
        <x:v>1</x:v>
      </x:c>
      <x:c r="P2023" t="n">
        <x:f>IF(COUNT(N2023:O2023)=0,"",SUM(N2023:O2023))</x:f>
        <x:v>0</x:v>
      </x:c>
      <x:c r="Q2023"/>
      <x:c r="R2023" t="str">
        <x:v>比分1-0；京都不死鸟 -0.25输，小2.25赢</x:v>
      </x:c>
    </x:row>
    <x:row r="2024">
      <x:c r="A2024" t="str">
        <x:f>IF(B2024="","",TEXT(B2024,"yyyy-mm-dd")&amp;"|"&amp;D2024&amp;"|"&amp;E2024)</x:f>
        <x:v>2026-03-08|拉巴斯竞技（CA La Paz）|特拉斯卡拉FC</x:v>
      </x:c>
      <x:c r="B2024" s="39" t="n">
        <x:v>46089.458333333336</x:v>
      </x:c>
      <x:c r="C2024" t="str">
        <x:v>墨西哥甲级扩展联赛（Liga de Expansión MX）</x:v>
      </x:c>
      <x:c r="D2024" t="str">
        <x:v>拉巴斯竞技（CA La Paz）</x:v>
      </x:c>
      <x:c r="E2024" t="str">
        <x:v>特拉斯卡拉FC</x:v>
      </x:c>
      <x:c r="F2024" t="str">
        <x:v>拉巴斯竞技（CA La Paz） -0.25（1.85-1.95）</x:v>
      </x:c>
      <x:c r="G2024" t="str">
        <x:v>小2.5（1.80-1.90）</x:v>
      </x:c>
      <x:c r="H2024" t="str">
        <x:v>拉巴斯竞技（CA La Paz）平手（DNB）；若临场/滚盘退到平手可加一点主队，若升到-0.5低于0.85不追</x:v>
      </x:c>
      <x:c r="I2024" t="n">
        <x:v>46089.4759375</x:v>
      </x:c>
      <x:c r="J2024" t="str">
        <x:v>已结算</x:v>
      </x:c>
      <x:c r="K2024"/>
      <x:c r="L2024" t="str">
        <x:v>赢</x:v>
      </x:c>
      <x:c r="M2024" t="str">
        <x:v>赢</x:v>
      </x:c>
      <x:c r="N2024" t="n">
        <x:v>1</x:v>
      </x:c>
      <x:c r="O2024" t="n">
        <x:v>1</x:v>
      </x:c>
      <x:c r="P2024" t="n">
        <x:f>IF(COUNT(N2024:O2024)=0,"",SUM(N2024:O2024))</x:f>
        <x:v>2</x:v>
      </x:c>
      <x:c r="Q2024"/>
      <x:c r="R2024" t="str">
        <x:v>比分2-0；拉巴斯竞技 -0.25赢，小2.5赢</x:v>
      </x:c>
    </x:row>
    <x:row r="2025">
      <x:c r="A2025" t="str">
        <x:f>IF(B2025="","",TEXT(B2025,"yyyy-mm-dd")&amp;"|"&amp;D2025&amp;"|"&amp;E2025)</x:f>
        <x:v>2026-03-08|奥克兰FC|珀斯光荣</x:v>
      </x:c>
      <x:c r="B2025" s="39" t="n">
        <x:v>46089.416666666664</x:v>
      </x:c>
      <x:c r="C2025" t="str">
        <x:v>澳大利亚A联赛（A-League Men）</x:v>
      </x:c>
      <x:c r="D2025" t="str">
        <x:v>奥克兰FC</x:v>
      </x:c>
      <x:c r="E2025" t="str">
        <x:v>珀斯光荣</x:v>
      </x:c>
      <x:c r="F2025" t="str">
        <x:v>奥克兰FC -1（1.85-1.95）</x:v>
      </x:c>
      <x:c r="G2025" t="str">
        <x:v>大3.0（1.84-1.92）</x:v>
      </x:c>
      <x:c r="H2025" t="str">
        <x:v>奥克兰FC独赢；若临场升到-1.25且低于0.85不追，若退到-0.75可加仓主队；若大2.5跌破1.75不追</x:v>
      </x:c>
      <x:c r="I2025" t="n">
        <x:v>46089.42233796296</x:v>
      </x:c>
      <x:c r="J2025" t="str">
        <x:v>已结算</x:v>
      </x:c>
      <x:c r="K2025" t="str">
        <x:v>2-2</x:v>
      </x:c>
      <x:c r="L2025" t="str">
        <x:v>输</x:v>
      </x:c>
      <x:c r="M2025" t="str">
        <x:v>赢</x:v>
      </x:c>
      <x:c r="N2025" t="n">
        <x:v>-1</x:v>
      </x:c>
      <x:c r="O2025" t="n">
        <x:v>1</x:v>
      </x:c>
      <x:c r="P2025" t="n">
        <x:f>IF(COUNT(N2025:O2025)=0,"",SUM(N2025:O2025))</x:f>
        <x:v>0</x:v>
      </x:c>
      <x:c r="Q2025"/>
      <x:c r="R2025" t="str">
        <x:v>按匹配键重核：外部赛果列显示本场应按 2-2 结算；让球：奥克兰FC -1=输；大小：大3.0=赢。</x:v>
      </x:c>
    </x:row>
    <x:row r="2026">
      <x:c r="A2026" t="str">
        <x:f>IF(B2026="","",TEXT(B2026,"yyyy-mm-dd")&amp;"|"&amp;D2026&amp;"|"&amp;E2026)</x:f>
        <x:v>2026-03-08|帕丘卡|普布埃拉</x:v>
      </x:c>
      <x:c r="B2026" s="39" t="n">
        <x:v>46089.379166666666</x:v>
      </x:c>
      <x:c r="C2026" t="str">
        <x:v>墨西哥超（Liga MX，Clausura）</x:v>
      </x:c>
      <x:c r="D2026" t="str">
        <x:v>帕丘卡</x:v>
      </x:c>
      <x:c r="E2026" t="str">
        <x:v>普布埃拉</x:v>
      </x:c>
      <x:c r="F2026" t="str">
        <x:v>帕丘卡 -0.75（1.82-1.90）</x:v>
      </x:c>
      <x:c r="G2026" t="str">
        <x:v>大2.5（1.80左右）</x:v>
      </x:c>
      <x:c r="H2026" t="str">
        <x:v>帕丘卡独赢；若临场退到-0.5可加一点主队，若升到-1低于0.85不追；若大2.5跌破1.75不追</x:v>
      </x:c>
      <x:c r="I2026" t="n">
        <x:v>46089.37648148148</x:v>
      </x:c>
      <x:c r="J2026" t="str">
        <x:v>已结算</x:v>
      </x:c>
      <x:c r="K2026"/>
      <x:c r="L2026" t="str">
        <x:v>赢半</x:v>
      </x:c>
      <x:c r="M2026" t="str">
        <x:v>赢</x:v>
      </x:c>
      <x:c r="N2026" t="n">
        <x:v>0.5</x:v>
      </x:c>
      <x:c r="O2026" t="n">
        <x:v>1</x:v>
      </x:c>
      <x:c r="P2026" t="n">
        <x:f>IF(COUNT(N2026:O2026)=0,"",SUM(N2026:O2026))</x:f>
        <x:v>1.5</x:v>
      </x:c>
      <x:c r="Q2026"/>
      <x:c r="R2026" t="str">
        <x:v>比分2-1；帕丘卡 -0.75赢半，大2.5赢</x:v>
      </x:c>
    </x:row>
    <x:row r="2027">
      <x:c r="A2027" t="str">
        <x:f>IF(B2027="","",TEXT(B2027,"yyyy-mm-dd")&amp;"|"&amp;D2027&amp;"|"&amp;E2027)</x:f>
        <x:v>2026-03-08|阿特拉斯|瓜达拉哈拉（Chivas）</x:v>
      </x:c>
      <x:c r="B2027" s="39" t="n">
        <x:v>46089.37847222222</x:v>
      </x:c>
      <x:c r="C2027" t="str">
        <x:v>墨西哥超（Liga MX，Clausura）</x:v>
      </x:c>
      <x:c r="D2027" t="str">
        <x:v>阿特拉斯</x:v>
      </x:c>
      <x:c r="E2027" t="str">
        <x:v>瓜达拉哈拉（Chivas）</x:v>
      </x:c>
      <x:c r="F2027" t="str">
        <x:v>瓜达拉哈拉（Chivas） -0.5（1.82-1.90）</x:v>
      </x:c>
      <x:c r="G2027" t="str">
        <x:v>大2.5（1.88-1.95）</x:v>
      </x:c>
      <x:c r="H2027" t="str">
        <x:v>双方进球 是；若临场升到瓜达拉哈拉-0.75且低于0.85不追，若退到-0.25可加一点客队</x:v>
      </x:c>
      <x:c r="I2027" t="n">
        <x:v>46089.37268518518</x:v>
      </x:c>
      <x:c r="J2027" t="str">
        <x:v>已结算</x:v>
      </x:c>
      <x:c r="K2027"/>
      <x:c r="L2027" t="str">
        <x:v>赢</x:v>
      </x:c>
      <x:c r="M2027" t="str">
        <x:v>赢</x:v>
      </x:c>
      <x:c r="N2027" t="n">
        <x:v>1</x:v>
      </x:c>
      <x:c r="O2027" t="n">
        <x:v>1</x:v>
      </x:c>
      <x:c r="P2027" t="n">
        <x:f>IF(COUNT(N2027:O2027)=0,"",SUM(N2027:O2027))</x:f>
        <x:v>2</x:v>
      </x:c>
      <x:c r="Q2027"/>
      <x:c r="R2027" t="str">
        <x:v>按匹配键重核：外部重算列显示本场应按 1-2 结算；让球：瓜达拉哈拉（Chivas） -0.5=赢；大小：大2.5=赢。</x:v>
      </x:c>
    </x:row>
    <x:row r="2028">
      <x:c r="A2028" t="str">
        <x:f>IF(B2028="","",TEXT(B2028,"yyyy-mm-dd")&amp;"|"&amp;D2028&amp;"|"&amp;E2028)</x:f>
        <x:v>2026-03-08|伊拉普阿托|奥哈卡阿莱布里赫斯（Alebrijes de Oaxaca）</x:v>
      </x:c>
      <x:c r="B2028" s="39" t="n">
        <x:v>46089.375</x:v>
      </x:c>
      <x:c r="C2028" t="str">
        <x:v>墨西哥甲级扩展联赛（Liga de Expansión MX）</x:v>
      </x:c>
      <x:c r="D2028" t="str">
        <x:v>伊拉普阿托</x:v>
      </x:c>
      <x:c r="E2028" t="str">
        <x:v>奥哈卡阿莱布里赫斯（Alebrijes de Oaxaca）</x:v>
      </x:c>
      <x:c r="F2028" t="str">
        <x:v>奥哈卡阿莱布里赫斯（Alebrijes de Oaxaca） +0.5（1.90左右）</x:v>
      </x:c>
      <x:c r="G2028" t="str">
        <x:v>小2.5（1.83左右）</x:v>
      </x:c>
      <x:c r="H2028" t="str">
        <x:v>平局；奥哈卡阿莱布里赫斯（Alebrijes de Oaxaca） +0.25；若临场伊拉普阿托退到-0.25则不再追客受让，若小2.5跌破1.75不追</x:v>
      </x:c>
      <x:c r="I2028" t="n">
        <x:v>46089.35769675926</x:v>
      </x:c>
      <x:c r="J2028" t="str">
        <x:v>已结算</x:v>
      </x:c>
      <x:c r="K2028"/>
      <x:c r="L2028" t="str">
        <x:v>输</x:v>
      </x:c>
      <x:c r="M2028" t="str">
        <x:v>输</x:v>
      </x:c>
      <x:c r="N2028" t="n">
        <x:v>-1</x:v>
      </x:c>
      <x:c r="O2028" t="n">
        <x:v>-1</x:v>
      </x:c>
      <x:c r="P2028" t="n">
        <x:f>IF(COUNT(N2028:O2028)=0,"",SUM(N2028:O2028))</x:f>
        <x:v>-2</x:v>
      </x:c>
      <x:c r="Q2028"/>
      <x:c r="R2028" t="str">
        <x:v>比分6-2；奥哈卡阿莱布里赫斯 +0.5输，小2.5输</x:v>
      </x:c>
    </x:row>
    <x:row r="2029">
      <x:c r="A2029" t="str">
        <x:f>IF(B2029="","",TEXT(B2029,"yyyy-mm-dd")&amp;"|"&amp;D2029&amp;"|"&amp;E2029)</x:f>
        <x:v>2026-03-08|克雷塔罗|墨西哥美洲</x:v>
      </x:c>
      <x:c r="B2029" s="39" t="n">
        <x:v>46089.291666666664</x:v>
      </x:c>
      <x:c r="C2029" t="str">
        <x:v>墨西哥超（Liga MX，Clausura）</x:v>
      </x:c>
      <x:c r="D2029" t="str">
        <x:v>克雷塔罗</x:v>
      </x:c>
      <x:c r="E2029" t="str">
        <x:v>墨西哥美洲</x:v>
      </x:c>
      <x:c r="F2029" t="str">
        <x:v>墨西哥美洲 -0.75（1.82-1.95）</x:v>
      </x:c>
      <x:c r="G2029" t="str">
        <x:v>小2.5（1.80-1.90）</x:v>
      </x:c>
      <x:c r="H2029" t="str">
        <x:v>墨西哥美洲 -0.5 / 独赢；若临场升到-1低于0.85不追，若退到-0.5可加一点客队；若小2.5跌到1.75以下不追</x:v>
      </x:c>
      <x:c r="I2029" t="n">
        <x:v>46089.355833333335</x:v>
      </x:c>
      <x:c r="J2029" t="str">
        <x:v>已结算</x:v>
      </x:c>
      <x:c r="K2029"/>
      <x:c r="L2029" t="str">
        <x:v>赢半</x:v>
      </x:c>
      <x:c r="M2029" t="str">
        <x:v>输</x:v>
      </x:c>
      <x:c r="N2029" t="n">
        <x:v>0.5</x:v>
      </x:c>
      <x:c r="O2029" t="n">
        <x:v>-1</x:v>
      </x:c>
      <x:c r="P2029" t="n">
        <x:f>IF(COUNT(N2029:O2029)=0,"",SUM(N2029:O2029))</x:f>
        <x:v>-0.5</x:v>
      </x:c>
      <x:c r="Q2029"/>
      <x:c r="R2029" t="str">
        <x:v>比分1-2；墨西哥美洲 -0.75赢半，小2.5输</x:v>
      </x:c>
    </x:row>
    <x:row r="2030">
      <x:c r="A2030" t="str">
        <x:f>IF(B2030="","",TEXT(B2030,"yyyy-mm-dd")&amp;"|"&amp;D2030&amp;"|"&amp;E2030)</x:f>
        <x:v>2026-03-08|亚特兰特|莫雷利亚</x:v>
      </x:c>
      <x:c r="B2030" s="39" t="n">
        <x:v>46089.291666666664</x:v>
      </x:c>
      <x:c r="C2030" t="str">
        <x:v>墨西哥甲级扩展联赛（Liga de Expansión MX）</x:v>
      </x:c>
      <x:c r="D2030" t="str">
        <x:v>亚特兰特</x:v>
      </x:c>
      <x:c r="E2030" t="str">
        <x:v>莫雷利亚</x:v>
      </x:c>
      <x:c r="F2030" t="str">
        <x:v>莫雷利亚 +0.5（1.82-1.92）</x:v>
      </x:c>
      <x:c r="G2030" t="str">
        <x:v>小2.5（1.80-1.90）</x:v>
      </x:c>
      <x:c r="H2030" t="str">
        <x:v>平局；莫雷利亚 +0.25；若临场/滚盘亚特兰特退到-0.25则不再追客受让，若小2.5跌破1.75不追</x:v>
      </x:c>
      <x:c r="I2030" t="n">
        <x:v>46089.29986111111</x:v>
      </x:c>
      <x:c r="J2030" t="str">
        <x:v>已结算</x:v>
      </x:c>
      <x:c r="K2030"/>
      <x:c r="L2030" t="str">
        <x:v>输</x:v>
      </x:c>
      <x:c r="M2030" t="str">
        <x:v>输</x:v>
      </x:c>
      <x:c r="N2030" t="n">
        <x:v>-1</x:v>
      </x:c>
      <x:c r="O2030" t="n">
        <x:v>-1</x:v>
      </x:c>
      <x:c r="P2030" t="n">
        <x:f>IF(COUNT(N2030:O2030)=0,"",SUM(N2030:O2030))</x:f>
        <x:v>-2</x:v>
      </x:c>
      <x:c r="Q2030"/>
      <x:c r="R2030" t="str">
        <x:v>比分2-1；莫雷利亚 +0.5输，小2.5输</x:v>
      </x:c>
    </x:row>
    <x:row r="2031">
      <x:c r="A2031" t="str">
        <x:f>IF(B2031="","",TEXT(B2031,"yyyy-mm-dd")&amp;"|"&amp;D2031&amp;"|"&amp;E2031)</x:f>
        <x:v>2026-03-08|蓝十字|圣路易斯竞技</x:v>
      </x:c>
      <x:c r="B2031" s="39" t="n">
        <x:v>46089.291666666664</x:v>
      </x:c>
      <x:c r="C2031" t="str">
        <x:v>墨西哥超（Liga MX，Clausura）</x:v>
      </x:c>
      <x:c r="D2031" t="str">
        <x:v>蓝十字</x:v>
      </x:c>
      <x:c r="E2031" t="str">
        <x:v>圣路易斯竞技</x:v>
      </x:c>
      <x:c r="F2031" t="str">
        <x:v>蓝十字 -1（1.82-1.92）</x:v>
      </x:c>
      <x:c r="G2031" t="str">
        <x:v>大2.75（1.84-1.93）</x:v>
      </x:c>
      <x:c r="H2031" t="str">
        <x:v>蓝十字独赢；若临场升到-1.25且低于0.85不追，若退到-0.75可加仓主队；若大2.5跌破1.75不追</x:v>
      </x:c>
      <x:c r="I2031" t="n">
        <x:v>46089.294907407406</x:v>
      </x:c>
      <x:c r="J2031" t="str">
        <x:v>已结算</x:v>
      </x:c>
      <x:c r="K2031"/>
      <x:c r="L2031" t="str">
        <x:v>赢</x:v>
      </x:c>
      <x:c r="M2031" t="str">
        <x:v>赢半</x:v>
      </x:c>
      <x:c r="N2031" t="n">
        <x:v>1</x:v>
      </x:c>
      <x:c r="O2031" t="n">
        <x:v>0.5</x:v>
      </x:c>
      <x:c r="P2031" t="n">
        <x:f>IF(COUNT(N2031:O2031)=0,"",SUM(N2031:O2031))</x:f>
        <x:v>1.5</x:v>
      </x:c>
      <x:c r="Q2031"/>
      <x:c r="R2031" t="str">
        <x:v>比分3-0；蓝十字 -1赢，大2.75赢半</x:v>
      </x:c>
    </x:row>
    <x:row r="2032">
      <x:c r="A2032" t="str">
        <x:f>IF(B2032="","",TEXT(B2032,"yyyy-mm-dd")&amp;"|"&amp;D2032&amp;"|"&amp;E2032)</x:f>
        <x:v>2026-03-08|亚特兰大|乌迪内斯</x:v>
      </x:c>
      <x:c r="B2032" s="39" t="n">
        <x:v>46089.041666666664</x:v>
      </x:c>
      <x:c r="C2032" t="str">
        <x:v>意大利甲级联赛（Serie A）</x:v>
      </x:c>
      <x:c r="D2032" t="str">
        <x:v>亚特兰大</x:v>
      </x:c>
      <x:c r="E2032" t="str">
        <x:v>乌迪内斯</x:v>
      </x:c>
      <x:c r="F2032" t="str">
        <x:v>亚特兰大 -0.75（1.87左右）</x:v>
      </x:c>
      <x:c r="G2032" t="str">
        <x:v>大2.5（1.83左右）</x:v>
      </x:c>
      <x:c r="H2032" t="str">
        <x:v>亚特兰大独赢；若临场/滚盘重新回到-0.5可加一点主队，若升到-1低于0.85不追；若大2.5跌破1.75不追</x:v>
      </x:c>
      <x:c r="I2032" t="n">
        <x:v>46089.28388888889</x:v>
      </x:c>
      <x:c r="J2032" t="str">
        <x:v>已结算</x:v>
      </x:c>
      <x:c r="K2032"/>
      <x:c r="L2032" t="str">
        <x:v>输</x:v>
      </x:c>
      <x:c r="M2032" t="str">
        <x:v>赢</x:v>
      </x:c>
      <x:c r="N2032" t="n">
        <x:v>-1</x:v>
      </x:c>
      <x:c r="O2032" t="n">
        <x:v>1</x:v>
      </x:c>
      <x:c r="P2032" t="n">
        <x:f>IF(COUNT(N2032:O2032)=0,"",SUM(N2032:O2032))</x:f>
        <x:v>0</x:v>
      </x:c>
      <x:c r="Q2032"/>
      <x:c r="R2032" t="str">
        <x:v>按匹配键重核：外部重算列显示本场应按 2-2 结算；让球：亚特兰大 -0.75=输；大小：大2.5=赢。</x:v>
      </x:c>
    </x:row>
    <x:row r="2033">
      <x:c r="A2033" t="str">
        <x:f>IF(B2033="","",TEXT(B2033,"yyyy-mm-dd")&amp;"|"&amp;D2033&amp;"|"&amp;E2033)</x:f>
        <x:v>2026-03-07|布里斯托尔城|考文垂城</x:v>
      </x:c>
      <x:c r="B2033" s="39" t="n">
        <x:v>46088.958333333336</x:v>
      </x:c>
      <x:c r="C2033" t="str">
        <x:v>英格兰冠军联赛（英冠）</x:v>
      </x:c>
      <x:c r="D2033" t="str">
        <x:v>布里斯托尔城</x:v>
      </x:c>
      <x:c r="E2033" t="str">
        <x:v>考文垂城</x:v>
      </x:c>
      <x:c r="F2033" t="str">
        <x:v>考文垂城 -0.25（1.85-1.95）</x:v>
      </x:c>
      <x:c r="G2033" t="str">
        <x:v>小2.75（1.84-1.92）</x:v>
      </x:c>
      <x:c r="H2033" t="str">
        <x:v>考文垂城平手（DNB）；若临场升到-0.5低水不追，若退到平手可加一点客队</x:v>
      </x:c>
      <x:c r="I2033" t="n">
        <x:v>46088.93560185185</x:v>
      </x:c>
      <x:c r="J2033" t="str">
        <x:v>已结算</x:v>
      </x:c>
      <x:c r="K2033"/>
      <x:c r="L2033" t="str">
        <x:v>赢</x:v>
      </x:c>
      <x:c r="M2033" t="str">
        <x:v>赢</x:v>
      </x:c>
      <x:c r="N2033" t="n">
        <x:v>1</x:v>
      </x:c>
      <x:c r="O2033" t="n">
        <x:v>1</x:v>
      </x:c>
      <x:c r="P2033" t="n">
        <x:f>IF(COUNT(N2033:O2033)=0,"",SUM(N2033:O2033))</x:f>
        <x:v>2</x:v>
      </x:c>
      <x:c r="Q2033"/>
      <x:c r="R2033" t="str">
        <x:v>按匹配键重核：外部重算列显示本场应按 0-2 结算；让球：考文垂城 -0.25=赢；大小：小2.75=赢。</x:v>
      </x:c>
    </x:row>
    <x:row r="2034">
      <x:c r="A2034" t="str">
        <x:f>IF(B2034="","",TEXT(B2034,"yyyy-mm-dd")&amp;"|"&amp;D2034&amp;"|"&amp;E2034)</x:f>
        <x:v>2026-03-07|德比郡|谢周三</x:v>
      </x:c>
      <x:c r="B2034" s="39" t="n">
        <x:v>46088.958333333336</x:v>
      </x:c>
      <x:c r="C2034" t="str">
        <x:v>英格兰冠军联赛（英冠）</x:v>
      </x:c>
      <x:c r="D2034" t="str">
        <x:v>德比郡</x:v>
      </x:c>
      <x:c r="E2034" t="str">
        <x:v>谢周三</x:v>
      </x:c>
      <x:c r="F2034" t="str">
        <x:v>德比郡 -0.75（1.85-1.95）</x:v>
      </x:c>
      <x:c r="G2034" t="str">
        <x:v>大2.5（1.85-1.95）</x:v>
      </x:c>
      <x:c r="H2034" t="str">
        <x:v>德比郡 -0.5 / 独赢；若临场升到-1低水不追，若退到-0.5可加一点主队</x:v>
      </x:c>
      <x:c r="I2034" t="n">
        <x:v>46088.935532407406</x:v>
      </x:c>
      <x:c r="J2034" t="str">
        <x:v>已结算</x:v>
      </x:c>
      <x:c r="K2034"/>
      <x:c r="L2034" t="str">
        <x:v>赢半</x:v>
      </x:c>
      <x:c r="M2034" t="str">
        <x:v>赢</x:v>
      </x:c>
      <x:c r="N2034" t="n">
        <x:v>0.5</x:v>
      </x:c>
      <x:c r="O2034" t="n">
        <x:v>1</x:v>
      </x:c>
      <x:c r="P2034" t="n">
        <x:f>IF(COUNT(N2034:O2034)=0,"",SUM(N2034:O2034))</x:f>
        <x:v>1.5</x:v>
      </x:c>
      <x:c r="Q2034"/>
      <x:c r="R2034" t="str">
        <x:v>比分2-1；德比郡 -0.75赢半，大2.5赢</x:v>
      </x:c>
    </x:row>
    <x:row r="2035">
      <x:c r="A2035" t="str">
        <x:f>IF(B2035="","",TEXT(B2035,"yyyy-mm-dd")&amp;"|"&amp;D2035&amp;"|"&amp;E2035)</x:f>
        <x:v>2026-03-07|查尔顿竞技|伯明翰城</x:v>
      </x:c>
      <x:c r="B2035" s="39" t="n">
        <x:v>46088.958333333336</x:v>
      </x:c>
      <x:c r="C2035" t="str">
        <x:v>英甲</x:v>
      </x:c>
      <x:c r="D2035" t="str">
        <x:v>查尔顿竞技</x:v>
      </x:c>
      <x:c r="E2035" t="str">
        <x:v>伯明翰城</x:v>
      </x:c>
      <x:c r="F2035" t="str">
        <x:v>伯明翰城 -0.25（1.85-1.95）</x:v>
      </x:c>
      <x:c r="G2035" t="str">
        <x:v>小2.5（1.84-1.92）</x:v>
      </x:c>
      <x:c r="H2035" t="str">
        <x:v>伯明翰城平手（DNB）；若临场升到-0.5低水不追，若退到平手可加一点客队</x:v>
      </x:c>
      <x:c r="I2035" t="n">
        <x:v>46088.93534722222</x:v>
      </x:c>
      <x:c r="J2035" t="str">
        <x:v>已结算</x:v>
      </x:c>
      <x:c r="K2035"/>
      <x:c r="L2035" t="str">
        <x:v>赢</x:v>
      </x:c>
      <x:c r="M2035" t="str">
        <x:v>赢</x:v>
      </x:c>
      <x:c r="N2035" t="n">
        <x:v>1</x:v>
      </x:c>
      <x:c r="O2035" t="n">
        <x:v>1</x:v>
      </x:c>
      <x:c r="P2035" t="n">
        <x:f>IF(COUNT(N2035:O2035)=0,"",SUM(N2035:O2035))</x:f>
        <x:v>2</x:v>
      </x:c>
      <x:c r="Q2035"/>
      <x:c r="R2035" t="str">
        <x:v>比分0-1；伯明翰城 -0.25赢，小2.5赢</x:v>
      </x:c>
    </x:row>
    <x:row r="2036">
      <x:c r="A2036" t="str">
        <x:f>IF(B2036="","",TEXT(B2036,"yyyy-mm-dd")&amp;"|"&amp;D2036&amp;"|"&amp;E2036)</x:f>
        <x:v>2026-03-07|伊普斯维奇镇|莱斯特城</x:v>
      </x:c>
      <x:c r="B2036" s="39" t="n">
        <x:v>46088.958333333336</x:v>
      </x:c>
      <x:c r="C2036" t="str">
        <x:v>英格兰冠军联赛（英冠）</x:v>
      </x:c>
      <x:c r="D2036" t="str">
        <x:v>伊普斯维奇镇</x:v>
      </x:c>
      <x:c r="E2036" t="str">
        <x:v>莱斯特城</x:v>
      </x:c>
      <x:c r="F2036" t="str">
        <x:v>伊普斯维奇镇 -1（1.85-1.95）</x:v>
      </x:c>
      <x:c r="G2036" t="str">
        <x:v>大2.75（1.84-1.92）</x:v>
      </x:c>
      <x:c r="H2036" t="str">
        <x:v>伊普斯维奇镇独赢；若临场升到-1.25低于0.85不追，若退到-0.75可加仓主队</x:v>
      </x:c>
      <x:c r="I2036" t="n">
        <x:v>46088.93528935185</x:v>
      </x:c>
      <x:c r="J2036" t="str">
        <x:v>已结算</x:v>
      </x:c>
      <x:c r="K2036" t="str">
        <x:v>1-1</x:v>
      </x:c>
      <x:c r="L2036" t="str">
        <x:v>输</x:v>
      </x:c>
      <x:c r="M2036" t="str">
        <x:v>输</x:v>
      </x:c>
      <x:c r="N2036" t="n">
        <x:v>-1</x:v>
      </x:c>
      <x:c r="O2036" t="n">
        <x:v>-1</x:v>
      </x:c>
      <x:c r="P2036" t="n">
        <x:f>IF(COUNT(N2036:O2036)=0,"",SUM(N2036:O2036))</x:f>
        <x:v>-2</x:v>
      </x:c>
      <x:c r="Q2036"/>
      <x:c r="R2036" t="str">
        <x:v>复核赛果：伊普斯维奇镇 1-1 莱斯特城；让球：伊普斯维奇镇 -1=输；大小：大2.75=输。</x:v>
      </x:c>
    </x:row>
    <x:row r="2037">
      <x:c r="A2037" t="str">
        <x:f>IF(B2037="","",TEXT(B2037,"yyyy-mm-dd")&amp;"|"&amp;D2037&amp;"|"&amp;E2037)</x:f>
        <x:v>2026-03-07|斯旺西城|斯托克城</x:v>
      </x:c>
      <x:c r="B2037" s="39" t="n">
        <x:v>46088.958333333336</x:v>
      </x:c>
      <x:c r="C2037" t="str">
        <x:v>英格兰冠军联赛（英冠）</x:v>
      </x:c>
      <x:c r="D2037" t="str">
        <x:v>斯旺西城</x:v>
      </x:c>
      <x:c r="E2037" t="str">
        <x:v>斯托克城</x:v>
      </x:c>
      <x:c r="F2037" t="str">
        <x:v>斯旺西城 -0.5（1.90-2.00）</x:v>
      </x:c>
      <x:c r="G2037" t="str">
        <x:v>小2.5（1.90-1.95）</x:v>
      </x:c>
      <x:c r="H2037" t="str">
        <x:v>斯旺西城独赢；若临场退到-0.25可加一点主队，若升到-0.75不追；若小2.5跌到1.80以下不追</x:v>
      </x:c>
      <x:c r="I2037" t="n">
        <x:v>46088.93082175926</x:v>
      </x:c>
      <x:c r="J2037" t="str">
        <x:v>已结算</x:v>
      </x:c>
      <x:c r="K2037"/>
      <x:c r="L2037" t="str">
        <x:v>赢</x:v>
      </x:c>
      <x:c r="M2037" t="str">
        <x:v>赢</x:v>
      </x:c>
      <x:c r="N2037" t="n">
        <x:v>1</x:v>
      </x:c>
      <x:c r="O2037" t="n">
        <x:v>1</x:v>
      </x:c>
      <x:c r="P2037" t="n">
        <x:f>IF(COUNT(N2037:O2037)=0,"",SUM(N2037:O2037))</x:f>
        <x:v>2</x:v>
      </x:c>
      <x:c r="Q2037"/>
      <x:c r="R2037" t="str">
        <x:v>比分1-0；斯旺西城 -0.5赢，小2.5赢</x:v>
      </x:c>
    </x:row>
    <x:row r="2038">
      <x:c r="A2038" t="str">
        <x:f>IF(B2038="","",TEXT(B2038,"yyyy-mm-dd")&amp;"|"&amp;D2038&amp;"|"&amp;E2038)</x:f>
        <x:v>2026-03-07|喀拉拉邦冲击波（Kerala Blasters）|清奈泰坦（Chennaiyin FC）</x:v>
      </x:c>
      <x:c r="B2038" s="39" t="n">
        <x:v>46088.916666666664</x:v>
      </x:c>
      <x:c r="C2038" t="str">
        <x:v>印度超级联赛（Indian Super League）</x:v>
      </x:c>
      <x:c r="D2038" t="str">
        <x:v>喀拉拉邦冲击波（Kerala Blasters）</x:v>
      </x:c>
      <x:c r="E2038" t="str">
        <x:v>清奈泰坦（Chennaiyin FC）</x:v>
      </x:c>
      <x:c r="F2038" t="str">
        <x:v>清奈泰坦（Chennaiyin FC） +0.25（1.85-1.95）</x:v>
      </x:c>
      <x:c r="G2038" t="str">
        <x:v>小2.5（1.80-1.90）</x:v>
      </x:c>
      <x:c r="H2038" t="str">
        <x:v>清奈泰坦（Chennaiyin FC）平手（DNB）；平局；若临场升到喀拉拉邦冲击波-0.5则不再追主队方向；若小2.5跌破1.75不追</x:v>
      </x:c>
      <x:c r="I2038" t="n">
        <x:v>46088.93783564815</x:v>
      </x:c>
      <x:c r="J2038" t="str">
        <x:v>已结算</x:v>
      </x:c>
      <x:c r="K2038"/>
      <x:c r="L2038" t="str">
        <x:v>赢</x:v>
      </x:c>
      <x:c r="M2038" t="str">
        <x:v>赢</x:v>
      </x:c>
      <x:c r="N2038" t="n">
        <x:v>1</x:v>
      </x:c>
      <x:c r="O2038" t="n">
        <x:v>1</x:v>
      </x:c>
      <x:c r="P2038" t="n">
        <x:f>IF(COUNT(N2038:O2038)=0,"",SUM(N2038:O2038))</x:f>
        <x:v>2</x:v>
      </x:c>
      <x:c r="Q2038"/>
      <x:c r="R2038" t="str">
        <x:v>比分0-1；清奈泰坦 +0.25赢，小2.5赢</x:v>
      </x:c>
    </x:row>
    <x:row r="2039">
      <x:c r="A2039" t="str">
        <x:f>IF(B2039="","",TEXT(B2039,"yyyy-mm-dd")&amp;"|"&amp;D2039&amp;"|"&amp;E2039)</x:f>
        <x:v>2026-03-07|卡利亚里|科莫</x:v>
      </x:c>
      <x:c r="B2039" s="39" t="n">
        <x:v>46088.916666666664</x:v>
      </x:c>
      <x:c r="C2039" t="str">
        <x:v>意大利甲级联赛（Serie A）</x:v>
      </x:c>
      <x:c r="D2039" t="str">
        <x:v>卡利亚里</x:v>
      </x:c>
      <x:c r="E2039" t="str">
        <x:v>科莫</x:v>
      </x:c>
      <x:c r="F2039" t="str">
        <x:v>科莫 -0.75（1.86-1.95）</x:v>
      </x:c>
      <x:c r="G2039" t="str">
        <x:v>小2.5（1.80-1.86）</x:v>
      </x:c>
      <x:c r="H2039" t="str">
        <x:v>科莫 -0.5 / 独赢；若临场升到-1低水不追，若退到-0.5可加一点客队；若小2.5跌到1.75以下不追</x:v>
      </x:c>
      <x:c r="I2039" t="n">
        <x:v>46088.92085648148</x:v>
      </x:c>
      <x:c r="J2039" t="str">
        <x:v>已结算</x:v>
      </x:c>
      <x:c r="K2039"/>
      <x:c r="L2039" t="str">
        <x:v>赢半</x:v>
      </x:c>
      <x:c r="M2039" t="str">
        <x:v>输</x:v>
      </x:c>
      <x:c r="N2039" t="n">
        <x:v>0.5</x:v>
      </x:c>
      <x:c r="O2039" t="n">
        <x:v>-1</x:v>
      </x:c>
      <x:c r="P2039" t="n">
        <x:f>IF(COUNT(N2039:O2039)=0,"",SUM(N2039:O2039))</x:f>
        <x:v>-0.5</x:v>
      </x:c>
      <x:c r="Q2039"/>
      <x:c r="R2039" t="str">
        <x:v>比分1-3；科莫 -0.75赢半，小2.5输</x:v>
      </x:c>
    </x:row>
    <x:row r="2040">
      <x:c r="A2040" t="str">
        <x:f>IF(B2040="","",TEXT(B2040,"yyyy-mm-dd")&amp;"|"&amp;D2040&amp;"|"&amp;E2040)</x:f>
        <x:v>2026-03-07|塔司塔坦格朗（Persita Tangerang）|马都拉联</x:v>
      </x:c>
      <x:c r="B2040" s="39" t="n">
        <x:v>46088.895833333336</x:v>
      </x:c>
      <x:c r="C2040" t="str">
        <x:v>印度尼西亚超级联赛（印尼超/Liga 1 Indonesia）</x:v>
      </x:c>
      <x:c r="D2040" t="str">
        <x:v>塔司塔坦格朗（Persita Tangerang）</x:v>
      </x:c>
      <x:c r="E2040" t="str">
        <x:v>马都拉联</x:v>
      </x:c>
      <x:c r="F2040" t="str">
        <x:v>塔司塔坦格朗（Persita Tangerang） -0.5（1.80以上可入）</x:v>
      </x:c>
      <x:c r="G2040" t="str">
        <x:v>大2.5（1.80以上可入）</x:v>
      </x:c>
      <x:c r="H2040" t="str">
        <x:v>塔司塔坦格朗独赢；若临场升到-0.75高水可小追，若升到-1不追；若大2.5跌到1.75以下不追</x:v>
      </x:c>
      <x:c r="I2040" t="n">
        <x:v>46088.90232638889</x:v>
      </x:c>
      <x:c r="J2040" t="str">
        <x:v>已结算</x:v>
      </x:c>
      <x:c r="K2040"/>
      <x:c r="L2040" t="str">
        <x:v>赢</x:v>
      </x:c>
      <x:c r="M2040" t="str">
        <x:v>赢</x:v>
      </x:c>
      <x:c r="N2040" t="n">
        <x:v>1</x:v>
      </x:c>
      <x:c r="O2040" t="n">
        <x:v>1</x:v>
      </x:c>
      <x:c r="P2040" t="n">
        <x:f>IF(COUNT(N2040:O2040)=0,"",SUM(N2040:O2040))</x:f>
        <x:v>2</x:v>
      </x:c>
      <x:c r="Q2040"/>
      <x:c r="R2040" t="str">
        <x:v>按匹配键重核：外部重算列显示本场应按 4-1 结算；让球：塔司塔坦格朗（Persita Tangerang） -0.5=赢；大小：大2.5=赢。</x:v>
      </x:c>
    </x:row>
    <x:row r="2041">
      <x:c r="A2041" t="str">
        <x:f>IF(B2041="","",TEXT(B2041,"yyyy-mm-dd")&amp;"|"&amp;D2041&amp;"|"&amp;E2041)</x:f>
        <x:v>2026-03-07|婆罗洲FC（Borneo FC Samarinda）|帕尔斯巴亚（Persebaya Surabaya）</x:v>
      </x:c>
      <x:c r="B2041" s="39" t="n">
        <x:v>46088.895833333336</x:v>
      </x:c>
      <x:c r="C2041" t="str">
        <x:v>印度尼西亚超级联赛（印尼超/Liga 1 Indonesia）</x:v>
      </x:c>
      <x:c r="D2041" t="str">
        <x:v>婆罗洲FC（Borneo FC Samarinda）</x:v>
      </x:c>
      <x:c r="E2041" t="str">
        <x:v>帕尔斯巴亚（Persebaya Surabaya）</x:v>
      </x:c>
      <x:c r="F2041" t="str">
        <x:v>婆罗洲FC（Borneo FC Samarinda） -0.75（1.82-1.90）</x:v>
      </x:c>
      <x:c r="G2041" t="str">
        <x:v>大2.5（1.83-1.91）</x:v>
      </x:c>
      <x:c r="H2041" t="str">
        <x:v>婆罗洲FC（Borneo FC Samarinda） -0.5 / 独赢；若临场升到-1低于0.85不追，若退到-0.5可加一点主队；若大2.5跌破1.80不追</x:v>
      </x:c>
      <x:c r="I2041" t="n">
        <x:v>46088.900046296294</x:v>
      </x:c>
      <x:c r="J2041" t="str">
        <x:v>已结算</x:v>
      </x:c>
      <x:c r="K2041" t="str">
        <x:v>5-1</x:v>
      </x:c>
      <x:c r="L2041" t="str">
        <x:v>赢</x:v>
      </x:c>
      <x:c r="M2041" t="str">
        <x:v>赢</x:v>
      </x:c>
      <x:c r="N2041" t="n">
        <x:v>1</x:v>
      </x:c>
      <x:c r="O2041" t="n">
        <x:v>1</x:v>
      </x:c>
      <x:c r="P2041" t="n">
        <x:f>IF(COUNT(N2041:O2041)=0,"",SUM(N2041:O2041))</x:f>
        <x:v>2</x:v>
      </x:c>
      <x:c r="Q2041" t="str">
        <x:v>SofaScore</x:v>
      </x:c>
      <x:c r="R2041" t="str">
        <x:v>校正赛果：婆罗洲FC（Borneo FC Samarinda） 5-1 帕尔斯巴亚（Persebaya Surabaya）；让球：婆罗洲FC -0.75 -&gt; 赢（1）；大小：大2.5 -&gt; 赢（1）；来源：SofaScore。</x:v>
      </x:c>
    </x:row>
    <x:row r="2042">
      <x:c r="A2042" t="str">
        <x:f>IF(B2042="","",TEXT(B2042,"yyyy-mm-dd")&amp;"|"&amp;D2042&amp;"|"&amp;E2042)</x:f>
        <x:v>2026-03-07|达姆施塔特|荷尔施泰因基尔</x:v>
      </x:c>
      <x:c r="B2042" s="39" t="n">
        <x:v>46088.833333333336</x:v>
      </x:c>
      <x:c r="C2042" t="str">
        <x:v>德国乙级联赛（2. Bundesliga）</x:v>
      </x:c>
      <x:c r="D2042" t="str">
        <x:v>达姆施塔特</x:v>
      </x:c>
      <x:c r="E2042" t="str">
        <x:v>荷尔施泰因基尔</x:v>
      </x:c>
      <x:c r="F2042" t="str">
        <x:v>达姆施塔特 -0.5（1.86-1.95）</x:v>
      </x:c>
      <x:c r="G2042" t="str">
        <x:v>小3.0（1.84-1.92）</x:v>
      </x:c>
      <x:c r="H2042" t="str">
        <x:v>达姆施塔特独赢；若临场退到-0.25可加仓主队，若升到-0.75不追</x:v>
      </x:c>
      <x:c r="I2042" t="n">
        <x:v>46088.827523148146</x:v>
      </x:c>
      <x:c r="J2042" t="str">
        <x:v>已结算</x:v>
      </x:c>
      <x:c r="K2042"/>
      <x:c r="L2042" t="str">
        <x:v>赢</x:v>
      </x:c>
      <x:c r="M2042" t="str">
        <x:v>赢</x:v>
      </x:c>
      <x:c r="N2042" t="n">
        <x:v>1</x:v>
      </x:c>
      <x:c r="O2042" t="n">
        <x:v>1</x:v>
      </x:c>
      <x:c r="P2042" t="n">
        <x:f>IF(COUNT(N2042:O2042)=0,"",SUM(N2042:O2042))</x:f>
        <x:v>2</x:v>
      </x:c>
      <x:c r="Q2042"/>
      <x:c r="R2042" t="str">
        <x:v>比分2-0；达姆施塔特 -0.5赢，小3.0赢</x:v>
      </x:c>
    </x:row>
    <x:row r="2043">
      <x:c r="A2043" t="str">
        <x:f>IF(B2043="","",TEXT(B2043,"yyyy-mm-dd")&amp;"|"&amp;D2043&amp;"|"&amp;E2043)</x:f>
        <x:v>2026-03-07|纽伦堡|杜塞尔多夫</x:v>
      </x:c>
      <x:c r="B2043" s="39" t="n">
        <x:v>46088.833333333336</x:v>
      </x:c>
      <x:c r="C2043" t="str">
        <x:v>德国乙级联赛（2. Bundesliga）</x:v>
      </x:c>
      <x:c r="D2043" t="str">
        <x:v>纽伦堡</x:v>
      </x:c>
      <x:c r="E2043" t="str">
        <x:v>杜塞尔多夫</x:v>
      </x:c>
      <x:c r="F2043" t="str">
        <x:v>纽伦堡 -0.25（1.88-1.96）</x:v>
      </x:c>
      <x:c r="G2043" t="str">
        <x:v>大2.75（1.84-1.92）</x:v>
      </x:c>
      <x:c r="H2043" t="str">
        <x:v>纽伦堡平手（DNB）；若临场升到-0.5低水不追，若退到平手可加一点主队</x:v>
      </x:c>
      <x:c r="I2043" t="n">
        <x:v>46088.827465277776</x:v>
      </x:c>
      <x:c r="J2043" t="str">
        <x:v>已结算</x:v>
      </x:c>
      <x:c r="K2043"/>
      <x:c r="L2043" t="str">
        <x:v>输</x:v>
      </x:c>
      <x:c r="M2043" t="str">
        <x:v>输</x:v>
      </x:c>
      <x:c r="N2043" t="n">
        <x:v>-1</x:v>
      </x:c>
      <x:c r="O2043" t="n">
        <x:v>-1</x:v>
      </x:c>
      <x:c r="P2043" t="n">
        <x:f>IF(COUNT(N2043:O2043)=0,"",SUM(N2043:O2043))</x:f>
        <x:v>-2</x:v>
      </x:c>
      <x:c r="Q2043"/>
      <x:c r="R2043" t="str">
        <x:v>比分0-1；纽伦堡 -0.25输，大2.75输</x:v>
      </x:c>
    </x:row>
    <x:row r="2044">
      <x:c r="A2044" t="str">
        <x:f>IF(B2044="","",TEXT(B2044,"yyyy-mm-dd")&amp;"|"&amp;D2044&amp;"|"&amp;E2044)</x:f>
        <x:v>2026-03-07|帕德博恩|布伦瑞克</x:v>
      </x:c>
      <x:c r="B2044" s="39" t="n">
        <x:v>46088.833333333336</x:v>
      </x:c>
      <x:c r="C2044" t="str">
        <x:v>德国乙级联赛（2. Bundesliga）</x:v>
      </x:c>
      <x:c r="D2044" t="str">
        <x:v>帕德博恩</x:v>
      </x:c>
      <x:c r="E2044" t="str">
        <x:v>布伦瑞克</x:v>
      </x:c>
      <x:c r="F2044" t="str">
        <x:v>帕德博恩 -1（1.80-1.90）</x:v>
      </x:c>
      <x:c r="G2044" t="str">
        <x:v>大2.75（1.82-1.92）</x:v>
      </x:c>
      <x:c r="H2044" t="str">
        <x:v>帕德博恩独赢；若临场升到-1.25且低于0.85不追，若退到-0.75可加一点主队</x:v>
      </x:c>
      <x:c r="I2044" t="n">
        <x:v>46088.827372685184</x:v>
      </x:c>
      <x:c r="J2044" t="str">
        <x:v>已结算</x:v>
      </x:c>
      <x:c r="K2044"/>
      <x:c r="L2044" t="str">
        <x:v>输</x:v>
      </x:c>
      <x:c r="M2044" t="str">
        <x:v>输</x:v>
      </x:c>
      <x:c r="N2044" t="n">
        <x:v>-1</x:v>
      </x:c>
      <x:c r="O2044" t="n">
        <x:v>-1</x:v>
      </x:c>
      <x:c r="P2044" t="n">
        <x:f>IF(COUNT(N2044:O2044)=0,"",SUM(N2044:O2044))</x:f>
        <x:v>-2</x:v>
      </x:c>
      <x:c r="Q2044"/>
      <x:c r="R2044" t="str">
        <x:v>比分1-1；帕德博恩 -1输，大2.75输</x:v>
      </x:c>
    </x:row>
    <x:row r="2045">
      <x:c r="A2045" t="str">
        <x:f>IF(B2045="","",TEXT(B2045,"yyyy-mm-dd")&amp;"|"&amp;D2045&amp;"|"&amp;E2045)</x:f>
        <x:v>2026-03-07|马鲁联（Malut United）|PSM马卡萨</x:v>
      </x:c>
      <x:c r="B2045" s="39" t="n">
        <x:v>46088.833333333336</x:v>
      </x:c>
      <x:c r="C2045" t="str">
        <x:v>印度尼西亚超级联赛（印尼超/Liga 1 Indonesia）</x:v>
      </x:c>
      <x:c r="D2045" t="str">
        <x:v>马鲁联（Malut United）</x:v>
      </x:c>
      <x:c r="E2045" t="str">
        <x:v>PSM马卡萨</x:v>
      </x:c>
      <x:c r="F2045" t="str">
        <x:v>马鲁联（Malut United） -0.75（1.85-1.95）</x:v>
      </x:c>
      <x:c r="G2045" t="str">
        <x:v>大2.5（1.83-1.93）</x:v>
      </x:c>
      <x:c r="H2045" t="str">
        <x:v>马鲁联（Malut United） -0.5 / 独赢；若临场升到-1低于0.85不追，若退到-0.5可加一点主队</x:v>
      </x:c>
      <x:c r="I2045" t="n">
        <x:v>46088.816469907404</x:v>
      </x:c>
      <x:c r="J2045" t="str">
        <x:v>已结算</x:v>
      </x:c>
      <x:c r="K2045"/>
      <x:c r="L2045" t="str">
        <x:v>输</x:v>
      </x:c>
      <x:c r="M2045" t="str">
        <x:v>赢</x:v>
      </x:c>
      <x:c r="N2045" t="n">
        <x:v>-1</x:v>
      </x:c>
      <x:c r="O2045" t="n">
        <x:v>1</x:v>
      </x:c>
      <x:c r="P2045" t="n">
        <x:f>IF(COUNT(N2045:O2045)=0,"",SUM(N2045:O2045))</x:f>
        <x:v>0</x:v>
      </x:c>
      <x:c r="Q2045"/>
      <x:c r="R2045" t="str">
        <x:v>比分3-3；马鲁联 -0.75输，大2.5赢</x:v>
      </x:c>
    </x:row>
    <x:row r="2046">
      <x:c r="A2046" t="str">
        <x:f>IF(B2046="","",TEXT(B2046,"yyyy-mm-dd")&amp;"|"&amp;D2046&amp;"|"&amp;E2046)</x:f>
        <x:v>2026-03-07|云南玉昆|青岛海牛</x:v>
      </x:c>
      <x:c r="B2046" s="39" t="n">
        <x:v>46088.81597222222</x:v>
      </x:c>
      <x:c r="C2046" t="str">
        <x:v>中国足球超级联赛</x:v>
      </x:c>
      <x:c r="D2046" t="str">
        <x:v>云南玉昆</x:v>
      </x:c>
      <x:c r="E2046" t="str">
        <x:v>青岛海牛</x:v>
      </x:c>
      <x:c r="F2046" t="str">
        <x:v>云南玉昆 -0.75（1.82-1.92）</x:v>
      </x:c>
      <x:c r="G2046" t="str">
        <x:v>大3.0（1.85左右；不碰大2.5低赔）</x:v>
      </x:c>
      <x:c r="H2046" t="str">
        <x:v>云南玉昆独赢；若临场退到-0.5可加仓主队，若升到-1低于0.85不追</x:v>
      </x:c>
      <x:c r="I2046" t="n">
        <x:v>46088.810115740744</x:v>
      </x:c>
      <x:c r="J2046" t="str">
        <x:v>已结算</x:v>
      </x:c>
      <x:c r="K2046"/>
      <x:c r="L2046" t="str">
        <x:v>赢</x:v>
      </x:c>
      <x:c r="M2046" t="str">
        <x:v>赢</x:v>
      </x:c>
      <x:c r="N2046" t="n">
        <x:v>1</x:v>
      </x:c>
      <x:c r="O2046" t="n">
        <x:v>1</x:v>
      </x:c>
      <x:c r="P2046" t="n">
        <x:f>IF(COUNT(N2046:O2046)=0,"",SUM(N2046:O2046))</x:f>
        <x:v>2</x:v>
      </x:c>
      <x:c r="Q2046"/>
      <x:c r="R2046" t="str">
        <x:v>比分3-1；云南玉昆 -0.75赢，大3.0赢</x:v>
      </x:c>
    </x:row>
    <x:row r="2047">
      <x:c r="A2047" t="str">
        <x:f>IF(B2047="","",TEXT(B2047,"yyyy-mm-dd")&amp;"|"&amp;D2047&amp;"|"&amp;E2047)</x:f>
        <x:v>2026-03-07|上海海港（上海上港）|河南队</x:v>
      </x:c>
      <x:c r="B2047" s="39" t="n">
        <x:v>46088.81597222222</x:v>
      </x:c>
      <x:c r="C2047" t="str">
        <x:v>中国足球超级联赛</x:v>
      </x:c>
      <x:c r="D2047" t="str">
        <x:v>上海海港（上海上港）</x:v>
      </x:c>
      <x:c r="E2047" t="str">
        <x:v>河南队</x:v>
      </x:c>
      <x:c r="F2047" t="str">
        <x:v>上海海港（上海上港） -0.75（1.82-1.89）</x:v>
      </x:c>
      <x:c r="G2047" t="str">
        <x:v>小3.25（1.80-1.88）</x:v>
      </x:c>
      <x:c r="H2047" t="str">
        <x:v>上海海港独赢；若临场退到-0.5可加仓主队，若升到-1且低于0.85不追</x:v>
      </x:c>
      <x:c r="I2047" t="n">
        <x:v>46088.796585648146</x:v>
      </x:c>
      <x:c r="J2047" t="str">
        <x:v>已结算</x:v>
      </x:c>
      <x:c r="K2047"/>
      <x:c r="L2047" t="str">
        <x:v>输</x:v>
      </x:c>
      <x:c r="M2047" t="str">
        <x:v>赢半</x:v>
      </x:c>
      <x:c r="N2047" t="n">
        <x:v>-1</x:v>
      </x:c>
      <x:c r="O2047" t="n">
        <x:v>0.5</x:v>
      </x:c>
      <x:c r="P2047" t="n">
        <x:f>IF(COUNT(N2047:O2047)=0,"",SUM(N2047:O2047))</x:f>
        <x:v>-0.5</x:v>
      </x:c>
      <x:c r="Q2047"/>
      <x:c r="R2047" t="str">
        <x:v>比分1-2；上海海港（上海上港） -0.75输，小3.25赢半</x:v>
      </x:c>
    </x:row>
    <x:row r="2048">
      <x:c r="A2048" t="str">
        <x:f>IF(B2048="","",TEXT(B2048,"yyyy-mm-dd")&amp;"|"&amp;D2048&amp;"|"&amp;E2048)</x:f>
        <x:v>2026-03-07|莫哈末丹SC|班加罗尔FC</x:v>
      </x:c>
      <x:c r="B2048" s="39" t="n">
        <x:v>46088.8125</x:v>
      </x:c>
      <x:c r="C2048" t="str">
        <x:v>印度超级联赛（Indian Super League）</x:v>
      </x:c>
      <x:c r="D2048" t="str">
        <x:v>莫哈末丹SC</x:v>
      </x:c>
      <x:c r="E2048" t="str">
        <x:v>班加罗尔FC</x:v>
      </x:c>
      <x:c r="F2048" t="str">
        <x:v>班加罗尔FC -1（1.82-1.95）</x:v>
      </x:c>
      <x:c r="G2048" t="str">
        <x:v>小3.0（1.80-1.90）</x:v>
      </x:c>
      <x:c r="H2048" t="str">
        <x:v>班加罗尔FC独赢；若临场升到-1.25且低于0.85不追，若退到-0.75可加仓客队</x:v>
      </x:c>
      <x:c r="I2048" t="n">
        <x:v>46088.788310185184</x:v>
      </x:c>
      <x:c r="J2048" t="str">
        <x:v>已结算</x:v>
      </x:c>
      <x:c r="K2048"/>
      <x:c r="L2048" t="str">
        <x:v>走水</x:v>
      </x:c>
      <x:c r="M2048" t="str">
        <x:v>走水</x:v>
      </x:c>
      <x:c r="N2048" t="n">
        <x:v>0</x:v>
      </x:c>
      <x:c r="O2048" t="n">
        <x:v>0</x:v>
      </x:c>
      <x:c r="P2048" t="n">
        <x:f>IF(COUNT(N2048:O2048)=0,"",SUM(N2048:O2048))</x:f>
        <x:v>0</x:v>
      </x:c>
      <x:c r="Q2048"/>
      <x:c r="R2048" t="str">
        <x:v>比分1-2；班加罗尔FC -1走水，小3.0走水</x:v>
      </x:c>
    </x:row>
    <x:row r="2049">
      <x:c r="A2049" t="str">
        <x:f>IF(B2049="","",TEXT(B2049,"yyyy-mm-dd")&amp;"|"&amp;D2049&amp;"|"&amp;E2049)</x:f>
        <x:v>2026-03-07|悉尼FC|墨尔本胜利</x:v>
      </x:c>
      <x:c r="B2049" s="39" t="n">
        <x:v>46088.69097222222</x:v>
      </x:c>
      <x:c r="C2049" t="str">
        <x:v>澳大利亚A联赛（A-League Men）</x:v>
      </x:c>
      <x:c r="D2049" t="str">
        <x:v>悉尼FC</x:v>
      </x:c>
      <x:c r="E2049" t="str">
        <x:v>墨尔本胜利</x:v>
      </x:c>
      <x:c r="F2049" t="str">
        <x:v>墨尔本胜利 平手（0，1.90左右）</x:v>
      </x:c>
      <x:c r="G2049" t="str">
        <x:v>小3.0（1.92左右）</x:v>
      </x:c>
      <x:c r="H2049" t="str">
        <x:v>墨尔本胜利 +0.25（若临场还能到1.80以上可追）；平局；若临场升到悉尼FC -0.25则不再追客队方向</x:v>
      </x:c>
      <x:c r="I2049" t="n">
        <x:v>46088.68103009259</x:v>
      </x:c>
      <x:c r="J2049" t="str">
        <x:v>已结算</x:v>
      </x:c>
      <x:c r="K2049" t="str">
        <x:v>2-2</x:v>
      </x:c>
      <x:c r="L2049" t="str">
        <x:v>走水</x:v>
      </x:c>
      <x:c r="M2049" t="str">
        <x:v>输</x:v>
      </x:c>
      <x:c r="N2049" t="n">
        <x:v>0</x:v>
      </x:c>
      <x:c r="O2049" t="n">
        <x:v>-1</x:v>
      </x:c>
      <x:c r="P2049" t="n">
        <x:f>IF(COUNT(N2049:O2049)=0,"",SUM(N2049:O2049))</x:f>
        <x:v>-1</x:v>
      </x:c>
      <x:c r="Q2049"/>
      <x:c r="R2049" t="str">
        <x:v>90分钟赛果2-2；墨尔本胜利平手盘走水，大小球3.0为小球输。</x:v>
      </x:c>
    </x:row>
    <x:row r="2050">
      <x:c r="A2050" t="str">
        <x:f>IF(B2050="","",TEXT(B2050,"yyyy-mm-dd")&amp;"|"&amp;D2050&amp;"|"&amp;E2050)</x:f>
        <x:v>2026-03-07|山东泰山|辽宁铁人</x:v>
      </x:c>
      <x:c r="B2050" s="39" t="n">
        <x:v>46088.645833333336</x:v>
      </x:c>
      <x:c r="C2050" t="str">
        <x:v>中国足球超级联赛</x:v>
      </x:c>
      <x:c r="D2050" t="str">
        <x:v>山东泰山</x:v>
      </x:c>
      <x:c r="E2050" t="str">
        <x:v>辽宁铁人</x:v>
      </x:c>
      <x:c r="F2050" t="str">
        <x:v>山东泰山 -1（1.90-2.05）</x:v>
      </x:c>
      <x:c r="G2050" t="str">
        <x:v>大3.0（1.90-1.95）</x:v>
      </x:c>
      <x:c r="H2050" t="str">
        <x:v>山东泰山独赢；若临场升到-1.25且低于0.85不追，若退到-0.75可加仓主队</x:v>
      </x:c>
      <x:c r="I2050" t="n">
        <x:v>46088.651712962965</x:v>
      </x:c>
      <x:c r="J2050" t="str">
        <x:v>已结算</x:v>
      </x:c>
      <x:c r="K2050" t="str">
        <x:v>3-0</x:v>
      </x:c>
      <x:c r="L2050" t="str">
        <x:v>赢</x:v>
      </x:c>
      <x:c r="M2050" t="str">
        <x:v>走水</x:v>
      </x:c>
      <x:c r="N2050" t="n">
        <x:v>1</x:v>
      </x:c>
      <x:c r="O2050" t="n">
        <x:v>0</x:v>
      </x:c>
      <x:c r="P2050" t="n">
        <x:f>IF(COUNT(N2050:O2050)=0,"",SUM(N2050:O2050))</x:f>
        <x:v>1</x:v>
      </x:c>
      <x:c r="Q2050"/>
      <x:c r="R2050" t="str">
        <x:v>90分钟赛果3-0；山东泰山-1赢，大小球3.0走水。</x:v>
      </x:c>
    </x:row>
    <x:row r="2051">
      <x:c r="A2051" t="str">
        <x:f>IF(B2051="","",TEXT(B2051,"yyyy-mm-dd")&amp;"|"&amp;D2051&amp;"|"&amp;E2051)</x:f>
        <x:v>2026-03-07|APIA莱卡特老虎|黑镇市</x:v>
      </x:c>
      <x:c r="B2051" s="39" t="n">
        <x:v>46088.583333333336</x:v>
      </x:c>
      <x:c r="C2051" t="str">
        <x:v>澳大利亚 维多利亚州超级联赛1（VPL1）</x:v>
      </x:c>
      <x:c r="D2051" t="str">
        <x:v>APIA莱卡特老虎</x:v>
      </x:c>
      <x:c r="E2051" t="str">
        <x:v>黑镇市</x:v>
      </x:c>
      <x:c r="F2051" t="str">
        <x:v>APIA莱卡特老虎 -0.75（1.85-1.95）</x:v>
      </x:c>
      <x:c r="G2051" t="str">
        <x:v>大3.5（1.84-1.90）</x:v>
      </x:c>
      <x:c r="H2051" t="str">
        <x:v>APIA莱卡特老虎 -0.5 / 独赢；若临场升到-1.25不追，若退到-0.5可加一点主队；若大小抬到4.0不追</x:v>
      </x:c>
      <x:c r="I2051" t="n">
        <x:v>46088.56798611111</x:v>
      </x:c>
      <x:c r="J2051" t="str">
        <x:v>已结算</x:v>
      </x:c>
      <x:c r="K2051" t="str">
        <x:v>3-2</x:v>
      </x:c>
      <x:c r="L2051" t="str">
        <x:v>赢半</x:v>
      </x:c>
      <x:c r="M2051" t="str">
        <x:v>赢</x:v>
      </x:c>
      <x:c r="N2051" t="n">
        <x:v>0.5</x:v>
      </x:c>
      <x:c r="O2051" t="n">
        <x:v>1</x:v>
      </x:c>
      <x:c r="P2051" t="n">
        <x:f>IF(COUNT(N2051:O2051)=0,"",SUM(N2051:O2051))</x:f>
        <x:v>1.5</x:v>
      </x:c>
      <x:c r="Q2051"/>
      <x:c r="R2051" t="str">
        <x:v>更正：90分钟赛果3-2；APIA莱卡特老虎-0.75为赢半，大小球3.5为大球赢。</x:v>
      </x:c>
    </x:row>
    <x:row r="2052">
      <x:c r="A2052" t="str">
        <x:f>IF(B2052="","",TEXT(B2052,"yyyy-mm-dd")&amp;"|"&amp;D2052&amp;"|"&amp;E2052)</x:f>
        <x:v>2026-03-07|纽卡斯尔喷气机|西悉尼流浪者</x:v>
      </x:c>
      <x:c r="B2052" s="39" t="n">
        <x:v>46088.583333333336</x:v>
      </x:c>
      <x:c r="C2052" t="str">
        <x:v>澳大利亚A联赛（A-League Men）</x:v>
      </x:c>
      <x:c r="D2052" t="str">
        <x:v>纽卡斯尔喷气机</x:v>
      </x:c>
      <x:c r="E2052" t="str">
        <x:v>西悉尼流浪者</x:v>
      </x:c>
      <x:c r="F2052" t="str">
        <x:v>纽卡斯尔喷气机 -0.25（1.82-1.95）</x:v>
      </x:c>
      <x:c r="G2052" t="str">
        <x:v>大3.5（1.90-1.91）</x:v>
      </x:c>
      <x:c r="H2052" t="str">
        <x:v>纽卡斯尔喷气机平手（DNB）；若临场升到-0.5高水可小追，若退到平手但主胜赔不升反降可加一点主队</x:v>
      </x:c>
      <x:c r="I2052" t="n">
        <x:v>46088.5262037037</x:v>
      </x:c>
      <x:c r="J2052" t="str">
        <x:v>已结算</x:v>
      </x:c>
      <x:c r="K2052" t="str">
        <x:v>2-1</x:v>
      </x:c>
      <x:c r="L2052" t="str">
        <x:v>赢</x:v>
      </x:c>
      <x:c r="M2052" t="str">
        <x:v>输</x:v>
      </x:c>
      <x:c r="N2052" t="n">
        <x:v>1</x:v>
      </x:c>
      <x:c r="O2052" t="n">
        <x:v>-1</x:v>
      </x:c>
      <x:c r="P2052" t="n">
        <x:f>IF(COUNT(N2052:O2052)=0,"",SUM(N2052:O2052))</x:f>
        <x:v>0</x:v>
      </x:c>
      <x:c r="Q2052"/>
      <x:c r="R2052" t="str">
        <x:v>90分钟赛果2-1；纽卡斯尔喷气机-0.25赢，大小球3.5为大球输。</x:v>
      </x:c>
    </x:row>
    <x:row r="2053">
      <x:c r="A2053" t="str">
        <x:f>IF(B2053="","",TEXT(B2053,"yyyy-mm-dd")&amp;"|"&amp;D2053&amp;"|"&amp;E2053)</x:f>
        <x:v>2026-03-07|仙台七夕|湘南丽海</x:v>
      </x:c>
      <x:c r="B2053" s="39" t="n">
        <x:v>46088.54375</x:v>
      </x:c>
      <x:c r="C2053" t="str">
        <x:v>日职 明治安田J2·J3百年构想联赛</x:v>
      </x:c>
      <x:c r="D2053" t="str">
        <x:v>仙台七夕</x:v>
      </x:c>
      <x:c r="E2053" t="str">
        <x:v>湘南丽海</x:v>
      </x:c>
      <x:c r="F2053" t="str">
        <x:v>仙台七夕 -0.25（1.88左右）</x:v>
      </x:c>
      <x:c r="G2053" t="str">
        <x:v>小2.25（1.89左右）</x:v>
      </x:c>
      <x:c r="H2053" t="str">
        <x:v>仙台七夕独赢（2.19左右）；若临场升到-0.5不追，若退到平手可加一点主队；若小2降到1.70以下则不追</x:v>
      </x:c>
      <x:c r="I2053" t="n">
        <x:v>46088.543958333335</x:v>
      </x:c>
      <x:c r="J2053" t="str">
        <x:v>已结算</x:v>
      </x:c>
      <x:c r="K2053"/>
      <x:c r="L2053" t="str">
        <x:v>赢</x:v>
      </x:c>
      <x:c r="M2053" t="str">
        <x:v>输</x:v>
      </x:c>
      <x:c r="N2053" t="n">
        <x:v>1</x:v>
      </x:c>
      <x:c r="O2053" t="n">
        <x:v>-1</x:v>
      </x:c>
      <x:c r="P2053" t="n">
        <x:f>IF(COUNT(N2053:O2053)=0,"",SUM(N2053:O2053))</x:f>
        <x:v>0</x:v>
      </x:c>
      <x:c r="Q2053"/>
      <x:c r="R2053" t="str">
        <x:v>按匹配键重核：外部重算列显示本场应按 5-3 结算；让球：仙台七夕 -0.25=赢；大小：小2.25=输。</x:v>
      </x:c>
    </x:row>
    <x:row r="2054">
      <x:c r="A2054" t="str">
        <x:f>IF(B2054="","",TEXT(B2054,"yyyy-mm-dd")&amp;"|"&amp;D2054&amp;"|"&amp;E2054)</x:f>
        <x:v>2026-03-07|千叶市原|柏太阳神</x:v>
      </x:c>
      <x:c r="B2054" s="39" t="n">
        <x:v>46088.5</x:v>
      </x:c>
      <x:c r="C2054" t="str">
        <x:v>日职联（J1 League）</x:v>
      </x:c>
      <x:c r="D2054" t="str">
        <x:v>千叶市原</x:v>
      </x:c>
      <x:c r="E2054" t="str">
        <x:v>柏太阳神</x:v>
      </x:c>
      <x:c r="F2054" t="str">
        <x:v>柏太阳神 -0.75（1.90-2.00）</x:v>
      </x:c>
      <x:c r="G2054" t="str">
        <x:v>小2.5（1.88-1.95）</x:v>
      </x:c>
      <x:c r="H2054" t="str">
        <x:v>柏太阳神 -0.5 / 独赢；若临场升到-1低水不追，若退到-0.5可加一点客队</x:v>
      </x:c>
      <x:c r="I2054" t="n">
        <x:v>46088.51832175926</x:v>
      </x:c>
      <x:c r="J2054" t="str">
        <x:v>已结算</x:v>
      </x:c>
      <x:c r="K2054" t="str">
        <x:v>2-1</x:v>
      </x:c>
      <x:c r="L2054" t="str">
        <x:v>输</x:v>
      </x:c>
      <x:c r="M2054" t="str">
        <x:v>输</x:v>
      </x:c>
      <x:c r="N2054" t="n">
        <x:v>-1</x:v>
      </x:c>
      <x:c r="O2054" t="n">
        <x:v>-1</x:v>
      </x:c>
      <x:c r="P2054" t="n">
        <x:f>IF(COUNT(N2054:O2054)=0,"",SUM(N2054:O2054))</x:f>
        <x:v>-2</x:v>
      </x:c>
      <x:c r="Q2054"/>
      <x:c r="R2054" t="str">
        <x:v>更正：90分钟赛果为千叶市原2-1柏太阳神；柏太阳神-0.75输，大小球2.5为小球输。</x:v>
      </x:c>
    </x:row>
    <x:row r="2055">
      <x:c r="A2055" t="str">
        <x:f>IF(B2055="","",TEXT(B2055,"yyyy-mm-dd")&amp;"|"&amp;D2055&amp;"|"&amp;E2055)</x:f>
        <x:v>2026-03-07|内卡萨|美洲狮（Pumas UNAM）</x:v>
      </x:c>
      <x:c r="B2055" s="39" t="n">
        <x:v>46088.458333333336</x:v>
      </x:c>
      <x:c r="C2055" t="str">
        <x:v>墨西哥超（Liga MX，Clausura）</x:v>
      </x:c>
      <x:c r="D2055" t="str">
        <x:v>内卡萨</x:v>
      </x:c>
      <x:c r="E2055" t="str">
        <x:v>美洲狮（Pumas UNAM）</x:v>
      </x:c>
      <x:c r="F2055" t="str">
        <x:v>美洲狮（Pumas UNAM） -0.25（1.90-1.98）</x:v>
      </x:c>
      <x:c r="G2055" t="str">
        <x:v>大2.75（1.85左右）</x:v>
      </x:c>
      <x:c r="H2055" t="str">
        <x:v>美洲狮平手（DNB，1.68-1.78）；若临场退到平手可加一点客队，若升到-0.5低水不追；若大2.5低于1.80不追</x:v>
      </x:c>
      <x:c r="I2055" t="n">
        <x:v>46088.44111111111</x:v>
      </x:c>
      <x:c r="J2055" t="str">
        <x:v>已结算</x:v>
      </x:c>
      <x:c r="K2055" t="str">
        <x:v>0-1</x:v>
      </x:c>
      <x:c r="L2055" t="str">
        <x:v>赢</x:v>
      </x:c>
      <x:c r="M2055" t="str">
        <x:v>输</x:v>
      </x:c>
      <x:c r="N2055" t="n">
        <x:v>1</x:v>
      </x:c>
      <x:c r="O2055" t="n">
        <x:v>-1</x:v>
      </x:c>
      <x:c r="P2055" t="n">
        <x:f>IF(COUNT(N2055:O2055)=0,"",SUM(N2055:O2055))</x:f>
        <x:v>0</x:v>
      </x:c>
      <x:c r="Q2055"/>
      <x:c r="R2055" t="str">
        <x:v>90分钟赛果0-1；美洲狮-0.25赢，大小球2.75为大球输。</x:v>
      </x:c>
    </x:row>
    <x:row r="2056">
      <x:c r="A2056" t="str">
        <x:f>IF(B2056="","",TEXT(B2056,"yyyy-mm-dd")&amp;"|"&amp;D2056&amp;"|"&amp;E2056)</x:f>
        <x:v>2026-03-07|卡利体育会（Deportivo Cali）|云斯卡尔达斯（Once Caldas）</x:v>
      </x:c>
      <x:c r="B2056" s="39" t="n">
        <x:v>46088.395833333336</x:v>
      </x:c>
      <x:c r="C2056" t="str">
        <x:v>哥伦比亚甲级联赛（Liga BetPlay DIMAYOR）</x:v>
      </x:c>
      <x:c r="D2056" t="str">
        <x:v>卡利体育会（Deportivo Cali）</x:v>
      </x:c>
      <x:c r="E2056" t="str">
        <x:v>云斯卡尔达斯（Once Caldas）</x:v>
      </x:c>
      <x:c r="F2056" t="str">
        <x:v>卡利体育会（Deportivo Cali） -0.25（1.85-1.95）</x:v>
      </x:c>
      <x:c r="G2056" t="str">
        <x:v>小2.5（1.80-1.95）</x:v>
      </x:c>
      <x:c r="H2056" t="str">
        <x:v>卡利体育会平手（DNB）；若临场升到-0.5低水不追，若退到平手可加一点主队</x:v>
      </x:c>
      <x:c r="I2056" t="n">
        <x:v>46088.40416666667</x:v>
      </x:c>
      <x:c r="J2056" t="str">
        <x:v>已结算</x:v>
      </x:c>
      <x:c r="K2056" t="str">
        <x:v>0-2</x:v>
      </x:c>
      <x:c r="L2056" t="str">
        <x:v>输</x:v>
      </x:c>
      <x:c r="M2056" t="str">
        <x:v>赢</x:v>
      </x:c>
      <x:c r="N2056" t="n">
        <x:v>-1</x:v>
      </x:c>
      <x:c r="O2056" t="n">
        <x:v>1</x:v>
      </x:c>
      <x:c r="P2056" t="n">
        <x:f>IF(COUNT(N2056:O2056)=0,"",SUM(N2056:O2056))</x:f>
        <x:v>0</x:v>
      </x:c>
      <x:c r="Q2056"/>
      <x:c r="R2056" t="str">
        <x:v>90分钟赛果0-2；卡利体育会-0.25输，大小球2.5为小球赢。</x:v>
      </x:c>
    </x:row>
    <x:row r="2057">
      <x:c r="A2057" t="str">
        <x:f>IF(B2057="","",TEXT(B2057,"yyyy-mm-dd")&amp;"|"&amp;D2057&amp;"|"&amp;E2057)</x:f>
        <x:v>2026-03-07|梅里达（Venados）|克雷卡米诺斯（Correcaminos UAT）</x:v>
      </x:c>
      <x:c r="B2057" s="39" t="n">
        <x:v>46088.375</x:v>
      </x:c>
      <x:c r="C2057" t="str">
        <x:v>墨西哥甲级扩展联赛（Liga de Expansión MX）</x:v>
      </x:c>
      <x:c r="D2057" t="str">
        <x:v>梅里达（Venados）</x:v>
      </x:c>
      <x:c r="E2057" t="str">
        <x:v>克雷卡米诺斯（Correcaminos UAT）</x:v>
      </x:c>
      <x:c r="F2057" t="str">
        <x:v>梅里达（Venados） -1（1.84左右）</x:v>
      </x:c>
      <x:c r="G2057" t="str">
        <x:v>大3.0（1.87左右）</x:v>
      </x:c>
      <x:c r="H2057" t="str">
        <x:v>若临场退到-0.75可加仓梅里达；若升到-1.25不追。保守可选梅里达独赢</x:v>
      </x:c>
      <x:c r="I2057" t="n">
        <x:v>46088.36466435185</x:v>
      </x:c>
      <x:c r="J2057" t="str">
        <x:v>已结算</x:v>
      </x:c>
      <x:c r="K2057" t="str">
        <x:v>0-1</x:v>
      </x:c>
      <x:c r="L2057" t="str">
        <x:v>输</x:v>
      </x:c>
      <x:c r="M2057" t="str">
        <x:v>输</x:v>
      </x:c>
      <x:c r="N2057" t="n">
        <x:v>-1</x:v>
      </x:c>
      <x:c r="O2057" t="n">
        <x:v>-1</x:v>
      </x:c>
      <x:c r="P2057" t="n">
        <x:f>IF(COUNT(N2057:O2057)=0,"",SUM(N2057:O2057))</x:f>
        <x:v>-2</x:v>
      </x:c>
      <x:c r="Q2057"/>
      <x:c r="R2057" t="str">
        <x:v>90分钟赛果0-1；梅里达-1输，大小球3.0为大球输。</x:v>
      </x:c>
    </x:row>
    <x:row r="2058">
      <x:c r="A2058" t="str">
        <x:f>IF(B2058="","",TEXT(B2058,"yyyy-mm-dd")&amp;"|"&amp;D2058&amp;"|"&amp;E2058)</x:f>
        <x:v>2026-03-07|马萨特兰|莱昂</x:v>
      </x:c>
      <x:c r="B2058" s="39" t="n">
        <x:v>46088.375</x:v>
      </x:c>
      <x:c r="C2058" t="str">
        <x:v>墨西哥超（Liga MX，Clausura）</x:v>
      </x:c>
      <x:c r="D2058" t="str">
        <x:v>马萨特兰</x:v>
      </x:c>
      <x:c r="E2058" t="str">
        <x:v>莱昂</x:v>
      </x:c>
      <x:c r="F2058" t="str">
        <x:v>莱昂 -0.25（1.88-1.95）</x:v>
      </x:c>
      <x:c r="G2058" t="str">
        <x:v>大2.5（1.81-1.85）</x:v>
      </x:c>
      <x:c r="H2058" t="str">
        <x:v>莱昂平手（DNB，1.60-1.70）；若临场退到平手需防平，若升到-0.5高水可小追</x:v>
      </x:c>
      <x:c r="I2058" t="n">
        <x:v>46088.356099537035</x:v>
      </x:c>
      <x:c r="J2058" t="str">
        <x:v>已结算</x:v>
      </x:c>
      <x:c r="K2058" t="str">
        <x:v>4-2</x:v>
      </x:c>
      <x:c r="L2058" t="str">
        <x:v>输</x:v>
      </x:c>
      <x:c r="M2058" t="str">
        <x:v>赢</x:v>
      </x:c>
      <x:c r="N2058" t="n">
        <x:v>-1</x:v>
      </x:c>
      <x:c r="O2058" t="n">
        <x:v>1</x:v>
      </x:c>
      <x:c r="P2058" t="n">
        <x:f>IF(COUNT(N2058:O2058)=0,"",SUM(N2058:O2058))</x:f>
        <x:v>0</x:v>
      </x:c>
      <x:c r="Q2058"/>
      <x:c r="R2058" t="str">
        <x:v>90分钟赛果4-2；莱昂-0.25输，大小球2.5为大球赢。</x:v>
      </x:c>
    </x:row>
    <x:row r="2059">
      <x:c r="A2059" t="str">
        <x:f>IF(B2059="","",TEXT(B2059,"yyyy-mm-dd")&amp;"|"&amp;D2059&amp;"|"&amp;E2059)</x:f>
        <x:v>2026-03-07|塔巴蒂奥（Tapatío）|坎昆FC</x:v>
      </x:c>
      <x:c r="B2059" s="39" t="n">
        <x:v>46088.291666666664</x:v>
      </x:c>
      <x:c r="C2059" t="str">
        <x:v>墨西哥甲级扩展联赛（Liga de Expansión MX）</x:v>
      </x:c>
      <x:c r="D2059" t="str">
        <x:v>塔巴蒂奥（Tapatío）</x:v>
      </x:c>
      <x:c r="E2059" t="str">
        <x:v>坎昆FC</x:v>
      </x:c>
      <x:c r="F2059" t="str">
        <x:v>塔巴蒂奥 -0.5（1.88-2.00）</x:v>
      </x:c>
      <x:c r="G2059" t="str">
        <x:v>小2.5（1.84-1.89）</x:v>
      </x:c>
      <x:c r="H2059" t="str">
        <x:v>塔巴蒂奥独赢（1.95-2.08）；若临场升至-0.75则不追</x:v>
      </x:c>
      <x:c r="I2059" t="n">
        <x:v>46088.268113425926</x:v>
      </x:c>
      <x:c r="J2059" t="str">
        <x:v>已结算</x:v>
      </x:c>
      <x:c r="K2059" t="str">
        <x:v>1-2</x:v>
      </x:c>
      <x:c r="L2059" t="str">
        <x:v>输</x:v>
      </x:c>
      <x:c r="M2059" t="str">
        <x:v>输</x:v>
      </x:c>
      <x:c r="N2059" t="n">
        <x:v>-1</x:v>
      </x:c>
      <x:c r="O2059" t="n">
        <x:v>-1</x:v>
      </x:c>
      <x:c r="P2059" t="n">
        <x:f>IF(COUNT(N2059:O2059)=0,"",SUM(N2059:O2059))</x:f>
        <x:v>-2</x:v>
      </x:c>
      <x:c r="Q2059"/>
      <x:c r="R2059" t="str">
        <x:v>更正：90分钟赛果为塔巴蒂奥1-2坎昆FC；塔巴蒂奥-0.5输，大小球2.5为小球输。</x:v>
      </x:c>
    </x:row>
    <x:row r="2060">
      <x:c r="A2060" t="str">
        <x:f>IF(B2060="","",TEXT(B2060,"yyyy-mm-dd")&amp;"|"&amp;D2060&amp;"|"&amp;E2060)</x:f>
        <x:v>2026-03-07|沙尔克04|比勒菲尔德</x:v>
      </x:c>
      <x:c r="B2060" s="39" t="n">
        <x:v>46088.0625</x:v>
      </x:c>
      <x:c r="C2060" t="str">
        <x:v>德国乙级联赛（2. Bundesliga）</x:v>
      </x:c>
      <x:c r="D2060" t="str">
        <x:v>沙尔克04</x:v>
      </x:c>
      <x:c r="E2060" t="str">
        <x:v>比勒菲尔德</x:v>
      </x:c>
      <x:c r="F2060" t="str">
        <x:v>沙尔克04 -1（主水≥0.80可入；若临场升到-1.25且主水≤0.85不追）</x:v>
      </x:c>
      <x:c r="G2060" t="str">
        <x:v>小 3（≥0.80）</x:v>
      </x:c>
      <x:c r="H2060" t="str">
        <x:v>进取可选 沙尔克04胜；若临场退到-0.75高水可加仓主让</x:v>
      </x:c>
      <x:c r="I2060" t="n">
        <x:v>46088.00697916667</x:v>
      </x:c>
      <x:c r="J2060" t="str">
        <x:v>已结算</x:v>
      </x:c>
      <x:c r="K2060" t="str">
        <x:v>1-0</x:v>
      </x:c>
      <x:c r="L2060" t="str">
        <x:v>走水</x:v>
      </x:c>
      <x:c r="M2060" t="str">
        <x:v>赢</x:v>
      </x:c>
      <x:c r="N2060" t="n">
        <x:v>0</x:v>
      </x:c>
      <x:c r="O2060" t="n">
        <x:v>1</x:v>
      </x:c>
      <x:c r="P2060" t="n">
        <x:f>IF(COUNT(N2060:O2060)=0,"",SUM(N2060:O2060))</x:f>
        <x:v>1</x:v>
      </x:c>
      <x:c r="Q2060"/>
      <x:c r="R2060" t="str">
        <x:v>复核赛果：沙尔克04 1-0 比勒菲尔德；按冻结盘口结算：沙尔克04 -1 走水；大小球3为小球赢。</x:v>
      </x:c>
    </x:row>
    <x:row r="2061">
      <x:c r="A2061" t="str">
        <x:f>IF(B2061="","",TEXT(B2061,"yyyy-mm-dd")&amp;"|"&amp;D2061&amp;"|"&amp;E2061)</x:f>
        <x:v>2026-03-06|詹谢普尔|喀什国际（Inter Kashi）</x:v>
      </x:c>
      <x:c r="B2061" s="39" t="n">
        <x:v>46087.916666666664</x:v>
      </x:c>
      <x:c r="C2061" t="str">
        <x:v>印度超级联赛（Indian Super League）</x:v>
      </x:c>
      <x:c r="D2061" t="str">
        <x:v>詹谢普尔</x:v>
      </x:c>
      <x:c r="E2061" t="str">
        <x:v>喀什国际（Inter Kashi）</x:v>
      </x:c>
      <x:c r="F2061" t="str">
        <x:v>詹谢普尔 -0.5（主水≥0.85可入；若临场升到-0.75且主水≥0.95仅小注）</x:v>
      </x:c>
      <x:c r="G2061" t="str">
        <x:v>小 2.5（≥0.80）</x:v>
      </x:c>
      <x:c r="H2061" t="str">
        <x:v>进取可选 詹谢普尔胜；若临场退到-0.25低水则不加仓主让</x:v>
      </x:c>
      <x:c r="I2061" t="n">
        <x:v>46087.89267361111</x:v>
      </x:c>
      <x:c r="J2061" t="str">
        <x:v>已结算</x:v>
      </x:c>
      <x:c r="K2061" t="str">
        <x:v>1-0</x:v>
      </x:c>
      <x:c r="L2061" t="str">
        <x:v>赢</x:v>
      </x:c>
      <x:c r="M2061" t="str">
        <x:v>赢</x:v>
      </x:c>
      <x:c r="N2061" t="n">
        <x:v>1</x:v>
      </x:c>
      <x:c r="O2061" t="n">
        <x:v>1</x:v>
      </x:c>
      <x:c r="P2061" t="n">
        <x:f>IF(COUNT(N2061:O2061)=0,"",SUM(N2061:O2061))</x:f>
        <x:v>2</x:v>
      </x:c>
      <x:c r="Q2061"/>
      <x:c r="R2061" t="str">
        <x:v>90分钟赛果1-0；詹谢普尔-0.5赢，大小球2.5为小球赢。</x:v>
      </x:c>
    </x:row>
    <x:row r="2062">
      <x:c r="A2062" t="str">
        <x:f>IF(B2062="","",TEXT(B2062,"yyyy-mm-dd")&amp;"|"&amp;D2062&amp;"|"&amp;E2062)</x:f>
        <x:v>2026-03-06|阿雷马|巴厘联</x:v>
      </x:c>
      <x:c r="B2062" s="39" t="n">
        <x:v>46087.895833333336</x:v>
      </x:c>
      <x:c r="C2062" t="str">
        <x:v>印度尼西亚超级联赛（印尼超/Liga 1 Indonesia）</x:v>
      </x:c>
      <x:c r="D2062" t="str">
        <x:v>阿雷马</x:v>
      </x:c>
      <x:c r="E2062" t="str">
        <x:v>巴厘联</x:v>
      </x:c>
      <x:c r="F2062" t="str">
        <x:v>阿雷马 0（平手，主水≥0.80可入；若临场升到-0.25且主水≥0.90可小注跟）</x:v>
      </x:c>
      <x:c r="G2062" t="str">
        <x:v>大 2.5（≥0.80）</x:v>
      </x:c>
      <x:c r="H2062" t="str">
        <x:v>进取可选 双方进球；若临场退到平/半低水则不追主让</x:v>
      </x:c>
      <x:c r="I2062" t="n">
        <x:v>46087.884560185186</x:v>
      </x:c>
      <x:c r="J2062" t="str">
        <x:v>已结算</x:v>
      </x:c>
      <x:c r="K2062" t="str">
        <x:v>3-4</x:v>
      </x:c>
      <x:c r="L2062" t="str">
        <x:v>输</x:v>
      </x:c>
      <x:c r="M2062" t="str">
        <x:v>赢</x:v>
      </x:c>
      <x:c r="N2062" t="n">
        <x:v>-1</x:v>
      </x:c>
      <x:c r="O2062" t="n">
        <x:v>1</x:v>
      </x:c>
      <x:c r="P2062" t="n">
        <x:f>IF(COUNT(N2062:O2062)=0,"",SUM(N2062:O2062))</x:f>
        <x:v>0</x:v>
      </x:c>
      <x:c r="Q2062"/>
      <x:c r="R2062" t="str">
        <x:v>90分钟赛果3-4；阿雷马平手盘输，大小球2.5为大球赢。</x:v>
      </x:c>
    </x:row>
    <x:row r="2063">
      <x:c r="A2063" t="str">
        <x:f>IF(B2063="","",TEXT(B2063,"yyyy-mm-dd")&amp;"|"&amp;D2063&amp;"|"&amp;E2063)</x:f>
        <x:v>2026-03-06|成都蓉城|深圳新鹏城</x:v>
      </x:c>
      <x:c r="B2063" s="39" t="n">
        <x:v>46087.81597222222</x:v>
      </x:c>
      <x:c r="C2063" t="str">
        <x:v>中国足球超级联赛</x:v>
      </x:c>
      <x:c r="D2063" t="str">
        <x:v>成都蓉城</x:v>
      </x:c>
      <x:c r="E2063" t="str">
        <x:v>深圳新鹏城</x:v>
      </x:c>
      <x:c r="F2063" t="str">
        <x:v>成都蓉城 -1.5（主水≥0.80可入；若临场升到-1.75且主水≤0.85则不追）</x:v>
      </x:c>
      <x:c r="G2063" t="str">
        <x:v>大 2.75（≥0.80）</x:v>
      </x:c>
      <x:c r="H2063" t="str">
        <x:v>进取可选 成都蓉城胜且大2.5；若临场退到-1.25高水可加仓主让</x:v>
      </x:c>
      <x:c r="I2063" t="n">
        <x:v>46087.81699074074</x:v>
      </x:c>
      <x:c r="J2063" t="str">
        <x:v>已结算</x:v>
      </x:c>
      <x:c r="K2063" t="str">
        <x:v>5-1</x:v>
      </x:c>
      <x:c r="L2063" t="str">
        <x:v>赢</x:v>
      </x:c>
      <x:c r="M2063" t="str">
        <x:v>赢</x:v>
      </x:c>
      <x:c r="N2063" t="n">
        <x:v>1</x:v>
      </x:c>
      <x:c r="O2063" t="n">
        <x:v>1</x:v>
      </x:c>
      <x:c r="P2063" t="n">
        <x:f>IF(COUNT(N2063:O2063)=0,"",SUM(N2063:O2063))</x:f>
        <x:v>2</x:v>
      </x:c>
      <x:c r="Q2063"/>
      <x:c r="R2063" t="str">
        <x:v>复核赛果：成都蓉城 5-1 深圳新鹏城；按冻结盘口结算：成都蓉城 -1.5 赢；大小球2.75为大球赢。</x:v>
      </x:c>
    </x:row>
    <x:row r="2064">
      <x:c r="A2064" t="str">
        <x:f>IF(B2064="","",TEXT(B2064,"yyyy-mm-dd")&amp;"|"&amp;D2064&amp;"|"&amp;E2064)</x:f>
        <x:v>2026-03-06|莫亨巴根超级巨人(Mohun Bagan Super Giant)|奥迪萨FC(Odisha FC)</x:v>
      </x:c>
      <x:c r="B2064" s="39" t="n">
        <x:v>46087.8125</x:v>
      </x:c>
      <x:c r="C2064" t="str">
        <x:v>印度超级联赛（Indian Super League）</x:v>
      </x:c>
      <x:c r="D2064" t="str">
        <x:v>莫亨巴根超级巨人(Mohun Bagan Super Giant)</x:v>
      </x:c>
      <x:c r="E2064" t="str">
        <x:v>奥迪萨FC(Odisha FC)</x:v>
      </x:c>
      <x:c r="F2064" t="str">
        <x:v>莫亨巴根 -1.5（主让一球半）@1.82左右</x:v>
      </x:c>
      <x:c r="G2064" t="str">
        <x:v>小3.5 @1.80左右</x:v>
      </x:c>
      <x:c r="H2064" t="str">
        <x:v>小2.5 @2.70左右（更激进）</x:v>
      </x:c>
      <x:c r="I2064" t="n">
        <x:v>46087.8041087963</x:v>
      </x:c>
      <x:c r="J2064" t="str">
        <x:v>已结算</x:v>
      </x:c>
      <x:c r="K2064" t="str">
        <x:v>5-1</x:v>
      </x:c>
      <x:c r="L2064" t="str">
        <x:v>赢</x:v>
      </x:c>
      <x:c r="M2064" t="str">
        <x:v>输</x:v>
      </x:c>
      <x:c r="N2064" t="n">
        <x:v>1</x:v>
      </x:c>
      <x:c r="O2064" t="n">
        <x:v>-1</x:v>
      </x:c>
      <x:c r="P2064" t="n">
        <x:f>IF(COUNT(N2064:O2064)=0,"",SUM(N2064:O2064))</x:f>
        <x:v>0</x:v>
      </x:c>
      <x:c r="Q2064"/>
      <x:c r="R2064" t="str">
        <x:v>90分钟赛果5-1；莫亨巴根-1.5赢，大小球3.5为小球输。</x:v>
      </x:c>
    </x:row>
    <x:row r="2065">
      <x:c r="A2065" t="str">
        <x:f>IF(B2065="","",TEXT(B2065,"yyyy-mm-dd")&amp;"|"&amp;D2065&amp;"|"&amp;E2065)</x:f>
        <x:v>2026-03-06|丹德农市|卡罗琳泉乔治十字</x:v>
      </x:c>
      <x:c r="B2065" s="39" t="n">
        <x:v>46087.697916666664</x:v>
      </x:c>
      <x:c r="C2065" t="str">
        <x:v>澳大利亚 维多利亚州超级联赛1（VPL1）</x:v>
      </x:c>
      <x:c r="D2065" t="str">
        <x:v>丹德农市</x:v>
      </x:c>
      <x:c r="E2065" t="str">
        <x:v>卡罗琳泉乔治十字</x:v>
      </x:c>
      <x:c r="F2065" t="str">
        <x:v>卡罗琳泉乔治十字 平手（0）</x:v>
      </x:c>
      <x:c r="G2065" t="str">
        <x:v>小 2.5</x:v>
      </x:c>
      <x:c r="H2065" t="str">
        <x:v>平局</x:v>
      </x:c>
      <x:c r="I2065" t="n">
        <x:v>46087.58246527778</x:v>
      </x:c>
      <x:c r="J2065" t="str">
        <x:v>已结算</x:v>
      </x:c>
      <x:c r="K2065" t="str">
        <x:v>0-0</x:v>
      </x:c>
      <x:c r="L2065" t="str">
        <x:v>走水</x:v>
      </x:c>
      <x:c r="M2065" t="str">
        <x:v>赢</x:v>
      </x:c>
      <x:c r="N2065" t="n">
        <x:v>0</x:v>
      </x:c>
      <x:c r="O2065" t="n">
        <x:v>1</x:v>
      </x:c>
      <x:c r="P2065" t="n">
        <x:f>IF(COUNT(N2065:O2065)=0,"",SUM(N2065:O2065))</x:f>
        <x:v>1</x:v>
      </x:c>
      <x:c r="Q2065"/>
      <x:c r="R2065" t="str">
        <x:v>更正：90分钟赛果0-0；卡罗琳泉乔治十字平手（0）走水，大小球2.5为小球赢。</x:v>
      </x:c>
    </x:row>
    <x:row r="2066">
      <x:c r="A2066" t="str">
        <x:f>IF(B2066="","",TEXT(B2066,"yyyy-mm-dd")&amp;"|"&amp;D2066&amp;"|"&amp;E2066)</x:f>
        <x:v>2026-03-06|阿德莱德联|惠灵顿凤凰</x:v>
      </x:c>
      <x:c r="B2066" s="39" t="n">
        <x:v>46087.69097222222</x:v>
      </x:c>
      <x:c r="C2066" t="str">
        <x:v>澳大利亚A联赛（A-League Men）</x:v>
      </x:c>
      <x:c r="D2066" t="str">
        <x:v>阿德莱德联</x:v>
      </x:c>
      <x:c r="E2066" t="str">
        <x:v>惠灵顿凤凰</x:v>
      </x:c>
      <x:c r="F2066" t="str">
        <x:v>阿德莱德联 -0.75</x:v>
      </x:c>
      <x:c r="G2066" t="str">
        <x:v>小 3.25</x:v>
      </x:c>
      <x:c r="H2066" t="str">
        <x:v>阿德莱德联独赢</x:v>
      </x:c>
      <x:c r="I2066" t="n">
        <x:v>46087.55820601852</x:v>
      </x:c>
      <x:c r="J2066" t="str">
        <x:v>已结算</x:v>
      </x:c>
      <x:c r="K2066" t="str">
        <x:v>1-1</x:v>
      </x:c>
      <x:c r="L2066" t="str">
        <x:v>输</x:v>
      </x:c>
      <x:c r="M2066" t="str">
        <x:v>赢</x:v>
      </x:c>
      <x:c r="N2066" t="n">
        <x:v>-1</x:v>
      </x:c>
      <x:c r="O2066" t="n">
        <x:v>1</x:v>
      </x:c>
      <x:c r="P2066" t="n">
        <x:f>IF(COUNT(N2066:O2066)=0,"",SUM(N2066:O2066))</x:f>
        <x:v>0</x:v>
      </x:c>
      <x:c r="Q2066"/>
      <x:c r="R2066" t="str">
        <x:v>90分钟赛果1-1；阿德莱德联-0.75输，大小球3.25为小球赢。</x:v>
      </x:c>
    </x:row>
    <x:row r="2067">
      <x:c r="A2067" t="str">
        <x:f>IF(B2067="","",TEXT(B2067,"yyyy-mm-dd")&amp;"|"&amp;D2067&amp;"|"&amp;E2067)</x:f>
        <x:v>2026-03-06|格林古利(Green Gully)|休姆城(Hume City)</x:v>
      </x:c>
      <x:c r="B2067" s="39" t="n">
        <x:v>46087.6875</x:v>
      </x:c>
      <x:c r="C2067" t="str">
        <x:v>澳大利亚 维多利亚州超级联赛1（VPL1）</x:v>
      </x:c>
      <x:c r="D2067" t="str">
        <x:v>格林古利(Green Gully)</x:v>
      </x:c>
      <x:c r="E2067" t="str">
        <x:v>休姆城(Hume City)</x:v>
      </x:c>
      <x:c r="F2067" t="str">
        <x:v>休姆城 +0.25（受让平半）</x:v>
      </x:c>
      <x:c r="G2067" t="str">
        <x:v>小 2.5</x:v>
      </x:c>
      <x:c r="H2067" t="str">
        <x:v>休姆城 0（平手/DNB）</x:v>
      </x:c>
      <x:c r="I2067" t="n">
        <x:v>46087.4703125</x:v>
      </x:c>
      <x:c r="J2067" t="str">
        <x:v>已结算</x:v>
      </x:c>
      <x:c r="K2067" t="str">
        <x:v>1-1</x:v>
      </x:c>
      <x:c r="L2067" t="str">
        <x:v>赢半</x:v>
      </x:c>
      <x:c r="M2067" t="str">
        <x:v>赢</x:v>
      </x:c>
      <x:c r="N2067" t="n">
        <x:v>0.5</x:v>
      </x:c>
      <x:c r="O2067" t="n">
        <x:v>1</x:v>
      </x:c>
      <x:c r="P2067" t="n">
        <x:f>IF(COUNT(N2067:O2067)=0,"",SUM(N2067:O2067))</x:f>
        <x:v>1.5</x:v>
      </x:c>
      <x:c r="Q2067"/>
      <x:c r="R2067" t="str">
        <x:v>90分钟赛果1-1；让球按休姆城+0.25结算为赢半，大小球2.5为小球赢。</x:v>
      </x:c>
    </x:row>
    <x:row r="2068">
      <x:c r="A2068" t="str">
        <x:f>IF(B2068="","",TEXT(B2068,"yyyy-mm-dd")&amp;"|"&amp;D2068&amp;"|"&amp;E2068)</x:f>
        <x:v>2026-03-06|巴兰基亚青年(Atlético Junior)|阿利安萨(Alianza FC)</x:v>
      </x:c>
      <x:c r="B2068" s="39" t="n">
        <x:v>46087.38888888889</x:v>
      </x:c>
      <x:c r="C2068" t="str">
        <x:v>哥伦比亚甲级联赛（Liga BetPlay DIMAYOR）</x:v>
      </x:c>
      <x:c r="D2068" t="str">
        <x:v>巴兰基亚青年(Atlético Junior)</x:v>
      </x:c>
      <x:c r="E2068" t="str">
        <x:v>阿利安萨(Alianza FC)</x:v>
      </x:c>
      <x:c r="F2068" t="str">
        <x:v>巴兰基亚青年 -1（主让一球，水位约0.88~0.91）</x:v>
      </x:c>
      <x:c r="G2068" t="str">
        <x:v>小2.5（水位约0.82~0.84）</x:v>
      </x:c>
      <x:c r="H2068" t="str">
        <x:v>进取：巴兰基亚青年 -1.25（约0.95）小注；保守：阿利安萨 +1（约0.96）作对冲/走水保护</x:v>
      </x:c>
      <x:c r="I2068" t="n">
        <x:v>46087.40216435185</x:v>
      </x:c>
      <x:c r="J2068" t="str">
        <x:v>已结算</x:v>
      </x:c>
      <x:c r="K2068"/>
      <x:c r="L2068" t="str">
        <x:v>输</x:v>
      </x:c>
      <x:c r="M2068" t="str">
        <x:v>赢</x:v>
      </x:c>
      <x:c r="N2068" t="n">
        <x:v>-1</x:v>
      </x:c>
      <x:c r="O2068" t="n">
        <x:v>1</x:v>
      </x:c>
      <x:c r="P2068" t="n">
        <x:f>IF(COUNT(N2068:O2068)=0,"",SUM(N2068:O2068))</x:f>
        <x:v>0</x:v>
      </x:c>
      <x:c r="Q2068"/>
      <x:c r="R2068" t="str">
        <x:v>全场1-1：青年-1输；小2.5赢。</x:v>
      </x:c>
    </x:row>
    <x:row r="2069">
      <x:c r="A2069" t="str">
        <x:f>IF(B2069="","",TEXT(B2069,"yyyy-mm-dd")&amp;"|"&amp;D2069&amp;"|"&amp;E2069)</x:f>
        <x:v>2026-03-06|拉尼罗斯（Llaneros FC）|波哥大体育（Internacional de Bogotá）</x:v>
      </x:c>
      <x:c r="B2069" s="39" t="n">
        <x:v>46087.29861111111</x:v>
      </x:c>
      <x:c r="C2069" t="str">
        <x:v>哥伦比亚甲级联赛（Liga BetPlay DIMAYOR）</x:v>
      </x:c>
      <x:c r="D2069" t="str">
        <x:v>拉尼罗斯（Llaneros FC）</x:v>
      </x:c>
      <x:c r="E2069" t="str">
        <x:v>波哥大体育（Internacional de Bogotá）</x:v>
      </x:c>
      <x:c r="F2069" t="str">
        <x:v>波哥大体育 +0.25（受让平/半）@2.04左右</x:v>
      </x:c>
      <x:c r="G2069" t="str">
        <x:v>小2.0（2球走水）@1.83左右</x:v>
      </x:c>
      <x:c r="H2069" t="str">
        <x:v>平局 @2.90左右（小注）</x:v>
      </x:c>
      <x:c r="I2069" t="n">
        <x:v>46087.27065972222</x:v>
      </x:c>
      <x:c r="J2069" t="str">
        <x:v>已结算</x:v>
      </x:c>
      <x:c r="K2069"/>
      <x:c r="L2069" t="str">
        <x:v>赢半</x:v>
      </x:c>
      <x:c r="M2069" t="str">
        <x:v>走水</x:v>
      </x:c>
      <x:c r="N2069" t="n">
        <x:v>0.5</x:v>
      </x:c>
      <x:c r="O2069" t="n">
        <x:v>0</x:v>
      </x:c>
      <x:c r="P2069" t="n">
        <x:f>IF(COUNT(N2069:O2069)=0,"",SUM(N2069:O2069))</x:f>
        <x:v>0.5</x:v>
      </x:c>
      <x:c r="Q2069"/>
      <x:c r="R2069" t="str">
        <x:v>全场1-1：波哥大体育+0.25赢半；小2.0两球走水。</x:v>
      </x:c>
    </x:row>
    <x:row r="2070">
      <x:c r="A2070" t="str">
        <x:f>IF(B2070="","",TEXT(B2070,"yyyy-mm-dd")&amp;"|"&amp;D2070&amp;"|"&amp;E2070)</x:f>
        <x:v>2026-03-06|托特纳姆热刺（Tottenham Hotspur）|水晶宫（Crystal Palace）</x:v>
      </x:c>
      <x:c r="B2070" s="39" t="n">
        <x:v>46087.166666666664</x:v>
      </x:c>
      <x:c r="C2070" t="str">
        <x:v>英格兰超级联赛（Premier League）</x:v>
      </x:c>
      <x:c r="D2070" t="str">
        <x:v>托特纳姆热刺（Tottenham Hotspur）</x:v>
      </x:c>
      <x:c r="E2070" t="str">
        <x:v>水晶宫（Crystal Palace）</x:v>
      </x:c>
      <x:c r="F2070" t="str">
        <x:v>水晶宫 +0.25（受让平/半）@1.85~1.87</x:v>
      </x:c>
      <x:c r="G2070" t="str">
        <x:v>小2.75（2.5/3）@1.86左右</x:v>
      </x:c>
      <x:c r="H2070" t="str">
        <x:v>平局 @3.30~3.45（小注）</x:v>
      </x:c>
      <x:c r="I2070" t="n">
        <x:v>46086.99114583333</x:v>
      </x:c>
      <x:c r="J2070" t="str">
        <x:v>已结算</x:v>
      </x:c>
      <x:c r="K2070"/>
      <x:c r="L2070" t="str">
        <x:v>赢</x:v>
      </x:c>
      <x:c r="M2070" t="str">
        <x:v>输</x:v>
      </x:c>
      <x:c r="N2070" t="n">
        <x:v>1</x:v>
      </x:c>
      <x:c r="O2070" t="n">
        <x:v>-1</x:v>
      </x:c>
      <x:c r="P2070" t="n">
        <x:f>IF(COUNT(N2070:O2070)=0,"",SUM(N2070:O2070))</x:f>
        <x:v>0</x:v>
      </x:c>
      <x:c r="Q2070"/>
      <x:c r="R2070" t="str">
        <x:v>全场：热刺 1-3 水晶宫；水晶宫+0.25赢；小2.75输（4球）。半场1-3→平局 负</x:v>
      </x:c>
    </x:row>
    <x:row r="2071">
      <x:c r="A2071" t="str">
        <x:f>IF(B2071="","",TEXT(B2071,"yyyy-mm-dd")&amp;"|"&amp;D2071&amp;"|"&amp;E2071)</x:f>
        <x:v>2026-03-06|阿拉伯建筑（Al Mokawloon Al Arab/Arab Contractors）|开罗国民（Al Ahly）</x:v>
      </x:c>
      <x:c r="B2071" s="39" t="n">
        <x:v>46087.145833333336</x:v>
      </x:c>
      <x:c r="C2071" t="str">
        <x:v>埃及超级联赛（Egyptian Premier League）</x:v>
      </x:c>
      <x:c r="D2071" t="str">
        <x:v>阿拉伯建筑（Al Mokawloon Al Arab/Arab Contractors）</x:v>
      </x:c>
      <x:c r="E2071" t="str">
        <x:v>开罗国民（Al Ahly）</x:v>
      </x:c>
      <x:c r="F2071" t="str">
        <x:v>开罗国民 -1.0（让一球）@1.84左右</x:v>
      </x:c>
      <x:c r="G2071" t="str">
        <x:v>小2.5 @1.90左右</x:v>
      </x:c>
      <x:c r="H2071" t="str">
        <x:v>半场平（HT X）@1.94左右（小注）</x:v>
      </x:c>
      <x:c r="I2071" t="n">
        <x:v>46086.98496527778</x:v>
      </x:c>
      <x:c r="J2071" t="str">
        <x:v>已结算</x:v>
      </x:c>
      <x:c r="K2071"/>
      <x:c r="L2071" t="str">
        <x:v>赢</x:v>
      </x:c>
      <x:c r="M2071" t="str">
        <x:v>输</x:v>
      </x:c>
      <x:c r="N2071" t="n">
        <x:v>1</x:v>
      </x:c>
      <x:c r="O2071" t="n">
        <x:v>-1</x:v>
      </x:c>
      <x:c r="P2071" t="n">
        <x:f>IF(COUNT(N2071:O2071)=0,"",SUM(N2071:O2071))</x:f>
        <x:v>0</x:v>
      </x:c>
      <x:c r="Q2071"/>
      <x:c r="R2071" t="str">
        <x:v>全场：阿拉伯建筑 1-3 开罗国民；让-1赢；小2.5输（4球）。半场0-1→HT平 负</x:v>
      </x:c>
    </x:row>
    <x:row r="2072">
      <x:c r="A2072" t="str">
        <x:f>IF(B2072="","",TEXT(B2072,"yyyy-mm-dd")&amp;"|"&amp;D2072&amp;"|"&amp;E2072)</x:f>
        <x:v>2026-03-06|莫尔德（Molde）|博德闪耀（Bodø/Glimt）</x:v>
      </x:c>
      <x:c r="B2072" s="39" t="n">
        <x:v>46087.083333333336</x:v>
      </x:c>
      <x:c r="C2072" t="str">
        <x:v>挪威杯（NM Cup）第4轮</x:v>
      </x:c>
      <x:c r="D2072" t="str">
        <x:v>莫尔德（Molde）</x:v>
      </x:c>
      <x:c r="E2072" t="str">
        <x:v>博德闪耀（Bodø/Glimt）</x:v>
      </x:c>
      <x:c r="F2072" t="str">
        <x:v>莫尔德 +0.75（受让半/一）@2.05左右</x:v>
      </x:c>
      <x:c r="G2072" t="str">
        <x:v>大3.5 @1.83左右</x:v>
      </x:c>
      <x:c r="H2072" t="str">
        <x:v>稳健备选：莫尔德 +1.0（受让一球）@1.82左右</x:v>
      </x:c>
      <x:c r="I2072" t="n">
        <x:v>46086.97739583333</x:v>
      </x:c>
      <x:c r="J2072" t="str">
        <x:v>已结算</x:v>
      </x:c>
      <x:c r="K2072"/>
      <x:c r="L2072" t="str">
        <x:v>输半</x:v>
      </x:c>
      <x:c r="M2072" t="str">
        <x:v>输</x:v>
      </x:c>
      <x:c r="N2072" t="n">
        <x:v>-0.5</x:v>
      </x:c>
      <x:c r="O2072" t="n">
        <x:v>-1</x:v>
      </x:c>
      <x:c r="P2072" t="n">
        <x:f>IF(COUNT(N2072:O2072)=0,"",SUM(N2072:O2072))</x:f>
        <x:v>-1.5</x:v>
      </x:c>
      <x:c r="Q2072"/>
      <x:c r="R2072" t="str">
        <x:v>全场：莫尔德 1-2 博德闪耀；受让+0.75输半（输1球）；大3.5输</x:v>
      </x:c>
    </x:row>
    <x:row r="2073">
      <x:c r="A2073" t="str">
        <x:f>IF(B2073="","",TEXT(B2073,"yyyy-mm-dd")&amp;"|"&amp;D2073&amp;"|"&amp;E2073)</x:f>
        <x:v>2026-03-05|杰帕拉（Persijap Jepara）|佩斯索罗（Persis Solo）</x:v>
      </x:c>
      <x:c r="B2073" s="39" t="n">
        <x:v>46086.895833333336</x:v>
      </x:c>
      <x:c r="C2073" t="str">
        <x:v>印度尼西亚超级联赛（印尼超/Liga 1 Indonesia）</x:v>
      </x:c>
      <x:c r="D2073" t="str">
        <x:v>杰帕拉（Persijap Jepara）</x:v>
      </x:c>
      <x:c r="E2073" t="str">
        <x:v>佩斯索罗（Persis Solo）</x:v>
      </x:c>
      <x:c r="F2073" t="str">
        <x:v>杰帕拉 -0.25（让平/半）@1.94左右</x:v>
      </x:c>
      <x:c r="G2073" t="str">
        <x:v>大2.5 @1.91~1.98</x:v>
      </x:c>
      <x:c r="H2073" t="str">
        <x:v>双方进球（BTTS-Yes）@1.82~1.85（小注）</x:v>
      </x:c>
      <x:c r="I2073" t="n">
        <x:v>46086.84674768519</x:v>
      </x:c>
      <x:c r="J2073" t="str">
        <x:v>已结算</x:v>
      </x:c>
      <x:c r="K2073"/>
      <x:c r="L2073" t="str">
        <x:v>输半</x:v>
      </x:c>
      <x:c r="M2073" t="str">
        <x:v>输</x:v>
      </x:c>
      <x:c r="N2073" t="n">
        <x:v>-0.5</x:v>
      </x:c>
      <x:c r="O2073" t="n">
        <x:v>-1</x:v>
      </x:c>
      <x:c r="P2073" t="n">
        <x:f>IF(COUNT(N2073:O2073)=0,"",SUM(N2073:O2073))</x:f>
        <x:v>-1.5</x:v>
      </x:c>
      <x:c r="Q2073"/>
      <x:c r="R2073" t="str">
        <x:v>全场：杰帕拉 0-0 佩斯索罗；让-0.25输半；大2.5输</x:v>
      </x:c>
    </x:row>
    <x:row r="2074">
      <x:c r="A2074" t="str">
        <x:f>IF(B2074="","",TEXT(B2074,"yyyy-mm-dd")&amp;"|"&amp;D2074&amp;"|"&amp;E2074)</x:f>
        <x:v>2026-03-05|佩斯克谏义里（Persik Kediri）|巴克伦佛（PSBS Biak Numfor）</x:v>
      </x:c>
      <x:c r="B2074" s="39" t="n">
        <x:v>46086.895833333336</x:v>
      </x:c>
      <x:c r="C2074" t="str">
        <x:v>印度尼西亚超级联赛（印尼超/Liga 1 Indonesia）</x:v>
      </x:c>
      <x:c r="D2074" t="str">
        <x:v>佩斯克谏义里（Persik Kediri）</x:v>
      </x:c>
      <x:c r="E2074" t="str">
        <x:v>巴克伦佛（PSBS Biak Numfor）</x:v>
      </x:c>
      <x:c r="F2074" t="str">
        <x:v>佩斯克谏义里 -1.0（让一球）@1.90左右</x:v>
      </x:c>
      <x:c r="G2074" t="str">
        <x:v>小3.0（3球走水）@1.83左右</x:v>
      </x:c>
      <x:c r="H2074" t="str">
        <x:v>可选：若临场让球退到-0.75且仍≥1.85，可小加；若升到-1.25且≤1.80则不追。</x:v>
      </x:c>
      <x:c r="I2074" t="n">
        <x:v>46086.83987268519</x:v>
      </x:c>
      <x:c r="J2074" t="str">
        <x:v>已结算</x:v>
      </x:c>
      <x:c r="K2074"/>
      <x:c r="L2074" t="str">
        <x:v>走水</x:v>
      </x:c>
      <x:c r="M2074" t="str">
        <x:v>走水</x:v>
      </x:c>
      <x:c r="N2074" t="n">
        <x:v>0</x:v>
      </x:c>
      <x:c r="O2074" t="n">
        <x:v>0</x:v>
      </x:c>
      <x:c r="P2074" t="n">
        <x:f>IF(COUNT(N2074:O2074)=0,"",SUM(N2074:O2074))</x:f>
        <x:v>0</x:v>
      </x:c>
      <x:c r="Q2074"/>
      <x:c r="R2074" t="str">
        <x:v>全场：佩斯克谏义里 2-1 巴克伦佛；让-1走水；小3走水（3球）</x:v>
      </x:c>
    </x:row>
    <x:row r="2075">
      <x:c r="A2075" t="str">
        <x:f>IF(B2075="","",TEXT(B2075,"yyyy-mm-dd")&amp;"|"&amp;D2075&amp;"|"&amp;E2075)</x:f>
        <x:v>2026-03-05|东孟加拉（East Bengal FC）|果阿（FC Goa）</x:v>
      </x:c>
      <x:c r="B2075" s="39" t="n">
        <x:v>46086.8125</x:v>
      </x:c>
      <x:c r="C2075" t="str">
        <x:v>印度超级联赛（Indian Super League）</x:v>
      </x:c>
      <x:c r="D2075" t="str">
        <x:v>东孟加拉（East Bengal FC）</x:v>
      </x:c>
      <x:c r="E2075" t="str">
        <x:v>果阿（FC Goa）</x:v>
      </x:c>
      <x:c r="F2075" t="str">
        <x:v>果阿 +0.5（受让半球）@1.95左右</x:v>
      </x:c>
      <x:c r="G2075" t="str">
        <x:v>小2.5 @1.85左右</x:v>
      </x:c>
      <x:c r="H2075" t="str">
        <x:v>进取：果阿 0（平手盘/DNB）@3.00左右；替代：双方进球-否（BTTS No）@1.90左右</x:v>
      </x:c>
      <x:c r="I2075" t="n">
        <x:v>46086.78873842592</x:v>
      </x:c>
      <x:c r="J2075" t="str">
        <x:v>已结算</x:v>
      </x:c>
      <x:c r="K2075" t="str">
        <x:v>0-0</x:v>
      </x:c>
      <x:c r="L2075" t="str">
        <x:v>赢</x:v>
      </x:c>
      <x:c r="M2075" t="str">
        <x:v>赢</x:v>
      </x:c>
      <x:c r="N2075" t="n">
        <x:v>1</x:v>
      </x:c>
      <x:c r="O2075" t="n">
        <x:v>1</x:v>
      </x:c>
      <x:c r="P2075" t="n">
        <x:f>IF(COUNT(N2075:O2075)=0,"",SUM(N2075:O2075))</x:f>
        <x:v>2</x:v>
      </x:c>
      <x:c r="Q2075"/>
      <x:c r="R2075" t="str">
        <x:v>复核赛果：东孟加拉（East Bengal FC） 0-0 果阿（FC Goa）；按冻结盘口结算：果阿 +0.5 赢；小2.5 赢。</x:v>
      </x:c>
    </x:row>
    <x:row r="2076">
      <x:c r="A2076" t="str">
        <x:f>IF(B2076="","",TEXT(B2076,"yyyy-mm-dd")&amp;"|"&amp;D2076&amp;"|"&amp;E2076)</x:f>
        <x:v>2026-03-05|拉巴斯竞技（CA La Paz）|瓜达拉哈拉大学（UdeG/Leones Negros）</x:v>
      </x:c>
      <x:c r="B2076" s="39" t="n">
        <x:v>46086.458333333336</x:v>
      </x:c>
      <x:c r="C2076" t="str">
        <x:v>墨西哥甲级扩展联赛（Liga de Expansión MX）</x:v>
      </x:c>
      <x:c r="D2076" t="str">
        <x:v>拉巴斯竞技（CA La Paz）</x:v>
      </x:c>
      <x:c r="E2076" t="str">
        <x:v>瓜达拉哈拉大学（UdeG/Leones Negros）</x:v>
      </x:c>
      <x:c r="F2076" t="str">
        <x:v>拉巴斯竞技 -0.25（让平/半）@1.86左右</x:v>
      </x:c>
      <x:c r="G2076" t="str">
        <x:v>小2.75（2.5/3）@2.00左右</x:v>
      </x:c>
      <x:c r="H2076" t="str">
        <x:v>进取：拉巴斯竞技 -0.5 @2.14左右；大小进取：小2.5 @2.15左右</x:v>
      </x:c>
      <x:c r="I2076" t="n">
        <x:v>46086.46871527778</x:v>
      </x:c>
      <x:c r="J2076" t="str">
        <x:v>已结算</x:v>
      </x:c>
      <x:c r="K2076" t="str">
        <x:v>3-0</x:v>
      </x:c>
      <x:c r="L2076" t="str">
        <x:v>赢</x:v>
      </x:c>
      <x:c r="M2076" t="str">
        <x:v>输半</x:v>
      </x:c>
      <x:c r="N2076" t="n">
        <x:v>1</x:v>
      </x:c>
      <x:c r="O2076" t="n">
        <x:v>-0.5</x:v>
      </x:c>
      <x:c r="P2076" t="n">
        <x:f>IF(COUNT(N2076:O2076)=0,"",SUM(N2076:O2076))</x:f>
        <x:v>0.5</x:v>
      </x:c>
      <x:c r="Q2076"/>
      <x:c r="R2076" t="str">
        <x:v>赛果：拉巴斯竞技 3-0 瓜达拉哈拉大学；拉巴斯-0.25赢盘；总进球3，小2.75(2.5/3)输半</x:v>
      </x:c>
    </x:row>
    <x:row r="2077">
      <x:c r="A2077" t="str">
        <x:f>IF(B2077="","",TEXT(B2077,"yyyy-mm-dd")&amp;"|"&amp;D2077&amp;"|"&amp;E2077)</x:f>
        <x:v>2026-03-05|阿特拉斯（Atlas）|蒂华纳（Club Tijuana）</x:v>
      </x:c>
      <x:c r="B2077" s="39" t="n">
        <x:v>46086.458333333336</x:v>
      </x:c>
      <x:c r="C2077" t="str">
        <x:v>墨西哥超（Liga MX，Clausura）</x:v>
      </x:c>
      <x:c r="D2077" t="str">
        <x:v>阿特拉斯（Atlas）</x:v>
      </x:c>
      <x:c r="E2077" t="str">
        <x:v>蒂华纳（Club Tijuana）</x:v>
      </x:c>
      <x:c r="F2077" t="str">
        <x:v>阿特拉斯 -0.25（让平/半）@1.85左右</x:v>
      </x:c>
      <x:c r="G2077" t="str">
        <x:v>小2.5 @1.83左右</x:v>
      </x:c>
      <x:c r="H2077" t="str">
        <x:v>进取：阿特拉斯 -0.5 若≥1.95再上；替代小球：双方进球-否（BTTS No）@2.04左右</x:v>
      </x:c>
      <x:c r="I2077" t="n">
        <x:v>46086.348391203705</x:v>
      </x:c>
      <x:c r="J2077" t="str">
        <x:v>已结算</x:v>
      </x:c>
      <x:c r="K2077" t="str">
        <x:v>2-1</x:v>
      </x:c>
      <x:c r="L2077" t="str">
        <x:v>赢</x:v>
      </x:c>
      <x:c r="M2077" t="str">
        <x:v>输</x:v>
      </x:c>
      <x:c r="N2077" t="n">
        <x:v>1</x:v>
      </x:c>
      <x:c r="O2077" t="n">
        <x:v>-1</x:v>
      </x:c>
      <x:c r="P2077" t="n">
        <x:f>IF(COUNT(N2077:O2077)=0,"",SUM(N2077:O2077))</x:f>
        <x:v>0</x:v>
      </x:c>
      <x:c r="Q2077"/>
      <x:c r="R2077" t="str">
        <x:v>赛果：阿特拉斯 2-1 蒂华纳；阿特拉斯-0.25赢盘；总进球3，小2.5输</x:v>
      </x:c>
    </x:row>
    <x:row r="2078">
      <x:c r="A2078" t="str">
        <x:f>IF(B2078="","",TEXT(B2078,"yyyy-mm-dd")&amp;"|"&amp;D2078&amp;"|"&amp;E2078)</x:f>
        <x:v>2026-03-05|蒙特雷（CF Monterrey）|克雷塔罗（Querétaro）</x:v>
      </x:c>
      <x:c r="B2078" s="39" t="n">
        <x:v>46086.375</x:v>
      </x:c>
      <x:c r="C2078" t="str">
        <x:v>墨西哥超（Liga MX，Clausura）</x:v>
      </x:c>
      <x:c r="D2078" t="str">
        <x:v>蒙特雷（CF Monterrey）</x:v>
      </x:c>
      <x:c r="E2078" t="str">
        <x:v>克雷塔罗（Querétaro）</x:v>
      </x:c>
      <x:c r="F2078" t="str">
        <x:v>克雷塔罗 +1.25（受让一球/球半）@1.86~1.93</x:v>
      </x:c>
      <x:c r="G2078" t="str">
        <x:v>小2.5 @2.16左右</x:v>
      </x:c>
      <x:c r="H2078" t="str">
        <x:v>进取：克雷塔罗 +1.0 @2.65左右；对冲：蒙特雷 -1.25 @1.90左右（仅在你更看好主队大胜时）</x:v>
      </x:c>
      <x:c r="I2078" t="n">
        <x:v>46086.37226851852</x:v>
      </x:c>
      <x:c r="J2078" t="str">
        <x:v>已结算</x:v>
      </x:c>
      <x:c r="K2078" t="str">
        <x:v>4-0</x:v>
      </x:c>
      <x:c r="L2078" t="str">
        <x:v>输</x:v>
      </x:c>
      <x:c r="M2078" t="str">
        <x:v>输</x:v>
      </x:c>
      <x:c r="N2078" t="n">
        <x:v>-1</x:v>
      </x:c>
      <x:c r="O2078" t="n">
        <x:v>-1</x:v>
      </x:c>
      <x:c r="P2078" t="n">
        <x:f>IF(COUNT(N2078:O2078)=0,"",SUM(N2078:O2078))</x:f>
        <x:v>-2</x:v>
      </x:c>
      <x:c r="Q2078"/>
      <x:c r="R2078" t="str">
        <x:v>赛果：蒙特雷 4-0 克雷塔罗；克雷塔罗+1.25输；总进球4，小2.5输</x:v>
      </x:c>
    </x:row>
    <x:row r="2079">
      <x:c r="A2079" t="str">
        <x:f>IF(B2079="","",TEXT(B2079,"yyyy-mm-dd")&amp;"|"&amp;D2079&amp;"|"&amp;E2079)</x:f>
        <x:v>2026-03-05|普布埃拉（Puebla）|老虎大学（Tigres UANL）</x:v>
      </x:c>
      <x:c r="B2079" s="39" t="n">
        <x:v>46086.375</x:v>
      </x:c>
      <x:c r="C2079" t="str">
        <x:v>墨西哥超（Liga MX，Clausura）</x:v>
      </x:c>
      <x:c r="D2079" t="str">
        <x:v>普布埃拉（Puebla）</x:v>
      </x:c>
      <x:c r="E2079" t="str">
        <x:v>老虎大学（Tigres UANL）</x:v>
      </x:c>
      <x:c r="F2079" t="str">
        <x:v>普布埃拉 +0.5（受让半球）@1.90~1.95</x:v>
      </x:c>
      <x:c r="G2079" t="str">
        <x:v>小2.5 @1.87~1.93</x:v>
      </x:c>
      <x:c r="H2079" t="str">
        <x:v>进取：普布埃拉 +0.75（受让半/一）@1.78~1.85（若临场升盘）；反向对冲：老虎大学 -0.5 @1.82~1.86（仅在首发确认主力未大轮换时）</x:v>
      </x:c>
      <x:c r="I2079" t="n">
        <x:v>46086.35466435185</x:v>
      </x:c>
      <x:c r="J2079" t="str">
        <x:v>已结算</x:v>
      </x:c>
      <x:c r="K2079" t="str">
        <x:v>3-1</x:v>
      </x:c>
      <x:c r="L2079" t="str">
        <x:v>赢</x:v>
      </x:c>
      <x:c r="M2079" t="str">
        <x:v>输</x:v>
      </x:c>
      <x:c r="N2079" t="n">
        <x:v>1</x:v>
      </x:c>
      <x:c r="O2079" t="n">
        <x:v>-1</x:v>
      </x:c>
      <x:c r="P2079" t="n">
        <x:f>IF(COUNT(N2079:O2079)=0,"",SUM(N2079:O2079))</x:f>
        <x:v>0</x:v>
      </x:c>
      <x:c r="Q2079"/>
      <x:c r="R2079" t="str">
        <x:v>赛果：普布埃拉 3-1 老虎大学；普布埃拉+0.5赢盘；总进球4，小2.5输</x:v>
      </x:c>
    </x:row>
    <x:row r="2080">
      <x:c r="A2080" t="str">
        <x:f>IF(B2080="","",TEXT(B2080,"yyyy-mm-dd")&amp;"|"&amp;D2080&amp;"|"&amp;E2080)</x:f>
        <x:v>2026-03-05|福塔雷绍查（Fortaleza CEIF）|科尔多巴老虎（Jaguares de Córdoba）</x:v>
      </x:c>
      <x:c r="B2080" s="39" t="n">
        <x:v>46086.375</x:v>
      </x:c>
      <x:c r="C2080" t="str">
        <x:v>哥伦比亚甲级联赛（Liga BetPlay DIMAYOR）</x:v>
      </x:c>
      <x:c r="D2080" t="str">
        <x:v>福塔雷绍查（Fortaleza CEIF）</x:v>
      </x:c>
      <x:c r="E2080" t="str">
        <x:v>科尔多巴老虎（Jaguares de Córdoba）</x:v>
      </x:c>
      <x:c r="F2080" t="str">
        <x:v>福塔雷绍查 -1.0（让一球）@1.80左右</x:v>
      </x:c>
      <x:c r="G2080" t="str">
        <x:v>大2.5 @2.06左右</x:v>
      </x:c>
      <x:c r="H2080" t="str">
        <x:v>稳健：福塔雷绍查 -0.75（半/一）若临场≥1.80再拿；对冲：科尔多巴老虎 +1.0 @1.88左右（更吃1球小负走水）</x:v>
      </x:c>
      <x:c r="I2080" t="n">
        <x:v>46086.34583333333</x:v>
      </x:c>
      <x:c r="J2080" t="str">
        <x:v>已结算</x:v>
      </x:c>
      <x:c r="K2080" t="str">
        <x:v>2-1</x:v>
      </x:c>
      <x:c r="L2080" t="str">
        <x:v>走水</x:v>
      </x:c>
      <x:c r="M2080" t="str">
        <x:v>赢</x:v>
      </x:c>
      <x:c r="N2080" t="n">
        <x:v>0</x:v>
      </x:c>
      <x:c r="O2080" t="n">
        <x:v>1</x:v>
      </x:c>
      <x:c r="P2080" t="n">
        <x:f>IF(COUNT(N2080:O2080)=0,"",SUM(N2080:O2080))</x:f>
        <x:v>1</x:v>
      </x:c>
      <x:c r="Q2080"/>
      <x:c r="R2080" t="str">
        <x:v>赛果：福塔雷绍查 2-1 科尔多巴老虎；福塔雷绍查-1走水；总进球3，大2.5赢</x:v>
      </x:c>
    </x:row>
    <x:row r="2081">
      <x:c r="A2081" t="str">
        <x:f>IF(B2081="","",TEXT(B2081,"yyyy-mm-dd")&amp;"|"&amp;D2081&amp;"|"&amp;E2081)</x:f>
        <x:v>2026-03-05|国民竞技（Atlético Nacional）|百万富翁（Millonarios）</x:v>
      </x:c>
      <x:c r="B2081" s="39" t="n">
        <x:v>46086.354166666664</x:v>
      </x:c>
      <x:c r="C2081" t="str">
        <x:v>南美杯（Copa Sudamericana）资格赛</x:v>
      </x:c>
      <x:c r="D2081" t="str">
        <x:v>国民竞技（Atlético Nacional）</x:v>
      </x:c>
      <x:c r="E2081" t="str">
        <x:v>百万富翁（Millonarios）</x:v>
      </x:c>
      <x:c r="F2081" t="str">
        <x:v>百万富翁 +1.0（受让一球）@2.10左右</x:v>
      </x:c>
      <x:c r="G2081" t="str">
        <x:v>小2.5 @1.80左右</x:v>
      </x:c>
      <x:c r="H2081" t="str">
        <x:v>稳健：百万富翁 +0.75（受让半/一）若≥1.80再拿；进取：90分钟平局 @3.60左右</x:v>
      </x:c>
      <x:c r="I2081" t="n">
        <x:v>46086.336689814816</x:v>
      </x:c>
      <x:c r="J2081" t="str">
        <x:v>已结算</x:v>
      </x:c>
      <x:c r="K2081" t="str">
        <x:v>1-3</x:v>
      </x:c>
      <x:c r="L2081" t="str">
        <x:v>赢</x:v>
      </x:c>
      <x:c r="M2081" t="str">
        <x:v>输</x:v>
      </x:c>
      <x:c r="N2081" t="n">
        <x:v>1</x:v>
      </x:c>
      <x:c r="O2081" t="n">
        <x:v>-1</x:v>
      </x:c>
      <x:c r="P2081" t="n">
        <x:f>IF(COUNT(N2081:O2081)=0,"",SUM(N2081:O2081))</x:f>
        <x:v>0</x:v>
      </x:c>
      <x:c r="Q2081"/>
      <x:c r="R2081" t="str">
        <x:v>赛果：国民竞技 1-3 百万富翁；百万富翁+1赢盘；总进球4，小2.5输</x:v>
      </x:c>
    </x:row>
    <x:row r="2082">
      <x:c r="A2082" t="str">
        <x:f>IF(B2082="","",TEXT(B2082,"yyyy-mm-dd")&amp;"|"&amp;D2082&amp;"|"&amp;E2082)</x:f>
        <x:v>2026-03-05|拉努斯（Lanús）|博卡青年（Boca Juniors）</x:v>
      </x:c>
      <x:c r="B2082" s="39" t="n">
        <x:v>46086.333333333336</x:v>
      </x:c>
      <x:c r="C2082" t="str">
        <x:v>阿根廷职业联赛（Liga Profesional·Apertura）</x:v>
      </x:c>
      <x:c r="D2082" t="str">
        <x:v>拉努斯（Lanús）</x:v>
      </x:c>
      <x:c r="E2082" t="str">
        <x:v>博卡青年（Boca Juniors）</x:v>
      </x:c>
      <x:c r="F2082" t="str">
        <x:v>拉努斯 0（平手盘/DNB）@1.84左右</x:v>
      </x:c>
      <x:c r="G2082" t="str">
        <x:v>大2.5 @2.70左右</x:v>
      </x:c>
      <x:c r="H2082" t="str">
        <x:v>进取：拉努斯 -0.25 @2.28左右；分散：双方进球-是（BTTS Yes）@2.10左右</x:v>
      </x:c>
      <x:c r="I2082" t="n">
        <x:v>46086.33284722222</x:v>
      </x:c>
      <x:c r="J2082" t="str">
        <x:v>已结算</x:v>
      </x:c>
      <x:c r="K2082" t="str">
        <x:v>0-3</x:v>
      </x:c>
      <x:c r="L2082" t="str">
        <x:v>输</x:v>
      </x:c>
      <x:c r="M2082" t="str">
        <x:v>赢</x:v>
      </x:c>
      <x:c r="N2082" t="n">
        <x:v>-1</x:v>
      </x:c>
      <x:c r="O2082" t="n">
        <x:v>1</x:v>
      </x:c>
      <x:c r="P2082" t="n">
        <x:f>IF(COUNT(N2082:O2082)=0,"",SUM(N2082:O2082))</x:f>
        <x:v>0</x:v>
      </x:c>
      <x:c r="Q2082"/>
      <x:c r="R2082" t="str">
        <x:v>赛果：拉努斯 0-3 博卡青年；拉努斯DNB(0)输；总进球3，大2.5赢</x:v>
      </x:c>
    </x:row>
    <x:row r="2083">
      <x:c r="A2083" t="str">
        <x:f>IF(B2083="","",TEXT(B2083,"yyyy-mm-dd")&amp;"|"&amp;D2083&amp;"|"&amp;E2083)</x:f>
        <x:v>2026-03-05|布莱顿（Brighton）|阿森纳（Arsenal）</x:v>
      </x:c>
      <x:c r="B2083" s="39" t="n">
        <x:v>46086.145833333336</x:v>
      </x:c>
      <x:c r="C2083" t="str">
        <x:v>英格兰超级联赛（Premier League）</x:v>
      </x:c>
      <x:c r="D2083" t="str">
        <x:v>布莱顿（Brighton）</x:v>
      </x:c>
      <x:c r="E2083" t="str">
        <x:v>阿森纳（Arsenal）</x:v>
      </x:c>
      <x:c r="F2083" t="str">
        <x:v>布莱顿 +0.75（受让半/一）@1.95左右</x:v>
      </x:c>
      <x:c r="G2083" t="str">
        <x:v>小2.5 @1.83左右</x:v>
      </x:c>
      <x:c r="H2083" t="str">
        <x:v>进取：布莱顿 +0.5 @2.15左右；替代小球：双方进球-否（BTTS No）@1.87左右</x:v>
      </x:c>
      <x:c r="I2083" t="n">
        <x:v>46086.14953703704</x:v>
      </x:c>
      <x:c r="J2083" t="str">
        <x:v>已结算</x:v>
      </x:c>
      <x:c r="K2083" t="str">
        <x:v>0-1</x:v>
      </x:c>
      <x:c r="L2083" t="str">
        <x:v>输半</x:v>
      </x:c>
      <x:c r="M2083" t="str">
        <x:v>赢</x:v>
      </x:c>
      <x:c r="N2083" t="n">
        <x:v>-0.5</x:v>
      </x:c>
      <x:c r="O2083" t="n">
        <x:v>1</x:v>
      </x:c>
      <x:c r="P2083" t="n">
        <x:f>IF(COUNT(N2083:O2083)=0,"",SUM(N2083:O2083))</x:f>
        <x:v>0.5</x:v>
      </x:c>
      <x:c r="Q2083"/>
      <x:c r="R2083" t="str">
        <x:v>赛果：布莱顿 0-1 阿森纳；布莱顿+0.75=输半；总进球1，小2.5赢</x:v>
      </x:c>
    </x:row>
    <x:row r="2084">
      <x:c r="A2084" t="str">
        <x:f>IF(B2084="","",TEXT(B2084,"yyyy-mm-dd")&amp;"|"&amp;D2084&amp;"|"&amp;E2084)</x:f>
        <x:v>2026-03-04|塞曼巴东（Semen Padang）|永亚卡达（PSIM Yogyakarta）</x:v>
      </x:c>
      <x:c r="B2084" s="39" t="n">
        <x:v>46085.916666666664</x:v>
      </x:c>
      <x:c r="C2084" t="str">
        <x:v>印度尼西亚超级联赛（印尼超/Liga 1 Indonesia）</x:v>
      </x:c>
      <x:c r="D2084" t="str">
        <x:v>塞曼巴东（Semen Padang）</x:v>
      </x:c>
      <x:c r="E2084" t="str">
        <x:v>永亚卡达（PSIM Yogyakarta）</x:v>
      </x:c>
      <x:c r="F2084" t="str">
        <x:v>永亚卡达 0（平手盘/DNB）@1.96（约0.96水）</x:v>
      </x:c>
      <x:c r="G2084" t="str">
        <x:v>小2.5 @1.91（约0.91水）</x:v>
      </x:c>
      <x:c r="H2084" t="str">
        <x:v>稳健：永亚卡达 +0.25（受让平/半）@1.80左右（若临场升盘）；进取：永亚卡达 -0.25 @2.05左右（仅在客队水位≥0.90时）</x:v>
      </x:c>
      <x:c r="I2084" t="n">
        <x:v>46085.86965277778</x:v>
      </x:c>
      <x:c r="J2084" t="str">
        <x:v>已结算</x:v>
      </x:c>
      <x:c r="K2084" t="str">
        <x:v>0-0</x:v>
      </x:c>
      <x:c r="L2084" t="str">
        <x:v>走水</x:v>
      </x:c>
      <x:c r="M2084" t="str">
        <x:v>赢</x:v>
      </x:c>
      <x:c r="N2084" t="n">
        <x:v>0</x:v>
      </x:c>
      <x:c r="O2084" t="n">
        <x:v>1</x:v>
      </x:c>
      <x:c r="P2084" t="n">
        <x:f>IF(COUNT(N2084:O2084)=0,"",SUM(N2084:O2084))</x:f>
        <x:v>1</x:v>
      </x:c>
      <x:c r="Q2084"/>
      <x:c r="R2084" t="str">
        <x:v>赛果：塞曼巴东 0-0 永亚卡达；永亚卡达DNB(0)走水；总进球0，小2.5赢</x:v>
      </x:c>
    </x:row>
    <x:row r="2085">
      <x:c r="A2085" t="str">
        <x:f>IF(B2085="","",TEXT(B2085,"yyyy-mm-dd")&amp;"|"&amp;D2085&amp;"|"&amp;E2085)</x:f>
        <x:v>2026-03-04|首尔FC|神户胜利船</x:v>
      </x:c>
      <x:c r="B2085" s="39" t="n">
        <x:v>46085.75</x:v>
      </x:c>
      <x:c r="C2085" t="str">
        <x:v>亚冠精英</x:v>
      </x:c>
      <x:c r="D2085" t="str">
        <x:v>首尔FC</x:v>
      </x:c>
      <x:c r="E2085" t="str">
        <x:v>神户胜利船</x:v>
      </x:c>
      <x:c r="F2085" t="str">
        <x:v>首尔FC +0.25（受让平/半）@1.84左右</x:v>
      </x:c>
      <x:c r="G2085" t="str">
        <x:v>小2.5 @1.88左右</x:v>
      </x:c>
      <x:c r="H2085" t="str">
        <x:v>进取：首尔FC 0（平手盘/DNB）@2.50左右；保守思路：若临场升到首尔+0.5且仍≥1.80，再转更稳盘</x:v>
      </x:c>
      <x:c r="I2085" t="n">
        <x:v>46085.769108796296</x:v>
      </x:c>
      <x:c r="J2085" t="str">
        <x:v>已结算</x:v>
      </x:c>
      <x:c r="K2085" t="str">
        <x:v>0-1</x:v>
      </x:c>
      <x:c r="L2085" t="str">
        <x:v>输</x:v>
      </x:c>
      <x:c r="M2085" t="str">
        <x:v>赢</x:v>
      </x:c>
      <x:c r="N2085" t="n">
        <x:v>-1</x:v>
      </x:c>
      <x:c r="O2085" t="n">
        <x:v>1</x:v>
      </x:c>
      <x:c r="P2085" t="n">
        <x:f>IF(COUNT(N2085:O2085)=0,"",SUM(N2085:O2085))</x:f>
        <x:v>0</x:v>
      </x:c>
      <x:c r="Q2085"/>
      <x:c r="R2085" t="str">
        <x:v>复核赛果：首尔FC 0-1 神户胜利船；按冻结盘口结算：首尔 +0.25 全输；小2.5 赢。</x:v>
      </x:c>
    </x:row>
    <x:row r="2086">
      <x:c r="A2086" t="str">
        <x:f>IF(B2086="","",TEXT(B2086,"yyyy-mm-dd")&amp;"|"&amp;D2086&amp;"|"&amp;E2086)</x:f>
        <x:v>2026-03-04|麦克阿瑟FC|中央海岸水手</x:v>
      </x:c>
      <x:c r="B2086" s="39" t="n">
        <x:v>46085.666666666664</x:v>
      </x:c>
      <x:c r="C2086" t="str">
        <x:v>澳大利亚A联赛（A-League Men）</x:v>
      </x:c>
      <x:c r="D2086" t="str">
        <x:v>麦克阿瑟FC</x:v>
      </x:c>
      <x:c r="E2086" t="str">
        <x:v>中央海岸水手</x:v>
      </x:c>
      <x:c r="F2086" t="str">
        <x:v>中央海岸水手 +0.75（受让半/一）@2.00左右</x:v>
      </x:c>
      <x:c r="G2086" t="str">
        <x:v>大3.0（3球走水）@1.96左右</x:v>
      </x:c>
      <x:c r="H2086" t="str">
        <x:v>稳健：中央海岸水手 +1.0（受让一球）@1.80左右；进取：大3.25 @2.10左右</x:v>
      </x:c>
      <x:c r="I2086" t="n">
        <x:v>46085.600023148145</x:v>
      </x:c>
      <x:c r="J2086" t="str">
        <x:v>已结算</x:v>
      </x:c>
      <x:c r="K2086" t="str">
        <x:v>1-3</x:v>
      </x:c>
      <x:c r="L2086" t="str">
        <x:v>赢</x:v>
      </x:c>
      <x:c r="M2086" t="str">
        <x:v>赢</x:v>
      </x:c>
      <x:c r="N2086" t="n">
        <x:v>1</x:v>
      </x:c>
      <x:c r="O2086" t="n">
        <x:v>1</x:v>
      </x:c>
      <x:c r="P2086" t="n">
        <x:f>IF(COUNT(N2086:O2086)=0,"",SUM(N2086:O2086))</x:f>
        <x:v>2</x:v>
      </x:c>
      <x:c r="Q2086"/>
      <x:c r="R2086" t="str">
        <x:v>复核赛果：麦克阿瑟FC 1-3 中央海岸水手；按冻结盘口结算：中央海岸水手 -0.75 赢；大3.0 赢。</x:v>
      </x:c>
    </x:row>
    <x:row r="2087">
      <x:c r="A2087" t="str">
        <x:f>IF(B2087="","",TEXT(B2087,"yyyy-mm-dd")&amp;"|"&amp;D2087&amp;"|"&amp;E2087)</x:f>
        <x:v>2026-03-04|美洲狮（Pumas UNAM）|托卢卡（Toluca）</x:v>
      </x:c>
      <x:c r="B2087" s="39" t="n">
        <x:v>46085.458333333336</x:v>
      </x:c>
      <x:c r="C2087" t="str">
        <x:v>墨西哥超（Liga MX，Clausura）</x:v>
      </x:c>
      <x:c r="D2087" t="str">
        <x:v>美洲狮（Pumas UNAM）</x:v>
      </x:c>
      <x:c r="E2087" t="str">
        <x:v>托卢卡（Toluca）</x:v>
      </x:c>
      <x:c r="F2087" t="str">
        <x:v>美洲狮 +0.5（1/2:0）@1.875</x:v>
      </x:c>
      <x:c r="G2087" t="str">
        <x:v>小2.75（2 3/4）@1.90</x:v>
      </x:c>
      <x:c r="H2087" t="str">
        <x:v>若临场降到2.5且小球水位≥0.85，可加仓小2.5；若让球退到+0.25且水位≥0.85，可分注“美洲狮 +0.25”</x:v>
      </x:c>
      <x:c r="I2087" t="n">
        <x:v>46085.45599537037</x:v>
      </x:c>
      <x:c r="J2087" t="str">
        <x:v>已结算</x:v>
      </x:c>
      <x:c r="K2087" t="str">
        <x:v>2-3</x:v>
      </x:c>
      <x:c r="L2087" t="str">
        <x:v>输</x:v>
      </x:c>
      <x:c r="M2087" t="str">
        <x:v>输</x:v>
      </x:c>
      <x:c r="N2087" t="n">
        <x:v>-1</x:v>
      </x:c>
      <x:c r="O2087" t="n">
        <x:v>-1</x:v>
      </x:c>
      <x:c r="P2087" t="n">
        <x:f>IF(COUNT(N2087:O2087)=0,"",SUM(N2087:O2087))</x:f>
        <x:v>-2</x:v>
      </x:c>
      <x:c r="Q2087"/>
      <x:c r="R2087" t="str">
        <x:v>FT 美洲狮 2-3 托卢卡；美洲狮+0.5输；小2.75总进5输</x:v>
      </x:c>
    </x:row>
    <x:row r="2088">
      <x:c r="A2088" t="str">
        <x:f>IF(B2088="","",TEXT(B2088,"yyyy-mm-dd")&amp;"|"&amp;D2088&amp;"|"&amp;E2088)</x:f>
        <x:v>2026-03-04|圣路易斯竞技（Atl. San Luis）|马萨特兰（Mazatlán）</x:v>
      </x:c>
      <x:c r="B2088" s="39" t="n">
        <x:v>46085.458333333336</x:v>
      </x:c>
      <x:c r="C2088" t="str">
        <x:v>墨西哥超（Liga MX，Clausura）</x:v>
      </x:c>
      <x:c r="D2088" t="str">
        <x:v>圣路易斯竞技（Atl. San Luis）</x:v>
      </x:c>
      <x:c r="E2088" t="str">
        <x:v>马萨特兰（Mazatlán）</x:v>
      </x:c>
      <x:c r="F2088" t="str">
        <x:v>圣路易斯竞技 -0.75（0:3/4）@1.80</x:v>
      </x:c>
      <x:c r="G2088" t="str">
        <x:v>大2.75（2 3/4）@1.975</x:v>
      </x:c>
      <x:c r="H2088" t="str">
        <x:v>若临场升盘到-1且主队水位≥0.85，放弃追深盘；改用“圣路易斯竞技 -0.5”做稳健串关/分注</x:v>
      </x:c>
      <x:c r="I2088" t="n">
        <x:v>46085.455879629626</x:v>
      </x:c>
      <x:c r="J2088" t="str">
        <x:v>已结算</x:v>
      </x:c>
      <x:c r="K2088" t="str">
        <x:v>4-1</x:v>
      </x:c>
      <x:c r="L2088" t="str">
        <x:v>赢</x:v>
      </x:c>
      <x:c r="M2088" t="str">
        <x:v>赢</x:v>
      </x:c>
      <x:c r="N2088" t="n">
        <x:v>1</x:v>
      </x:c>
      <x:c r="O2088" t="n">
        <x:v>1</x:v>
      </x:c>
      <x:c r="P2088" t="n">
        <x:f>IF(COUNT(N2088:O2088)=0,"",SUM(N2088:O2088))</x:f>
        <x:v>2</x:v>
      </x:c>
      <x:c r="Q2088"/>
      <x:c r="R2088" t="str">
        <x:v>FT 圣路易斯竞技 4-1 马萨特兰；-0.75穿盘；大2.75命中</x:v>
      </x:c>
    </x:row>
    <x:row r="2089">
      <x:c r="A2089" t="str">
        <x:f>IF(B2089="","",TEXT(B2089,"yyyy-mm-dd")&amp;"|"&amp;D2089&amp;"|"&amp;E2089)</x:f>
        <x:v>2026-03-04|桑托斯拉古纳|蓝十字</x:v>
      </x:c>
      <x:c r="B2089" s="39" t="n">
        <x:v>46085.375</x:v>
      </x:c>
      <x:c r="C2089" t="str">
        <x:v>墨西哥超（Liga MX，Clausura）</x:v>
      </x:c>
      <x:c r="D2089" t="str">
        <x:v>桑托斯拉古纳</x:v>
      </x:c>
      <x:c r="E2089" t="str">
        <x:v>蓝十字</x:v>
      </x:c>
      <x:c r="F2089" t="str">
        <x:v>桑托斯拉古纳 +1.25（受让一球/球半） @0.85左右</x:v>
      </x:c>
      <x:c r="G2089" t="str">
        <x:v>小3.0（3球走水） @0.97左右</x:v>
      </x:c>
      <x:c r="H2089" t="str">
        <x:v>若临场蓝十字继续走热且你想追强：蓝十字 -1.25 @1.05左右（波动大）；更稳替代：桑托斯拉古纳 +1.0 @0.83左右</x:v>
      </x:c>
      <x:c r="I2089" t="n">
        <x:v>46085.35890046296</x:v>
      </x:c>
      <x:c r="J2089" t="str">
        <x:v>已结算</x:v>
      </x:c>
      <x:c r="K2089" t="str">
        <x:v>1-2</x:v>
      </x:c>
      <x:c r="L2089" t="str">
        <x:v>赢半</x:v>
      </x:c>
      <x:c r="M2089" t="str">
        <x:v>走水</x:v>
      </x:c>
      <x:c r="N2089" t="n">
        <x:v>0.5</x:v>
      </x:c>
      <x:c r="O2089" t="n">
        <x:v>0</x:v>
      </x:c>
      <x:c r="P2089" t="n">
        <x:f>IF(COUNT(N2089:O2089)=0,"",SUM(N2089:O2089))</x:f>
        <x:v>0.5</x:v>
      </x:c>
      <x:c r="Q2089"/>
      <x:c r="R2089" t="str">
        <x:v>复核赛果：桑托斯拉古纳 1-2 蓝十字；按冻结盘口结算：桑托斯拉古纳 +1.25 赢半；小3.0 走水。</x:v>
      </x:c>
    </x:row>
    <x:row r="2090">
      <x:c r="A2090" t="str">
        <x:f>IF(B2090="","",TEXT(B2090,"yyyy-mm-dd")&amp;"|"&amp;D2090&amp;"|"&amp;E2090)</x:f>
        <x:v>2026-03-04|帕丘卡|内卡萨</x:v>
      </x:c>
      <x:c r="B2090" s="39" t="n">
        <x:v>46085.375</x:v>
      </x:c>
      <x:c r="C2090" t="str">
        <x:v>墨西哥超（Liga MX，Clausura）</x:v>
      </x:c>
      <x:c r="D2090" t="str">
        <x:v>帕丘卡</x:v>
      </x:c>
      <x:c r="E2090" t="str">
        <x:v>内卡萨</x:v>
      </x:c>
      <x:c r="F2090" t="str">
        <x:v>帕丘卡 -0.5（半球） @0.86~0.95</x:v>
      </x:c>
      <x:c r="G2090" t="str">
        <x:v>大2.5 @0.88~0.95</x:v>
      </x:c>
      <x:c r="H2090" t="str">
        <x:v>稳健：帕丘卡 -0.25 @0.80~0.88；激进：帕丘卡 -0.75（若临场升盘且≥0.85）</x:v>
      </x:c>
      <x:c r="I2090" t="n">
        <x:v>46085.34116898148</x:v>
      </x:c>
      <x:c r="J2090" t="str">
        <x:v>已结算</x:v>
      </x:c>
      <x:c r="K2090" t="str">
        <x:v>2-1</x:v>
      </x:c>
      <x:c r="L2090" t="str">
        <x:v>赢</x:v>
      </x:c>
      <x:c r="M2090" t="str">
        <x:v>赢</x:v>
      </x:c>
      <x:c r="N2090" t="n">
        <x:v>1</x:v>
      </x:c>
      <x:c r="O2090" t="n">
        <x:v>1</x:v>
      </x:c>
      <x:c r="P2090" t="n">
        <x:f>IF(COUNT(N2090:O2090)=0,"",SUM(N2090:O2090))</x:f>
        <x:v>2</x:v>
      </x:c>
      <x:c r="Q2090"/>
      <x:c r="R2090" t="str">
        <x:v>复核赛果：帕丘卡 2-1 内卡萨；按冻结盘口结算：帕丘卡 -0.5 命中；大2.5 命中。</x:v>
      </x:c>
    </x:row>
    <x:row r="2091">
      <x:c r="A2091" t="str">
        <x:f>IF(B2091="","",TEXT(B2091,"yyyy-mm-dd")&amp;"|"&amp;D2091&amp;"|"&amp;E2091)</x:f>
        <x:v>2026-03-04|图库曼竞技（Atlético Tucumán）|竞技队（Racing Club）</x:v>
      </x:c>
      <x:c r="B2091" s="39" t="n">
        <x:v>46085.34375</x:v>
      </x:c>
      <x:c r="C2091" t="str">
        <x:v>阿根廷职业联赛（Liga Profesional·Apertura）</x:v>
      </x:c>
      <x:c r="D2091" t="str">
        <x:v>图库曼竞技（Atlético Tucumán）</x:v>
      </x:c>
      <x:c r="E2091" t="str">
        <x:v>竞技队（Racing Club）</x:v>
      </x:c>
      <x:c r="F2091" t="str">
        <x:v>图库曼竞技 0（平手盘/DNB）@2.05左右</x:v>
      </x:c>
      <x:c r="G2091" t="str">
        <x:v>小1.5 @2.45左右</x:v>
      </x:c>
      <x:c r="H2091" t="str">
        <x:v>小注：平局（1X2）@2.90左右；或对冲：竞技队 -0.5 @2.40左右</x:v>
      </x:c>
      <x:c r="I2091" t="n">
        <x:v>46085.34792824074</x:v>
      </x:c>
      <x:c r="J2091" t="str">
        <x:v>已结算</x:v>
      </x:c>
      <x:c r="K2091" t="str">
        <x:v>0-3</x:v>
      </x:c>
      <x:c r="L2091" t="str">
        <x:v>输</x:v>
      </x:c>
      <x:c r="M2091" t="str">
        <x:v>输</x:v>
      </x:c>
      <x:c r="N2091" t="n">
        <x:v>-1</x:v>
      </x:c>
      <x:c r="O2091" t="n">
        <x:v>-1</x:v>
      </x:c>
      <x:c r="P2091" t="n">
        <x:f>IF(COUNT(N2091:O2091)=0,"",SUM(N2091:O2091))</x:f>
        <x:v>-2</x:v>
      </x:c>
      <x:c r="Q2091"/>
      <x:c r="R2091" t="str">
        <x:v>FT 图库曼竞技 0-3 竞技队；平手盘主队DNB输；小1.5输</x:v>
      </x:c>
    </x:row>
    <x:row r="2092">
      <x:c r="A2092" t="str">
        <x:f>IF(B2092="","",TEXT(B2092,"yyyy-mm-dd")&amp;"|"&amp;D2092&amp;"|"&amp;E2092)</x:f>
        <x:v>2026-03-04|飓风（CA Huracán）|贝尔格拉诺（Belgrano）</x:v>
      </x:c>
      <x:c r="B2092" s="39" t="n">
        <x:v>46085.260416666664</x:v>
      </x:c>
      <x:c r="C2092" t="str">
        <x:v>阿根廷职业联赛（Liga Profesional·Apertura）</x:v>
      </x:c>
      <x:c r="D2092" t="str">
        <x:v>飓风（CA Huracán）</x:v>
      </x:c>
      <x:c r="E2092" t="str">
        <x:v>贝尔格拉诺（Belgrano）</x:v>
      </x:c>
      <x:c r="F2092" t="str">
        <x:v>贝尔格拉诺 0（平手盘/DNB）@1.83左右</x:v>
      </x:c>
      <x:c r="G2092" t="str">
        <x:v>小1.5 @2.05左右</x:v>
      </x:c>
      <x:c r="H2092" t="str">
        <x:v>小注：贝尔格拉诺 胜（1X2）@2.95左右；对冲：平局 @2.70左右</x:v>
      </x:c>
      <x:c r="I2092" t="n">
        <x:v>46085.23342592592</x:v>
      </x:c>
      <x:c r="J2092" t="str">
        <x:v>已结算</x:v>
      </x:c>
      <x:c r="K2092" t="str">
        <x:v>3-1</x:v>
      </x:c>
      <x:c r="L2092" t="str">
        <x:v>输</x:v>
      </x:c>
      <x:c r="M2092" t="str">
        <x:v>输</x:v>
      </x:c>
      <x:c r="N2092" t="n">
        <x:v>-1</x:v>
      </x:c>
      <x:c r="O2092" t="n">
        <x:v>-1</x:v>
      </x:c>
      <x:c r="P2092" t="n">
        <x:f>IF(COUNT(N2092:O2092)=0,"",SUM(N2092:O2092))</x:f>
        <x:v>-2</x:v>
      </x:c>
      <x:c r="Q2092"/>
      <x:c r="R2092" t="str">
        <x:v>赛果更正：飓风 3-1 贝尔格拉诺；贝尔格拉诺 0(DNB)=输；小1.5=输</x:v>
      </x:c>
    </x:row>
    <x:row r="2093">
      <x:c r="A2093" t="str">
        <x:f>IF(B2093="","",TEXT(B2093,"yyyy-mm-dd")&amp;"|"&amp;D2093&amp;"|"&amp;E2093)</x:f>
        <x:v>2026-03-04|萨尔米安杜（胡宁）（Sarmiento Junín）|里奥夸尔托学生（Estudiantes de Río Cuarto）</x:v>
      </x:c>
      <x:c r="B2093" s="39" t="n">
        <x:v>46085.25</x:v>
      </x:c>
      <x:c r="C2093" t="str">
        <x:v>阿根廷职业联赛（Liga Profesional·Apertura）</x:v>
      </x:c>
      <x:c r="D2093" t="str">
        <x:v>萨尔米安杜（胡宁）（Sarmiento Junín）</x:v>
      </x:c>
      <x:c r="E2093" t="str">
        <x:v>里奥夸尔托学生（Estudiantes de Río Cuarto）</x:v>
      </x:c>
      <x:c r="F2093" t="str">
        <x:v>里奥夸尔托学生 +0.5（受让半球）@2.02左右</x:v>
      </x:c>
      <x:c r="G2093" t="str">
        <x:v>小2.0（2球走水）@1.95左右</x:v>
      </x:c>
      <x:c r="H2093" t="str">
        <x:v>小注：平局（1X2）@3.40左右；分层更稳：里奥夸尔托学生 +0.75（若临场能给到≥1.85再考虑）</x:v>
      </x:c>
      <x:c r="I2093" t="n">
        <x:v>46085.22928240741</x:v>
      </x:c>
      <x:c r="J2093" t="str">
        <x:v>已结算</x:v>
      </x:c>
      <x:c r="K2093" t="str">
        <x:v>1-0</x:v>
      </x:c>
      <x:c r="L2093" t="str">
        <x:v>输</x:v>
      </x:c>
      <x:c r="M2093" t="str">
        <x:v>赢</x:v>
      </x:c>
      <x:c r="N2093" t="n">
        <x:v>-1</x:v>
      </x:c>
      <x:c r="O2093" t="n">
        <x:v>1</x:v>
      </x:c>
      <x:c r="P2093" t="n">
        <x:f>IF(COUNT(N2093:O2093)=0,"",SUM(N2093:O2093))</x:f>
        <x:v>0</x:v>
      </x:c>
      <x:c r="Q2093"/>
      <x:c r="R2093" t="str">
        <x:v>赛果：萨尔米安杜 1-0 里奥夸尔托学生；里奥夸尔托学生 +0.5=输；小2.0=赢</x:v>
      </x:c>
    </x:row>
    <x:row r="2094">
      <x:c r="A2094" t="str">
        <x:f>IF(B2094="","",TEXT(B2094,"yyyy-mm-dd")&amp;"|"&amp;D2094&amp;"|"&amp;E2094)</x:f>
        <x:v>2026-03-04|狼队（伍尔弗汉普顿流浪者/Wolverhampton）|利物浦（Liverpool）</x:v>
      </x:c>
      <x:c r="B2094" s="39" t="n">
        <x:v>46085.177083333336</x:v>
      </x:c>
      <x:c r="C2094" t="str">
        <x:v>英格兰超级联赛（Premier League）</x:v>
      </x:c>
      <x:c r="D2094" t="str">
        <x:v>狼队（伍尔弗汉普顿流浪者/Wolverhampton）</x:v>
      </x:c>
      <x:c r="E2094" t="str">
        <x:v>利物浦（Liverpool）</x:v>
      </x:c>
      <x:c r="F2094" t="str">
        <x:v>狼队 +1.25（受让一球/球半）@1.90左右</x:v>
      </x:c>
      <x:c r="G2094" t="str">
        <x:v>小2.5 @2.37左右</x:v>
      </x:c>
      <x:c r="H2094" t="str">
        <x:v>可选：双方进球 否 @2.00~2.08；小注：平局 @4.6~5.0</x:v>
      </x:c>
      <x:c r="I2094" t="n">
        <x:v>46085.17042824074</x:v>
      </x:c>
      <x:c r="J2094" t="str">
        <x:v>已结算</x:v>
      </x:c>
      <x:c r="K2094" t="str">
        <x:v>2-1</x:v>
      </x:c>
      <x:c r="L2094" t="str">
        <x:v>赢</x:v>
      </x:c>
      <x:c r="M2094" t="str">
        <x:v>输</x:v>
      </x:c>
      <x:c r="N2094" t="n">
        <x:v>1</x:v>
      </x:c>
      <x:c r="O2094" t="n">
        <x:v>-1</x:v>
      </x:c>
      <x:c r="P2094" t="n">
        <x:f>IF(COUNT(N2094:O2094)=0,"",SUM(N2094:O2094))</x:f>
        <x:v>0</x:v>
      </x:c>
      <x:c r="Q2094"/>
      <x:c r="R2094" t="str">
        <x:v>赛果：狼队 2-1 利物浦；狼队 +1.25=赢；小2.5=输</x:v>
      </x:c>
    </x:row>
    <x:row r="2095">
      <x:c r="A2095" t="str">
        <x:f>IF(B2095="","",TEXT(B2095,"yyyy-mm-dd")&amp;"|"&amp;D2095&amp;"|"&amp;E2095)</x:f>
        <x:v>2026-03-04|伊普斯维奇（Ipswich Town）|赫尔城（Hull City）</x:v>
      </x:c>
      <x:c r="B2095" s="39" t="n">
        <x:v>46085.15625</x:v>
      </x:c>
      <x:c r="C2095" t="str">
        <x:v>英格兰冠军联赛（英冠）</x:v>
      </x:c>
      <x:c r="D2095" t="str">
        <x:v>伊普斯维奇（Ipswich Town）</x:v>
      </x:c>
      <x:c r="E2095" t="str">
        <x:v>赫尔城（Hull City）</x:v>
      </x:c>
      <x:c r="F2095" t="str">
        <x:v>赫尔城 +1.0（受让一球）@2.05左右</x:v>
      </x:c>
      <x:c r="G2095" t="str">
        <x:v>小2.75（2.5/3.0）@1.89左右</x:v>
      </x:c>
      <x:c r="H2095" t="str">
        <x:v>进阶分层：赫尔城 +1.25（若临场≥1.85再上）；替代思路：双方进球 否 @1.91左右</x:v>
      </x:c>
      <x:c r="I2095" t="n">
        <x:v>46084.98538194445</x:v>
      </x:c>
      <x:c r="J2095" t="str">
        <x:v>已结算</x:v>
      </x:c>
      <x:c r="K2095" t="str">
        <x:v>1-0</x:v>
      </x:c>
      <x:c r="L2095" t="str">
        <x:v>走水</x:v>
      </x:c>
      <x:c r="M2095" t="str">
        <x:v>赢</x:v>
      </x:c>
      <x:c r="N2095" t="n">
        <x:v>0</x:v>
      </x:c>
      <x:c r="O2095" t="n">
        <x:v>1</x:v>
      </x:c>
      <x:c r="P2095" t="n">
        <x:f>IF(COUNT(N2095:O2095)=0,"",SUM(N2095:O2095))</x:f>
        <x:v>1</x:v>
      </x:c>
      <x:c r="Q2095"/>
      <x:c r="R2095" t="str">
        <x:v>赛果：伊普斯维奇 1-0 赫尔城；赫尔 +1.0=赢（走水按赢记也可，你需要我改成走水我也能回填）；小2.75=赢</x:v>
      </x:c>
    </x:row>
    <x:row r="2096">
      <x:c r="A2096" t="str">
        <x:f>IF(B2096="","",TEXT(B2096,"yyyy-mm-dd")&amp;"|"&amp;D2096&amp;"|"&amp;E2096)</x:f>
        <x:v>2026-03-04|利兹联（Leeds United）|桑德兰（Sunderland）</x:v>
      </x:c>
      <x:c r="B2096" s="39" t="n">
        <x:v>46085.145833333336</x:v>
      </x:c>
      <x:c r="C2096" t="str">
        <x:v>英格兰超级联赛（Premier League）</x:v>
      </x:c>
      <x:c r="D2096" t="str">
        <x:v>利兹联（Leeds United）</x:v>
      </x:c>
      <x:c r="E2096" t="str">
        <x:v>桑德兰（Sunderland）</x:v>
      </x:c>
      <x:c r="F2096" t="str">
        <x:v>利兹联 -0.5（主让半球）@1.90左右</x:v>
      </x:c>
      <x:c r="G2096" t="str">
        <x:v>小2.5 @1.81左右</x:v>
      </x:c>
      <x:c r="H2096" t="str">
        <x:v>备选更稳：利兹联 -0.25 @1.72~1.75（若临场能抬到≥1.80再用）；或防守向替代：双方进球 否 @1.87左右；进阶反向高回报：大2.5 @2.10~2.20小注</x:v>
      </x:c>
      <x:c r="I2096" t="n">
        <x:v>46085.00267361111</x:v>
      </x:c>
      <x:c r="J2096" t="str">
        <x:v>已结算</x:v>
      </x:c>
      <x:c r="K2096" t="str">
        <x:v>0-1</x:v>
      </x:c>
      <x:c r="L2096" t="str">
        <x:v>输</x:v>
      </x:c>
      <x:c r="M2096" t="str">
        <x:v>赢</x:v>
      </x:c>
      <x:c r="N2096" t="n">
        <x:v>-1</x:v>
      </x:c>
      <x:c r="O2096" t="n">
        <x:v>1</x:v>
      </x:c>
      <x:c r="P2096" t="n">
        <x:f>IF(COUNT(N2096:O2096)=0,"",SUM(N2096:O2096))</x:f>
        <x:v>0</x:v>
      </x:c>
      <x:c r="Q2096"/>
      <x:c r="R2096" t="str">
        <x:v>赛果：利兹联 0-1 桑德兰；利兹 -0.5=输；小2.5=赢</x:v>
      </x:c>
    </x:row>
    <x:row r="2097">
      <x:c r="A2097" t="str">
        <x:f>IF(B2097="","",TEXT(B2097,"yyyy-mm-dd")&amp;"|"&amp;D2097&amp;"|"&amp;E2097)</x:f>
        <x:v>2026-03-04|埃弗顿（Everton）|伯恩利（Burnley）</x:v>
      </x:c>
      <x:c r="B2097" s="39" t="n">
        <x:v>46085.145833333336</x:v>
      </x:c>
      <x:c r="C2097" t="str">
        <x:v>英格兰超级联赛（Premier League）</x:v>
      </x:c>
      <x:c r="D2097" t="str">
        <x:v>埃弗顿（Everton）</x:v>
      </x:c>
      <x:c r="E2097" t="str">
        <x:v>伯恩利（Burnley）</x:v>
      </x:c>
      <x:c r="F2097" t="str">
        <x:v>伯恩利 +1.0（受让一球）@1.80左右</x:v>
      </x:c>
      <x:c r="G2097" t="str">
        <x:v>小2.5 @1.80左右</x:v>
      </x:c>
      <x:c r="H2097" t="str">
        <x:v>进阶分层：伯恩利 +0.75 @2.02左右（若临场仍≥1.95再上）；或上半场 伯恩利 +0.25 @2.00左右；小注：平局 @3.50左右</x:v>
      </x:c>
      <x:c r="I2097" t="n">
        <x:v>46084.99140046296</x:v>
      </x:c>
      <x:c r="J2097" t="str">
        <x:v>已结算</x:v>
      </x:c>
      <x:c r="K2097" t="str">
        <x:v>2-0</x:v>
      </x:c>
      <x:c r="L2097" t="str">
        <x:v>输</x:v>
      </x:c>
      <x:c r="M2097" t="str">
        <x:v>赢</x:v>
      </x:c>
      <x:c r="N2097" t="n">
        <x:v>-1</x:v>
      </x:c>
      <x:c r="O2097" t="n">
        <x:v>1</x:v>
      </x:c>
      <x:c r="P2097" t="n">
        <x:f>IF(COUNT(N2097:O2097)=0,"",SUM(N2097:O2097))</x:f>
        <x:v>0</x:v>
      </x:c>
      <x:c r="Q2097"/>
      <x:c r="R2097" t="str">
        <x:v>赛果：埃弗顿 2-0 伯恩利；伯恩利 +1.0=输；小2.5=赢</x:v>
      </x:c>
    </x:row>
    <x:row r="2098">
      <x:c r="A2098" t="str">
        <x:f>IF(B2098="","",TEXT(B2098,"yyyy-mm-dd")&amp;"|"&amp;D2098&amp;"|"&amp;E2098)</x:f>
        <x:v>2026-03-04|伯恩茅斯（AFC Bournemouth）|布伦特福德（Brentford）</x:v>
      </x:c>
      <x:c r="B2098" s="39" t="n">
        <x:v>46085.145833333336</x:v>
      </x:c>
      <x:c r="C2098" t="str">
        <x:v>英格兰超级联赛（Premier League）</x:v>
      </x:c>
      <x:c r="D2098" t="str">
        <x:v>伯恩茅斯（AFC Bournemouth）</x:v>
      </x:c>
      <x:c r="E2098" t="str">
        <x:v>布伦特福德（Brentford）</x:v>
      </x:c>
      <x:c r="F2098" t="str">
        <x:v>布伦特福德 0（平手盘/DNB）@1.87左右</x:v>
      </x:c>
      <x:c r="G2098" t="str">
        <x:v>小2.75（2.5/3.0）@2.05左右</x:v>
      </x:c>
      <x:c r="H2098" t="str">
        <x:v>进阶：布伦特福德 胜（1X2）@2.65~2.75小注；或更保守：布伦特福德 +0.25（若临场≥1.80再上）</x:v>
      </x:c>
      <x:c r="I2098" t="n">
        <x:v>46084.98850694444</x:v>
      </x:c>
      <x:c r="J2098" t="str">
        <x:v>已结算</x:v>
      </x:c>
      <x:c r="K2098" t="str">
        <x:v>0-0</x:v>
      </x:c>
      <x:c r="L2098" t="str">
        <x:v>走水</x:v>
      </x:c>
      <x:c r="M2098" t="str">
        <x:v>赢</x:v>
      </x:c>
      <x:c r="N2098" t="n">
        <x:v>0</x:v>
      </x:c>
      <x:c r="O2098" t="n">
        <x:v>1</x:v>
      </x:c>
      <x:c r="P2098" t="n">
        <x:f>IF(COUNT(N2098:O2098)=0,"",SUM(N2098:O2098))</x:f>
        <x:v>1</x:v>
      </x:c>
      <x:c r="Q2098"/>
      <x:c r="R2098" t="str">
        <x:v>赛果：伯恩茅斯 0-0 布伦特福德；布伦特福德 0(DNB)=走水；小2.75=赢</x:v>
      </x:c>
    </x:row>
    <x:row r="2099">
      <x:c r="A2099" t="str">
        <x:f>IF(B2099="","",TEXT(B2099,"yyyy-mm-dd")&amp;"|"&amp;D2099&amp;"|"&amp;E2099)</x:f>
        <x:v>2026-03-03|马都拉联（Madura United）|马鲁特联（Malut United）</x:v>
      </x:c>
      <x:c r="B2099" s="39" t="n">
        <x:v>46084.895833333336</x:v>
      </x:c>
      <x:c r="C2099" t="str">
        <x:v>印度尼西亚超级联赛（印尼超/Liga 1 Indonesia）</x:v>
      </x:c>
      <x:c r="D2099" t="str">
        <x:v>马都拉联（Madura United）</x:v>
      </x:c>
      <x:c r="E2099" t="str">
        <x:v>马鲁特联（Malut United）</x:v>
      </x:c>
      <x:c r="F2099" t="str">
        <x:v>马都拉联 +0.25（受让平/半）@2.03左右（≈港赔1.03）</x:v>
      </x:c>
      <x:c r="G2099" t="str">
        <x:v>小2.5 @1.86左右</x:v>
      </x:c>
      <x:c r="H2099" t="str">
        <x:v>小注：平局 @3.00左右；或更稳分层：马都拉联 +0.5（若临场≥1.80）</x:v>
      </x:c>
      <x:c r="I2099" t="n">
        <x:v>46084.84402777778</x:v>
      </x:c>
      <x:c r="J2099" t="str">
        <x:v>已结算</x:v>
      </x:c>
      <x:c r="K2099" t="str">
        <x:v>1-2</x:v>
      </x:c>
      <x:c r="L2099" t="str">
        <x:v>输</x:v>
      </x:c>
      <x:c r="M2099" t="str">
        <x:v>输</x:v>
      </x:c>
      <x:c r="N2099" t="n">
        <x:v>-1</x:v>
      </x:c>
      <x:c r="O2099" t="n">
        <x:v>-1</x:v>
      </x:c>
      <x:c r="P2099" t="n">
        <x:f>IF(COUNT(N2099:O2099)=0,"",SUM(N2099:O2099))</x:f>
        <x:v>-2</x:v>
      </x:c>
      <x:c r="Q2099"/>
      <x:c r="R2099" t="str">
        <x:v>赛果：马都拉联 1-2 马鲁特联；马都拉 +0.25=输；小2.5=输</x:v>
      </x:c>
    </x:row>
    <x:row r="2100">
      <x:c r="A2100" t="str">
        <x:f>IF(B2100="","",TEXT(B2100,"yyyy-mm-dd")&amp;"|"&amp;D2100&amp;"|"&amp;E2100)</x:f>
        <x:v>2026-03-03|佩西加雅加达（Persija Jakarta）|婆罗洲FC三马林达（Borneo FC Samarinda）</x:v>
      </x:c>
      <x:c r="B2100" s="39" t="n">
        <x:v>46084.895833333336</x:v>
      </x:c>
      <x:c r="C2100" t="str">
        <x:v>印度尼西亚超级联赛（印尼超/Liga 1 Indonesia）</x:v>
      </x:c>
      <x:c r="D2100" t="str">
        <x:v>佩西加雅加达（Persija Jakarta）</x:v>
      </x:c>
      <x:c r="E2100" t="str">
        <x:v>婆罗洲FC三马林达（Borneo FC Samarinda）</x:v>
      </x:c>
      <x:c r="F2100" t="str">
        <x:v>婆罗洲FC三马林达 +1.0（受让一球）@1.90左右</x:v>
      </x:c>
      <x:c r="G2100" t="str">
        <x:v>大2.5 @1.87左右</x:v>
      </x:c>
      <x:c r="H2100" t="str">
        <x:v>保守替代：婆罗洲FC三马林达 +1.25（若临场≥1.85再上）；小注博平局 @3.8~3.9左右</x:v>
      </x:c>
      <x:c r="I2100" t="n">
        <x:v>46084.83660879629</x:v>
      </x:c>
      <x:c r="J2100" t="str">
        <x:v>已结算</x:v>
      </x:c>
      <x:c r="K2100" t="str">
        <x:v>2-2</x:v>
      </x:c>
      <x:c r="L2100" t="str">
        <x:v>赢</x:v>
      </x:c>
      <x:c r="M2100" t="str">
        <x:v>赢</x:v>
      </x:c>
      <x:c r="N2100" t="n">
        <x:v>1</x:v>
      </x:c>
      <x:c r="O2100" t="n">
        <x:v>1</x:v>
      </x:c>
      <x:c r="P2100" t="n">
        <x:f>IF(COUNT(N2100:O2100)=0,"",SUM(N2100:O2100))</x:f>
        <x:v>2</x:v>
      </x:c>
      <x:c r="Q2100" t="str">
        <x:v>SofaScore</x:v>
      </x:c>
      <x:c r="R2100" t="str">
        <x:v>校正赛果：佩西加雅加达（Persija Jakarta） 2-2 婆罗洲FC三马林达（Borneo FC Samarinda）；让球：婆罗洲FC三马林达 +1.0 -&gt; 赢（1）；大小：大2.5 -&gt; 赢（1）；来源：SofaScore。</x:v>
      </x:c>
    </x:row>
    <x:row r="2101">
      <x:c r="A2101" t="str">
        <x:f>IF(B2101="","",TEXT(B2101,"yyyy-mm-dd")&amp;"|"&amp;D2101&amp;"|"&amp;E2101)</x:f>
        <x:v>2026-03-03|江原FC（Gangwon FC）|町田泽维亚（FC Machida Zelvia）</x:v>
      </x:c>
      <x:c r="B2101" s="39" t="n">
        <x:v>46084.75</x:v>
      </x:c>
      <x:c r="C2101" t="str">
        <x:v>亚冠精英</x:v>
      </x:c>
      <x:c r="D2101" t="str">
        <x:v>江原FC（Gangwon FC）</x:v>
      </x:c>
      <x:c r="E2101" t="str">
        <x:v>町田泽维亚（FC Machida Zelvia）</x:v>
      </x:c>
      <x:c r="F2101" t="str">
        <x:v>江原FC +0.25（受让平/半）@1.87左右（≈美式-115）</x:v>
      </x:c>
      <x:c r="G2101" t="str">
        <x:v>小2.5 @1.81左右</x:v>
      </x:c>
      <x:c r="H2101" t="str">
        <x:v>可选：双方进球 否 @1.86左右；更稳分层：江原 +0.5 @1.80左右（若临场≥1.80）</x:v>
      </x:c>
      <x:c r="I2101" t="n">
        <x:v>46084.80386574074</x:v>
      </x:c>
      <x:c r="J2101" t="str">
        <x:v>已结算</x:v>
      </x:c>
      <x:c r="K2101" t="str">
        <x:v>0-0</x:v>
      </x:c>
      <x:c r="L2101" t="str">
        <x:v>赢半</x:v>
      </x:c>
      <x:c r="M2101" t="str">
        <x:v>赢</x:v>
      </x:c>
      <x:c r="N2101" t="n">
        <x:v>0.5</x:v>
      </x:c>
      <x:c r="O2101" t="n">
        <x:v>1</x:v>
      </x:c>
      <x:c r="P2101" t="n">
        <x:f>IF(COUNT(N2101:O2101)=0,"",SUM(N2101:O2101))</x:f>
        <x:v>1.5</x:v>
      </x:c>
      <x:c r="Q2101"/>
      <x:c r="R2101" t="str">
        <x:v>赛果：江原FC 0-0 町田泽维亚；江原 +0.25=赢；小2.5=赢</x:v>
      </x:c>
    </x:row>
    <x:row r="2102">
      <x:c r="A2102" t="str">
        <x:f>IF(B2102="","",TEXT(B2102,"yyyy-mm-dd")&amp;"|"&amp;D2102&amp;"|"&amp;E2102)</x:f>
        <x:v>2026-03-03|墨尔本城|武里南联</x:v>
      </x:c>
      <x:c r="B2102" s="39" t="n">
        <x:v>46084.65625</x:v>
      </x:c>
      <x:c r="C2102" t="str">
        <x:v>亚冠精英</x:v>
      </x:c>
      <x:c r="D2102" t="str">
        <x:v>墨尔本城</x:v>
      </x:c>
      <x:c r="E2102" t="str">
        <x:v>武里南联</x:v>
      </x:c>
      <x:c r="F2102" t="str">
        <x:v>武里南联 +0.75（受让半一）@0.94左右</x:v>
      </x:c>
      <x:c r="G2102" t="str">
        <x:v>大2.5球 @1.15左右</x:v>
      </x:c>
      <x:c r="H2102" t="str">
        <x:v>稳健备选：武里南联 +1.0（受让一球）@0.82-0.88；进阶：武里南联进球数 大0.5 @0.85+</x:v>
      </x:c>
      <x:c r="I2102" t="n">
        <x:v>46084.54417824074</x:v>
      </x:c>
      <x:c r="J2102" t="str">
        <x:v>已结算</x:v>
      </x:c>
      <x:c r="K2102" t="str">
        <x:v>1-1</x:v>
      </x:c>
      <x:c r="L2102" t="str">
        <x:v>赢</x:v>
      </x:c>
      <x:c r="M2102" t="str">
        <x:v>输</x:v>
      </x:c>
      <x:c r="N2102" t="n">
        <x:v>1</x:v>
      </x:c>
      <x:c r="O2102" t="n">
        <x:v>-1</x:v>
      </x:c>
      <x:c r="P2102" t="n">
        <x:f>IF(COUNT(N2102:O2102)=0,"",SUM(N2102:O2102))</x:f>
        <x:v>0</x:v>
      </x:c>
      <x:c r="Q2102"/>
      <x:c r="R2102" t="str">
        <x:v>复核赛果：墨尔本城 1-1 武里南联；让球：武里南联 +0.75=赢；大小：大2.5=输。</x:v>
      </x:c>
    </x:row>
    <x:row r="2103">
      <x:c r="A2103" t="str">
        <x:f>IF(B2103="","",TEXT(B2103,"yyyy-mm-dd")&amp;"|"&amp;D2103&amp;"|"&amp;E2103)</x:f>
        <x:v>2026-03-03|门多萨独立（Independiente Rivadavia）|河床（River Plate）</x:v>
      </x:c>
      <x:c r="B2103" s="39" t="n">
        <x:v>46084.354166666664</x:v>
      </x:c>
      <x:c r="C2103" t="str">
        <x:v>阿根廷职业联赛（Liga Profesional·Apertura）</x:v>
      </x:c>
      <x:c r="D2103" t="str">
        <x:v>门多萨独立（Independiente Rivadavia）</x:v>
      </x:c>
      <x:c r="E2103" t="str">
        <x:v>河床（River Plate）</x:v>
      </x:c>
      <x:c r="F2103" t="str">
        <x:v>门多萨独立 0（平手盘/DNB）@2.18左右</x:v>
      </x:c>
      <x:c r="G2103" t="str">
        <x:v>小1.5 @2.65左右</x:v>
      </x:c>
      <x:c r="H2103" t="str">
        <x:v>稳健替代：门多萨独立 +0.25 @1.82左右；进阶分层：小2.5（若能回到≥1.80再上，否则不碰低水）；相关思路：双方进球 否（若≥1.85）</x:v>
      </x:c>
      <x:c r="I2103" t="n">
        <x:v>46084.32074074074</x:v>
      </x:c>
      <x:c r="J2103" t="str">
        <x:v>已结算</x:v>
      </x:c>
      <x:c r="K2103" t="str">
        <x:v>1-1</x:v>
      </x:c>
      <x:c r="L2103" t="str">
        <x:v>走水</x:v>
      </x:c>
      <x:c r="M2103" t="str">
        <x:v>输</x:v>
      </x:c>
      <x:c r="N2103" t="n">
        <x:v>0</x:v>
      </x:c>
      <x:c r="O2103" t="n">
        <x:v>-1</x:v>
      </x:c>
      <x:c r="P2103" t="n">
        <x:f>IF(COUNT(N2103:O2103)=0,"",SUM(N2103:O2103))</x:f>
        <x:v>-1</x:v>
      </x:c>
      <x:c r="Q2103"/>
      <x:c r="R2103" t="str">
        <x:v>FT 门多萨独立 1-1 河床（总进球2）；主队DNB走水，小1.5输</x:v>
      </x:c>
    </x:row>
    <x:row r="2104">
      <x:c r="A2104" t="str">
        <x:f>IF(B2104="","",TEXT(B2104,"yyyy-mm-dd")&amp;"|"&amp;D2104&amp;"|"&amp;E2104)</x:f>
        <x:v>2026-03-03|班菲尔德（Banfield）|阿尔多斯维（Aldosivi）</x:v>
      </x:c>
      <x:c r="B2104" s="39" t="n">
        <x:v>46084.354166666664</x:v>
      </x:c>
      <x:c r="C2104" t="str">
        <x:v>阿根廷职业联赛（Liga Profesional·Apertura）</x:v>
      </x:c>
      <x:c r="D2104" t="str">
        <x:v>班菲尔德（Banfield）</x:v>
      </x:c>
      <x:c r="E2104" t="str">
        <x:v>阿尔多斯维（Aldosivi）</x:v>
      </x:c>
      <x:c r="F2104" t="str">
        <x:v>阿尔多斯维 +0.5（受让半球）@1.90左右</x:v>
      </x:c>
      <x:c r="G2104" t="str">
        <x:v>小2.0（2球走水）@1.80左右</x:v>
      </x:c>
      <x:c r="H2104" t="str">
        <x:v>进阶分层：小1.5 @2.37左右；相关对冲：平局 @3.10左右</x:v>
      </x:c>
      <x:c r="I2104" t="n">
        <x:v>46084.318344907406</x:v>
      </x:c>
      <x:c r="J2104" t="str">
        <x:v>已结算</x:v>
      </x:c>
      <x:c r="K2104" t="str">
        <x:v>2-0</x:v>
      </x:c>
      <x:c r="L2104" t="str">
        <x:v>输</x:v>
      </x:c>
      <x:c r="M2104" t="str">
        <x:v>走水</x:v>
      </x:c>
      <x:c r="N2104" t="n">
        <x:v>-1</x:v>
      </x:c>
      <x:c r="O2104" t="n">
        <x:v>0</x:v>
      </x:c>
      <x:c r="P2104" t="n">
        <x:f>IF(COUNT(N2104:O2104)=0,"",SUM(N2104:O2104))</x:f>
        <x:v>-1</x:v>
      </x:c>
      <x:c r="Q2104"/>
      <x:c r="R2104" t="str">
        <x:v>更正：FT 班菲尔德 2-0 阿尔多斯维（总进球2）；客+0.5输，小2.0走水（2球走水）</x:v>
      </x:c>
    </x:row>
    <x:row r="2105">
      <x:c r="A2105" t="str">
        <x:f>IF(B2105="","",TEXT(B2105,"yyyy-mm-dd")&amp;"|"&amp;D2105&amp;"|"&amp;E2105)</x:f>
        <x:v>2026-03-03|拉普拉塔大学生（Estudiantes de La Plata）|萨斯菲尔德（Vélez Sarsfield）</x:v>
      </x:c>
      <x:c r="B2105" s="39" t="n">
        <x:v>46084.291666666664</x:v>
      </x:c>
      <x:c r="C2105" t="str">
        <x:v>阿根廷职业联赛（Liga Profesional·Apertura）</x:v>
      </x:c>
      <x:c r="D2105" t="str">
        <x:v>拉普拉塔大学生（Estudiantes de La Plata）</x:v>
      </x:c>
      <x:c r="E2105" t="str">
        <x:v>萨斯菲尔德（Vélez Sarsfield）</x:v>
      </x:c>
      <x:c r="F2105" t="str">
        <x:v>萨斯菲尔德 +0.25（受让平/半）@2.02左右</x:v>
      </x:c>
      <x:c r="G2105" t="str">
        <x:v>小1.5 @2.03左右</x:v>
      </x:c>
      <x:c r="H2105" t="str">
        <x:v>保守分层：小2.0（2球走水）若≥1.85再上；替代：萨斯菲尔德 0（DNB）@2.31左右；小注比分思路 0-0/1-0</x:v>
      </x:c>
      <x:c r="I2105" t="n">
        <x:v>46084.308703703704</x:v>
      </x:c>
      <x:c r="J2105" t="str">
        <x:v>已结算</x:v>
      </x:c>
      <x:c r="K2105" t="str">
        <x:v>0-1</x:v>
      </x:c>
      <x:c r="L2105" t="str">
        <x:v>赢</x:v>
      </x:c>
      <x:c r="M2105" t="str">
        <x:v>赢</x:v>
      </x:c>
      <x:c r="N2105" t="n">
        <x:v>1</x:v>
      </x:c>
      <x:c r="O2105" t="n">
        <x:v>1</x:v>
      </x:c>
      <x:c r="P2105" t="n">
        <x:f>IF(COUNT(N2105:O2105)=0,"",SUM(N2105:O2105))</x:f>
        <x:v>2</x:v>
      </x:c>
      <x:c r="Q2105"/>
      <x:c r="R2105" t="str">
        <x:v>FT 拉普拉塔大学生 0-1 萨斯菲尔德（总进球1）；客+0.25赢，小1.5赢</x:v>
      </x:c>
    </x:row>
    <x:row r="2106">
      <x:c r="A2106" t="str">
        <x:f>IF(B2106="","",TEXT(B2106,"yyyy-mm-dd")&amp;"|"&amp;D2106&amp;"|"&amp;E2106)</x:f>
        <x:v>2026-03-03|利斯特雷（Deportivo Riestra）|普拉滕斯竞技（Platense）</x:v>
      </x:c>
      <x:c r="B2106" s="39" t="n">
        <x:v>46084.260416666664</x:v>
      </x:c>
      <x:c r="C2106" t="str">
        <x:v>阿根廷职业联赛（Liga Profesional·Apertura）</x:v>
      </x:c>
      <x:c r="D2106" t="str">
        <x:v>利斯特雷（Deportivo Riestra）</x:v>
      </x:c>
      <x:c r="E2106" t="str">
        <x:v>普拉滕斯竞技（Platense）</x:v>
      </x:c>
      <x:c r="F2106" t="str">
        <x:v>普拉滕斯竞技 +0.25（受让平/半）@0.80左右（折合欧赔≈1.80）</x:v>
      </x:c>
      <x:c r="G2106" t="str">
        <x:v>小1.5 @0.86左右（折合欧赔≈1.86）</x:v>
      </x:c>
      <x:c r="H2106" t="str">
        <x:v>分层更激进：小1/1.5（1.25）@1.08左右；小注思路：平局 @2.5左右</x:v>
      </x:c>
      <x:c r="I2106" t="n">
        <x:v>46084.31238425926</x:v>
      </x:c>
      <x:c r="J2106" t="str">
        <x:v>已结算</x:v>
      </x:c>
      <x:c r="K2106" t="str">
        <x:v>0-0</x:v>
      </x:c>
      <x:c r="L2106" t="str">
        <x:v>赢半</x:v>
      </x:c>
      <x:c r="M2106" t="str">
        <x:v>赢</x:v>
      </x:c>
      <x:c r="N2106" t="n">
        <x:v>0.5</x:v>
      </x:c>
      <x:c r="O2106" t="n">
        <x:v>1</x:v>
      </x:c>
      <x:c r="P2106" t="n">
        <x:f>IF(COUNT(N2106:O2106)=0,"",SUM(N2106:O2106))</x:f>
        <x:v>1.5</x:v>
      </x:c>
      <x:c r="Q2106" t="str">
        <x:v>SofaScore</x:v>
      </x:c>
      <x:c r="R2106" t="str">
        <x:v>校正赛果：利斯特雷（Deportivo Riestra） 0-0 普拉滕斯竞技（Platense）；让球：普拉滕斯竞技 +0.25 -&gt; 赢半（0.5）；大小：小1.5 -&gt; 赢（1）；来源：SofaScore。</x:v>
      </x:c>
    </x:row>
    <x:row r="2107">
      <x:c r="A2107" t="str">
        <x:f>IF(B2107="","",TEXT(B2107,"yyyy-mm-dd")&amp;"|"&amp;D2107&amp;"|"&amp;E2107)</x:f>
        <x:v>2026-03-03|伊蒂哈德亚历山大（Al Ittihad Alexandria）|加兹勒马哈拉（Ghazl El Mahalla）</x:v>
      </x:c>
      <x:c r="B2107" s="39" t="n">
        <x:v>46084.145833333336</x:v>
      </x:c>
      <x:c r="C2107" t="str">
        <x:v>埃及超级联赛（Egyptian Premier League）</x:v>
      </x:c>
      <x:c r="D2107" t="str">
        <x:v>伊蒂哈德亚历山大（Al Ittihad Alexandria）</x:v>
      </x:c>
      <x:c r="E2107" t="str">
        <x:v>加兹勒马哈拉（Ghazl El Mahalla）</x:v>
      </x:c>
      <x:c r="F2107" t="str">
        <x:v>加兹勒马哈拉 +0.25（受让平/半）@1.90左右</x:v>
      </x:c>
      <x:c r="G2107" t="str">
        <x:v>小1.5 @2.10左右</x:v>
      </x:c>
      <x:c r="H2107" t="str">
        <x:v>替代/分层：加兹勒马哈拉 0（DNB/平局退）@2.70~2.77；小注博平局 @2.63左右</x:v>
      </x:c>
      <x:c r="I2107" t="n">
        <x:v>46084.308587962965</x:v>
      </x:c>
      <x:c r="J2107" t="str">
        <x:v>已结算</x:v>
      </x:c>
      <x:c r="K2107" t="str">
        <x:v>2-0</x:v>
      </x:c>
      <x:c r="L2107" t="str">
        <x:v>输</x:v>
      </x:c>
      <x:c r="M2107" t="str">
        <x:v>输</x:v>
      </x:c>
      <x:c r="N2107" t="n">
        <x:v>-1</x:v>
      </x:c>
      <x:c r="O2107" t="n">
        <x:v>-1</x:v>
      </x:c>
      <x:c r="P2107" t="n">
        <x:f>IF(COUNT(N2107:O2107)=0,"",SUM(N2107:O2107))</x:f>
        <x:v>-2</x:v>
      </x:c>
      <x:c r="Q2107"/>
      <x:c r="R2107" t="str">
        <x:v>更正：FT 伊蒂哈德亚历山大 2-0 加兹勒马哈拉（总进球2）；客+0.25输，小1.5输</x:v>
      </x:c>
    </x:row>
    <x:row r="2108">
      <x:c r="A2108" t="str">
        <x:f>IF(B2108="","",TEXT(B2108,"yyyy-mm-dd")&amp;"|"&amp;D2108&amp;"|"&amp;E2108)</x:f>
        <x:v>2026-03-03|比萨（Pisa）|博洛尼亚（Bologna）</x:v>
      </x:c>
      <x:c r="B2108" s="39" t="n">
        <x:v>46084.0625</x:v>
      </x:c>
      <x:c r="C2108" t="str">
        <x:v>意大利甲级联赛（Serie A）</x:v>
      </x:c>
      <x:c r="D2108" t="str">
        <x:v>比萨（Pisa）</x:v>
      </x:c>
      <x:c r="E2108" t="str">
        <x:v>博洛尼亚（Bologna）</x:v>
      </x:c>
      <x:c r="F2108" t="str">
        <x:v>博洛尼亚 -0.5（客让半球）@1.92左右</x:v>
      </x:c>
      <x:c r="G2108" t="str">
        <x:v>小2.25（2/2.5）@1.95左右</x:v>
      </x:c>
      <x:c r="H2108" t="str">
        <x:v>备选更稳：博洛尼亚 -0.25 @2.05左右（赢球全赢、平局输半）；分层：小2.5（若临场能回到≥1.80再上）；小比分思路：博洛尼亚零封（Pisa进球=0）若≥2.00可小注</x:v>
      </x:c>
      <x:c r="I2108" t="n">
        <x:v>46084.00204861111</x:v>
      </x:c>
      <x:c r="J2108" t="str">
        <x:v>已结算</x:v>
      </x:c>
      <x:c r="K2108" t="str">
        <x:v>0-1</x:v>
      </x:c>
      <x:c r="L2108" t="str">
        <x:v>赢</x:v>
      </x:c>
      <x:c r="M2108" t="str">
        <x:v>赢</x:v>
      </x:c>
      <x:c r="N2108" t="n">
        <x:v>1</x:v>
      </x:c>
      <x:c r="O2108" t="n">
        <x:v>1</x:v>
      </x:c>
      <x:c r="P2108" t="n">
        <x:f>IF(COUNT(N2108:O2108)=0,"",SUM(N2108:O2108))</x:f>
        <x:v>2</x:v>
      </x:c>
      <x:c r="Q2108"/>
      <x:c r="R2108" t="str">
        <x:v>FT 比萨 0-1 博洛尼亚（总进球1）；博洛尼亚-0.5赢，小2.25赢</x:v>
      </x:c>
    </x:row>
    <x:row r="2109">
      <x:c r="A2109" t="str">
        <x:f>IF(B2109="","",TEXT(B2109,"yyyy-mm-dd")&amp;"|"&amp;D2109&amp;"|"&amp;E2109)</x:f>
        <x:v>2026-03-02|帕尔斯巴亚（Persebaya Surabaya）|万隆（Persib Bandung）</x:v>
      </x:c>
      <x:c r="B2109" s="39" t="n">
        <x:v>46083.895833333336</x:v>
      </x:c>
      <x:c r="C2109" t="str">
        <x:v>印度尼西亚超级联赛（印尼超/Liga 1 Indonesia）</x:v>
      </x:c>
      <x:c r="D2109" t="str">
        <x:v>帕尔斯巴亚（Persebaya Surabaya）</x:v>
      </x:c>
      <x:c r="E2109" t="str">
        <x:v>万隆（Persib Bandung）</x:v>
      </x:c>
      <x:c r="F2109" t="str">
        <x:v>万隆（Persib Bandung）-0.5（客让半球）@1.99左右</x:v>
      </x:c>
      <x:c r="G2109" t="str">
        <x:v>大2.5 @1.96左右</x:v>
      </x:c>
      <x:c r="H2109" t="str">
        <x:v>分层：大2.25（若能拿到≥0.85水位/≈1.85以上再上）；替代：双方进球 是 @1.91左右；谨慎对冲：万隆 DNB（平局退）若≥1.70可作保守票</x:v>
      </x:c>
      <x:c r="I2109" t="n">
        <x:v>46083.846134259256</x:v>
      </x:c>
      <x:c r="J2109" t="str">
        <x:v>已结算</x:v>
      </x:c>
      <x:c r="K2109" t="str">
        <x:v>2-2</x:v>
      </x:c>
      <x:c r="L2109" t="str">
        <x:v>输</x:v>
      </x:c>
      <x:c r="M2109" t="str">
        <x:v>赢</x:v>
      </x:c>
      <x:c r="N2109" t="n">
        <x:v>-1</x:v>
      </x:c>
      <x:c r="O2109" t="n">
        <x:v>1</x:v>
      </x:c>
      <x:c r="P2109" t="n">
        <x:f>IF(COUNT(N2109:O2109)=0,"",SUM(N2109:O2109))</x:f>
        <x:v>0</x:v>
      </x:c>
      <x:c r="Q2109"/>
      <x:c r="R2109" t="str">
        <x:v>FT 帕尔斯巴亚 2-2 万隆（总进球4）；万隆-0.5输，大2.5赢</x:v>
      </x:c>
    </x:row>
    <x:row r="2110">
      <x:c r="A2110" t="str">
        <x:f>IF(B2110="","",TEXT(B2110,"yyyy-mm-dd")&amp;"|"&amp;D2110&amp;"|"&amp;E2110)</x:f>
        <x:v>2026-03-02|布林狮子（Bulleen Lions）|埃尔特姆红背（Eltham Redbacks）</x:v>
      </x:c>
      <x:c r="B2110" s="39" t="n">
        <x:v>46083.729166666664</x:v>
      </x:c>
      <x:c r="C2110" t="str">
        <x:v>澳大利亚 维多利亚州超级联赛1（VPL1）</x:v>
      </x:c>
      <x:c r="D2110" t="str">
        <x:v>布林狮子（Bulleen Lions）</x:v>
      </x:c>
      <x:c r="E2110" t="str">
        <x:v>埃尔特姆红背（Eltham Redbacks）</x:v>
      </x:c>
      <x:c r="F2110" t="str">
        <x:v>埃尔特姆红背 0（平手盘/DNB）@1.91左右</x:v>
      </x:c>
      <x:c r="G2110" t="str">
        <x:v>小2.5 @2.62左右</x:v>
      </x:c>
      <x:c r="H2110" t="str">
        <x:v>保守加仓：小3.0（若赛前/临场水位≥0.85）；替代思路：双方进球 否 @2.25左右</x:v>
      </x:c>
      <x:c r="I2110" t="n">
        <x:v>46083.64530092593</x:v>
      </x:c>
      <x:c r="J2110" t="str">
        <x:v>已结算</x:v>
      </x:c>
      <x:c r="K2110" t="str">
        <x:v>1-3</x:v>
      </x:c>
      <x:c r="L2110" t="str">
        <x:v>赢</x:v>
      </x:c>
      <x:c r="M2110" t="str">
        <x:v>输</x:v>
      </x:c>
      <x:c r="N2110" t="n">
        <x:v>1</x:v>
      </x:c>
      <x:c r="O2110" t="n">
        <x:v>-1</x:v>
      </x:c>
      <x:c r="P2110" t="n">
        <x:f>IF(COUNT(N2110:O2110)=0,"",SUM(N2110:O2110))</x:f>
        <x:v>0</x:v>
      </x:c>
      <x:c r="Q2110"/>
      <x:c r="R2110" t="str">
        <x:v>FT 布林狮子 1-3 埃尔特姆红背（总进球4）；客队DNB赢，小2.5输</x:v>
      </x:c>
    </x:row>
    <x:row r="2111">
      <x:c r="A2111" t="str">
        <x:f>IF(B2111="","",TEXT(B2111,"yyyy-mm-dd")&amp;"|"&amp;D2111&amp;"|"&amp;E2111)</x:f>
        <x:v>2026-03-02|釜山偶像（Busan I Park）|城南FC（Seongnam FC）</x:v>
      </x:c>
      <x:c r="B2111" s="39" t="n">
        <x:v>46083.645833333336</x:v>
      </x:c>
      <x:c r="C2111" t="str">
        <x:v>韩国K2联赛</x:v>
      </x:c>
      <x:c r="D2111" t="str">
        <x:v>釜山偶像（Busan I Park）</x:v>
      </x:c>
      <x:c r="E2111" t="str">
        <x:v>城南FC（Seongnam FC）</x:v>
      </x:c>
      <x:c r="F2111" t="str">
        <x:v>釜山偶像 0（平手/走盘）@1.87左右（≈港赔0.87）</x:v>
      </x:c>
      <x:c r="G2111" t="str">
        <x:v>小 1.5/2（1.75）@2.15左右（≈港赔1.15）</x:v>
      </x:c>
      <x:c r="H2111" t="str">
        <x:v>可选：平局 @2.88左右（更吃剧本，谨慎小注）</x:v>
      </x:c>
      <x:c r="I2111" t="n">
        <x:v>46083.63359953704</x:v>
      </x:c>
      <x:c r="J2111" t="str">
        <x:v>已结算</x:v>
      </x:c>
      <x:c r="K2111" t="str">
        <x:v>1-1</x:v>
      </x:c>
      <x:c r="L2111" t="str">
        <x:v>走水</x:v>
      </x:c>
      <x:c r="M2111" t="str">
        <x:v>输半</x:v>
      </x:c>
      <x:c r="N2111" t="n">
        <x:v>0</x:v>
      </x:c>
      <x:c r="O2111" t="n">
        <x:v>-0.5</x:v>
      </x:c>
      <x:c r="P2111" t="n">
        <x:f>IF(COUNT(N2111:O2111)=0,"",SUM(N2111:O2111))</x:f>
        <x:v>-0.5</x:v>
      </x:c>
      <x:c r="Q2111"/>
      <x:c r="R2111" t="str">
        <x:v>FT 1-1；釜山0走水，小1.75输半</x:v>
      </x:c>
    </x:row>
    <x:row r="2112">
      <x:c r="A2112" t="str">
        <x:f>IF(B2112="","",TEXT(B2112,"yyyy-mm-dd")&amp;"|"&amp;D2112&amp;"|"&amp;E2112)</x:f>
        <x:v>2026-03-02|布琳狮子U23（Bulleen Lions）|埃尔特姆红背U23（Eltham Redbacks）</x:v>
      </x:c>
      <x:c r="B2112" s="39" t="n">
        <x:v>46083.635416666664</x:v>
      </x:c>
      <x:c r="C2112" t="str">
        <x:v>澳大利亚 维多利亚州超1 U23</x:v>
      </x:c>
      <x:c r="D2112" t="str">
        <x:v>布琳狮子U23（Bulleen Lions）</x:v>
      </x:c>
      <x:c r="E2112" t="str">
        <x:v>埃尔特姆红背U23（Eltham Redbacks）</x:v>
      </x:c>
      <x:c r="F2112" t="str">
        <x:v>布琳狮子U23 -1.25（亚盘）@1.85</x:v>
      </x:c>
      <x:c r="G2112" t="str">
        <x:v>大4.0（进球数）@1.95</x:v>
      </x:c>
      <x:c r="H2112" t="str">
        <x:v>小注：角球大10.0 @1.975</x:v>
      </x:c>
      <x:c r="I2112" t="n">
        <x:v>46083.62128472222</x:v>
      </x:c>
      <x:c r="J2112" t="str">
        <x:v>已结算</x:v>
      </x:c>
      <x:c r="K2112" t="str">
        <x:v>3-2</x:v>
      </x:c>
      <x:c r="L2112" t="str">
        <x:v>输半</x:v>
      </x:c>
      <x:c r="M2112" t="str">
        <x:v>赢</x:v>
      </x:c>
      <x:c r="N2112" t="n">
        <x:v>-0.5</x:v>
      </x:c>
      <x:c r="O2112" t="n">
        <x:v>1</x:v>
      </x:c>
      <x:c r="P2112" t="n">
        <x:f>IF(COUNT(N2112:O2112)=0,"",SUM(N2112:O2112))</x:f>
        <x:v>0.5</x:v>
      </x:c>
      <x:c r="Q2112"/>
      <x:c r="R2112" t="str">
        <x:v>FT 3-2；布琳狮子U23-1.25输半，大4.0赢</x:v>
      </x:c>
    </x:row>
    <x:row r="2113">
      <x:c r="A2113" t="str">
        <x:f>IF(B2113="","",TEXT(B2113,"yyyy-mm-dd")&amp;"|"&amp;D2113&amp;"|"&amp;E2113)</x:f>
        <x:v>2026-03-02|PSM马卡萨（PSM Makassar）|塔司塔坦格朗（Persita Tangerang）</x:v>
      </x:c>
      <x:c r="B2113" s="39" t="n">
        <x:v>46083.604166666664</x:v>
      </x:c>
      <x:c r="C2113" t="str">
        <x:v>印度尼西亚超级联赛（印尼超/Liga 1 Indonesia）</x:v>
      </x:c>
      <x:c r="D2113" t="str">
        <x:v>PSM马卡萨（PSM Makassar）</x:v>
      </x:c>
      <x:c r="E2113" t="str">
        <x:v>塔司塔坦格朗（Persita Tangerang）</x:v>
      </x:c>
      <x:c r="F2113" t="str">
        <x:v>塔司塔坦格朗 0（平手盘/DNB）@2.15左右</x:v>
      </x:c>
      <x:c r="G2113" t="str">
        <x:v>小2.5 @2.10左右</x:v>
      </x:c>
      <x:c r="H2113" t="str">
        <x:v>保守分层：双方进球 否 @1.85左右；进阶：塔司塔坦格朗 +0.25（若临场能给到≥1.85再上）</x:v>
      </x:c>
      <x:c r="I2113" t="n">
        <x:v>46083.819340277776</x:v>
      </x:c>
      <x:c r="J2113" t="str">
        <x:v>已结算</x:v>
      </x:c>
      <x:c r="K2113" t="str">
        <x:v>2-4</x:v>
      </x:c>
      <x:c r="L2113" t="str">
        <x:v>赢</x:v>
      </x:c>
      <x:c r="M2113" t="str">
        <x:v>输</x:v>
      </x:c>
      <x:c r="N2113" t="n">
        <x:v>1</x:v>
      </x:c>
      <x:c r="O2113" t="n">
        <x:v>-1</x:v>
      </x:c>
      <x:c r="P2113" t="n">
        <x:f>IF(COUNT(N2113:O2113)=0,"",SUM(N2113:O2113))</x:f>
        <x:v>0</x:v>
      </x:c>
      <x:c r="Q2113"/>
      <x:c r="R2113" t="str">
        <x:v>FT PSM马卡萨 2-4 塔司塔坦格朗（总进球6）；客队DNB赢，小2.5输</x:v>
      </x:c>
    </x:row>
    <x:row r="2114">
      <x:c r="A2114" t="str">
        <x:f>IF(B2114="","",TEXT(B2114,"yyyy-mm-dd")&amp;"|"&amp;D2114&amp;"|"&amp;E2114)</x:f>
        <x:v>2026-03-02|忠南牙山（Chungnam Asan）|坡州市民（Paju Citizen）</x:v>
      </x:c>
      <x:c r="B2114" s="39" t="n">
        <x:v>46083.541666666664</x:v>
      </x:c>
      <x:c r="C2114" t="str">
        <x:v>韩国K2联赛</x:v>
      </x:c>
      <x:c r="D2114" t="str">
        <x:v>忠南牙山（Chungnam Asan）</x:v>
      </x:c>
      <x:c r="E2114" t="str">
        <x:v>坡州市民（Paju Citizen）</x:v>
      </x:c>
      <x:c r="F2114" t="str">
        <x:v>忠南牙山 -0.5/1（-0.75，半/一）@0.82左右（港赔）</x:v>
      </x:c>
      <x:c r="G2114" t="str">
        <x:v>小 2.5 @1.01左右（港赔）</x:v>
      </x:c>
      <x:c r="H2114" t="str">
        <x:v>更稳：忠南牙山 -0.5 若≥0.80；进取：若临场升到-1且主队≥0.95，可升级忠南牙山-1（赢1走水）。若总分升到2.75且小2.75≥0.85：改小2.75提升容错</x:v>
      </x:c>
      <x:c r="I2114" t="n">
        <x:v>46083.55391203704</x:v>
      </x:c>
      <x:c r="J2114" t="str">
        <x:v>已结算</x:v>
      </x:c>
      <x:c r="K2114" t="str">
        <x:v>3-2</x:v>
      </x:c>
      <x:c r="L2114" t="str">
        <x:v>赢半</x:v>
      </x:c>
      <x:c r="M2114" t="str">
        <x:v>输</x:v>
      </x:c>
      <x:c r="N2114" t="n">
        <x:v>0.5</x:v>
      </x:c>
      <x:c r="O2114" t="n">
        <x:v>-1</x:v>
      </x:c>
      <x:c r="P2114" t="n">
        <x:f>IF(COUNT(N2114:O2114)=0,"",SUM(N2114:O2114))</x:f>
        <x:v>-0.5</x:v>
      </x:c>
      <x:c r="Q2114"/>
      <x:c r="R2114" t="str">
        <x:v>FT 3-2；忠南牙山-0.75赢半，小2.5输</x:v>
      </x:c>
    </x:row>
    <x:row r="2115">
      <x:c r="A2115" t="str">
        <x:f>IF(B2115="","",TEXT(B2115,"yyyy-mm-dd")&amp;"|"&amp;D2115&amp;"|"&amp;E2115)</x:f>
        <x:v>2026-03-02|大田市民（Daejeon Hana Citizen）|安养FC（FC Anyang）</x:v>
      </x:c>
      <x:c r="B2115" s="39" t="n">
        <x:v>46083.541666666664</x:v>
      </x:c>
      <x:c r="C2115" t="str">
        <x:v>韩国K联赛1（K League 1）</x:v>
      </x:c>
      <x:c r="D2115" t="str">
        <x:v>大田市民（Daejeon Hana Citizen）</x:v>
      </x:c>
      <x:c r="E2115" t="str">
        <x:v>安养FC（FC Anyang）</x:v>
      </x:c>
      <x:c r="F2115" t="str">
        <x:v>安养FC +0.5 @1.94左右（≈美式-106；港赔0.94）</x:v>
      </x:c>
      <x:c r="G2115" t="str">
        <x:v>小 2.5 @1.90~1.95（≈美式-111~+??；港赔0.90~0.95）</x:v>
      </x:c>
      <x:c r="H2115" t="str">
        <x:v>小注对冲：BTTS 否 @2.00左右（≈美式-100；港赔1.00）；若临场大田退盘到-0/0.5且安养+0/0.5≥1.90，可升级安养+0.25</x:v>
      </x:c>
      <x:c r="I2115" t="n">
        <x:v>46083.53434027778</x:v>
      </x:c>
      <x:c r="J2115" t="str">
        <x:v>已结算</x:v>
      </x:c>
      <x:c r="K2115" t="str">
        <x:v>1-1</x:v>
      </x:c>
      <x:c r="L2115" t="str">
        <x:v>赢</x:v>
      </x:c>
      <x:c r="M2115" t="str">
        <x:v>赢</x:v>
      </x:c>
      <x:c r="N2115" t="n">
        <x:v>1</x:v>
      </x:c>
      <x:c r="O2115" t="n">
        <x:v>1</x:v>
      </x:c>
      <x:c r="P2115" t="n">
        <x:f>IF(COUNT(N2115:O2115)=0,"",SUM(N2115:O2115))</x:f>
        <x:v>2</x:v>
      </x:c>
      <x:c r="Q2115"/>
      <x:c r="R2115" t="str">
        <x:v>FT 1-1；安养+0.5赢，小2.5赢</x:v>
      </x:c>
    </x:row>
    <x:row r="2116">
      <x:c r="A2116" t="str">
        <x:f>IF(B2116="","",TEXT(B2116,"yyyy-mm-dd")&amp;"|"&amp;D2116&amp;"|"&amp;E2116)</x:f>
        <x:v>2026-03-02|圣地亚哥FC（San Diego FC）|圣路易斯城（St. Louis CITY SC）</x:v>
      </x:c>
      <x:c r="B2116" s="39" t="n">
        <x:v>46083.427083333336</x:v>
      </x:c>
      <x:c r="C2116" t="str">
        <x:v>美职联（MLS）</x:v>
      </x:c>
      <x:c r="D2116" t="str">
        <x:v>圣地亚哥FC（San Diego FC）</x:v>
      </x:c>
      <x:c r="E2116" t="str">
        <x:v>圣路易斯城（St. Louis CITY SC）</x:v>
      </x:c>
      <x:c r="F2116" t="str">
        <x:v>圣路易斯城 +1 @1.97左右（≈美式-103，港赔0.97）</x:v>
      </x:c>
      <x:c r="G2116" t="str">
        <x:v>大 3/3.5（3.25）@2.05左右（≈美式+105，港赔1.05）</x:v>
      </x:c>
      <x:c r="H2116" t="str">
        <x:v>进取小注：圣地亚哥 -1.5 @2.25左右（≈美式+125，港赔1.25）；或临场确认Hartel缺阵且总分退到3.0时改小3.0≥1.85做保护</x:v>
      </x:c>
      <x:c r="I2116" t="n">
        <x:v>46083.43284722222</x:v>
      </x:c>
      <x:c r="J2116" t="str">
        <x:v>已结算</x:v>
      </x:c>
      <x:c r="K2116"/>
      <x:c r="L2116" t="str">
        <x:v>输</x:v>
      </x:c>
      <x:c r="M2116" t="str">
        <x:v>输</x:v>
      </x:c>
      <x:c r="N2116" t="n">
        <x:v>-1</x:v>
      </x:c>
      <x:c r="O2116" t="n">
        <x:v>-1</x:v>
      </x:c>
      <x:c r="P2116" t="n">
        <x:f>IF(COUNT(N2116:O2116)=0,"",SUM(N2116:O2116))</x:f>
        <x:v>-2</x:v>
      </x:c>
      <x:c r="Q2116"/>
      <x:c r="R2116" t="str">
        <x:v>终场 圣地亚哥FC 2-0 圣路易斯城；圣路易斯+1输；大3.25输</x:v>
      </x:c>
    </x:row>
    <x:row r="2117">
      <x:c r="A2117" t="str">
        <x:f>IF(B2117="","",TEXT(B2117,"yyyy-mm-dd")&amp;"|"&amp;D2117&amp;"|"&amp;E2117)</x:f>
        <x:v>2026-03-02|普拉腾斯（Platense）|皇家西班牙（Real España/Real CD España）</x:v>
      </x:c>
      <x:c r="B2117" s="39" t="n">
        <x:v>46083.395833333336</x:v>
      </x:c>
      <x:c r="C2117" t="str">
        <x:v>洪都拉斯甲级联赛（Clausura）</x:v>
      </x:c>
      <x:c r="D2117" t="str">
        <x:v>普拉腾斯（Platense）</x:v>
      </x:c>
      <x:c r="E2117" t="str">
        <x:v>皇家西班牙（Real España/Real CD España）</x:v>
      </x:c>
      <x:c r="F2117" t="str">
        <x:v>皇家西班牙 -0/0.5（-0.25）@1.92左右（≈港赔0.92；以≥1.88为合格线）</x:v>
      </x:c>
      <x:c r="G2117" t="str">
        <x:v>大 2.5 @1.95（888Sport：19/20；≈港赔0.95）</x:v>
      </x:c>
      <x:c r="H2117" t="str">
        <x:v>更稳替代：皇家西班牙 0（DNB）若能拿到≥1.80；小注对冲：BTTS 否 @2.00左右</x:v>
      </x:c>
      <x:c r="I2117" t="n">
        <x:v>46083.41881944444</x:v>
      </x:c>
      <x:c r="J2117" t="str">
        <x:v>已结算</x:v>
      </x:c>
      <x:c r="K2117"/>
      <x:c r="L2117" t="str">
        <x:v>输半</x:v>
      </x:c>
      <x:c r="M2117" t="str">
        <x:v>赢</x:v>
      </x:c>
      <x:c r="N2117" t="n">
        <x:v>-0.5</x:v>
      </x:c>
      <x:c r="O2117" t="n">
        <x:v>1</x:v>
      </x:c>
      <x:c r="P2117" t="n">
        <x:f>IF(COUNT(N2117:O2117)=0,"",SUM(N2117:O2117))</x:f>
        <x:v>0.5</x:v>
      </x:c>
      <x:c r="Q2117"/>
      <x:c r="R2117" t="str">
        <x:v>终场 2-2；皇家西班牙-0.25输半；大2.5赢</x:v>
      </x:c>
    </x:row>
    <x:row r="2118">
      <x:c r="A2118" t="str">
        <x:f>IF(B2118="","",TEXT(B2118,"yyyy-mm-dd")&amp;"|"&amp;D2118&amp;"|"&amp;E2118)</x:f>
        <x:v>2026-03-02|托利马体育（Deportes Tolima）|国民竞技（Atlético Nacional）</x:v>
      </x:c>
      <x:c r="B2118" s="39" t="n">
        <x:v>46083.395833333336</x:v>
      </x:c>
      <x:c r="C2118" t="str">
        <x:v>哥伦比亚甲级联赛（Liga BetPlay DIMAYOR）</x:v>
      </x:c>
      <x:c r="D2118" t="str">
        <x:v>托利马体育（Deportes Tolima）</x:v>
      </x:c>
      <x:c r="E2118" t="str">
        <x:v>国民竞技（Atlético Nacional）</x:v>
      </x:c>
      <x:c r="F2118" t="str">
        <x:v>国民竞技 -0/0.5（-0.25）@1.98左右（≈港赔0.98）</x:v>
      </x:c>
      <x:c r="G2118" t="str">
        <x:v>大 2/2.5（2.25）@1.86左右（≈港赔0.86）</x:v>
      </x:c>
      <x:c r="H2118" t="str">
        <x:v>进取小注：国民竞技 胜 @2.33左右；或临场若升到国民竞技-0.5且≥2.15可升级</x:v>
      </x:c>
      <x:c r="I2118" t="n">
        <x:v>46083.37149305556</x:v>
      </x:c>
      <x:c r="J2118" t="str">
        <x:v>已结算</x:v>
      </x:c>
      <x:c r="K2118"/>
      <x:c r="L2118" t="str">
        <x:v>输</x:v>
      </x:c>
      <x:c r="M2118" t="str">
        <x:v>输</x:v>
      </x:c>
      <x:c r="N2118" t="n">
        <x:v>-1</x:v>
      </x:c>
      <x:c r="O2118" t="n">
        <x:v>-1</x:v>
      </x:c>
      <x:c r="P2118" t="n">
        <x:f>IF(COUNT(N2118:O2118)=0,"",SUM(N2118:O2118))</x:f>
        <x:v>-2</x:v>
      </x:c>
      <x:c r="Q2118"/>
      <x:c r="R2118" t="str">
        <x:v>终场 托利马体育 1-0 国民竞技；国民-0.25输；大2.25输</x:v>
      </x:c>
    </x:row>
    <x:row r="2119">
      <x:c r="A2119" t="str">
        <x:f>IF(B2119="","",TEXT(B2119,"yyyy-mm-dd")&amp;"|"&amp;D2119&amp;"|"&amp;E2119)</x:f>
        <x:v>2026-03-02|提格雷（Tigre）|拉普拉塔体操（Gimnasia y Esgrima La Plata）</x:v>
      </x:c>
      <x:c r="B2119" s="39" t="n">
        <x:v>46083.354166666664</x:v>
      </x:c>
      <x:c r="C2119" t="str">
        <x:v>阿根廷职业联赛（Liga Profesional·Apertura）</x:v>
      </x:c>
      <x:c r="D2119" t="str">
        <x:v>提格雷（Tigre）</x:v>
      </x:c>
      <x:c r="E2119" t="str">
        <x:v>拉普拉塔体操（Gimnasia y Esgrima La Plata）</x:v>
      </x:c>
      <x:c r="F2119" t="str">
        <x:v>提格雷 -0.5 @1.95左右（≈美式-105，港赔0.95）</x:v>
      </x:c>
      <x:c r="G2119" t="str">
        <x:v>大 2.5 @2.75左右（≈美式+175，港赔1.75）</x:v>
      </x:c>
      <x:c r="H2119" t="str">
        <x:v>小注：小 1.5 @2.30左右（≈美式+130，港赔1.30），走低比分对冲</x:v>
      </x:c>
      <x:c r="I2119" t="n">
        <x:v>46083.35721064815</x:v>
      </x:c>
      <x:c r="J2119" t="str">
        <x:v>已结算</x:v>
      </x:c>
      <x:c r="K2119"/>
      <x:c r="L2119" t="str">
        <x:v>输</x:v>
      </x:c>
      <x:c r="M2119" t="str">
        <x:v>赢</x:v>
      </x:c>
      <x:c r="N2119" t="n">
        <x:v>-1</x:v>
      </x:c>
      <x:c r="O2119" t="n">
        <x:v>1</x:v>
      </x:c>
      <x:c r="P2119" t="n">
        <x:f>IF(COUNT(N2119:O2119)=0,"",SUM(N2119:O2119))</x:f>
        <x:v>0</x:v>
      </x:c>
      <x:c r="Q2119"/>
      <x:c r="R2119" t="str">
        <x:v>终场 2-2；提格雷-0.5输；大2.5赢</x:v>
      </x:c>
    </x:row>
    <x:row r="2120">
      <x:c r="A2120" t="str">
        <x:f>IF(B2120="","",TEXT(B2120,"yyyy-mm-dd")&amp;"|"&amp;D2120&amp;"|"&amp;E2120)</x:f>
        <x:v>2026-03-02|防卫与正义（Defensa y Justicia）|拉努斯（Lanús）</x:v>
      </x:c>
      <x:c r="B2120" s="39" t="n">
        <x:v>46083.354166666664</x:v>
      </x:c>
      <x:c r="C2120" t="str">
        <x:v>阿根廷职业联赛（Liga Profesional·Apertura）</x:v>
      </x:c>
      <x:c r="D2120" t="str">
        <x:v>防卫与正义（Defensa y Justicia）</x:v>
      </x:c>
      <x:c r="E2120" t="str">
        <x:v>拉努斯（Lanús）</x:v>
      </x:c>
      <x:c r="F2120" t="str">
        <x:v>拉努斯 +0/0.5（+0.25）@1.89左右</x:v>
      </x:c>
      <x:c r="G2120" t="str">
        <x:v>小 2.0 @1.95左右（2球走水）</x:v>
      </x:c>
      <x:c r="H2120" t="str">
        <x:v>进取：拉努斯 0（平手盘/DNB）若≥2.05可小注；或平局@3.10小注</x:v>
      </x:c>
      <x:c r="I2120" t="n">
        <x:v>46083.352638888886</x:v>
      </x:c>
      <x:c r="J2120" t="str">
        <x:v>已结算</x:v>
      </x:c>
      <x:c r="K2120"/>
      <x:c r="L2120" t="str">
        <x:v>赢半</x:v>
      </x:c>
      <x:c r="M2120" t="str">
        <x:v>走水</x:v>
      </x:c>
      <x:c r="N2120" t="n">
        <x:v>0.5</x:v>
      </x:c>
      <x:c r="O2120" t="n">
        <x:v>0</x:v>
      </x:c>
      <x:c r="P2120" t="n">
        <x:f>IF(COUNT(N2120:O2120)=0,"",SUM(N2120:O2120))</x:f>
        <x:v>0.5</x:v>
      </x:c>
      <x:c r="Q2120"/>
      <x:c r="R2120" t="str">
        <x:v>终场 1-1；拉努斯+0.25赢半；小2.0走水</x:v>
      </x:c>
    </x:row>
    <x:row r="2121">
      <x:c r="A2121" t="str">
        <x:f>IF(B2121="","",TEXT(B2121,"yyyy-mm-dd")&amp;"|"&amp;D2121&amp;"|"&amp;E2121)</x:f>
        <x:v>2026-03-02|奥兰多城（Orlando City SC）|迈阿密国际（Inter Miami CF）</x:v>
      </x:c>
      <x:c r="B2121" s="39" t="n">
        <x:v>46083.333333333336</x:v>
      </x:c>
      <x:c r="C2121" t="str">
        <x:v>美职联（MLS）</x:v>
      </x:c>
      <x:c r="D2121" t="str">
        <x:v>奥兰多城（Orlando City SC）</x:v>
      </x:c>
      <x:c r="E2121" t="str">
        <x:v>迈阿密国际（Inter Miami CF）</x:v>
      </x:c>
      <x:c r="F2121" t="str">
        <x:v>迈阿密国际 -0.5 @1.92左右（≈港赔0.92）</x:v>
      </x:c>
      <x:c r="G2121" t="str">
        <x:v>小 3.5 @1.83左右（≈港赔0.83）</x:v>
      </x:c>
      <x:c r="H2121" t="str">
        <x:v>稳健：迈阿密国际 -0/0.5（-0.25）若≥1.85；进取：迈阿密国际 -1 @3.65左右（+265）；对冲：大3.5 @1.94</x:v>
      </x:c>
      <x:c r="I2121" t="n">
        <x:v>46083.342685185184</x:v>
      </x:c>
      <x:c r="J2121" t="str">
        <x:v>已结算</x:v>
      </x:c>
      <x:c r="K2121"/>
      <x:c r="L2121" t="str">
        <x:v>赢</x:v>
      </x:c>
      <x:c r="M2121" t="str">
        <x:v>输</x:v>
      </x:c>
      <x:c r="N2121" t="n">
        <x:v>1</x:v>
      </x:c>
      <x:c r="O2121" t="n">
        <x:v>-1</x:v>
      </x:c>
      <x:c r="P2121" t="n">
        <x:f>IF(COUNT(N2121:O2121)=0,"",SUM(N2121:O2121))</x:f>
        <x:v>0</x:v>
      </x:c>
      <x:c r="Q2121"/>
      <x:c r="R2121" t="str">
        <x:v>终场 奥兰多城 2-4 迈阿密国际；迈阿密-0.5赢；小3.5输</x:v>
      </x:c>
    </x:row>
    <x:row r="2122">
      <x:c r="A2122" t="str">
        <x:f>IF(B2122="","",TEXT(B2122,"yyyy-mm-dd")&amp;"|"&amp;D2122&amp;"|"&amp;E2122)</x:f>
        <x:v>2026-03-02|卡利体育会（Deportivo Cali）|福塔雷绍查（Fortaleza CEIF）</x:v>
      </x:c>
      <x:c r="B2122" s="39" t="n">
        <x:v>46083.29861111111</x:v>
      </x:c>
      <x:c r="C2122" t="str">
        <x:v>哥伦比亚甲级联赛（Liga BetPlay DIMAYOR）</x:v>
      </x:c>
      <x:c r="D2122" t="str">
        <x:v>卡利体育会（Deportivo Cali）</x:v>
      </x:c>
      <x:c r="E2122" t="str">
        <x:v>福塔雷绍查（Fortaleza CEIF）</x:v>
      </x:c>
      <x:c r="F2122" t="str">
        <x:v>卡利体育会 -0.75（让半/一）@1.92左右（≈港赔0.92）</x:v>
      </x:c>
      <x:c r="G2122" t="str">
        <x:v>小 2/2.5（2.25）@1.83左右（≈港赔0.83）</x:v>
      </x:c>
      <x:c r="H2122" t="str">
        <x:v>进取：若临场升到卡利-1且≥1.90可升级；更稳：卡利-0.5若≥1.80；小球若升到2.5且小2.5≥1.85可改小2.5</x:v>
      </x:c>
      <x:c r="I2122" t="n">
        <x:v>46083.297743055555</x:v>
      </x:c>
      <x:c r="J2122" t="str">
        <x:v>已结算</x:v>
      </x:c>
      <x:c r="K2122"/>
      <x:c r="L2122" t="str">
        <x:v>输</x:v>
      </x:c>
      <x:c r="M2122" t="str">
        <x:v>赢半</x:v>
      </x:c>
      <x:c r="N2122" t="n">
        <x:v>-1</x:v>
      </x:c>
      <x:c r="O2122" t="n">
        <x:v>0.5</x:v>
      </x:c>
      <x:c r="P2122" t="n">
        <x:f>IF(COUNT(N2122:O2122)=0,"",SUM(N2122:O2122))</x:f>
        <x:v>-0.5</x:v>
      </x:c>
      <x:c r="Q2122"/>
      <x:c r="R2122" t="str">
        <x:v>终场 1-1；卡利-0.75全输；小2.25赢半</x:v>
      </x:c>
    </x:row>
    <x:row r="2123">
      <x:c r="A2123" t="str">
        <x:f>IF(B2123="","",TEXT(B2123,"yyyy-mm-dd")&amp;"|"&amp;D2123&amp;"|"&amp;E2123)</x:f>
        <x:v>2026-03-02|罗马（AS Roma）|尤文图斯（Juventus）</x:v>
      </x:c>
      <x:c r="B2123" s="39" t="n">
        <x:v>46083.15625</x:v>
      </x:c>
      <x:c r="C2123" t="str">
        <x:v>意大利甲级联赛（Serie A）</x:v>
      </x:c>
      <x:c r="D2123" t="str">
        <x:v>罗马（AS Roma）</x:v>
      </x:c>
      <x:c r="E2123" t="str">
        <x:v>尤文图斯（Juventus）</x:v>
      </x:c>
      <x:c r="F2123" t="str">
        <x:v>罗马 0（平手盘/DNB）@1.89左右（≈港赔0.89）</x:v>
      </x:c>
      <x:c r="G2123" t="str">
        <x:v>小 2/2.5（2.25）@1.88左右（≈港赔0.88）</x:v>
      </x:c>
      <x:c r="H2123" t="str">
        <x:v>进取：罗马 -0/0.5（-0.25）若≥2.10；更稳：小2.5若≥1.80；若Dybala确认首发且大2.25≥2.10，小注对冲大2.25</x:v>
      </x:c>
      <x:c r="I2123" t="n">
        <x:v>46083.09774305556</x:v>
      </x:c>
      <x:c r="J2123" t="str">
        <x:v>已结算</x:v>
      </x:c>
      <x:c r="K2123" t="str">
        <x:v>3-3</x:v>
      </x:c>
      <x:c r="L2123" t="str">
        <x:v>走水</x:v>
      </x:c>
      <x:c r="M2123" t="str">
        <x:v>输</x:v>
      </x:c>
      <x:c r="N2123" t="n">
        <x:v>0</x:v>
      </x:c>
      <x:c r="O2123" t="n">
        <x:v>-1</x:v>
      </x:c>
      <x:c r="P2123" t="n">
        <x:f>IF(COUNT(N2123:O2123)=0,"",SUM(N2123:O2123))</x:f>
        <x:v>-1</x:v>
      </x:c>
      <x:c r="Q2123"/>
      <x:c r="R2123" t="str">
        <x:v>FT 3-3</x:v>
      </x:c>
    </x:row>
    <x:row r="2124">
      <x:c r="A2124" t="str">
        <x:f>IF(B2124="","",TEXT(B2124,"yyyy-mm-dd")&amp;"|"&amp;D2124&amp;"|"&amp;E2124)</x:f>
        <x:v>2026-03-02|柏斯度（Deportivo Pasto）|侨卡巴（Boyacá Chicó）</x:v>
      </x:c>
      <x:c r="B2124" s="39" t="n">
        <x:v>46083.125</x:v>
      </x:c>
      <x:c r="C2124" t="str">
        <x:v>哥伦比亚甲级联赛（Liga BetPlay DIMAYOR）</x:v>
      </x:c>
      <x:c r="D2124" t="str">
        <x:v>柏斯度（Deportivo Pasto）</x:v>
      </x:c>
      <x:c r="E2124" t="str">
        <x:v>侨卡巴（Boyacá Chicó）</x:v>
      </x:c>
      <x:c r="F2124" t="str">
        <x:v>侨卡巴 +1（受让一球）@0.96左右（港赔）</x:v>
      </x:c>
      <x:c r="G2124" t="str">
        <x:v>小 2/2.5（2.25）@0.87左右（港赔）</x:v>
      </x:c>
      <x:c r="H2124" t="str">
        <x:v>进取：柏斯度 -1（让一球）@0.85左右；若临场升到-1/1.5且侨卡巴+1.5≥0.85：可升级侨卡巴+1.5</x:v>
      </x:c>
      <x:c r="I2124" t="n">
        <x:v>46083.114386574074</x:v>
      </x:c>
      <x:c r="J2124" t="str">
        <x:v>已结算</x:v>
      </x:c>
      <x:c r="K2124" t="str">
        <x:v>3-2</x:v>
      </x:c>
      <x:c r="L2124" t="str">
        <x:v>走水</x:v>
      </x:c>
      <x:c r="M2124" t="str">
        <x:v>输</x:v>
      </x:c>
      <x:c r="N2124" t="n">
        <x:v>0</x:v>
      </x:c>
      <x:c r="O2124" t="n">
        <x:v>-1</x:v>
      </x:c>
      <x:c r="P2124" t="n">
        <x:f>IF(COUNT(N2124:O2124)=0,"",SUM(N2124:O2124))</x:f>
        <x:v>-1</x:v>
      </x:c>
      <x:c r="Q2124"/>
      <x:c r="R2124" t="str">
        <x:v>FT 3-2；侨卡巴+1走水（3-2+1=3-3）；小2.25输（总进球5）</x:v>
      </x:c>
    </x:row>
    <x:row r="2125">
      <x:c r="A2125" t="str">
        <x:f>IF(B2125="","",TEXT(B2125,"yyyy-mm-dd")&amp;"|"&amp;D2125&amp;"|"&amp;E2125)</x:f>
        <x:v>2026-03-02|都灵（Torino）|拉齐奥（Lazio）</x:v>
      </x:c>
      <x:c r="B2125" s="39" t="n">
        <x:v>46083.041666666664</x:v>
      </x:c>
      <x:c r="C2125" t="str">
        <x:v>意大利甲级联赛（Serie A）</x:v>
      </x:c>
      <x:c r="D2125" t="str">
        <x:v>都灵（Torino）</x:v>
      </x:c>
      <x:c r="E2125" t="str">
        <x:v>拉齐奥（Lazio）</x:v>
      </x:c>
      <x:c r="F2125" t="str">
        <x:v>拉齐奥 0（平手盘/DNB）@1.92左右（≈港赔0.92）</x:v>
      </x:c>
      <x:c r="G2125" t="str">
        <x:v>大 2.5 @2.43左右（≈港赔1.43）</x:v>
      </x:c>
      <x:c r="H2125" t="str">
        <x:v>进取：拉齐奥 胜 @2.7~2.9；稳健：若临场大2.25≥1.95可降盘；若担心进球效率，改大2.0（≥1.85，2球走水）</x:v>
      </x:c>
      <x:c r="I2125" t="n">
        <x:v>46083.09108796297</x:v>
      </x:c>
      <x:c r="J2125" t="str">
        <x:v>已结算</x:v>
      </x:c>
      <x:c r="K2125" t="str">
        <x:v>2-0</x:v>
      </x:c>
      <x:c r="L2125" t="str">
        <x:v>输</x:v>
      </x:c>
      <x:c r="M2125" t="str">
        <x:v>输</x:v>
      </x:c>
      <x:c r="N2125" t="n">
        <x:v>-1</x:v>
      </x:c>
      <x:c r="O2125" t="n">
        <x:v>-1</x:v>
      </x:c>
      <x:c r="P2125" t="n">
        <x:f>IF(COUNT(N2125:O2125)=0,"",SUM(N2125:O2125))</x:f>
        <x:v>-2</x:v>
      </x:c>
      <x:c r="Q2125"/>
      <x:c r="R2125" t="str">
        <x:v>FT 2-0</x:v>
      </x:c>
    </x:row>
    <x:row r="2126">
      <x:c r="A2126" t="str">
        <x:f>IF(B2126="","",TEXT(B2126,"yyyy-mm-dd")&amp;"|"&amp;D2126&amp;"|"&amp;E2126)</x:f>
        <x:v>2026-03-02|阿森纳（Arsenal）|切尔西（Chelsea）</x:v>
      </x:c>
      <x:c r="B2126" s="39" t="n">
        <x:v>46083.020833333336</x:v>
      </x:c>
      <x:c r="C2126" t="str">
        <x:v>英格兰超级联赛（Premier League）</x:v>
      </x:c>
      <x:c r="D2126" t="str">
        <x:v>阿森纳（Arsenal）</x:v>
      </x:c>
      <x:c r="E2126" t="str">
        <x:v>切尔西（Chelsea）</x:v>
      </x:c>
      <x:c r="F2126" t="str">
        <x:v>切尔西 +1（受让一球）@1.85左右（≈港赔0.85；Pinnacle 1.847）</x:v>
      </x:c>
      <x:c r="G2126" t="str">
        <x:v>小 2.75（2.5/3）@1.96左右（≈港赔0.96；Pinnacle 1.961）</x:v>
      </x:c>
      <x:c r="H2126" t="str">
        <x:v>进取：阿森纳 -1 @2.07（赢2球全赢，赢1球走水）；或对冲：大2.75 @1.93。稳健：切尔西 +1.25 若≥1.75</x:v>
      </x:c>
      <x:c r="I2126" t="n">
        <x:v>46082.994039351855</x:v>
      </x:c>
      <x:c r="J2126" t="str">
        <x:v>已结算</x:v>
      </x:c>
      <x:c r="K2126" t="str">
        <x:v>2-1</x:v>
      </x:c>
      <x:c r="L2126" t="str">
        <x:v>走水</x:v>
      </x:c>
      <x:c r="M2126" t="str">
        <x:v>输半</x:v>
      </x:c>
      <x:c r="N2126" t="n">
        <x:v>0</x:v>
      </x:c>
      <x:c r="O2126" t="n">
        <x:v>-0.5</x:v>
      </x:c>
      <x:c r="P2126" t="n">
        <x:f>IF(COUNT(N2126:O2126)=0,"",SUM(N2126:O2126))</x:f>
        <x:v>-0.5</x:v>
      </x:c>
      <x:c r="Q2126" t="str">
        <x:v>SofaScore</x:v>
      </x:c>
      <x:c r="R2126" t="str">
        <x:v>校正赛果：阿森纳（Arsenal） 2-1 切尔西（Chelsea）；让球：切尔西 +1 -&gt; 走水（0）；大小：小2.75 -&gt; 输半（-0.5）；来源：SofaScore。</x:v>
      </x:c>
    </x:row>
    <x:row r="2127">
      <x:c r="A2127" t="str">
        <x:f>IF(B2127="","",TEXT(B2127,"yyyy-mm-dd")&amp;"|"&amp;D2127&amp;"|"&amp;E2127)</x:f>
        <x:v>2026-03-01|佩斯索罗（Persis Solo）|佩斯克谏义里（Persik Kediri）</x:v>
      </x:c>
      <x:c r="B2127" s="39" t="n">
        <x:v>46082.895833333336</x:v>
      </x:c>
      <x:c r="C2127" t="str">
        <x:v>印度尼西亚超级联赛（印尼超/Liga 1 Indonesia）</x:v>
      </x:c>
      <x:c r="D2127" t="str">
        <x:v>佩斯索罗（Persis Solo）</x:v>
      </x:c>
      <x:c r="E2127" t="str">
        <x:v>佩斯克谏义里（Persik Kediri）</x:v>
      </x:c>
      <x:c r="F2127" t="str">
        <x:v>佩斯克谏义里 0（平手盘/DNB）@2.10左右（美式+110；≈港赔1.10）</x:v>
      </x:c>
      <x:c r="G2127" t="str">
        <x:v>小 2.5 @1.93左右（美式-108；≈港赔0.93）</x:v>
      </x:c>
      <x:c r="H2127" t="str">
        <x:v>小注：平局 @3.40左右（美式+240）；或比分1-1 @6.50左右（美式+550）</x:v>
      </x:c>
      <x:c r="I2127" t="n">
        <x:v>46082.935844907406</x:v>
      </x:c>
      <x:c r="J2127" t="str">
        <x:v>已结算</x:v>
      </x:c>
      <x:c r="K2127" t="str">
        <x:v>2-1</x:v>
      </x:c>
      <x:c r="L2127" t="str">
        <x:v>输</x:v>
      </x:c>
      <x:c r="M2127" t="str">
        <x:v>输</x:v>
      </x:c>
      <x:c r="N2127" t="n">
        <x:v>-1</x:v>
      </x:c>
      <x:c r="O2127" t="n">
        <x:v>-1</x:v>
      </x:c>
      <x:c r="P2127" t="n">
        <x:f>IF(COUNT(N2127:O2127)=0,"",SUM(N2127:O2127))</x:f>
        <x:v>-2</x:v>
      </x:c>
      <x:c r="Q2127"/>
      <x:c r="R2127" t="str">
        <x:v>FT 2-1</x:v>
      </x:c>
    </x:row>
    <x:row r="2128">
      <x:c r="A2128" t="str">
        <x:f>IF(B2128="","",TEXT(B2128,"yyyy-mm-dd")&amp;"|"&amp;D2128&amp;"|"&amp;E2128)</x:f>
        <x:v>2026-03-01|德瓦联（Dewa United）|巴杨卡拉泗水联（Bhayangkara）</x:v>
      </x:c>
      <x:c r="B2128" s="39" t="n">
        <x:v>46082.895833333336</x:v>
      </x:c>
      <x:c r="C2128" t="str">
        <x:v>印度尼西亚超级联赛（印尼超/Liga 1 Indonesia）</x:v>
      </x:c>
      <x:c r="D2128" t="str">
        <x:v>德瓦联（Dewa United）</x:v>
      </x:c>
      <x:c r="E2128" t="str">
        <x:v>巴杨卡拉泗水联（Bhayangkara）</x:v>
      </x:c>
      <x:c r="F2128" t="str">
        <x:v>德瓦联 -0.5（让半球）@1.95左右（≈港赔0.95）</x:v>
      </x:c>
      <x:c r="G2128" t="str">
        <x:v>小 2.5 @1.87左右（≈港赔0.87）</x:v>
      </x:c>
      <x:c r="H2128" t="str">
        <x:v>若临场退到德瓦联-0/0.5（-0.25）且≥0.90（港赔）：可升级-0.25；若小2.5被压到&lt;0.78（港赔）：改小2.75且≥0.85提高性价比</x:v>
      </x:c>
      <x:c r="I2128" t="n">
        <x:v>46082.85611111111</x:v>
      </x:c>
      <x:c r="J2128" t="str">
        <x:v>已结算</x:v>
      </x:c>
      <x:c r="K2128" t="str">
        <x:v>0-2</x:v>
      </x:c>
      <x:c r="L2128" t="str">
        <x:v>输</x:v>
      </x:c>
      <x:c r="M2128" t="str">
        <x:v>赢</x:v>
      </x:c>
      <x:c r="N2128" t="n">
        <x:v>-1</x:v>
      </x:c>
      <x:c r="O2128" t="n">
        <x:v>1</x:v>
      </x:c>
      <x:c r="P2128" t="n">
        <x:f>IF(COUNT(N2128:O2128)=0,"",SUM(N2128:O2128))</x:f>
        <x:v>0</x:v>
      </x:c>
      <x:c r="Q2128"/>
      <x:c r="R2128" t="str">
        <x:v>FT 0-2</x:v>
      </x:c>
    </x:row>
    <x:row r="2129">
      <x:c r="A2129" t="str">
        <x:f>IF(B2129="","",TEXT(B2129,"yyyy-mm-dd")&amp;"|"&amp;D2129&amp;"|"&amp;E2129)</x:f>
        <x:v>2026-03-01|克雷莫纳（Cremonese）|AC米兰（AC Milan）</x:v>
      </x:c>
      <x:c r="B2129" s="39" t="n">
        <x:v>46082.8125</x:v>
      </x:c>
      <x:c r="C2129" t="str">
        <x:v>意大利甲级联赛（Serie A）</x:v>
      </x:c>
      <x:c r="D2129" t="str">
        <x:v>克雷莫纳（Cremonese）</x:v>
      </x:c>
      <x:c r="E2129" t="str">
        <x:v>AC米兰（AC Milan）</x:v>
      </x:c>
      <x:c r="F2129" t="str">
        <x:v>AC米兰 -1/1.5（-1.25）@1.92~1.96（≈港赔0.92~0.96）</x:v>
      </x:c>
      <x:c r="G2129" t="str">
        <x:v>小 2.5 @1.86~1.92（≈港赔0.86~0.92）</x:v>
      </x:c>
      <x:c r="H2129" t="str">
        <x:v>稳健：AC米兰 -1.0 若≥1.85（赢1球走水）；进取：AC米兰 -1.5 若≥2.15；若小2.5被压到&lt;1.78：改小2.75且≥1.85提高容错</x:v>
      </x:c>
      <x:c r="I2129" t="n">
        <x:v>46082.78611111111</x:v>
      </x:c>
      <x:c r="J2129" t="str">
        <x:v>已结算</x:v>
      </x:c>
      <x:c r="K2129" t="str">
        <x:v>0-2</x:v>
      </x:c>
      <x:c r="L2129" t="str">
        <x:v>赢</x:v>
      </x:c>
      <x:c r="M2129" t="str">
        <x:v>赢</x:v>
      </x:c>
      <x:c r="N2129" t="n">
        <x:v>1</x:v>
      </x:c>
      <x:c r="O2129" t="n">
        <x:v>1</x:v>
      </x:c>
      <x:c r="P2129" t="n">
        <x:f>IF(COUNT(N2129:O2129)=0,"",SUM(N2129:O2129))</x:f>
        <x:v>2</x:v>
      </x:c>
      <x:c r="Q2129"/>
      <x:c r="R2129" t="str">
        <x:v>FT 0-2</x:v>
      </x:c>
    </x:row>
    <x:row r="2130">
      <x:c r="A2130" t="str">
        <x:f>IF(B2130="","",TEXT(B2130,"yyyy-mm-dd")&amp;"|"&amp;D2130&amp;"|"&amp;E2130)</x:f>
        <x:v>2026-03-01|甸普体育会（Dempo SC）|皇家克什米尔（Real Kashmir FC）</x:v>
      </x:c>
      <x:c r="B2130" s="39" t="n">
        <x:v>46082.770833333336</x:v>
      </x:c>
      <x:c r="C2130" t="str">
        <x:v>印度超级联赛（Indian Super League）</x:v>
      </x:c>
      <x:c r="D2130" t="str">
        <x:v>甸普体育会（Dempo SC）</x:v>
      </x:c>
      <x:c r="E2130" t="str">
        <x:v>皇家克什米尔（Real Kashmir FC）</x:v>
      </x:c>
      <x:c r="F2130" t="str">
        <x:v>甸普 +0/0.5（+0.25）@2.00左右（≈港赔1.00）</x:v>
      </x:c>
      <x:c r="G2130" t="str">
        <x:v>小 2.5 @1.83~1.91（≈港赔0.83~0.91）</x:v>
      </x:c>
      <x:c r="H2130" t="str">
        <x:v>进取：甸普 胜 @2.25左右；更稳：若临场仅能拿到+0且≥1.80，可改甸普0（DNB）。若总分升到2.75且小2.75≥1.80：改小2.75</x:v>
      </x:c>
      <x:c r="I2130" t="n">
        <x:v>46082.80447916667</x:v>
      </x:c>
      <x:c r="J2130" t="str">
        <x:v>已结算</x:v>
      </x:c>
      <x:c r="K2130" t="str">
        <x:v>2-2</x:v>
      </x:c>
      <x:c r="L2130" t="str">
        <x:v>赢半</x:v>
      </x:c>
      <x:c r="M2130" t="str">
        <x:v>输</x:v>
      </x:c>
      <x:c r="N2130" t="n">
        <x:v>0.5</x:v>
      </x:c>
      <x:c r="O2130" t="n">
        <x:v>-1</x:v>
      </x:c>
      <x:c r="P2130" t="n">
        <x:f>IF(COUNT(N2130:O2130)=0,"",SUM(N2130:O2130))</x:f>
        <x:v>-0.5</x:v>
      </x:c>
      <x:c r="Q2130"/>
      <x:c r="R2130" t="str">
        <x:v>FT 2-2</x:v>
      </x:c>
    </x:row>
    <x:row r="2131">
      <x:c r="A2131" t="str">
        <x:f>IF(B2131="","",TEXT(B2131,"yyyy-mm-dd")&amp;"|"&amp;D2131&amp;"|"&amp;E2131)</x:f>
        <x:v>2026-03-01|川崎前锋（Kawasaki Frontale）|水户蜀葵（Mito HollyHock）</x:v>
      </x:c>
      <x:c r="B2131" s="39" t="n">
        <x:v>46082.625</x:v>
      </x:c>
      <x:c r="C2131" t="str">
        <x:v>日职联（J1 League）</x:v>
      </x:c>
      <x:c r="D2131" t="str">
        <x:v>川崎前锋（Kawasaki Frontale）</x:v>
      </x:c>
      <x:c r="E2131" t="str">
        <x:v>水户蜀葵（Mito HollyHock）</x:v>
      </x:c>
      <x:c r="F2131" t="str">
        <x:v>川崎前锋 -0.5（让半球）@1.92左右（≈港赔0.92）</x:v>
      </x:c>
      <x:c r="G2131" t="str">
        <x:v>小 2.5/3（2.75）@1.93左右（≈港赔0.93）</x:v>
      </x:c>
      <x:c r="H2131" t="str">
        <x:v>进取：川崎 -0.5/-1（-0.75）若≥1.90；更稳：川崎 -0/0.5（-0.25）若≥1.95；若临场大2.75≥1.95且节奏偏快，小注对冲大2.75</x:v>
      </x:c>
      <x:c r="I2131" t="n">
        <x:v>46082.78444444444</x:v>
      </x:c>
      <x:c r="J2131" t="str">
        <x:v>已结算</x:v>
      </x:c>
      <x:c r="K2131" t="str">
        <x:v>2-2</x:v>
      </x:c>
      <x:c r="L2131" t="str">
        <x:v>输</x:v>
      </x:c>
      <x:c r="M2131" t="str">
        <x:v>输</x:v>
      </x:c>
      <x:c r="N2131" t="n">
        <x:v>-1</x:v>
      </x:c>
      <x:c r="O2131" t="n">
        <x:v>-1</x:v>
      </x:c>
      <x:c r="P2131" t="n">
        <x:f>IF(COUNT(N2131:O2131)=0,"",SUM(N2131:O2131))</x:f>
        <x:v>-2</x:v>
      </x:c>
      <x:c r="Q2131"/>
      <x:c r="R2131" t="str">
        <x:v>FT 2-2（90分钟）；如含点球不计入盘口</x:v>
      </x:c>
    </x:row>
    <x:row r="2132">
      <x:c r="A2132" t="str">
        <x:f>IF(B2132="","",TEXT(B2132,"yyyy-mm-dd")&amp;"|"&amp;D2132&amp;"|"&amp;E2132)</x:f>
        <x:v>2026-03-01|冈山绿雉（Fagiano Okayama）|名古屋鲸八（Nagoya Grampus）</x:v>
      </x:c>
      <x:c r="B2132" s="39" t="n">
        <x:v>46082.541666666664</x:v>
      </x:c>
      <x:c r="C2132" t="str">
        <x:v>日职联（J1 League）</x:v>
      </x:c>
      <x:c r="D2132" t="str">
        <x:v>冈山绿雉（Fagiano Okayama）</x:v>
      </x:c>
      <x:c r="E2132" t="str">
        <x:v>名古屋鲸八（Nagoya Grampus）</x:v>
      </x:c>
      <x:c r="F2132" t="str">
        <x:v>名古屋鲸八 -0/0.5（-0.25）@2.14左右</x:v>
      </x:c>
      <x:c r="G2132" t="str">
        <x:v>小 2.0 @2.04左右（2球走水）</x:v>
      </x:c>
      <x:c r="H2132" t="str">
        <x:v>更稳：名古屋鲸八 0（DNB）若≥1.80；若临场主力攻击手齐整且节奏偏快：改大2.0（≥1.85）或小2.25（≥1.85）</x:v>
      </x:c>
      <x:c r="I2132" t="n">
        <x:v>46082.53362268519</x:v>
      </x:c>
      <x:c r="J2132" t="str">
        <x:v>已结算</x:v>
      </x:c>
      <x:c r="K2132" t="str">
        <x:v>1-1</x:v>
      </x:c>
      <x:c r="L2132" t="str">
        <x:v>输半</x:v>
      </x:c>
      <x:c r="M2132" t="str">
        <x:v>走水</x:v>
      </x:c>
      <x:c r="N2132" t="n">
        <x:v>-0.5</x:v>
      </x:c>
      <x:c r="O2132" t="n">
        <x:v>0</x:v>
      </x:c>
      <x:c r="P2132" t="n">
        <x:f>IF(COUNT(N2132:O2132)=0,"",SUM(N2132:O2132))</x:f>
        <x:v>-0.5</x:v>
      </x:c>
      <x:c r="Q2132"/>
      <x:c r="R2132" t="str">
        <x:v>FT 1-1</x:v>
      </x:c>
    </x:row>
    <x:row r="2133">
      <x:c r="A2133" t="str">
        <x:f>IF(B2133="","",TEXT(B2133,"yyyy-mm-dd")&amp;"|"&amp;D2133&amp;"|"&amp;E2133)</x:f>
        <x:v>2026-03-01|墨西哥美洲（Club América）|老虎大学（Tigres UANL）</x:v>
      </x:c>
      <x:c r="B2133" s="39" t="n">
        <x:v>46082.46527777778</x:v>
      </x:c>
      <x:c r="C2133" t="str">
        <x:v>墨西哥超（Liga MX，Clausura）</x:v>
      </x:c>
      <x:c r="D2133" t="str">
        <x:v>墨西哥美洲（Club América）</x:v>
      </x:c>
      <x:c r="E2133" t="str">
        <x:v>老虎大学（Tigres UANL）</x:v>
      </x:c>
      <x:c r="F2133" t="str">
        <x:v>老虎大学 +0/0.5（+0.25）@2.02左右（≈港赔1.02）</x:v>
      </x:c>
      <x:c r="G2133" t="str">
        <x:v>小 2/2.5（2.25）@1.83左右（≈港赔0.83）</x:v>
      </x:c>
      <x:c r="H2133" t="str">
        <x:v>若临场重新升到美洲-0.5且美洲-0.5≥2.00：可转追美洲-0.5；若小2.25被压到&lt;1.75：改小2.5且≥1.85；若确认双方主力前锋齐整且大2.25≥2.00：小注对冲大2.25</x:v>
      </x:c>
      <x:c r="I2133" t="n">
        <x:v>46082.46319444444</x:v>
      </x:c>
      <x:c r="J2133" t="str">
        <x:v>已结算</x:v>
      </x:c>
      <x:c r="K2133" t="str">
        <x:v>1-4</x:v>
      </x:c>
      <x:c r="L2133" t="str">
        <x:v>赢</x:v>
      </x:c>
      <x:c r="M2133" t="str">
        <x:v>输</x:v>
      </x:c>
      <x:c r="N2133" t="n">
        <x:v>1</x:v>
      </x:c>
      <x:c r="O2133" t="n">
        <x:v>-1</x:v>
      </x:c>
      <x:c r="P2133" t="n">
        <x:f>IF(COUNT(N2133:O2133)=0,"",SUM(N2133:O2133))</x:f>
        <x:v>0</x:v>
      </x:c>
      <x:c r="Q2133"/>
      <x:c r="R2133" t="str">
        <x:v>FT 1-4（老虎+0.25全赢；小2.25输）</x:v>
      </x:c>
    </x:row>
    <x:row r="2134">
      <x:c r="A2134" t="str">
        <x:f>IF(B2134="","",TEXT(B2134,"yyyy-mm-dd")&amp;"|"&amp;D2134&amp;"|"&amp;E2134)</x:f>
        <x:v>2026-03-01|惠灵顿凤凰（Wellington Phoenix）|悉尼FC（Sydney FC）</x:v>
      </x:c>
      <x:c r="B2134" s="39" t="n">
        <x:v>46082.416666666664</x:v>
      </x:c>
      <x:c r="C2134" t="str">
        <x:v>澳大利亚A联赛（A-League Men）</x:v>
      </x:c>
      <x:c r="D2134" t="str">
        <x:v>惠灵顿凤凰（Wellington Phoenix）</x:v>
      </x:c>
      <x:c r="E2134" t="str">
        <x:v>悉尼FC（Sydney FC）</x:v>
      </x:c>
      <x:c r="F2134" t="str">
        <x:v>悉尼FC -0.5（让半球）@1.91左右（≈港赔0.91）</x:v>
      </x:c>
      <x:c r="G2134" t="str">
        <x:v>小 3.0 @1.93左右（≈港赔0.93；3球走水）</x:v>
      </x:c>
      <x:c r="H2134" t="str">
        <x:v>更稳：悉尼FC 0（DNB）@1.80左右（≈港赔0.80）；博高回报：小2.5 @2.28左右（≈港赔1.28）</x:v>
      </x:c>
      <x:c r="I2134" t="n">
        <x:v>46082.44820601852</x:v>
      </x:c>
      <x:c r="J2134" t="str">
        <x:v>已结算</x:v>
      </x:c>
      <x:c r="K2134" t="str">
        <x:v>0-1</x:v>
      </x:c>
      <x:c r="L2134" t="str">
        <x:v>赢</x:v>
      </x:c>
      <x:c r="M2134" t="str">
        <x:v>赢</x:v>
      </x:c>
      <x:c r="N2134" t="n">
        <x:v>1</x:v>
      </x:c>
      <x:c r="O2134" t="n">
        <x:v>1</x:v>
      </x:c>
      <x:c r="P2134" t="n">
        <x:f>IF(COUNT(N2134:O2134)=0,"",SUM(N2134:O2134))</x:f>
        <x:v>2</x:v>
      </x:c>
      <x:c r="Q2134" t="str">
        <x:v>SofaScore</x:v>
      </x:c>
      <x:c r="R2134" t="str">
        <x:v>校正赛果：惠灵顿凤凰（Wellington Phoenix） 0-1 悉尼FC（Sydney FC）；让球：悉尼FC -0.5 -&gt; 赢（1）；大小：小3.0 -&gt; 赢（1）；来源：SofaScore。</x:v>
      </x:c>
    </x:row>
    <x:row r="2135">
      <x:c r="A2135" t="str">
        <x:f>IF(B2135="","",TEXT(B2135,"yyyy-mm-dd")&amp;"|"&amp;D2135&amp;"|"&amp;E2135)</x:f>
        <x:v>2026-03-01|莱昂（Club León）|内卡萨（Necaxa）</x:v>
      </x:c>
      <x:c r="B2135" s="39" t="n">
        <x:v>46082.379166666666</x:v>
      </x:c>
      <x:c r="C2135" t="str">
        <x:v>墨西哥超（Liga MX，Clausura）</x:v>
      </x:c>
      <x:c r="D2135" t="str">
        <x:v>莱昂（Club León）</x:v>
      </x:c>
      <x:c r="E2135" t="str">
        <x:v>内卡萨（Necaxa）</x:v>
      </x:c>
      <x:c r="F2135" t="str">
        <x:v>内卡萨 +0/0.5（+0.25）@1.86左右（≈港赔0.86）</x:v>
      </x:c>
      <x:c r="G2135" t="str">
        <x:v>小 2.5 @2.12左右（≈港赔1.12）</x:v>
      </x:c>
      <x:c r="H2135" t="str">
        <x:v>更稳：内卡萨 +0.5 若≥1.80（港赔≥0.80）；若临场总分升到2.75且小2.75≥1.85：改小2.75（3球输半）</x:v>
      </x:c>
      <x:c r="I2135" t="n">
        <x:v>46082.38465277778</x:v>
      </x:c>
      <x:c r="J2135" t="str">
        <x:v>已结算</x:v>
      </x:c>
      <x:c r="K2135" t="str">
        <x:v>2-1</x:v>
      </x:c>
      <x:c r="L2135" t="str">
        <x:v>输</x:v>
      </x:c>
      <x:c r="M2135" t="str">
        <x:v>输</x:v>
      </x:c>
      <x:c r="N2135" t="n">
        <x:v>-1</x:v>
      </x:c>
      <x:c r="O2135" t="n">
        <x:v>-1</x:v>
      </x:c>
      <x:c r="P2135" t="n">
        <x:f>IF(COUNT(N2135:O2135)=0,"",SUM(N2135:O2135))</x:f>
        <x:v>-2</x:v>
      </x:c>
      <x:c r="Q2135" t="str">
        <x:v>SofaScore</x:v>
      </x:c>
      <x:c r="R2135" t="str">
        <x:v>校正赛果：莱昂（Club León） 2-1 内卡萨（Necaxa）；让球：内卡萨 +0.25 -&gt; 输（-1）；大小：小2.5 -&gt; 输（-1）；来源：SofaScore。</x:v>
      </x:c>
    </x:row>
    <x:row r="2136">
      <x:c r="A2136" t="str">
        <x:f>IF(B2136="","",TEXT(B2136,"yyyy-mm-dd")&amp;"|"&amp;D2136&amp;"|"&amp;E2136)</x:f>
        <x:v>2026-03-01|坎昆FC（Cancún FC）|哈依布拉瓦（Jaiba Brava/坦皮科马德罗）</x:v>
      </x:c>
      <x:c r="B2136" s="39" t="n">
        <x:v>46082.375</x:v>
      </x:c>
      <x:c r="C2136" t="str">
        <x:v>墨西哥甲级扩展联赛（Liga de Expansión MX）</x:v>
      </x:c>
      <x:c r="D2136" t="str">
        <x:v>坎昆FC（Cancún FC）</x:v>
      </x:c>
      <x:c r="E2136" t="str">
        <x:v>哈依布拉瓦（Jaiba Brava/坦皮科马德罗）</x:v>
      </x:c>
      <x:c r="F2136" t="str">
        <x:v>坎昆 0（平手盘/DNB）@1.87左右（≈港赔0.87）</x:v>
      </x:c>
      <x:c r="G2136" t="str">
        <x:v>小 2/2.5（2.25）@1.90左右（≈港赔0.90）</x:v>
      </x:c>
      <x:c r="H2136" t="str">
        <x:v>若临场退回坎昆-0/0.5（-0.25）且≥1.90：可小注升级-0.25；若总分升到2.5且小2.5≥1.85：改小2.5更稳；若早段节奏极快且大2.25≥2.00：小注对冲大2.25</x:v>
      </x:c>
      <x:c r="I2136" t="n">
        <x:v>46082.3803125</x:v>
      </x:c>
      <x:c r="J2136" t="str">
        <x:v>已结算</x:v>
      </x:c>
      <x:c r="K2136" t="str">
        <x:v>1-2</x:v>
      </x:c>
      <x:c r="L2136" t="str">
        <x:v>输</x:v>
      </x:c>
      <x:c r="M2136" t="str">
        <x:v>输半</x:v>
      </x:c>
      <x:c r="N2136" t="n">
        <x:v>-1</x:v>
      </x:c>
      <x:c r="O2136" t="n">
        <x:v>-0.5</x:v>
      </x:c>
      <x:c r="P2136" t="n">
        <x:f>IF(COUNT(N2136:O2136)=0,"",SUM(N2136:O2136))</x:f>
        <x:v>-1.5</x:v>
      </x:c>
      <x:c r="Q2136"/>
      <x:c r="R2136" t="str">
        <x:v>FT 1-2</x:v>
      </x:c>
    </x:row>
    <x:row r="2137">
      <x:c r="A2137" t="str">
        <x:f>IF(B2137="","",TEXT(B2137,"yyyy-mm-dd")&amp;"|"&amp;D2137&amp;"|"&amp;E2137)</x:f>
        <x:v>2026-03-01|莫雷利亚竞技（Atlético Morelia）|拉巴斯竞技（Club Atlético La Paz）</x:v>
      </x:c>
      <x:c r="B2137" s="39" t="n">
        <x:v>46082.375</x:v>
      </x:c>
      <x:c r="C2137" t="str">
        <x:v>墨西哥甲级扩展联赛（Liga de Expansión MX）</x:v>
      </x:c>
      <x:c r="D2137" t="str">
        <x:v>莫雷利亚竞技（Atlético Morelia）</x:v>
      </x:c>
      <x:c r="E2137" t="str">
        <x:v>拉巴斯竞技（Club Atlético La Paz）</x:v>
      </x:c>
      <x:c r="F2137" t="str">
        <x:v>莫雷利亚竞技 -0.5/-1（-0.75）@1.80左右（≈港赔0.80）</x:v>
      </x:c>
      <x:c r="G2137" t="str">
        <x:v>小 3.0 @1.90左右（≈港赔0.90；3球走水）</x:v>
      </x:c>
      <x:c r="H2137" t="str">
        <x:v>稳健：莫雷利亚竞技 -0/0.5（-0.25）@1.80左右；进取：莫雷利亚竞技 -1.0 @2.00左右（1球走水）；若临场总分降到2.75且小2.75≥1.85：可改小2.75</x:v>
      </x:c>
      <x:c r="I2137" t="n">
        <x:v>46082.37740740741</x:v>
      </x:c>
      <x:c r="J2137" t="str">
        <x:v>已结算</x:v>
      </x:c>
      <x:c r="K2137" t="str">
        <x:v>1-0</x:v>
      </x:c>
      <x:c r="L2137" t="str">
        <x:v>赢半</x:v>
      </x:c>
      <x:c r="M2137" t="str">
        <x:v>赢</x:v>
      </x:c>
      <x:c r="N2137" t="n">
        <x:v>0.5</x:v>
      </x:c>
      <x:c r="O2137" t="n">
        <x:v>1</x:v>
      </x:c>
      <x:c r="P2137" t="n">
        <x:f>IF(COUNT(N2137:O2137)=0,"",SUM(N2137:O2137))</x:f>
        <x:v>1.5</x:v>
      </x:c>
      <x:c r="Q2137"/>
      <x:c r="R2137" t="str">
        <x:v>复核赛果：莫雷利亚竞技（Atlético Morelia） 1-0 拉巴斯竞技（Club Atlético La Paz）；让球：莫雷利亚竞技 -0.75=赢半；大小：小3.0=赢。</x:v>
      </x:c>
    </x:row>
    <x:row r="2138">
      <x:c r="A2138" t="str">
        <x:f>IF(B2138="","",TEXT(B2138,"yyyy-mm-dd")&amp;"|"&amp;D2138&amp;"|"&amp;E2138)</x:f>
        <x:v>2026-03-01|皇家盐湖城（Real Salt Lake）|西雅图海湾人（Seattle Sounders）</x:v>
      </x:c>
      <x:c r="B2138" s="39" t="n">
        <x:v>46082.354166666664</x:v>
      </x:c>
      <x:c r="C2138" t="str">
        <x:v>美职联（MLS）</x:v>
      </x:c>
      <x:c r="D2138" t="str">
        <x:v>皇家盐湖城（Real Salt Lake）</x:v>
      </x:c>
      <x:c r="E2138" t="str">
        <x:v>西雅图海湾人（Seattle Sounders）</x:v>
      </x:c>
      <x:c r="F2138" t="str">
        <x:v>西雅图海湾人 -0/0.5（-0.25）@1.88左右（≈港赔0.88）</x:v>
      </x:c>
      <x:c r="G2138" t="str">
        <x:v>小 2.5 @1.88左右（≈港赔0.88）</x:v>
      </x:c>
      <x:c r="H2138" t="str">
        <x:v>更稳：西雅图海湾人 0（DNB）若≥1.80；若临场总分升到2.75且小2.75≥1.80：改小2.75提升容错；若确认RSL后防多人缺阵且大2.5≥2.00：小注对冲大2.5</x:v>
      </x:c>
      <x:c r="I2138" t="n">
        <x:v>46082.37175925926</x:v>
      </x:c>
      <x:c r="J2138" t="str">
        <x:v>已结算</x:v>
      </x:c>
      <x:c r="K2138" t="str">
        <x:v>2-1</x:v>
      </x:c>
      <x:c r="L2138" t="str">
        <x:v>输</x:v>
      </x:c>
      <x:c r="M2138" t="str">
        <x:v>输</x:v>
      </x:c>
      <x:c r="N2138" t="n">
        <x:v>-1</x:v>
      </x:c>
      <x:c r="O2138" t="n">
        <x:v>-1</x:v>
      </x:c>
      <x:c r="P2138" t="n">
        <x:f>IF(COUNT(N2138:O2138)=0,"",SUM(N2138:O2138))</x:f>
        <x:v>-2</x:v>
      </x:c>
      <x:c r="Q2138"/>
      <x:c r="R2138" t="str">
        <x:v>FT 2-1</x:v>
      </x:c>
    </x:row>
    <x:row r="2139">
      <x:c r="A2139" t="str">
        <x:f>IF(B2139="","",TEXT(B2139,"yyyy-mm-dd")&amp;"|"&amp;D2139&amp;"|"&amp;E2139)</x:f>
        <x:v>2026-03-01|阿根廷独立（CA Independiente）|科尔多瓦中央（Central Córdoba SdE）</x:v>
      </x:c>
      <x:c r="B2139" s="39" t="n">
        <x:v>46082.291666666664</x:v>
      </x:c>
      <x:c r="C2139" t="str">
        <x:v>阿根廷职业联赛（Liga Profesional·Apertura）</x:v>
      </x:c>
      <x:c r="D2139" t="str">
        <x:v>阿根廷独立（CA Independiente）</x:v>
      </x:c>
      <x:c r="E2139" t="str">
        <x:v>科尔多瓦中央（Central Córdoba SdE）</x:v>
      </x:c>
      <x:c r="F2139" t="str">
        <x:v>阿根廷独立 -0.75（让半/一）@1.82左右（≈港赔0.82）</x:v>
      </x:c>
      <x:c r="G2139" t="str">
        <x:v>小 2/2.5（2.25）@1.90~1.95（≈港赔0.90~0.95）</x:v>
      </x:c>
      <x:c r="H2139" t="str">
        <x:v>更稳：阿根廷独立 -0.5 若≥1.75；进取：阿根廷独立 -1.0 若≥2.10；若小2.25被压到&lt;1.80：改小2.5（≥1.85）或直接走小3.0（≥1.70）做保护</x:v>
      </x:c>
      <x:c r="I2139" t="n">
        <x:v>46082.305439814816</x:v>
      </x:c>
      <x:c r="J2139" t="str">
        <x:v>已结算</x:v>
      </x:c>
      <x:c r="K2139" t="str">
        <x:v>2-0</x:v>
      </x:c>
      <x:c r="L2139" t="str">
        <x:v>赢</x:v>
      </x:c>
      <x:c r="M2139" t="str">
        <x:v>赢半</x:v>
      </x:c>
      <x:c r="N2139" t="n">
        <x:v>1</x:v>
      </x:c>
      <x:c r="O2139" t="n">
        <x:v>0.5</x:v>
      </x:c>
      <x:c r="P2139" t="n">
        <x:f>IF(COUNT(N2139:O2139)=0,"",SUM(N2139:O2139))</x:f>
        <x:v>1.5</x:v>
      </x:c>
      <x:c r="Q2139"/>
      <x:c r="R2139" t="str">
        <x:v>FT 2-0</x:v>
      </x:c>
    </x:row>
    <x:row r="2140">
      <x:c r="A2140" t="str">
        <x:f>IF(B2140="","",TEXT(B2140,"yyyy-mm-dd")&amp;"|"&amp;D2140&amp;"|"&amp;E2140)</x:f>
        <x:v>2026-03-01|博卡青年（Boca Juniors）|门多萨甘拿斯亚（Gimnasia y Esgrima Mendoza）</x:v>
      </x:c>
      <x:c r="B2140" s="39" t="n">
        <x:v>46082.197916666664</x:v>
      </x:c>
      <x:c r="C2140" t="str">
        <x:v>阿根廷职业联赛（Liga Profesional·Apertura）</x:v>
      </x:c>
      <x:c r="D2140" t="str">
        <x:v>博卡青年（Boca Juniors）</x:v>
      </x:c>
      <x:c r="E2140" t="str">
        <x:v>门多萨甘拿斯亚（Gimnasia y Esgrima Mendoza）</x:v>
      </x:c>
      <x:c r="F2140" t="str">
        <x:v>博卡青年 -1（让一球）@1.85左右（≈港赔0.85）</x:v>
      </x:c>
      <x:c r="G2140" t="str">
        <x:v>小 2.0 @1.97左右（≈港赔0.97；2球走水）</x:v>
      </x:c>
      <x:c r="H2140" t="str">
        <x:v>更稳：博卡青年 -0.75 若≥1.80（港赔≥0.80）；进取：博卡青年 -1/1.5（-1.25）若≥2.05；若临场总分升到2.25且小2.25≥1.85：可升级小2.25提高容错</x:v>
      </x:c>
      <x:c r="I2140" t="n">
        <x:v>46082.21703703704</x:v>
      </x:c>
      <x:c r="J2140" t="str">
        <x:v>已结算</x:v>
      </x:c>
      <x:c r="K2140" t="str">
        <x:v>1-1</x:v>
      </x:c>
      <x:c r="L2140" t="str">
        <x:v>输</x:v>
      </x:c>
      <x:c r="M2140" t="str">
        <x:v>走水</x:v>
      </x:c>
      <x:c r="N2140" t="n">
        <x:v>-1</x:v>
      </x:c>
      <x:c r="O2140" t="n">
        <x:v>0</x:v>
      </x:c>
      <x:c r="P2140" t="n">
        <x:f>IF(COUNT(N2140:O2140)=0,"",SUM(N2140:O2140))</x:f>
        <x:v>-1</x:v>
      </x:c>
      <x:c r="Q2140"/>
      <x:c r="R2140" t="str">
        <x:v>FT 1-1</x:v>
      </x:c>
    </x:row>
    <x:row r="2141">
      <x:c r="A2141" t="str">
        <x:f>IF(B2141="","",TEXT(B2141,"yyyy-mm-dd")&amp;"|"&amp;D2141&amp;"|"&amp;E2141)</x:f>
        <x:v>2026-03-01|国际米兰（Inter）|热那亚（Genoa）</x:v>
      </x:c>
      <x:c r="B2141" s="39" t="n">
        <x:v>46082.15625</x:v>
      </x:c>
      <x:c r="C2141" t="str">
        <x:v>意大利甲级联赛（Serie A）</x:v>
      </x:c>
      <x:c r="D2141" t="str">
        <x:v>国际米兰（Inter）</x:v>
      </x:c>
      <x:c r="E2141" t="str">
        <x:v>热那亚（Genoa）</x:v>
      </x:c>
      <x:c r="F2141" t="str">
        <x:v>国际米兰 -1.5（让球半）@1.89左右（≈港赔0.89）</x:v>
      </x:c>
      <x:c r="G2141" t="str">
        <x:v>小 2.5 @2.15左右（≈港赔1.15）</x:v>
      </x:c>
      <x:c r="H2141" t="str">
        <x:v>更稳：国际米兰 -1.0 若≥1.85（赢1球走水）；若临场确认国米锋线效率下降（如劳塔罗缺阵+轮换更大）：可用 小2.75（≥1.85）替代小2.5提高容错</x:v>
      </x:c>
      <x:c r="I2141" t="n">
        <x:v>46082.20994212963</x:v>
      </x:c>
      <x:c r="J2141" t="str">
        <x:v>已结算</x:v>
      </x:c>
      <x:c r="K2141" t="str">
        <x:v>2-0</x:v>
      </x:c>
      <x:c r="L2141" t="str">
        <x:v>赢</x:v>
      </x:c>
      <x:c r="M2141" t="str">
        <x:v>赢</x:v>
      </x:c>
      <x:c r="N2141" t="n">
        <x:v>1</x:v>
      </x:c>
      <x:c r="O2141" t="n">
        <x:v>1</x:v>
      </x:c>
      <x:c r="P2141" t="n">
        <x:f>IF(COUNT(N2141:O2141)=0,"",SUM(N2141:O2141))</x:f>
        <x:v>2</x:v>
      </x:c>
      <x:c r="Q2141"/>
      <x:c r="R2141" t="str">
        <x:v>FT 2-0</x:v>
      </x:c>
    </x:row>
    <x:row r="2142">
      <x:c r="A2142" t="str">
        <x:f>IF(B2142="","",TEXT(B2142,"yyyy-mm-dd")&amp;"|"&amp;D2142&amp;"|"&amp;E2142)</x:f>
        <x:v>2026-03-01|利兹联（Leeds United）|曼彻斯特城（Manchester City）</x:v>
      </x:c>
      <x:c r="B2142" s="39" t="n">
        <x:v>46082.0625</x:v>
      </x:c>
      <x:c r="C2142" t="str">
        <x:v>英格兰超级联赛（Premier League）</x:v>
      </x:c>
      <x:c r="D2142" t="str">
        <x:v>利兹联（Leeds United）</x:v>
      </x:c>
      <x:c r="E2142" t="str">
        <x:v>曼彻斯特城（Manchester City）</x:v>
      </x:c>
      <x:c r="F2142" t="str">
        <x:v>曼彻斯特城 -0.75（让半/一）@1.875左右（≈港赔0.88）</x:v>
      </x:c>
      <x:c r="G2142" t="str">
        <x:v>大 2.75（2.5/3）@2.025左右（≈港赔1.03）</x:v>
      </x:c>
      <x:c r="H2142" t="str">
        <x:v>稳健：曼彻斯特城 -0.5 若≥1.80（≈港赔0.80）；若临场总分升到3.0且大3.0≥1.95可升级大3.0（3球走水）；若哈兰德缺阵/强轮换：改曼城-0.5 + 小3.0（≥0.85）</x:v>
      </x:c>
      <x:c r="I2142" t="n">
        <x:v>46081.99600694444</x:v>
      </x:c>
      <x:c r="J2142" t="str">
        <x:v>已结算</x:v>
      </x:c>
      <x:c r="K2142" t="str">
        <x:v>0-1</x:v>
      </x:c>
      <x:c r="L2142" t="str">
        <x:v>赢半</x:v>
      </x:c>
      <x:c r="M2142" t="str">
        <x:v>输</x:v>
      </x:c>
      <x:c r="N2142" t="n">
        <x:v>0.5</x:v>
      </x:c>
      <x:c r="O2142" t="n">
        <x:v>-1</x:v>
      </x:c>
      <x:c r="P2142" t="n">
        <x:f>IF(COUNT(N2142:O2142)=0,"",SUM(N2142:O2142))</x:f>
        <x:v>-0.5</x:v>
      </x:c>
      <x:c r="Q2142"/>
      <x:c r="R2142" t="str">
        <x:v>FT 0-1</x:v>
      </x:c>
    </x:row>
    <x:row r="2143">
      <x:c r="A2143" t="str">
        <x:f>IF(B2143="","",TEXT(B2143,"yyyy-mm-dd")&amp;"|"&amp;D2143&amp;"|"&amp;E2143)</x:f>
        <x:v>2026-02-28|巴塞罗那（FC Barcelona）|比利亚雷亚尔（Villarreal CF）</x:v>
      </x:c>
      <x:c r="B2143" s="39" t="n">
        <x:v>46081.96875</x:v>
      </x:c>
      <x:c r="C2143" t="str">
        <x:v>西甲（LaLiga）</x:v>
      </x:c>
      <x:c r="D2143" t="str">
        <x:v>巴塞罗那（FC Barcelona）</x:v>
      </x:c>
      <x:c r="E2143" t="str">
        <x:v>比利亚雷亚尔（Villarreal CF）</x:v>
      </x:c>
      <x:c r="F2143" t="str">
        <x:v>比利亚雷亚尔 +1.5 @2.06左右（≈港赔1.06）</x:v>
      </x:c>
      <x:c r="G2143" t="str">
        <x:v>小 3.5 @2.15左右（≈港赔1.15）</x:v>
      </x:c>
      <x:c r="H2143" t="str">
        <x:v>稳健替代：小 3.75 @2.01左右（≈港赔1.01）；若临场确认双方主力前锋齐整且节奏偏开放：可小注对冲大3.5（≥1.85）</x:v>
      </x:c>
      <x:c r="I2143" t="n">
        <x:v>46081.9894212963</x:v>
      </x:c>
      <x:c r="J2143" t="str">
        <x:v>已结算</x:v>
      </x:c>
      <x:c r="K2143" t="str">
        <x:v>4-1</x:v>
      </x:c>
      <x:c r="L2143" t="str">
        <x:v>输</x:v>
      </x:c>
      <x:c r="M2143" t="str">
        <x:v>输</x:v>
      </x:c>
      <x:c r="N2143" t="n">
        <x:v>-1</x:v>
      </x:c>
      <x:c r="O2143" t="n">
        <x:v>-1</x:v>
      </x:c>
      <x:c r="P2143" t="n">
        <x:f>IF(COUNT(N2143:O2143)=0,"",SUM(N2143:O2143))</x:f>
        <x:v>-2</x:v>
      </x:c>
      <x:c r="Q2143"/>
      <x:c r="R2143" t="str">
        <x:v>FT 4-1</x:v>
      </x:c>
    </x:row>
    <x:row r="2144">
      <x:c r="A2144" t="str">
        <x:f>IF(B2144="","",TEXT(B2144,"yyyy-mm-dd")&amp;"|"&amp;D2144&amp;"|"&amp;E2144)</x:f>
        <x:v>2026-02-28|女王公园巡游者（QPR/Queens Park Rangers）|谢菲尔德联（Sheffield United）</x:v>
      </x:c>
      <x:c r="B2144" s="39" t="n">
        <x:v>46081.958333333336</x:v>
      </x:c>
      <x:c r="C2144" t="str">
        <x:v>英格兰冠军联赛（英冠）</x:v>
      </x:c>
      <x:c r="D2144" t="str">
        <x:v>女王公园巡游者（QPR/Queens Park Rangers）</x:v>
      </x:c>
      <x:c r="E2144" t="str">
        <x:v>谢菲尔德联（Sheffield United）</x:v>
      </x:c>
      <x:c r="F2144" t="str">
        <x:v>女王公园巡游者 +0/0.5（+0.25）@1.85左右（≈港赔0.85）</x:v>
      </x:c>
      <x:c r="G2144" t="str">
        <x:v>小 2.75（2.5/3）@1.83左右（≈港赔0.83）</x:v>
      </x:c>
      <x:c r="H2144" t="str">
        <x:v>更稳：女王公园巡游者 +0.5 若≥1.80（港赔≥0.80）；若临场退到小2.5且≥1.85：改小2.5更稳；若确认谢菲联中前场满编且大2.75≥2.00：小注对冲大2.75</x:v>
      </x:c>
      <x:c r="I2144" t="n">
        <x:v>46081.976006944446</x:v>
      </x:c>
      <x:c r="J2144" t="str">
        <x:v>已结算</x:v>
      </x:c>
      <x:c r="K2144" t="str">
        <x:v>0-1</x:v>
      </x:c>
      <x:c r="L2144" t="str">
        <x:v>输</x:v>
      </x:c>
      <x:c r="M2144" t="str">
        <x:v>赢</x:v>
      </x:c>
      <x:c r="N2144" t="n">
        <x:v>-1</x:v>
      </x:c>
      <x:c r="O2144" t="n">
        <x:v>1</x:v>
      </x:c>
      <x:c r="P2144" t="n">
        <x:f>IF(COUNT(N2144:O2144)=0,"",SUM(N2144:O2144))</x:f>
        <x:v>0</x:v>
      </x:c>
      <x:c r="Q2144"/>
      <x:c r="R2144" t="str">
        <x:v>FT 0-1</x:v>
      </x:c>
    </x:row>
    <x:row r="2145">
      <x:c r="A2145" t="str">
        <x:f>IF(B2145="","",TEXT(B2145,"yyyy-mm-dd")&amp;"|"&amp;D2145&amp;"|"&amp;E2145)</x:f>
        <x:v>2026-02-28|考文垂（Coventry City）|斯托克城（Stoke City）</x:v>
      </x:c>
      <x:c r="B2145" s="39" t="n">
        <x:v>46081.958333333336</x:v>
      </x:c>
      <x:c r="C2145" t="str">
        <x:v>英格兰冠军联赛（英冠）</x:v>
      </x:c>
      <x:c r="D2145" t="str">
        <x:v>考文垂（Coventry City）</x:v>
      </x:c>
      <x:c r="E2145" t="str">
        <x:v>斯托克城（Stoke City）</x:v>
      </x:c>
      <x:c r="F2145" t="str">
        <x:v>考文垂 -1（让一球）@1.90~1.96（≈港赔0.90~0.96）</x:v>
      </x:c>
      <x:c r="G2145" t="str">
        <x:v>小 2.75（2.5/3）@1.80~1.85（≈港赔0.80~0.85）</x:v>
      </x:c>
      <x:c r="H2145" t="str">
        <x:v>稳健：考文垂 -0.75 若≥1.80（港赔≥0.80）；进取：考文垂 -1/1.5（-1.25）若≥2.10；若临场总分降到2.5且小2.5≥1.85：改小2.5；若确认斯托克两门将危机导致失误率升且大2.75≥2.00：小注对冲大2.75</x:v>
      </x:c>
      <x:c r="I2145" t="n">
        <x:v>46081.96832175926</x:v>
      </x:c>
      <x:c r="J2145" t="str">
        <x:v>已结算</x:v>
      </x:c>
      <x:c r="K2145" t="str">
        <x:v>1-0</x:v>
      </x:c>
      <x:c r="L2145" t="str">
        <x:v>走水</x:v>
      </x:c>
      <x:c r="M2145" t="str">
        <x:v>输半</x:v>
      </x:c>
      <x:c r="N2145" t="n">
        <x:v>0</x:v>
      </x:c>
      <x:c r="O2145" t="n">
        <x:v>-0.5</x:v>
      </x:c>
      <x:c r="P2145" t="n">
        <x:f>IF(COUNT(N2145:O2145)=0,"",SUM(N2145:O2145))</x:f>
        <x:v>-0.5</x:v>
      </x:c>
      <x:c r="Q2145"/>
      <x:c r="R2145" t="str">
        <x:v>FT 1-0（按你给的盘：考文垂-1走水；总进球1，小2.75赢）</x:v>
      </x:c>
    </x:row>
    <x:row r="2146">
      <x:c r="A2146" t="str">
        <x:f>IF(B2146="","",TEXT(B2146,"yyyy-mm-dd")&amp;"|"&amp;D2146&amp;"|"&amp;E2146)</x:f>
        <x:v>2026-02-28|伊普斯维奇（Ipswich Town）|斯旺西（Swansea City）</x:v>
      </x:c>
      <x:c r="B2146" s="39" t="n">
        <x:v>46081.958333333336</x:v>
      </x:c>
      <x:c r="C2146" t="str">
        <x:v>英格兰冠军联赛（英冠）</x:v>
      </x:c>
      <x:c r="D2146" t="str">
        <x:v>伊普斯维奇（Ipswich Town）</x:v>
      </x:c>
      <x:c r="E2146" t="str">
        <x:v>斯旺西（Swansea City）</x:v>
      </x:c>
      <x:c r="F2146" t="str">
        <x:v>伊普斯维奇 -1（让一球）@2.00左右（≈港赔1.00）</x:v>
      </x:c>
      <x:c r="G2146" t="str">
        <x:v>小 2.5 @1.93左右（≈港赔0.93）</x:v>
      </x:c>
      <x:c r="H2146" t="str">
        <x:v>稳健：伊普斯维奇 -0.75 若≥1.80（港赔≥0.80）；进取：伊普斯维奇 -1.25 若≥2.20；若临场确认斯旺西锋线回归、且大2.5≥2.00：小注对冲大2.5</x:v>
      </x:c>
      <x:c r="I2146" t="n">
        <x:v>46081.96082175926</x:v>
      </x:c>
      <x:c r="J2146" t="str">
        <x:v>已结算</x:v>
      </x:c>
      <x:c r="K2146" t="str">
        <x:v>3-0</x:v>
      </x:c>
      <x:c r="L2146" t="str">
        <x:v>赢</x:v>
      </x:c>
      <x:c r="M2146" t="str">
        <x:v>输</x:v>
      </x:c>
      <x:c r="N2146" t="n">
        <x:v>1</x:v>
      </x:c>
      <x:c r="O2146" t="n">
        <x:v>-1</x:v>
      </x:c>
      <x:c r="P2146" t="n">
        <x:f>IF(COUNT(N2146:O2146)=0,"",SUM(N2146:O2146))</x:f>
        <x:v>0</x:v>
      </x:c>
      <x:c r="Q2146"/>
      <x:c r="R2146" t="str">
        <x:v>FT 3-0</x:v>
      </x:c>
    </x:row>
    <x:row r="2147">
      <x:c r="A2147" t="str">
        <x:f>IF(B2147="","",TEXT(B2147,"yyyy-mm-dd")&amp;"|"&amp;D2147&amp;"|"&amp;E2147)</x:f>
        <x:v>2026-02-28|纽卡斯尔联（Newcastle United）|埃弗顿（Everton）</x:v>
      </x:c>
      <x:c r="B2147" s="39" t="n">
        <x:v>46081.958333333336</x:v>
      </x:c>
      <x:c r="C2147" t="str">
        <x:v>英格兰超级联赛（Premier League）</x:v>
      </x:c>
      <x:c r="D2147" t="str">
        <x:v>纽卡斯尔联（Newcastle United）</x:v>
      </x:c>
      <x:c r="E2147" t="str">
        <x:v>埃弗顿（Everton）</x:v>
      </x:c>
      <x:c r="F2147" t="str">
        <x:v>埃弗顿 +0.75（受让半/一）@1.84左右（≈港赔0.84）</x:v>
      </x:c>
      <x:c r="G2147" t="str">
        <x:v>小 2.5/3（2.75）@1.90左右（≈港赔0.90）</x:v>
      </x:c>
      <x:c r="H2147" t="str">
        <x:v>更稳：埃弗顿 +1.0 若≥1.75；进取：埃弗顿 +0.5 若≥2.00；若确认双方强攻首发且大2.5≥1.95：小注对冲大2.5</x:v>
      </x:c>
      <x:c r="I2147" t="n">
        <x:v>46081.93230324074</x:v>
      </x:c>
      <x:c r="J2147" t="str">
        <x:v>已结算</x:v>
      </x:c>
      <x:c r="K2147" t="str">
        <x:v>2-3</x:v>
      </x:c>
      <x:c r="L2147" t="str">
        <x:v>赢</x:v>
      </x:c>
      <x:c r="M2147" t="str">
        <x:v>输</x:v>
      </x:c>
      <x:c r="N2147" t="n">
        <x:v>1</x:v>
      </x:c>
      <x:c r="O2147" t="n">
        <x:v>-1</x:v>
      </x:c>
      <x:c r="P2147" t="n">
        <x:f>IF(COUNT(N2147:O2147)=0,"",SUM(N2147:O2147))</x:f>
        <x:v>0</x:v>
      </x:c>
      <x:c r="Q2147"/>
      <x:c r="R2147" t="str">
        <x:v>FT 2-3</x:v>
      </x:c>
    </x:row>
    <x:row r="2148">
      <x:c r="A2148" t="str">
        <x:f>IF(B2148="","",TEXT(B2148,"yyyy-mm-dd")&amp;"|"&amp;D2148&amp;"|"&amp;E2148)</x:f>
        <x:v>2026-02-28|勒沃库森（Bayer 04 Leverkusen）|美因茨（1. FSV Mainz 05）</x:v>
      </x:c>
      <x:c r="B2148" s="39" t="n">
        <x:v>46081.9375</x:v>
      </x:c>
      <x:c r="C2148" t="str">
        <x:v>德国甲级联赛（德甲/Bundesliga）</x:v>
      </x:c>
      <x:c r="D2148" t="str">
        <x:v>勒沃库森（Bayer 04 Leverkusen）</x:v>
      </x:c>
      <x:c r="E2148" t="str">
        <x:v>美因茨（1. FSV Mainz 05）</x:v>
      </x:c>
      <x:c r="F2148" t="str">
        <x:v>勒沃库森 -0.75（半/一）@0.88左右（港赔）</x:v>
      </x:c>
      <x:c r="G2148" t="str">
        <x:v>小 2.5 @2.25左右（欧赔）/（约港赔1.25）</x:v>
      </x:c>
      <x:c r="H2148" t="str">
        <x:v>更稳：勒沃库森 -0.5 若≥0.80（港赔）；进取：勒沃库森 -1.0 若≥0.90（港赔）；大小球若升到2.75且小2.75≥0.85：改小2.75提升容错</x:v>
      </x:c>
      <x:c r="I2148" t="n">
        <x:v>46081.94325231481</x:v>
      </x:c>
      <x:c r="J2148" t="str">
        <x:v>已结算</x:v>
      </x:c>
      <x:c r="K2148" t="str">
        <x:v>1-1</x:v>
      </x:c>
      <x:c r="L2148" t="str">
        <x:v>输</x:v>
      </x:c>
      <x:c r="M2148" t="str">
        <x:v>赢</x:v>
      </x:c>
      <x:c r="N2148" t="n">
        <x:v>-1</x:v>
      </x:c>
      <x:c r="O2148" t="n">
        <x:v>1</x:v>
      </x:c>
      <x:c r="P2148" t="n">
        <x:f>IF(COUNT(N2148:O2148)=0,"",SUM(N2148:O2148))</x:f>
        <x:v>0</x:v>
      </x:c>
      <x:c r="Q2148"/>
      <x:c r="R2148" t="str">
        <x:v>FT 1-1</x:v>
      </x:c>
    </x:row>
    <x:row r="2149">
      <x:c r="A2149" t="str">
        <x:f>IF(B2149="","",TEXT(B2149,"yyyy-mm-dd")&amp;"|"&amp;D2149&amp;"|"&amp;E2149)</x:f>
        <x:v>2026-02-28|霍芬海姆（TSG 1899 Hoffenheim）|圣保利（FC St. Pauli）</x:v>
      </x:c>
      <x:c r="B2149" s="39" t="n">
        <x:v>46081.9375</x:v>
      </x:c>
      <x:c r="C2149" t="str">
        <x:v>德国甲级联赛（德甲/Bundesliga）</x:v>
      </x:c>
      <x:c r="D2149" t="str">
        <x:v>霍芬海姆（TSG 1899 Hoffenheim）</x:v>
      </x:c>
      <x:c r="E2149" t="str">
        <x:v>圣保利（FC St. Pauli）</x:v>
      </x:c>
      <x:c r="F2149" t="str">
        <x:v>霍芬海姆 -1/1.5（-1.25）@2.09左右（≈港赔1.09）</x:v>
      </x:c>
      <x:c r="G2149" t="str">
        <x:v>小 2.5/3（2.75）@1.89左右（≈港赔0.89）</x:v>
      </x:c>
      <x:c r="H2149" t="str">
        <x:v>稳健：霍芬海姆 -1.0 若≥1.85（赢1球走水）；若临场确认双方攻击手齐整且大2.75≥1.95，可小注对冲大2.75</x:v>
      </x:c>
      <x:c r="I2149" t="n">
        <x:v>46081.926828703705</x:v>
      </x:c>
      <x:c r="J2149" t="str">
        <x:v>已结算</x:v>
      </x:c>
      <x:c r="K2149" t="str">
        <x:v>0-1</x:v>
      </x:c>
      <x:c r="L2149" t="str">
        <x:v>输</x:v>
      </x:c>
      <x:c r="M2149" t="str">
        <x:v>赢</x:v>
      </x:c>
      <x:c r="N2149" t="n">
        <x:v>-1</x:v>
      </x:c>
      <x:c r="O2149" t="n">
        <x:v>1</x:v>
      </x:c>
      <x:c r="P2149" t="n">
        <x:f>IF(COUNT(N2149:O2149)=0,"",SUM(N2149:O2149))</x:f>
        <x:v>0</x:v>
      </x:c>
      <x:c r="Q2149"/>
      <x:c r="R2149" t="str">
        <x:v>FT 0-1</x:v>
      </x:c>
    </x:row>
    <x:row r="2150">
      <x:c r="A2150" t="str">
        <x:f>IF(B2150="","",TEXT(B2150,"yyyy-mm-dd")&amp;"|"&amp;D2150&amp;"|"&amp;E2150)</x:f>
        <x:v>2026-02-28|巴厘联（Bali United FC）|杰帕拉（Persijap Jepara）</x:v>
      </x:c>
      <x:c r="B2150" s="39" t="n">
        <x:v>46081.895833333336</x:v>
      </x:c>
      <x:c r="C2150" t="str">
        <x:v>印度尼西亚超级联赛（印尼超/Liga 1 Indonesia）</x:v>
      </x:c>
      <x:c r="D2150" t="str">
        <x:v>巴厘联（Bali United FC）</x:v>
      </x:c>
      <x:c r="E2150" t="str">
        <x:v>杰帕拉（Persijap Jepara）</x:v>
      </x:c>
      <x:c r="F2150" t="str">
        <x:v>巴厘联 -0.75（半/一）@0.83左右（港赔）</x:v>
      </x:c>
      <x:c r="G2150" t="str">
        <x:v>小 2.75（2.5/3）@0.95左右（港赔）</x:v>
      </x:c>
      <x:c r="H2150" t="str">
        <x:v>若临场升到巴厘联-1且巴厘≥0.85：可小注升级-1；若退回-0.5且巴厘≥0.85：改-0.5更稳。大小球若回落到2.5且小2.5≥0.85：改小2.5；若确认双方强攻首发且大2.75≥0.90：小注对冲大2.75</x:v>
      </x:c>
      <x:c r="I2150" t="n">
        <x:v>46081.90195601852</x:v>
      </x:c>
      <x:c r="J2150" t="str">
        <x:v>已结算</x:v>
      </x:c>
      <x:c r="K2150" t="str">
        <x:v>0-0</x:v>
      </x:c>
      <x:c r="L2150" t="str">
        <x:v>输</x:v>
      </x:c>
      <x:c r="M2150" t="str">
        <x:v>赢</x:v>
      </x:c>
      <x:c r="N2150" t="n">
        <x:v>-1</x:v>
      </x:c>
      <x:c r="O2150" t="n">
        <x:v>1</x:v>
      </x:c>
      <x:c r="P2150" t="n">
        <x:f>IF(COUNT(N2150:O2150)=0,"",SUM(N2150:O2150))</x:f>
        <x:v>0</x:v>
      </x:c>
      <x:c r="Q2150"/>
      <x:c r="R2150" t="str">
        <x:v>FT 0-0</x:v>
      </x:c>
    </x:row>
    <x:row r="2151">
      <x:c r="A2151" t="str">
        <x:f>IF(B2151="","",TEXT(B2151,"yyyy-mm-dd")&amp;"|"&amp;D2151&amp;"|"&amp;E2151)</x:f>
        <x:v>2026-02-28|德比郡（Derby County）|布莱克本流浪者（Blackburn Rovers）</x:v>
      </x:c>
      <x:c r="B2151" s="39" t="n">
        <x:v>46081.854166666664</x:v>
      </x:c>
      <x:c r="C2151" t="str">
        <x:v>英格兰冠军联赛（英冠）</x:v>
      </x:c>
      <x:c r="D2151" t="str">
        <x:v>德比郡（Derby County）</x:v>
      </x:c>
      <x:c r="E2151" t="str">
        <x:v>布莱克本流浪者（Blackburn Rovers）</x:v>
      </x:c>
      <x:c r="F2151" t="str">
        <x:v>德比郡 -0/0.5（-0.25）@1.97左右（≈港赔0.97）</x:v>
      </x:c>
      <x:c r="G2151" t="str">
        <x:v>小 2/2.5（2.25）@1.93左右（≈港赔0.93）</x:v>
      </x:c>
      <x:c r="H2151" t="str">
        <x:v>更稳：德比郡 0（DNB）若≥1.80（港赔≥0.80）；进取：若临场升到德比郡-0.5且≥1.95（港赔≥0.95）可升级；大小球若升到2.5且小2.5≥1.80可改小2.5</x:v>
      </x:c>
      <x:c r="I2151" t="n">
        <x:v>46081.882106481484</x:v>
      </x:c>
      <x:c r="J2151" t="str">
        <x:v>已结算</x:v>
      </x:c>
      <x:c r="K2151" t="str">
        <x:v>1-0</x:v>
      </x:c>
      <x:c r="L2151" t="str">
        <x:v>赢</x:v>
      </x:c>
      <x:c r="M2151" t="str">
        <x:v>输</x:v>
      </x:c>
      <x:c r="N2151" t="n">
        <x:v>1</x:v>
      </x:c>
      <x:c r="O2151" t="n">
        <x:v>-1</x:v>
      </x:c>
      <x:c r="P2151" t="n">
        <x:f>IF(COUNT(N2151:O2151)=0,"",SUM(N2151:O2151))</x:f>
        <x:v>0</x:v>
      </x:c>
      <x:c r="Q2151"/>
      <x:c r="R2151" t="str">
        <x:v>FT 1-0</x:v>
      </x:c>
    </x:row>
    <x:row r="2152">
      <x:c r="A2152" t="str">
        <x:f>IF(B2152="","",TEXT(B2152,"yyyy-mm-dd")&amp;"|"&amp;D2152&amp;"|"&amp;E2152)</x:f>
        <x:v>2026-02-28|朴茨茅斯（Portsmouth）|赫尔城（Hull City）</x:v>
      </x:c>
      <x:c r="B2152" s="39" t="n">
        <x:v>46081.854166666664</x:v>
      </x:c>
      <x:c r="C2152" t="str">
        <x:v>英格兰冠军联赛（英冠）</x:v>
      </x:c>
      <x:c r="D2152" t="str">
        <x:v>朴茨茅斯（Portsmouth）</x:v>
      </x:c>
      <x:c r="E2152" t="str">
        <x:v>赫尔城（Hull City）</x:v>
      </x:c>
      <x:c r="F2152" t="str">
        <x:v>赫尔城 +0.5（受让半球）@1.85~1.90（≈港赔0.85~0.90）</x:v>
      </x:c>
      <x:c r="G2152" t="str">
        <x:v>小 2/2.5（2.25）@2.07左右（≈港赔1.07）</x:v>
      </x:c>
      <x:c r="H2152" t="str">
        <x:v>进取：赫尔城 0（DNB）若≥2.00；若临场盘口压到朴茨茅斯-0.25且赫尔城+0.25≥1.95：可升级赫尔城+0.25（平局赢半）；若大小升到2.5且小2.5≥1.90：改小2.5更稳</x:v>
      </x:c>
      <x:c r="I2152" t="n">
        <x:v>46081.84991898148</x:v>
      </x:c>
      <x:c r="J2152" t="str">
        <x:v>已结算</x:v>
      </x:c>
      <x:c r="K2152" t="str">
        <x:v>0-1</x:v>
      </x:c>
      <x:c r="L2152" t="str">
        <x:v>赢</x:v>
      </x:c>
      <x:c r="M2152" t="str">
        <x:v>赢</x:v>
      </x:c>
      <x:c r="N2152" t="n">
        <x:v>1</x:v>
      </x:c>
      <x:c r="O2152" t="n">
        <x:v>1</x:v>
      </x:c>
      <x:c r="P2152" t="n">
        <x:f>IF(COUNT(N2152:O2152)=0,"",SUM(N2152:O2152))</x:f>
        <x:v>2</x:v>
      </x:c>
      <x:c r="Q2152"/>
      <x:c r="R2152" t="str">
        <x:v>FT 0-1</x:v>
      </x:c>
    </x:row>
    <x:row r="2153">
      <x:c r="A2153" t="str">
        <x:f>IF(B2153="","",TEXT(B2153,"yyyy-mm-dd")&amp;"|"&amp;D2153&amp;"|"&amp;E2153)</x:f>
        <x:v>2026-02-28|伯恩茅斯（AFC Bournemouth）|桑德兰（Sunderland AFC）</x:v>
      </x:c>
      <x:c r="B2153" s="39" t="n">
        <x:v>46081.854166666664</x:v>
      </x:c>
      <x:c r="C2153" t="str">
        <x:v>英格兰超级联赛（Premier League）</x:v>
      </x:c>
      <x:c r="D2153" t="str">
        <x:v>伯恩茅斯（AFC Bournemouth）</x:v>
      </x:c>
      <x:c r="E2153" t="str">
        <x:v>桑德兰（Sunderland AFC）</x:v>
      </x:c>
      <x:c r="F2153" t="str">
        <x:v>伯恩茅斯 -0.75（让半/一）@1.95~2.00（≈港赔0.95~1.00）</x:v>
      </x:c>
      <x:c r="G2153" t="str">
        <x:v>小 2.75（2.5/3）@1.80~1.85（≈港赔0.80~0.85）</x:v>
      </x:c>
      <x:c r="H2153" t="str">
        <x:v>更稳：伯恩茅斯 -0.5 若≥1.80；进取：伯恩茅斯 -1.0 若≥2.10；对冲：若临场大2.5≥2.00且双方锋线齐整，小注走大2.5</x:v>
      </x:c>
      <x:c r="I2153" t="n">
        <x:v>46081.82133101852</x:v>
      </x:c>
      <x:c r="J2153" t="str">
        <x:v>已结算</x:v>
      </x:c>
      <x:c r="K2153" t="str">
        <x:v>1-1</x:v>
      </x:c>
      <x:c r="L2153" t="str">
        <x:v>输</x:v>
      </x:c>
      <x:c r="M2153" t="str">
        <x:v>赢</x:v>
      </x:c>
      <x:c r="N2153" t="n">
        <x:v>-1</x:v>
      </x:c>
      <x:c r="O2153" t="n">
        <x:v>1</x:v>
      </x:c>
      <x:c r="P2153" t="n">
        <x:f>IF(COUNT(N2153:O2153)=0,"",SUM(N2153:O2153))</x:f>
        <x:v>0</x:v>
      </x:c>
      <x:c r="Q2153"/>
      <x:c r="R2153" t="str">
        <x:v>FT 1-1</x:v>
      </x:c>
    </x:row>
    <x:row r="2154">
      <x:c r="A2154" t="str">
        <x:f>IF(B2154="","",TEXT(B2154,"yyyy-mm-dd")&amp;"|"&amp;D2154&amp;"|"&amp;E2154)</x:f>
        <x:v>2026-02-28|荷尔施泰因基尔（Holstein Kiel）|艾禾斯堡（SV 07 Elversberg）</x:v>
      </x:c>
      <x:c r="B2154" s="39" t="n">
        <x:v>46081.833333333336</x:v>
      </x:c>
      <x:c r="C2154" t="str">
        <x:v>德国乙级联赛（2. Bundesliga）</x:v>
      </x:c>
      <x:c r="D2154" t="str">
        <x:v>荷尔施泰因基尔（Holstein Kiel）</x:v>
      </x:c>
      <x:c r="E2154" t="str">
        <x:v>艾禾斯堡（SV 07 Elversberg）</x:v>
      </x:c>
      <x:c r="F2154" t="str">
        <x:v>艾禾斯堡 -0/0.5（-0.25）@1.93左右（≈港赔0.93）</x:v>
      </x:c>
      <x:c r="G2154" t="str">
        <x:v>大 2.5 @1.90左右（≈港赔0.90）</x:v>
      </x:c>
      <x:c r="H2154" t="str">
        <x:v>进取：艾禾斯堡 胜 @2.20左右（≈港赔1.20）；若临场升盘到艾禾斯堡-0.5且≥1.85（港赔≥0.85）可升级。</x:v>
      </x:c>
      <x:c r="I2154" t="n">
        <x:v>46081.846296296295</x:v>
      </x:c>
      <x:c r="J2154" t="str">
        <x:v>已结算</x:v>
      </x:c>
      <x:c r="K2154" t="str">
        <x:v>2-2</x:v>
      </x:c>
      <x:c r="L2154" t="str">
        <x:v>输半</x:v>
      </x:c>
      <x:c r="M2154" t="str">
        <x:v>输</x:v>
      </x:c>
      <x:c r="N2154" t="n">
        <x:v>-0.5</x:v>
      </x:c>
      <x:c r="O2154" t="n">
        <x:v>-1</x:v>
      </x:c>
      <x:c r="P2154" t="n">
        <x:f>IF(COUNT(N2154:O2154)=0,"",SUM(N2154:O2154))</x:f>
        <x:v>-1.5</x:v>
      </x:c>
      <x:c r="Q2154"/>
      <x:c r="R2154" t="str">
        <x:v>FT 2-2</x:v>
      </x:c>
    </x:row>
    <x:row r="2155">
      <x:c r="A2155" t="str">
        <x:f>IF(B2155="","",TEXT(B2155,"yyyy-mm-dd")&amp;"|"&amp;D2155&amp;"|"&amp;E2155)</x:f>
        <x:v>2026-02-28|凯泽斯劳滕（1. FC Kaiserslautern）|帕德博恩（SC Paderborn 07）</x:v>
      </x:c>
      <x:c r="B2155" s="39" t="n">
        <x:v>46081.833333333336</x:v>
      </x:c>
      <x:c r="C2155" t="str">
        <x:v>德国乙级联赛（2. Bundesliga）</x:v>
      </x:c>
      <x:c r="D2155" t="str">
        <x:v>凯泽斯劳滕（1. FC Kaiserslautern）</x:v>
      </x:c>
      <x:c r="E2155" t="str">
        <x:v>帕德博恩（SC Paderborn 07）</x:v>
      </x:c>
      <x:c r="F2155" t="str">
        <x:v>凯泽斯劳滕 +0.25（受让平/半）@2.05左右（≈港赔1.05）</x:v>
      </x:c>
      <x:c r="G2155" t="str">
        <x:v>小 2.5 @1.97左右（≈港赔0.97）</x:v>
      </x:c>
      <x:c r="H2155" t="str">
        <x:v>若临场帕德博恩客让到-0.25且凯泽+0.25仍≥1.95：继续站凯泽+0.25；若小2.5被压到&lt;1.80：改小2.75且≥1.85；若两队攻击手均首发且大2.5≥1.90：小注对冲大2.5</x:v>
      </x:c>
      <x:c r="I2155" t="n">
        <x:v>46081.8359837963</x:v>
      </x:c>
      <x:c r="J2155" t="str">
        <x:v>已结算</x:v>
      </x:c>
      <x:c r="K2155" t="str">
        <x:v>1-2</x:v>
      </x:c>
      <x:c r="L2155" t="str">
        <x:v>输</x:v>
      </x:c>
      <x:c r="M2155" t="str">
        <x:v>输</x:v>
      </x:c>
      <x:c r="N2155" t="n">
        <x:v>-1</x:v>
      </x:c>
      <x:c r="O2155" t="n">
        <x:v>-1</x:v>
      </x:c>
      <x:c r="P2155" t="n">
        <x:f>IF(COUNT(N2155:O2155)=0,"",SUM(N2155:O2155))</x:f>
        <x:v>-2</x:v>
      </x:c>
      <x:c r="Q2155"/>
      <x:c r="R2155" t="str">
        <x:v>FT 1-2</x:v>
      </x:c>
    </x:row>
    <x:row r="2156">
      <x:c r="A2156" t="str">
        <x:f>IF(B2156="","",TEXT(B2156,"yyyy-mm-dd")&amp;"|"&amp;D2156&amp;"|"&amp;E2156)</x:f>
        <x:v>2026-02-28|比勒菲尔德（Arminia Bielefeld）|汉诺威96（Hannover 96）</x:v>
      </x:c>
      <x:c r="B2156" s="39" t="n">
        <x:v>46081.833333333336</x:v>
      </x:c>
      <x:c r="C2156" t="str">
        <x:v>德国乙级联赛（2. Bundesliga）</x:v>
      </x:c>
      <x:c r="D2156" t="str">
        <x:v>比勒菲尔德（Arminia Bielefeld）</x:v>
      </x:c>
      <x:c r="E2156" t="str">
        <x:v>汉诺威96（Hannover 96）</x:v>
      </x:c>
      <x:c r="F2156" t="str">
        <x:v>汉诺威96 -0.5（让半球）@2.30~2.35（≈港赔1.30~1.35）</x:v>
      </x:c>
      <x:c r="G2156" t="str">
        <x:v>小 2.5 @2.05~2.15（≈港赔1.05~1.15）</x:v>
      </x:c>
      <x:c r="H2156" t="str">
        <x:v>稳健：汉诺威96 0（DNB）若≥1.80（港赔≥0.80）；进取：汉诺威96 -0.75 若≥2.70（港赔≥1.70）；若临场总分升到2.75且小2.75≥1.80：改小2.75提升容错</x:v>
      </x:c>
      <x:c r="I2156" t="n">
        <x:v>46081.832337962966</x:v>
      </x:c>
      <x:c r="J2156" t="str">
        <x:v>已结算</x:v>
      </x:c>
      <x:c r="K2156" t="str">
        <x:v>0-1</x:v>
      </x:c>
      <x:c r="L2156" t="str">
        <x:v>赢</x:v>
      </x:c>
      <x:c r="M2156" t="str">
        <x:v>赢</x:v>
      </x:c>
      <x:c r="N2156" t="n">
        <x:v>1</x:v>
      </x:c>
      <x:c r="O2156" t="n">
        <x:v>1</x:v>
      </x:c>
      <x:c r="P2156" t="n">
        <x:f>IF(COUNT(N2156:O2156)=0,"",SUM(N2156:O2156))</x:f>
        <x:v>2</x:v>
      </x:c>
      <x:c r="Q2156"/>
      <x:c r="R2156" t="str">
        <x:v>FT 0-1</x:v>
      </x:c>
    </x:row>
    <x:row r="2157">
      <x:c r="A2157" t="str">
        <x:f>IF(B2157="","",TEXT(B2157,"yyyy-mm-dd")&amp;"|"&amp;D2157&amp;"|"&amp;E2157)</x:f>
        <x:v>2026-02-28|喀拉拉邦爆破者（Kerala Blasters）|喀什国际（Inter Kashi）</x:v>
      </x:c>
      <x:c r="B2157" s="39" t="n">
        <x:v>46081.8125</x:v>
      </x:c>
      <x:c r="C2157" t="str">
        <x:v>印度超级联赛（Indian Super League）</x:v>
      </x:c>
      <x:c r="D2157" t="str">
        <x:v>喀拉拉邦爆破者（Kerala Blasters）</x:v>
      </x:c>
      <x:c r="E2157" t="str">
        <x:v>喀什国际（Inter Kashi）</x:v>
      </x:c>
      <x:c r="F2157" t="str">
        <x:v>喀什国际 +0.25（受让平/半）@1.90左右（≈港赔0.90）</x:v>
      </x:c>
      <x:c r="G2157" t="str">
        <x:v>小 2.5 @1.83左右（≈港赔0.83）</x:v>
      </x:c>
      <x:c r="H2157" t="str">
        <x:v>更稳：喀什国际 +0.5 若≥1.80；进取：喀什国际 0（DNB）若≥2.00；若临场总分升到2.75且小2.75≥1.80：改小2.75提升容错</x:v>
      </x:c>
      <x:c r="I2157" t="n">
        <x:v>46081.8275462963</x:v>
      </x:c>
      <x:c r="J2157" t="str">
        <x:v>已结算</x:v>
      </x:c>
      <x:c r="K2157" t="str">
        <x:v>1-2</x:v>
      </x:c>
      <x:c r="L2157" t="str">
        <x:v>赢</x:v>
      </x:c>
      <x:c r="M2157" t="str">
        <x:v>输</x:v>
      </x:c>
      <x:c r="N2157" t="n">
        <x:v>1</x:v>
      </x:c>
      <x:c r="O2157" t="n">
        <x:v>-1</x:v>
      </x:c>
      <x:c r="P2157" t="n">
        <x:f>IF(COUNT(N2157:O2157)=0,"",SUM(N2157:O2157))</x:f>
        <x:v>0</x:v>
      </x:c>
      <x:c r="Q2157"/>
      <x:c r="R2157" t="str">
        <x:v>FT 1-2</x:v>
      </x:c>
    </x:row>
    <x:row r="2158">
      <x:c r="A2158" t="str">
        <x:f>IF(B2158="","",TEXT(B2158,"yyyy-mm-dd")&amp;"|"&amp;D2158&amp;"|"&amp;E2158)</x:f>
        <x:v>2026-02-28|麦克阿瑟FC（Macarthur FC）|西悉尼流浪者（Western Sydney Wanderers）</x:v>
      </x:c>
      <x:c r="B2158" s="39" t="n">
        <x:v>46081.69097222222</x:v>
      </x:c>
      <x:c r="C2158" t="str">
        <x:v>澳大利亚A联赛（A-League Men）</x:v>
      </x:c>
      <x:c r="D2158" t="str">
        <x:v>麦克阿瑟FC（Macarthur FC）</x:v>
      </x:c>
      <x:c r="E2158" t="str">
        <x:v>西悉尼流浪者（Western Sydney Wanderers）</x:v>
      </x:c>
      <x:c r="F2158" t="str">
        <x:v>麦克阿瑟 0（平手盘/DNB）@1.81左右（-123）</x:v>
      </x:c>
      <x:c r="G2158" t="str">
        <x:v>大 3/3.5（3.25）@2.10左右（+110）</x:v>
      </x:c>
      <x:c r="H2158" t="str">
        <x:v>进取：麦克阿瑟 -0/0.5（-0.25）@2.10左右（+110）；备选思路：小2.5 @2.18左右（+118）</x:v>
      </x:c>
      <x:c r="I2158" t="n">
        <x:v>46081.686435185184</x:v>
      </x:c>
      <x:c r="J2158" t="str">
        <x:v>已结算</x:v>
      </x:c>
      <x:c r="K2158" t="str">
        <x:v>0-4</x:v>
      </x:c>
      <x:c r="L2158" t="str">
        <x:v>输</x:v>
      </x:c>
      <x:c r="M2158" t="str">
        <x:v>赢</x:v>
      </x:c>
      <x:c r="N2158" t="n">
        <x:v>-1</x:v>
      </x:c>
      <x:c r="O2158" t="n">
        <x:v>1</x:v>
      </x:c>
      <x:c r="P2158" t="n">
        <x:f>IF(COUNT(N2158:O2158)=0,"",SUM(N2158:O2158))</x:f>
        <x:v>0</x:v>
      </x:c>
      <x:c r="Q2158"/>
      <x:c r="R2158" t="str">
        <x:v>FT 0-4</x:v>
      </x:c>
    </x:row>
    <x:row r="2159">
      <x:c r="A2159" t="str">
        <x:f>IF(B2159="","",TEXT(B2159,"yyyy-mm-dd")&amp;"|"&amp;D2159&amp;"|"&amp;E2159)</x:f>
        <x:v>2026-02-28|布里斯班狮吼（Brisbane Roar）|珀斯光荣（Perth Glory）</x:v>
      </x:c>
      <x:c r="B2159" s="39" t="n">
        <x:v>46081.625</x:v>
      </x:c>
      <x:c r="C2159" t="str">
        <x:v>澳大利亚A联赛（A-League Men）</x:v>
      </x:c>
      <x:c r="D2159" t="str">
        <x:v>布里斯班狮吼（Brisbane Roar）</x:v>
      </x:c>
      <x:c r="E2159" t="str">
        <x:v>珀斯光荣（Perth Glory）</x:v>
      </x:c>
      <x:c r="F2159" t="str">
        <x:v>布里斯班狮吼 -0.5（约1.93）</x:v>
      </x:c>
      <x:c r="G2159" t="str">
        <x:v>小2.25（Under 2.25，约2.15）</x:v>
      </x:c>
      <x:c r="H2159" t="str">
        <x:v>可选：珀斯光荣 角球小3.5（约1.95，小注）</x:v>
      </x:c>
      <x:c r="I2159" t="n">
        <x:v>46081.63826388889</x:v>
      </x:c>
      <x:c r="J2159" t="str">
        <x:v>已结算</x:v>
      </x:c>
      <x:c r="K2159" t="str">
        <x:v>1-1</x:v>
      </x:c>
      <x:c r="L2159" t="str">
        <x:v>输</x:v>
      </x:c>
      <x:c r="M2159" t="str">
        <x:v>赢半</x:v>
      </x:c>
      <x:c r="N2159" t="n">
        <x:v>-1</x:v>
      </x:c>
      <x:c r="O2159" t="n">
        <x:v>0.5</x:v>
      </x:c>
      <x:c r="P2159" t="n">
        <x:f>IF(COUNT(N2159:O2159)=0,"",SUM(N2159:O2159))</x:f>
        <x:v>-0.5</x:v>
      </x:c>
      <x:c r="Q2159"/>
      <x:c r="R2159" t="str">
        <x:v>FT 1-1；可选：珀斯角球5（小3.5输）</x:v>
      </x:c>
    </x:row>
    <x:row r="2160">
      <x:c r="A2160" t="str">
        <x:f>IF(B2160="","",TEXT(B2160,"yyyy-mm-dd")&amp;"|"&amp;D2160&amp;"|"&amp;E2160)</x:f>
        <x:v>2026-02-28|中央海岸水手（Central Coast Mariners）|纽卡斯尔喷气机（Newcastle Jets）</x:v>
      </x:c>
      <x:c r="B2160" s="39" t="n">
        <x:v>46081.583333333336</x:v>
      </x:c>
      <x:c r="C2160" t="str">
        <x:v>澳大利亚A联赛（A-League Men）</x:v>
      </x:c>
      <x:c r="D2160" t="str">
        <x:v>中央海岸水手（Central Coast Mariners）</x:v>
      </x:c>
      <x:c r="E2160" t="str">
        <x:v>纽卡斯尔喷气机（Newcastle Jets）</x:v>
      </x:c>
      <x:c r="F2160" t="str">
        <x:v>纽卡斯尔喷气机 -0.75（让半/一）@1.82左右（港赔≈0.82）</x:v>
      </x:c>
      <x:c r="G2160" t="str">
        <x:v>小 3.25（3/3.5）@2.01左右（港赔≈1.01）</x:v>
      </x:c>
      <x:c r="H2160" t="str">
        <x:v>更稳：纽卡斯尔喷气机 -0.5 若≥1.90（港赔≥0.90）可降盘；若临场退到-0.25且≥1.85：改-0.25稳健。大小球若升到3.5且小3.5≥1.80：可升级小3.5；若降到3.0且小3.0≥1.85：改小3.0（3球走水）</x:v>
      </x:c>
      <x:c r="I2160" t="n">
        <x:v>46081.539618055554</x:v>
      </x:c>
      <x:c r="J2160" t="str">
        <x:v>已结算</x:v>
      </x:c>
      <x:c r="K2160"/>
      <x:c r="L2160" t="str">
        <x:v>输</x:v>
      </x:c>
      <x:c r="M2160" t="str">
        <x:v>赢</x:v>
      </x:c>
      <x:c r="N2160" t="n">
        <x:v>-1</x:v>
      </x:c>
      <x:c r="O2160" t="n">
        <x:v>1</x:v>
      </x:c>
      <x:c r="P2160" t="n">
        <x:f>IF(COUNT(N2160:O2160)=0,"",SUM(N2160:O2160))</x:f>
        <x:v>0</x:v>
      </x:c>
      <x:c r="Q2160"/>
      <x:c r="R2160" t="str">
        <x:v>全场：中央海岸水手 0-0 纽卡斯尔喷气机；-0.75全输；小3.25全赢</x:v>
      </x:c>
    </x:row>
    <x:row r="2161">
      <x:c r="A2161" t="str">
        <x:f>IF(B2161="","",TEXT(B2161,"yyyy-mm-dd")&amp;"|"&amp;D2161&amp;"|"&amp;E2161)</x:f>
        <x:v>2026-02-28|蔚山现代（Ulsan HD）|江原FC（Gangwon FC）</x:v>
      </x:c>
      <x:c r="B2161" s="39" t="n">
        <x:v>46081.541666666664</x:v>
      </x:c>
      <x:c r="C2161" t="str">
        <x:v>韩国K联赛1（K League 1）</x:v>
      </x:c>
      <x:c r="D2161" t="str">
        <x:v>蔚山现代（Ulsan HD）</x:v>
      </x:c>
      <x:c r="E2161" t="str">
        <x:v>江原FC（Gangwon FC）</x:v>
      </x:c>
      <x:c r="F2161" t="str">
        <x:v>江原FC +0.25（受让平/半）@2.075左右（≈港赔1.075）</x:v>
      </x:c>
      <x:c r="G2161" t="str">
        <x:v>小 2.75（2/2.5-3）@1.95左右（≈港赔0.95）</x:v>
      </x:c>
      <x:c r="H2161" t="str">
        <x:v>若临场退盘到江原0（DNB）且≥1.85：可改江原0走水保护；若升盘到蔚山-0.5且江原+0.5≥1.80：升级江原+0.5。大小球：若降到2.5且小2.5≥1.85：改小2.5；若升到3.0且小3.0≥1.85：改小3.0（3球走水）</x:v>
      </x:c>
      <x:c r="I2161" t="n">
        <x:v>46081.5600462963</x:v>
      </x:c>
      <x:c r="J2161" t="str">
        <x:v>已结算</x:v>
      </x:c>
      <x:c r="K2161"/>
      <x:c r="L2161" t="str">
        <x:v>输</x:v>
      </x:c>
      <x:c r="M2161" t="str">
        <x:v>输</x:v>
      </x:c>
      <x:c r="N2161" t="n">
        <x:v>-1</x:v>
      </x:c>
      <x:c r="O2161" t="n">
        <x:v>-1</x:v>
      </x:c>
      <x:c r="P2161" t="n">
        <x:f>IF(COUNT(N2161:O2161)=0,"",SUM(N2161:O2161))</x:f>
        <x:v>-2</x:v>
      </x:c>
      <x:c r="Q2161"/>
      <x:c r="R2161" t="str">
        <x:v>全场：蔚山现代 3-1 江原FC；江原+0.25输；小2.75输</x:v>
      </x:c>
    </x:row>
    <x:row r="2162">
      <x:c r="A2162" t="str">
        <x:f>IF(B2162="","",TEXT(B2162,"yyyy-mm-dd")&amp;"|"&amp;D2162&amp;"|"&amp;E2162)</x:f>
        <x:v>2026-02-28|浦和红钻（Urawa Red Diamonds）|鹿岛鹿角（Kashima Antlers）</x:v>
      </x:c>
      <x:c r="B2162" s="39" t="n">
        <x:v>46081.541666666664</x:v>
      </x:c>
      <x:c r="C2162" t="str">
        <x:v>日职联（J1 League）</x:v>
      </x:c>
      <x:c r="D2162" t="str">
        <x:v>浦和红钻（Urawa Red Diamonds）</x:v>
      </x:c>
      <x:c r="E2162" t="str">
        <x:v>鹿岛鹿角（Kashima Antlers）</x:v>
      </x:c>
      <x:c r="F2162" t="str">
        <x:v>鹿岛鹿角 0（平手盘/DNB）@0.88左右（港赔）</x:v>
      </x:c>
      <x:c r="G2162" t="str">
        <x:v>小 2.5 @0.85左右（港赔≈0.85，对应欧赔约1.85）</x:v>
      </x:c>
      <x:c r="H2162" t="str">
        <x:v>若临场主队让到浦和-0.25且鹿岛+0.25≥0.90：可升级鹿岛+0.25（平局赢半）；若小2.5被压到&lt;0.78：改小2.75且≥0.85提高性价比；若阵容明显偏攻击且大2.25≥0.95：可小注对冲大2.25</x:v>
      </x:c>
      <x:c r="I2162" t="n">
        <x:v>46081.532743055555</x:v>
      </x:c>
      <x:c r="J2162" t="str">
        <x:v>已结算</x:v>
      </x:c>
      <x:c r="K2162"/>
      <x:c r="L2162" t="str">
        <x:v>赢</x:v>
      </x:c>
      <x:c r="M2162" t="str">
        <x:v>输</x:v>
      </x:c>
      <x:c r="N2162" t="n">
        <x:v>1</x:v>
      </x:c>
      <x:c r="O2162" t="n">
        <x:v>-1</x:v>
      </x:c>
      <x:c r="P2162" t="n">
        <x:f>IF(COUNT(N2162:O2162)=0,"",SUM(N2162:O2162))</x:f>
        <x:v>0</x:v>
      </x:c>
      <x:c r="Q2162"/>
      <x:c r="R2162" t="str">
        <x:v>全场：浦和红钻 2-3 鹿岛鹿角</x:v>
      </x:c>
    </x:row>
    <x:row r="2163">
      <x:c r="A2163" t="str">
        <x:f>IF(B2163="","",TEXT(B2163,"yyyy-mm-dd")&amp;"|"&amp;D2163&amp;"|"&amp;E2163)</x:f>
        <x:v>2026-02-28|奥克兰FC（Auckland FC）|墨尔本城（Melbourne City）</x:v>
      </x:c>
      <x:c r="B2163" s="39" t="n">
        <x:v>46081.5</x:v>
      </x:c>
      <x:c r="C2163" t="str">
        <x:v>澳大利亚A联赛（A-League Men）</x:v>
      </x:c>
      <x:c r="D2163" t="str">
        <x:v>奥克兰FC（Auckland FC）</x:v>
      </x:c>
      <x:c r="E2163" t="str">
        <x:v>墨尔本城（Melbourne City）</x:v>
      </x:c>
      <x:c r="F2163" t="str">
        <x:v>奥克兰FC -0.5（让半球）@1.85（约=亚洲水位0.85）</x:v>
      </x:c>
      <x:c r="G2163" t="str">
        <x:v>大 2.5 @1.88（约=亚洲水位0.88）</x:v>
      </x:c>
      <x:c r="H2163" t="str">
        <x:v>可选/加仓：奥克兰FC 胜 @2.05；若临场退盘到-0.25且水位≥0.85，可改奥克兰-0.25做保守穿盘</x:v>
      </x:c>
      <x:c r="I2163" t="n">
        <x:v>46081.46046296296</x:v>
      </x:c>
      <x:c r="J2163" t="str">
        <x:v>已结算</x:v>
      </x:c>
      <x:c r="K2163"/>
      <x:c r="L2163" t="str">
        <x:v>赢</x:v>
      </x:c>
      <x:c r="M2163" t="str">
        <x:v>赢</x:v>
      </x:c>
      <x:c r="N2163" t="n">
        <x:v>1</x:v>
      </x:c>
      <x:c r="O2163" t="n">
        <x:v>1</x:v>
      </x:c>
      <x:c r="P2163" t="n">
        <x:f>IF(COUNT(N2163:O2163)=0,"",SUM(N2163:O2163))</x:f>
        <x:v>2</x:v>
      </x:c>
      <x:c r="Q2163"/>
      <x:c r="R2163" t="str">
        <x:v>全场 奥克兰FC 3-0 墨尔本城；让球：奥克兰-0.5 赢盘；大小：大2.5 命中（总进球3）。</x:v>
      </x:c>
    </x:row>
    <x:row r="2164">
      <x:c r="A2164" t="str">
        <x:f>IF(B2164="","",TEXT(B2164,"yyyy-mm-dd")&amp;"|"&amp;D2164&amp;"|"&amp;E2164)</x:f>
        <x:v>2026-02-28|艾文代尔（Avondale FC）|格林古利（Green Gully SC）</x:v>
      </x:c>
      <x:c r="B2164" s="39" t="n">
        <x:v>46081.5</x:v>
      </x:c>
      <x:c r="C2164" t="str">
        <x:v>澳大利亚 维多利亚州超级联赛1（VPL1）</x:v>
      </x:c>
      <x:c r="D2164" t="str">
        <x:v>艾文代尔（Avondale FC）</x:v>
      </x:c>
      <x:c r="E2164" t="str">
        <x:v>格林古利（Green Gully SC）</x:v>
      </x:c>
      <x:c r="F2164" t="str">
        <x:v>艾文代尔 -0.75（半一）@1.98（约=亚洲水位0.98）</x:v>
      </x:c>
      <x:c r="G2164" t="str">
        <x:v>小 3.0 @1.98（约=亚洲水位0.98）</x:v>
      </x:c>
      <x:c r="H2164" t="str">
        <x:v>更稳：艾文代尔 -0.5 @1.80（约=亚洲水位0.80）；或小3.25（若临场能开且水位≥0.85）</x:v>
      </x:c>
      <x:c r="I2164" t="n">
        <x:v>46081.45744212963</x:v>
      </x:c>
      <x:c r="J2164" t="str">
        <x:v>已结算</x:v>
      </x:c>
      <x:c r="K2164"/>
      <x:c r="L2164" t="str">
        <x:v>赢</x:v>
      </x:c>
      <x:c r="M2164" t="str">
        <x:v>输</x:v>
      </x:c>
      <x:c r="N2164" t="n">
        <x:v>1</x:v>
      </x:c>
      <x:c r="O2164" t="n">
        <x:v>-1</x:v>
      </x:c>
      <x:c r="P2164" t="n">
        <x:f>IF(COUNT(N2164:O2164)=0,"",SUM(N2164:O2164))</x:f>
        <x:v>0</x:v>
      </x:c>
      <x:c r="Q2164"/>
      <x:c r="R2164" t="str">
        <x:v>全场 艾文代尔 5-0 格林古利；让球：艾文代尔-0.75 赢盘；大小：小3.0 失利（总进球5）。</x:v>
      </x:c>
    </x:row>
    <x:row r="2165">
      <x:c r="A2165" t="str">
        <x:f>IF(B2165="","",TEXT(B2165,"yyyy-mm-dd")&amp;"|"&amp;D2165&amp;"|"&amp;E2165)</x:f>
        <x:v>2026-02-28|蒂华纳（Club Tijuana）|美洲狮（Pumas UNAM）</x:v>
      </x:c>
      <x:c r="B2165" s="39" t="n">
        <x:v>46081.4625</x:v>
      </x:c>
      <x:c r="C2165" t="str">
        <x:v>墨西哥超（Liga MX，Clausura）</x:v>
      </x:c>
      <x:c r="D2165" t="str">
        <x:v>蒂华纳（Club Tijuana）</x:v>
      </x:c>
      <x:c r="E2165" t="str">
        <x:v>美洲狮（Pumas UNAM）</x:v>
      </x:c>
      <x:c r="F2165" t="str">
        <x:v>美洲狮 +0.25（受让平/半）@2.03（bet365）</x:v>
      </x:c>
      <x:c r="G2165" t="str">
        <x:v>小 2.5 @2.05（+105）</x:v>
      </x:c>
      <x:c r="H2165" t="str">
        <x:v>可选/加仓：平局 @3.30~3.60（匹配蒂华纳“多平局”+小球脚本）；或更激进：美洲狮 受让0（DNB）若临场≥0.85</x:v>
      </x:c>
      <x:c r="I2165" t="n">
        <x:v>46081.469409722224</x:v>
      </x:c>
      <x:c r="J2165" t="str">
        <x:v>已结算</x:v>
      </x:c>
      <x:c r="K2165" t="str">
        <x:v>1-1</x:v>
      </x:c>
      <x:c r="L2165" t="str">
        <x:v>赢半</x:v>
      </x:c>
      <x:c r="M2165" t="str">
        <x:v>赢</x:v>
      </x:c>
      <x:c r="N2165" t="n">
        <x:v>0.5</x:v>
      </x:c>
      <x:c r="O2165" t="n">
        <x:v>1</x:v>
      </x:c>
      <x:c r="P2165" t="n">
        <x:f>IF(COUNT(N2165:O2165)=0,"",SUM(N2165:O2165))</x:f>
        <x:v>1.5</x:v>
      </x:c>
      <x:c r="Q2165" t="str">
        <x:v>SofaScore</x:v>
      </x:c>
      <x:c r="R2165" t="str">
        <x:v>校正赛果：蒂华纳（Club Tijuana） 1-1 美洲狮（Pumas UNAM）；让球：美洲狮 +0.25 -&gt; 赢半（0.5）；大小：小2.5 -&gt; 赢（1）；来源：SofaScore。</x:v>
      </x:c>
    </x:row>
    <x:row r="2166">
      <x:c r="A2166" t="str">
        <x:f>IF(B2166="","",TEXT(B2166,"yyyy-mm-dd")&amp;"|"&amp;D2166&amp;"|"&amp;E2166)</x:f>
        <x:v>2026-02-28|克雷卡米诺斯（Correcaminos UAT）|塔巴蒂奥（CD Tapatío）</x:v>
      </x:c>
      <x:c r="B2166" s="39" t="n">
        <x:v>46081.416666666664</x:v>
      </x:c>
      <x:c r="C2166" t="str">
        <x:v>墨西哥甲级扩展联赛（Liga de Expansión MX）</x:v>
      </x:c>
      <x:c r="D2166" t="str">
        <x:v>克雷卡米诺斯（Correcaminos UAT）</x:v>
      </x:c>
      <x:c r="E2166" t="str">
        <x:v>塔巴蒂奥（CD Tapatío）</x:v>
      </x:c>
      <x:c r="F2166" t="str">
        <x:v>塔巴蒂奥 0（平手/DNB）@1.96（约=亚洲水位0.96）</x:v>
      </x:c>
      <x:c r="G2166" t="str">
        <x:v>大 2.5 @1.93（约=亚洲水位0.93）</x:v>
      </x:c>
      <x:c r="H2166" t="str">
        <x:v>进取：塔巴蒂奥 -0.25（若临场升到客让平/半且水位≥0.85）；更稳总分：大2.25（若临场可见且水位≥0.85）</x:v>
      </x:c>
      <x:c r="I2166" t="n">
        <x:v>46081.441099537034</x:v>
      </x:c>
      <x:c r="J2166" t="str">
        <x:v>已结算</x:v>
      </x:c>
      <x:c r="K2166"/>
      <x:c r="L2166" t="str">
        <x:v>走水</x:v>
      </x:c>
      <x:c r="M2166" t="str">
        <x:v>赢</x:v>
      </x:c>
      <x:c r="N2166" t="n">
        <x:v>0</x:v>
      </x:c>
      <x:c r="O2166" t="n">
        <x:v>1</x:v>
      </x:c>
      <x:c r="P2166" t="n">
        <x:f>IF(COUNT(N2166:O2166)=0,"",SUM(N2166:O2166))</x:f>
        <x:v>1</x:v>
      </x:c>
      <x:c r="Q2166"/>
      <x:c r="R2166" t="str">
        <x:v>全场 克雷卡米诺斯 2-2 塔巴蒂奥；让球：塔巴蒂奥DNB 走水；大小：大2.5 命中（总进球4）。</x:v>
      </x:c>
    </x:row>
    <x:row r="2167">
      <x:c r="A2167" t="str">
        <x:f>IF(B2167="","",TEXT(B2167,"yyyy-mm-dd")&amp;"|"&amp;D2167&amp;"|"&amp;E2167)</x:f>
        <x:v>2026-02-28|云斯卡尔达斯（Once Caldas）|茨高（Boyacá Chicó）</x:v>
      </x:c>
      <x:c r="B2167" s="39" t="n">
        <x:v>46081.395833333336</x:v>
      </x:c>
      <x:c r="C2167" t="str">
        <x:v>哥伦比亚甲级联赛（Liga BetPlay DIMAYOR）</x:v>
      </x:c>
      <x:c r="D2167" t="str">
        <x:v>云斯卡尔达斯（Once Caldas）</x:v>
      </x:c>
      <x:c r="E2167" t="str">
        <x:v>茨高（Boyacá Chicó）</x:v>
      </x:c>
      <x:c r="F2167" t="str">
        <x:v>云斯卡尔达斯 -0.75（半一）@1.86</x:v>
      </x:c>
      <x:c r="G2167" t="str">
        <x:v>大 2.5 @0.88</x:v>
      </x:c>
      <x:c r="H2167" t="str">
        <x:v>更稳：云斯卡尔达斯 -0.5；更激进：云斯卡尔达斯 -1（搏大胜）；保守对冲：茨高 +0.75</x:v>
      </x:c>
      <x:c r="I2167" t="n">
        <x:v>46081.37856481481</x:v>
      </x:c>
      <x:c r="J2167" t="str">
        <x:v>已结算</x:v>
      </x:c>
      <x:c r="K2167"/>
      <x:c r="L2167" t="str">
        <x:v>赢</x:v>
      </x:c>
      <x:c r="M2167" t="str">
        <x:v>赢</x:v>
      </x:c>
      <x:c r="N2167" t="n">
        <x:v>1</x:v>
      </x:c>
      <x:c r="O2167" t="n">
        <x:v>1</x:v>
      </x:c>
      <x:c r="P2167" t="n">
        <x:f>IF(COUNT(N2167:O2167)=0,"",SUM(N2167:O2167))</x:f>
        <x:v>2</x:v>
      </x:c>
      <x:c r="Q2167"/>
      <x:c r="R2167" t="str">
        <x:v>全场 云斯卡尔达斯 3-0 茨高；让球：云斯卡尔达斯-0.75 赢盘；大小：大2.5 命中（总进球3）。</x:v>
      </x:c>
    </x:row>
    <x:row r="2168">
      <x:c r="A2168" t="str">
        <x:f>IF(B2168="","",TEXT(B2168,"yyyy-mm-dd")&amp;"|"&amp;D2168&amp;"|"&amp;E2168)</x:f>
        <x:v>2026-02-28|扎卡特卡斯矿工（Mineros de Zacatecas）|梅里达维纳多斯（Venados FC）</x:v>
      </x:c>
      <x:c r="B2168" s="39" t="n">
        <x:v>46081.375</x:v>
      </x:c>
      <x:c r="C2168" t="str">
        <x:v>墨西哥甲级扩展联赛（Liga de Expansión MX）</x:v>
      </x:c>
      <x:c r="D2168" t="str">
        <x:v>扎卡特卡斯矿工（Mineros de Zacatecas）</x:v>
      </x:c>
      <x:c r="E2168" t="str">
        <x:v>梅里达维纳多斯（Venados FC）</x:v>
      </x:c>
      <x:c r="F2168" t="str">
        <x:v>扎卡特卡斯矿工 -0.75（半一）@1.85（约=亚洲水位0.85）</x:v>
      </x:c>
      <x:c r="G2168" t="str">
        <x:v>小 3.0 @1.95（约=亚洲水位0.95）</x:v>
      </x:c>
      <x:c r="H2168" t="str">
        <x:v>进取加仓：扎卡特卡斯矿工 -1（若水位≥0.85）；更稳大小：小3.25（3/3.5）@1.85</x:v>
      </x:c>
      <x:c r="I2168" t="n">
        <x:v>46081.38582175926</x:v>
      </x:c>
      <x:c r="J2168" t="str">
        <x:v>已结算</x:v>
      </x:c>
      <x:c r="K2168"/>
      <x:c r="L2168" t="str">
        <x:v>赢</x:v>
      </x:c>
      <x:c r="M2168" t="str">
        <x:v>赢</x:v>
      </x:c>
      <x:c r="N2168" t="n">
        <x:v>1</x:v>
      </x:c>
      <x:c r="O2168" t="n">
        <x:v>1</x:v>
      </x:c>
      <x:c r="P2168" t="n">
        <x:f>IF(COUNT(N2168:O2168)=0,"",SUM(N2168:O2168))</x:f>
        <x:v>2</x:v>
      </x:c>
      <x:c r="Q2168"/>
      <x:c r="R2168" t="str">
        <x:v>当前来源显示：扎卡特卡斯矿工 2-0 梅里达维纳多斯（疑似未完赛/需核对官方终场）；暂不结算大小盘。</x:v>
      </x:c>
    </x:row>
    <x:row r="2169">
      <x:c r="A2169" t="str">
        <x:f>IF(B2169="","",TEXT(B2169,"yyyy-mm-dd")&amp;"|"&amp;D2169&amp;"|"&amp;E2169)</x:f>
        <x:v>2026-02-28|马萨特兰（Mazatlán FC）|帕丘卡（CF Pachuca）</x:v>
      </x:c>
      <x:c r="B2169" s="39" t="n">
        <x:v>46081.375</x:v>
      </x:c>
      <x:c r="C2169" t="str">
        <x:v>墨西哥超（Liga MX，Clausura）</x:v>
      </x:c>
      <x:c r="D2169" t="str">
        <x:v>马萨特兰（Mazatlán FC）</x:v>
      </x:c>
      <x:c r="E2169" t="str">
        <x:v>帕丘卡（CF Pachuca）</x:v>
      </x:c>
      <x:c r="F2169" t="str">
        <x:v>帕丘卡 -0.5（让半球）@1.90（约=亚洲水位0.90）</x:v>
      </x:c>
      <x:c r="G2169" t="str">
        <x:v>小 2.5 @1.98（约=亚洲水位0.98）</x:v>
      </x:c>
      <x:c r="H2169" t="str">
        <x:v>可选/加仓：帕丘卡 -0.75（若临场仍≥0.85且首发无明显轮换）；更稳：小 2.75（若2.5被压到低水）</x:v>
      </x:c>
      <x:c r="I2169" t="n">
        <x:v>46081.379791666666</x:v>
      </x:c>
      <x:c r="J2169" t="str">
        <x:v>已结算</x:v>
      </x:c>
      <x:c r="K2169"/>
      <x:c r="L2169" t="str">
        <x:v>输</x:v>
      </x:c>
      <x:c r="M2169" t="str">
        <x:v>赢</x:v>
      </x:c>
      <x:c r="N2169" t="n">
        <x:v>-1</x:v>
      </x:c>
      <x:c r="O2169" t="n">
        <x:v>1</x:v>
      </x:c>
      <x:c r="P2169" t="n">
        <x:f>IF(COUNT(N2169:O2169)=0,"",SUM(N2169:O2169))</x:f>
        <x:v>0</x:v>
      </x:c>
      <x:c r="Q2169"/>
      <x:c r="R2169" t="str">
        <x:v>全场 马萨特兰 1-0 帕丘卡；让球：帕丘卡-0.5 输盘；大小：小2.5 命中（总进球1）。</x:v>
      </x:c>
    </x:row>
    <x:row r="2170">
      <x:c r="A2170" t="str">
        <x:f>IF(B2170="","",TEXT(B2170,"yyyy-mm-dd")&amp;"|"&amp;D2170&amp;"|"&amp;E2170)</x:f>
        <x:v>2026-02-28|克雷塔罗（Querétaro）|桑托斯拉古纳（Santos Laguna）</x:v>
      </x:c>
      <x:c r="B2170" s="39" t="n">
        <x:v>46081.375</x:v>
      </x:c>
      <x:c r="C2170" t="str">
        <x:v>墨西哥超（Liga MX，Clausura）</x:v>
      </x:c>
      <x:c r="D2170" t="str">
        <x:v>克雷塔罗（Querétaro）</x:v>
      </x:c>
      <x:c r="E2170" t="str">
        <x:v>桑托斯拉古纳（Santos Laguna）</x:v>
      </x:c>
      <x:c r="F2170" t="str">
        <x:v>克雷塔罗 -0.25（平/半）@1.90（约=亚洲水位0.90）</x:v>
      </x:c>
      <x:c r="G2170" t="str">
        <x:v>小 2.5 @1.88（约=亚洲水位0.88）</x:v>
      </x:c>
      <x:c r="H2170" t="str">
        <x:v>可选：克雷塔罗 -0.5（若临场升盘且水位合理）；或保守：克雷塔罗 DNB（不输）</x:v>
      </x:c>
      <x:c r="I2170" t="n">
        <x:v>46081.37012731482</x:v>
      </x:c>
      <x:c r="J2170" t="str">
        <x:v>已结算</x:v>
      </x:c>
      <x:c r="K2170" t="str">
        <x:v>2-2</x:v>
      </x:c>
      <x:c r="L2170" t="str">
        <x:v>输半</x:v>
      </x:c>
      <x:c r="M2170" t="str">
        <x:v>输</x:v>
      </x:c>
      <x:c r="N2170" t="n">
        <x:v>-0.5</x:v>
      </x:c>
      <x:c r="O2170" t="n">
        <x:v>-1</x:v>
      </x:c>
      <x:c r="P2170" t="n">
        <x:f>IF(COUNT(N2170:O2170)=0,"",SUM(N2170:O2170))</x:f>
        <x:v>-1.5</x:v>
      </x:c>
      <x:c r="Q2170" t="str">
        <x:v>SofaScore</x:v>
      </x:c>
      <x:c r="R2170" t="str">
        <x:v>校正赛果：克雷塔罗（Querétaro） 2-2 桑托斯拉古纳（Santos Laguna）；让球：克雷塔罗 -0.25 -&gt; 输半（-0.5）；大小：小2.5 -&gt; 输（-1）；来源：SofaScore。</x:v>
      </x:c>
    </x:row>
    <x:row r="2171">
      <x:c r="A2171" t="str">
        <x:f>IF(B2171="","",TEXT(B2171,"yyyy-mm-dd")&amp;"|"&amp;D2171&amp;"|"&amp;E2171)</x:f>
        <x:v>2026-02-28|奥哈卡（Alebrijes de Oaxaca）|多拉多斯（Dorados de Sinaloa）</x:v>
      </x:c>
      <x:c r="B2171" s="39" t="n">
        <x:v>46081.291666666664</x:v>
      </x:c>
      <x:c r="C2171" t="str">
        <x:v>墨西哥甲级扩展联赛（Liga de Expansión MX）</x:v>
      </x:c>
      <x:c r="D2171" t="str">
        <x:v>奥哈卡（Alebrijes de Oaxaca）</x:v>
      </x:c>
      <x:c r="E2171" t="str">
        <x:v>多拉多斯（Dorados de Sinaloa）</x:v>
      </x:c>
      <x:c r="F2171" t="str">
        <x:v>奥哈卡 -0.25（平/半）@1.92</x:v>
      </x:c>
      <x:c r="G2171" t="str">
        <x:v>大 2.5 @1.88</x:v>
      </x:c>
      <x:c r="H2171" t="str">
        <x:v>可选：奥哈卡 -0.5（若临场升盘且水位合理）；保守：大2.25/小2.75（临场按水位调整）</x:v>
      </x:c>
      <x:c r="I2171" t="n">
        <x:v>46081.30803240741</x:v>
      </x:c>
      <x:c r="J2171" t="str">
        <x:v>已结算</x:v>
      </x:c>
      <x:c r="K2171"/>
      <x:c r="L2171" t="str">
        <x:v>赢</x:v>
      </x:c>
      <x:c r="M2171" t="str">
        <x:v>赢</x:v>
      </x:c>
      <x:c r="N2171" t="n">
        <x:v>1</x:v>
      </x:c>
      <x:c r="O2171" t="n">
        <x:v>1</x:v>
      </x:c>
      <x:c r="P2171" t="n">
        <x:f>IF(COUNT(N2171:O2171)=0,"",SUM(N2171:O2171))</x:f>
        <x:v>2</x:v>
      </x:c>
      <x:c r="Q2171"/>
      <x:c r="R2171" t="str">
        <x:v>全场 奥哈卡 3-2 多拉多斯；让球：奥哈卡-0.25 赢盘；大小：大2.5 命中（总进球5）。</x:v>
      </x:c>
    </x:row>
    <x:row r="2172">
      <x:c r="A2172" t="str">
        <x:f>IF(B2172="","",TEXT(B2172,"yyyy-mm-dd")&amp;"|"&amp;D2172&amp;"|"&amp;E2172)</x:f>
        <x:v>2026-02-28|德累斯顿迪纳摩（Dynamo Dresden）|达姆施塔特98（SV Darmstadt 98）</x:v>
      </x:c>
      <x:c r="B2172" s="39" t="n">
        <x:v>46081.0625</x:v>
      </x:c>
      <x:c r="C2172" t="str">
        <x:v>德国乙级联赛（2. Bundesliga）</x:v>
      </x:c>
      <x:c r="D2172" t="str">
        <x:v>德累斯顿迪纳摩（Dynamo Dresden）</x:v>
      </x:c>
      <x:c r="E2172" t="str">
        <x:v>达姆施塔特98（SV Darmstadt 98）</x:v>
      </x:c>
      <x:c r="F2172" t="str">
        <x:v>达姆施塔特98 -0.25（平/半）@1.93（约=亚洲水位0.93）</x:v>
      </x:c>
      <x:c r="G2172" t="str">
        <x:v>小 2.5 @2.06（约=亚洲水位1.06）</x:v>
      </x:c>
      <x:c r="H2172" t="str">
        <x:v>可选/加仓：平局 @3.50 左右（匹配达姆施塔特客场连续平局走势）；或保守：达姆施塔特 0（DNB）若临场价格≥0.80</x:v>
      </x:c>
      <x:c r="I2172" t="n">
        <x:v>46081.03585648148</x:v>
      </x:c>
      <x:c r="J2172" t="str">
        <x:v>已结算</x:v>
      </x:c>
      <x:c r="K2172"/>
      <x:c r="L2172" t="str">
        <x:v>输</x:v>
      </x:c>
      <x:c r="M2172" t="str">
        <x:v>输</x:v>
      </x:c>
      <x:c r="N2172" t="n">
        <x:v>-1</x:v>
      </x:c>
      <x:c r="O2172" t="n">
        <x:v>-1</x:v>
      </x:c>
      <x:c r="P2172" t="n">
        <x:f>IF(COUNT(N2172:O2172)=0,"",SUM(N2172:O2172))</x:f>
        <x:v>-2</x:v>
      </x:c>
      <x:c r="Q2172"/>
      <x:c r="R2172" t="str">
        <x:v>全场 德累斯顿迪纳摩 3-1 达姆施塔特98；让球：达姆施塔特-0.25 输盘；大小：小2.5 失利（总进球4）。</x:v>
      </x:c>
    </x:row>
    <x:row r="2173">
      <x:c r="A2173" t="str">
        <x:f>IF(B2173="","",TEXT(B2173,"yyyy-mm-dd")&amp;"|"&amp;D2173&amp;"|"&amp;E2173)</x:f>
        <x:v>2026-02-27|班加罗尔（Bengaluru FC）|旁遮普（Punjab FC）</x:v>
      </x:c>
      <x:c r="B2173" s="39" t="n">
        <x:v>46080.916666666664</x:v>
      </x:c>
      <x:c r="C2173" t="str">
        <x:v>印度超级联赛（Indian Super League）</x:v>
      </x:c>
      <x:c r="D2173" t="str">
        <x:v>班加罗尔（Bengaluru FC）</x:v>
      </x:c>
      <x:c r="E2173" t="str">
        <x:v>旁遮普（Punjab FC）</x:v>
      </x:c>
      <x:c r="F2173" t="str">
        <x:v>旁遮普 +0.25（受让平/半）@1.97（约=亚洲水位0.97）</x:v>
      </x:c>
      <x:c r="G2173" t="str">
        <x:v>小 2.5 @1.86（约=亚洲水位0.86）</x:v>
      </x:c>
      <x:c r="H2173" t="str">
        <x:v>可选/加仓：旁遮普 +0.25 + 小2.5 同向；或低比分脚本平局（更偏1-1）</x:v>
      </x:c>
      <x:c r="I2173" t="n">
        <x:v>46080.90418981481</x:v>
      </x:c>
      <x:c r="J2173" t="str">
        <x:v>已结算</x:v>
      </x:c>
      <x:c r="K2173"/>
      <x:c r="L2173" t="str">
        <x:v>赢</x:v>
      </x:c>
      <x:c r="M2173" t="str">
        <x:v>赢</x:v>
      </x:c>
      <x:c r="N2173" t="n">
        <x:v>1</x:v>
      </x:c>
      <x:c r="O2173" t="n">
        <x:v>1</x:v>
      </x:c>
      <x:c r="P2173" t="n">
        <x:f>IF(COUNT(N2173:O2173)=0,"",SUM(N2173:O2173))</x:f>
        <x:v>2</x:v>
      </x:c>
      <x:c r="Q2173"/>
      <x:c r="R2173" t="str">
        <x:v>全场 班加罗尔 0-1 旁遮普；让球：旁遮普+0.25 赢盘；大小：小2.5 命中（总进球1）。</x:v>
      </x:c>
    </x:row>
    <x:row r="2174">
      <x:c r="A2174" t="str">
        <x:f>IF(B2174="","",TEXT(B2174,"yyyy-mm-dd")&amp;"|"&amp;D2174&amp;"|"&amp;E2174)</x:f>
        <x:v>2026-02-27|巴克伦佛（PSBS Biak）|永亚卡达（PSIM Yogyakarta）</x:v>
      </x:c>
      <x:c r="B2174" s="39" t="n">
        <x:v>46080.895833333336</x:v>
      </x:c>
      <x:c r="C2174" t="str">
        <x:v>印度尼西亚超级联赛（印尼超/Liga 1 Indonesia）</x:v>
      </x:c>
      <x:c r="D2174" t="str">
        <x:v>巴克伦佛（PSBS Biak）</x:v>
      </x:c>
      <x:c r="E2174" t="str">
        <x:v>永亚卡达（PSIM Yogyakarta）</x:v>
      </x:c>
      <x:c r="F2174" t="str">
        <x:v>巴克伦佛 +0.25（受让平/半）@1.85（约=亚洲水位0.85）</x:v>
      </x:c>
      <x:c r="G2174" t="str">
        <x:v>小 2.75（2.5/3）@2.00（约=亚洲水位1.00）</x:v>
      </x:c>
      <x:c r="H2174" t="str">
        <x:v>可选：巴克伦佛 +0.5 @1.80（更稳）；或平局 @3.75（匹配双方近期平局走势）</x:v>
      </x:c>
      <x:c r="I2174" t="n">
        <x:v>46080.83826388889</x:v>
      </x:c>
      <x:c r="J2174" t="str">
        <x:v>已结算</x:v>
      </x:c>
      <x:c r="K2174"/>
      <x:c r="L2174" t="str">
        <x:v>输</x:v>
      </x:c>
      <x:c r="M2174" t="str">
        <x:v>输</x:v>
      </x:c>
      <x:c r="N2174" t="n">
        <x:v>-1</x:v>
      </x:c>
      <x:c r="O2174" t="n">
        <x:v>-1</x:v>
      </x:c>
      <x:c r="P2174" t="n">
        <x:f>IF(COUNT(N2174:O2174)=0,"",SUM(N2174:O2174))</x:f>
        <x:v>-2</x:v>
      </x:c>
      <x:c r="Q2174"/>
      <x:c r="R2174" t="str">
        <x:v>全场 巴克伦佛（PSBS） 2-4 永亚卡达（PSIM）；让球：PSBS +0.25 输盘；大小：小2.75 失利（总进球6）。</x:v>
      </x:c>
    </x:row>
    <x:row r="2175">
      <x:c r="A2175" t="str">
        <x:f>IF(B2175="","",TEXT(B2175,"yyyy-mm-dd")&amp;"|"&amp;D2175&amp;"|"&amp;E2175)</x:f>
        <x:v>2026-02-27|东孟加拉（East Bengal FC）|詹谢普尔（Jamshedpur FC）</x:v>
      </x:c>
      <x:c r="B2175" s="39" t="n">
        <x:v>46080.8125</x:v>
      </x:c>
      <x:c r="C2175" t="str">
        <x:v>印度超级联赛（Indian Super League）</x:v>
      </x:c>
      <x:c r="D2175" t="str">
        <x:v>东孟加拉（East Bengal FC）</x:v>
      </x:c>
      <x:c r="E2175" t="str">
        <x:v>詹谢普尔（Jamshedpur FC）</x:v>
      </x:c>
      <x:c r="F2175" t="str">
        <x:v>东孟加拉 -0.75（半一）@1.88（约=亚洲水位0.88）</x:v>
      </x:c>
      <x:c r="G2175" t="str">
        <x:v>小 2.75（2.5/3）@0.83（亚洲水位）</x:v>
      </x:c>
      <x:c r="H2175" t="str">
        <x:v>进取：东孟加拉 -1（赢2球全赢，赢1走水）；保守对冲：詹谢普尔 +0.75 @1.98（约=亚洲水位0.98）</x:v>
      </x:c>
      <x:c r="I2175" t="n">
        <x:v>46080.80459490741</x:v>
      </x:c>
      <x:c r="J2175" t="str">
        <x:v>已结算</x:v>
      </x:c>
      <x:c r="K2175"/>
      <x:c r="L2175" t="str">
        <x:v>输</x:v>
      </x:c>
      <x:c r="M2175" t="str">
        <x:v>输半</x:v>
      </x:c>
      <x:c r="N2175" t="n">
        <x:v>-1</x:v>
      </x:c>
      <x:c r="O2175" t="n">
        <x:v>-0.5</x:v>
      </x:c>
      <x:c r="P2175" t="n">
        <x:f>IF(COUNT(N2175:O2175)=0,"",SUM(N2175:O2175))</x:f>
        <x:v>-1.5</x:v>
      </x:c>
      <x:c r="Q2175"/>
      <x:c r="R2175" t="str">
        <x:v>全场 东孟加拉 1-2 詹谢普尔；让球：东孟加拉-0.75 输盘；大小：小2.75 输半（总进球3）。</x:v>
      </x:c>
    </x:row>
    <x:row r="2176">
      <x:c r="A2176" t="str">
        <x:f>IF(B2176="","",TEXT(B2176,"yyyy-mm-dd")&amp;"|"&amp;D2176&amp;"|"&amp;E2176)</x:f>
        <x:v>2026-02-27|神户胜利船（Vissel Kobe）|福冈黄蜂（Avispa Fukuoka）</x:v>
      </x:c>
      <x:c r="B2176" s="39" t="n">
        <x:v>46080.75</x:v>
      </x:c>
      <x:c r="C2176" t="str">
        <x:v>日职联（J1 League）</x:v>
      </x:c>
      <x:c r="D2176" t="str">
        <x:v>神户胜利船（Vissel Kobe）</x:v>
      </x:c>
      <x:c r="E2176" t="str">
        <x:v>福冈黄蜂（Avispa Fukuoka）</x:v>
      </x:c>
      <x:c r="F2176" t="str">
        <x:v>福冈黄蜂 +0.5（受半球）@0.92（亚洲水位）</x:v>
      </x:c>
      <x:c r="G2176" t="str">
        <x:v>小 1.75（1.5/2）@0.99（亚洲水位）</x:v>
      </x:c>
      <x:c r="H2176" t="str">
        <x:v>可选：福冈黄蜂 +0.75（若临场退盘回-0.75且客队水位≥0.85）；或平局（低比分脚本）</x:v>
      </x:c>
      <x:c r="I2176" t="n">
        <x:v>46080.77853009259</x:v>
      </x:c>
      <x:c r="J2176" t="str">
        <x:v>已结算</x:v>
      </x:c>
      <x:c r="K2176"/>
      <x:c r="L2176" t="str">
        <x:v>输</x:v>
      </x:c>
      <x:c r="M2176" t="str">
        <x:v>输</x:v>
      </x:c>
      <x:c r="N2176" t="n">
        <x:v>-1</x:v>
      </x:c>
      <x:c r="O2176" t="n">
        <x:v>-1</x:v>
      </x:c>
      <x:c r="P2176" t="n">
        <x:f>IF(COUNT(N2176:O2176)=0,"",SUM(N2176:O2176))</x:f>
        <x:v>-2</x:v>
      </x:c>
      <x:c r="Q2176"/>
      <x:c r="R2176" t="str">
        <x:v>全场 神户胜利船 2-1 福冈黄蜂；让球：福冈+0.5 输盘；大小：小1.75 失利（总进球3）。</x:v>
      </x:c>
    </x:row>
    <x:row r="2177">
      <x:c r="A2177" t="str">
        <x:f>IF(B2177="","",TEXT(B2177,"yyyy-mm-dd")&amp;"|"&amp;D2177&amp;"|"&amp;E2177)</x:f>
        <x:v>2026-02-27|广岛三箭（Sanfrecce Hiroshima）|京都不死鸟（Kyoto Sanga）</x:v>
      </x:c>
      <x:c r="B2177" s="39" t="n">
        <x:v>46080.75</x:v>
      </x:c>
      <x:c r="C2177" t="str">
        <x:v>日职联（J1 League）</x:v>
      </x:c>
      <x:c r="D2177" t="str">
        <x:v>广岛三箭（Sanfrecce Hiroshima）</x:v>
      </x:c>
      <x:c r="E2177" t="str">
        <x:v>京都不死鸟（Kyoto Sanga）</x:v>
      </x:c>
      <x:c r="F2177" t="str">
        <x:v>京都不死鸟 +0.5（受半球）@1.90（约=亚洲水位0.90）</x:v>
      </x:c>
      <x:c r="G2177" t="str">
        <x:v>小 2.5 @1.88（约=亚洲水位0.88）</x:v>
      </x:c>
      <x:c r="H2177" t="str">
        <x:v>可选/加仓：平局 @3.45；或临场若升盘到2.75仍走“小2.75”保容错</x:v>
      </x:c>
      <x:c r="I2177" t="n">
        <x:v>46080.76527777778</x:v>
      </x:c>
      <x:c r="J2177" t="str">
        <x:v>已结算</x:v>
      </x:c>
      <x:c r="K2177"/>
      <x:c r="L2177" t="str">
        <x:v>赢</x:v>
      </x:c>
      <x:c r="M2177" t="str">
        <x:v>输</x:v>
      </x:c>
      <x:c r="N2177" t="n">
        <x:v>1</x:v>
      </x:c>
      <x:c r="O2177" t="n">
        <x:v>-1</x:v>
      </x:c>
      <x:c r="P2177" t="n">
        <x:f>IF(COUNT(N2177:O2177)=0,"",SUM(N2177:O2177))</x:f>
        <x:v>0</x:v>
      </x:c>
      <x:c r="Q2177"/>
      <x:c r="R2177" t="str">
        <x:v>全场 广岛三箭 1-2 京都不死鸟；让球：京都+0.5 赢盘；大小：小2.5 失利（总进球3）。</x:v>
      </x:c>
    </x:row>
    <x:row r="2178">
      <x:c r="A2178" t="str">
        <x:f>IF(B2178="","",TEXT(B2178,"yyyy-mm-dd")&amp;"|"&amp;D2178&amp;"|"&amp;E2178)</x:f>
        <x:v>2026-02-27|墨尔本胜利|阿德莱德联</x:v>
      </x:c>
      <x:c r="B2178" s="39" t="n">
        <x:v>46080.69097222222</x:v>
      </x:c>
      <x:c r="C2178" t="str">
        <x:v>澳大利亚A联赛（A-League Men）</x:v>
      </x:c>
      <x:c r="D2178" t="str">
        <x:v>墨尔本胜利</x:v>
      </x:c>
      <x:c r="E2178" t="str">
        <x:v>阿德莱德联</x:v>
      </x:c>
      <x:c r="F2178" t="str">
        <x:v>墨尔本胜利 -0.75（半/一）@0.87</x:v>
      </x:c>
      <x:c r="G2178" t="str">
        <x:v>小 3/3.5（3.25）@0.88</x:v>
      </x:c>
      <x:c r="H2178" t="str">
        <x:v>可选：小3.5 @0.83（更稳）</x:v>
      </x:c>
      <x:c r="I2178" t="n">
        <x:v>46080.64438657407</x:v>
      </x:c>
      <x:c r="J2178" t="str">
        <x:v>已结算</x:v>
      </x:c>
      <x:c r="K2178"/>
      <x:c r="L2178" t="str">
        <x:v>输</x:v>
      </x:c>
      <x:c r="M2178" t="str">
        <x:v>赢</x:v>
      </x:c>
      <x:c r="N2178" t="n">
        <x:v>-1</x:v>
      </x:c>
      <x:c r="O2178" t="n">
        <x:v>1</x:v>
      </x:c>
      <x:c r="P2178" t="n">
        <x:f>IF(COUNT(N2178:O2178)=0,"",SUM(N2178:O2178))</x:f>
        <x:v>0</x:v>
      </x:c>
      <x:c r="Q2178"/>
      <x:c r="R2178" t="str">
        <x:v>全场 1-1；让球：墨尔本胜利-0.75 未赢盘；大小：小3.25 命中。</x:v>
      </x:c>
    </x:row>
    <x:row r="2179">
      <x:c r="A2179" t="str">
        <x:f>IF(B2179="","",TEXT(B2179,"yyyy-mm-dd")&amp;"|"&amp;D2179&amp;"|"&amp;E2179)</x:f>
        <x:v>2026-02-27|黑德堡联（Heidelberg Utd）|丹德农市（Dandenong City）</x:v>
      </x:c>
      <x:c r="B2179" s="39" t="n">
        <x:v>46080.6875</x:v>
      </x:c>
      <x:c r="C2179" t="str">
        <x:v>澳大利亚 维多利亚州超级联赛1（VPL1）</x:v>
      </x:c>
      <x:c r="D2179" t="str">
        <x:v>黑德堡联（Heidelberg Utd）</x:v>
      </x:c>
      <x:c r="E2179" t="str">
        <x:v>丹德农市（Dandenong City）</x:v>
      </x:c>
      <x:c r="F2179" t="str">
        <x:v>黑德堡联 -1（让一球）@2.03（约=亚洲水位1.03）</x:v>
      </x:c>
      <x:c r="G2179" t="str">
        <x:v>小 3.5 @1.85（约=亚洲水位0.85）</x:v>
      </x:c>
      <x:c r="H2179" t="str">
        <x:v>进取加仓：黑德堡联 -1.25 @2.30；更激进：黑德堡联 -1.5 @2.56</x:v>
      </x:c>
      <x:c r="I2179" t="n">
        <x:v>46080.687743055554</x:v>
      </x:c>
      <x:c r="J2179" t="str">
        <x:v>已结算</x:v>
      </x:c>
      <x:c r="K2179"/>
      <x:c r="L2179" t="str">
        <x:v>输</x:v>
      </x:c>
      <x:c r="M2179" t="str">
        <x:v>赢</x:v>
      </x:c>
      <x:c r="N2179" t="n">
        <x:v>-1</x:v>
      </x:c>
      <x:c r="O2179" t="n">
        <x:v>1</x:v>
      </x:c>
      <x:c r="P2179" t="n">
        <x:f>IF(COUNT(N2179:O2179)=0,"",SUM(N2179:O2179))</x:f>
        <x:v>0</x:v>
      </x:c>
      <x:c r="Q2179"/>
      <x:c r="R2179" t="str">
        <x:v>全场 1-2；让球：黑德堡联-1 输盘；大小：小3.5 命中（总进球3）。</x:v>
      </x:c>
    </x:row>
    <x:row r="2180">
      <x:c r="A2180" t="str">
        <x:f>IF(B2180="","",TEXT(B2180,"yyyy-mm-dd")&amp;"|"&amp;D2180&amp;"|"&amp;E2180)</x:f>
        <x:v>2026-02-27|南墨尔本（South Melbourne）|南岛联（South Island United）</x:v>
      </x:c>
      <x:c r="B2180" s="39" t="n">
        <x:v>46080.666666666664</x:v>
      </x:c>
      <x:c r="C2180" t="str">
        <x:v>OFC职业联赛</x:v>
      </x:c>
      <x:c r="D2180" t="str">
        <x:v>南墨尔本（South Melbourne）</x:v>
      </x:c>
      <x:c r="E2180" t="str">
        <x:v>南岛联（South Island United）</x:v>
      </x:c>
      <x:c r="F2180" t="str">
        <x:v>南墨尔本 -1.25（球半/一）</x:v>
      </x:c>
      <x:c r="G2180" t="str">
        <x:v>大 3.0</x:v>
      </x:c>
      <x:c r="H2180" t="str">
        <x:v>更激进：南墨尔本 -1.5（高赔搏穿）；更稳：大2.75（降盘保底）</x:v>
      </x:c>
      <x:c r="I2180" t="n">
        <x:v>46080.679131944446</x:v>
      </x:c>
      <x:c r="J2180" t="str">
        <x:v>已结算</x:v>
      </x:c>
      <x:c r="K2180"/>
      <x:c r="L2180" t="str">
        <x:v>赢</x:v>
      </x:c>
      <x:c r="M2180" t="str">
        <x:v>赢</x:v>
      </x:c>
      <x:c r="N2180" t="n">
        <x:v>1</x:v>
      </x:c>
      <x:c r="O2180" t="n">
        <x:v>1</x:v>
      </x:c>
      <x:c r="P2180" t="n">
        <x:f>IF(COUNT(N2180:O2180)=0,"",SUM(N2180:O2180))</x:f>
        <x:v>2</x:v>
      </x:c>
      <x:c r="Q2180"/>
      <x:c r="R2180" t="str">
        <x:v>全场 4-1；让球：南墨尔本-1.25 赢盘；大小：大3.0 命中。</x:v>
      </x:c>
    </x:row>
    <x:row r="2181">
      <x:c r="A2181" t="str">
        <x:f>IF(B2181="","",TEXT(B2181,"yyyy-mm-dd")&amp;"|"&amp;D2181&amp;"|"&amp;E2181)</x:f>
        <x:v>2026-02-27|杜海勒(Al Duhail)|阿尔萨德(Al Sadd)</x:v>
      </x:c>
      <x:c r="B2181" s="39" t="n">
        <x:v>46080.104166666664</x:v>
      </x:c>
      <x:c r="C2181" t="str">
        <x:v>卡塔尔星联赛（Stars League）</x:v>
      </x:c>
      <x:c r="D2181" t="str">
        <x:v>杜海勒(Al Duhail)</x:v>
      </x:c>
      <x:c r="E2181" t="str">
        <x:v>阿尔萨德(Al Sadd)</x:v>
      </x:c>
      <x:c r="F2181" t="str">
        <x:v>杜海勒 +0/0.5（受让平半，1.90左右）</x:v>
      </x:c>
      <x:c r="G2181" t="str">
        <x:v>小 3/3.5（3.25，小球1.80左右）</x:v>
      </x:c>
      <x:c r="H2181" t="str">
        <x:v>若临场从杜海勒+0.25升到+0.5且赔率≥1.80，优先用+0.5提升容错；若反向压到平手(DNB)但杜海勒≥1.85也可接受。大小球若升到3.5且小球≥1.85更佳；若降到3.0且小球≤1.75则不追低回报。</x:v>
      </x:c>
      <x:c r="I2181" t="n">
        <x:v>46079.992118055554</x:v>
      </x:c>
      <x:c r="J2181" t="str">
        <x:v>已结算</x:v>
      </x:c>
      <x:c r="K2181" t="str">
        <x:v>1-3</x:v>
      </x:c>
      <x:c r="L2181" t="str">
        <x:v>输</x:v>
      </x:c>
      <x:c r="M2181" t="str">
        <x:v>输</x:v>
      </x:c>
      <x:c r="N2181" t="n">
        <x:v>-1</x:v>
      </x:c>
      <x:c r="O2181" t="n">
        <x:v>-1</x:v>
      </x:c>
      <x:c r="P2181" t="n">
        <x:f>IF(COUNT(N2181:O2181)=0,"",SUM(N2181:O2181))</x:f>
        <x:v>-2</x:v>
      </x:c>
      <x:c r="Q2181"/>
      <x:c r="R2181" t="str">
        <x:v>赛果：杜海勒 1-3 阿尔萨德；让球：杜海勒+0.25=输；大小：小3.25=输（4球）</x:v>
      </x:c>
    </x:row>
    <x:row r="2182">
      <x:c r="A2182" t="str">
        <x:f>IF(B2182="","",TEXT(B2182,"yyyy-mm-dd")&amp;"|"&amp;D2182&amp;"|"&amp;E2182)</x:f>
        <x:v>2026-02-26|果阿(果阿邦/FC Goa)|德里体育(德里竞技/SC Delhi)</x:v>
      </x:c>
      <x:c r="B2182" s="39" t="n">
        <x:v>46079.916666666664</x:v>
      </x:c>
      <x:c r="C2182" t="str">
        <x:v>印度超级联赛（Indian Super League）</x:v>
      </x:c>
      <x:c r="D2182" t="str">
        <x:v>果阿(果阿邦/FC Goa)</x:v>
      </x:c>
      <x:c r="E2182" t="str">
        <x:v>德里体育(德里竞技/SC Delhi)</x:v>
      </x:c>
      <x:c r="F2182" t="str">
        <x:v>果阿 -0.75（让半一，1.85左右）</x:v>
      </x:c>
      <x:c r="G2182" t="str">
        <x:v>大 2.5（1.87左右）</x:v>
      </x:c>
      <x:c r="H2182" t="str">
        <x:v>若临场让球回升到果阿-1且主队水位≥1.80，可用-1追穿盘；若继续走弱到-0.5但主队≥1.75，则改-0.5更稳。大小球若升到2.75且大球≥1.85，可改大2.75提高容错；若降到2/2.25且大球低水则不追。</x:v>
      </x:c>
      <x:c r="I2182" t="n">
        <x:v>46079.865694444445</x:v>
      </x:c>
      <x:c r="J2182" t="str">
        <x:v>已结算</x:v>
      </x:c>
      <x:c r="K2182" t="str">
        <x:v>1-0</x:v>
      </x:c>
      <x:c r="L2182" t="str">
        <x:v>赢半</x:v>
      </x:c>
      <x:c r="M2182" t="str">
        <x:v>输</x:v>
      </x:c>
      <x:c r="N2182" t="n">
        <x:v>0.5</x:v>
      </x:c>
      <x:c r="O2182" t="n">
        <x:v>-1</x:v>
      </x:c>
      <x:c r="P2182" t="n">
        <x:f>IF(COUNT(N2182:O2182)=0,"",SUM(N2182:O2182))</x:f>
        <x:v>-0.5</x:v>
      </x:c>
      <x:c r="Q2182" t="str">
        <x:v>https://www.indiansuperleague.com/matchcentre/101216 | https://www.espn.com/soccer/match/_/gameId/401860525/sporting-club-delhi-fc-goa | 查询时间：2026-07-15 23:40（北京时间）</x:v>
      </x:c>
      <x:c r="R2182" t="str">
        <x:v>历史积压状态修正：90分钟1-0；果阿-0.75赢半，大2.5未打出。</x:v>
      </x:c>
    </x:row>
    <x:row r="2183">
      <x:c r="A2183" t="str">
        <x:f>IF(B2183="","",TEXT(B2183,"yyyy-mm-dd")&amp;"|"&amp;D2183&amp;"|"&amp;E2183)</x:f>
        <x:v>2026-02-26|婆罗洲FC(婆罗洲三马林达/Borneo Samarinda)|阿雷马(马兰/Arema FC)</x:v>
      </x:c>
      <x:c r="B2183" s="39" t="n">
        <x:v>46079.895833333336</x:v>
      </x:c>
      <x:c r="C2183" t="str">
        <x:v>印度尼西亚超级联赛（印尼超/Liga 1 Indonesia）</x:v>
      </x:c>
      <x:c r="D2183" t="str">
        <x:v>婆罗洲FC(婆罗洲三马林达/Borneo Samarinda)</x:v>
      </x:c>
      <x:c r="E2183" t="str">
        <x:v>阿雷马(马兰/Arema FC)</x:v>
      </x:c>
      <x:c r="F2183" t="str">
        <x:v>婆罗洲FC -0.75（让半一，0.88左右）</x:v>
      </x:c>
      <x:c r="G2183" t="str">
        <x:v>小 2.75（2.5/3，小球0.95左右）</x:v>
      </x:c>
      <x:c r="H2183" t="str">
        <x:v>临场若让球退回婆罗洲-0.5且主队水位≥0.85，可改-0.5走更稳；若升到-1且主队水位≥0.90，则可小幅加仓主队方向。大小球若升到3.0且小球≥0.85，可改小3.0提升容错；若降到2.5但小球≤0.75（低水）则不追。</x:v>
      </x:c>
      <x:c r="I2183" t="n">
        <x:v>46079.85943287037</x:v>
      </x:c>
      <x:c r="J2183" t="str">
        <x:v>已结算</x:v>
      </x:c>
      <x:c r="K2183" t="str">
        <x:v>3-1</x:v>
      </x:c>
      <x:c r="L2183" t="str">
        <x:v>赢</x:v>
      </x:c>
      <x:c r="M2183" t="str">
        <x:v>输</x:v>
      </x:c>
      <x:c r="N2183" t="n">
        <x:v>1</x:v>
      </x:c>
      <x:c r="O2183" t="n">
        <x:v>-1</x:v>
      </x:c>
      <x:c r="P2183" t="n">
        <x:f>IF(COUNT(N2183:O2183)=0,"",SUM(N2183:O2183))</x:f>
        <x:v>0</x:v>
      </x:c>
      <x:c r="Q2183"/>
      <x:c r="R2183" t="str">
        <x:v>赛果：婆罗洲FC 3-1 阿雷马；让球：婆罗洲-0.75=赢；大小：小2.75=输（4球）</x:v>
      </x:c>
    </x:row>
    <x:row r="2184">
      <x:c r="A2184" t="str">
        <x:f>IF(B2184="","",TEXT(B2184,"yyyy-mm-dd")&amp;"|"&amp;D2184&amp;"|"&amp;E2184)</x:f>
        <x:v>2026-02-26|培斯塔坦格朗(塔斯塔坦格朗/Persita Tangerang)|德瓦联(德瓦/Dewa United)</x:v>
      </x:c>
      <x:c r="B2184" s="39" t="n">
        <x:v>46079.895833333336</x:v>
      </x:c>
      <x:c r="C2184" t="str">
        <x:v>印度尼西亚超级联赛（印尼超/Liga 1 Indonesia）</x:v>
      </x:c>
      <x:c r="D2184" t="str">
        <x:v>培斯塔坦格朗(塔斯塔坦格朗/Persita Tangerang)</x:v>
      </x:c>
      <x:c r="E2184" t="str">
        <x:v>德瓦联(德瓦/Dewa United)</x:v>
      </x:c>
      <x:c r="F2184" t="str">
        <x:v>培斯塔坦格朗 0（平手盘/DNB，1.06左右）</x:v>
      </x:c>
      <x:c r="G2184" t="str">
        <x:v>小 2.5（1.82-1.86左右）</x:v>
      </x:c>
      <x:c r="H2184" t="str">
        <x:v>若临场盘口从平手升到培斯塔让0/0.25（-0.25），且主队水位仍≥0.85，可顺势追主队-0.25；若反向变成培斯塔受让+0/0.25且水位≥0.85，更利于继续持有主队不败。大小球若升到2.75且小球≥1.85，可改小2.75提高容错；若降到2/2.25且小球低水（≤1.75）则不追。</x:v>
      </x:c>
      <x:c r="I2184" t="n">
        <x:v>46079.80877314815</x:v>
      </x:c>
      <x:c r="J2184" t="str">
        <x:v>已结算</x:v>
      </x:c>
      <x:c r="K2184" t="str">
        <x:v>0-1</x:v>
      </x:c>
      <x:c r="L2184" t="str">
        <x:v>输</x:v>
      </x:c>
      <x:c r="M2184" t="str">
        <x:v>赢</x:v>
      </x:c>
      <x:c r="N2184" t="n">
        <x:v>-1</x:v>
      </x:c>
      <x:c r="O2184" t="n">
        <x:v>1</x:v>
      </x:c>
      <x:c r="P2184" t="n">
        <x:f>IF(COUNT(N2184:O2184)=0,"",SUM(N2184:O2184))</x:f>
        <x:v>0</x:v>
      </x:c>
      <x:c r="Q2184"/>
      <x:c r="R2184" t="str">
        <x:v>赛果：培斯塔坦格朗 0-1 德瓦联；让球：培斯塔0(DNB)=输；大小：小2.5=赢（1球）</x:v>
      </x:c>
    </x:row>
    <x:row r="2185">
      <x:c r="A2185" t="str">
        <x:f>IF(B2185="","",TEXT(B2185,"yyyy-mm-dd")&amp;"|"&amp;D2185&amp;"|"&amp;E2185)</x:f>
        <x:v>2026-02-26|万隆(佩西布万隆/Persib Bandung)|马都拉联(Madura United)</x:v>
      </x:c>
      <x:c r="B2185" s="39" t="n">
        <x:v>46079.895833333336</x:v>
      </x:c>
      <x:c r="C2185" t="str">
        <x:v>印度尼西亚超级联赛（印尼超/Liga 1 Indonesia）</x:v>
      </x:c>
      <x:c r="D2185" t="str">
        <x:v>万隆(佩西布万隆/Persib Bandung)</x:v>
      </x:c>
      <x:c r="E2185" t="str">
        <x:v>马都拉联(Madura United)</x:v>
      </x:c>
      <x:c r="F2185" t="str">
        <x:v>万隆 -1.5（让球半，1.83左右）</x:v>
      </x:c>
      <x:c r="G2185" t="str">
        <x:v>小 2.75（2/2.5-3之间，1.93左右）</x:v>
      </x:c>
      <x:c r="H2185" t="str">
        <x:v>若临场升到万隆-1.75且主队水位≥1.85，可小幅加仓；若退到-1.25且主队≥1.80，则用-1.25替代更稳。大小球若升到3.0且小球≥1.85，可改小3.0提高容错；若降到2.5且小球≤1.75则不追低水。</x:v>
      </x:c>
      <x:c r="I2185" t="n">
        <x:v>46079.80390046296</x:v>
      </x:c>
      <x:c r="J2185" t="str">
        <x:v>已结算</x:v>
      </x:c>
      <x:c r="K2185" t="str">
        <x:v>5-0</x:v>
      </x:c>
      <x:c r="L2185" t="str">
        <x:v>赢</x:v>
      </x:c>
      <x:c r="M2185" t="str">
        <x:v>输</x:v>
      </x:c>
      <x:c r="N2185" t="n">
        <x:v>1</x:v>
      </x:c>
      <x:c r="O2185" t="n">
        <x:v>-1</x:v>
      </x:c>
      <x:c r="P2185" t="n">
        <x:f>IF(COUNT(N2185:O2185)=0,"",SUM(N2185:O2185))</x:f>
        <x:v>0</x:v>
      </x:c>
      <x:c r="Q2185"/>
      <x:c r="R2185" t="str">
        <x:v>赛果：万隆 5-0 马都拉联；让球：万隆-1.5=赢；大小：小2.75=输（5球）</x:v>
      </x:c>
    </x:row>
    <x:row r="2186">
      <x:c r="A2186" t="str">
        <x:f>IF(B2186="","",TEXT(B2186,"yyyy-mm-dd")&amp;"|"&amp;D2186&amp;"|"&amp;E2186)</x:f>
        <x:v>2026-02-26|洛杉矶银河(LA Galaxy)|圣米格利托体育(Sporting San Miguelito)</x:v>
      </x:c>
      <x:c r="B2186" s="39" t="n">
        <x:v>46079.520833333336</x:v>
      </x:c>
      <x:c r="C2186" t="str">
        <x:v>中北美冠军杯（CONCACAF Champions Cup）</x:v>
      </x:c>
      <x:c r="D2186" t="str">
        <x:v>洛杉矶银河(LA Galaxy)</x:v>
      </x:c>
      <x:c r="E2186" t="str">
        <x:v>圣米格利托体育(Sporting San Miguelito)</x:v>
      </x:c>
      <x:c r="F2186" t="str">
        <x:v>圣米格利托体育 +2/2.5（受让两球/两球半=+2.25，1.95左右）</x:v>
      </x:c>
      <x:c r="G2186" t="str">
        <x:v>小 3.5（1.87左右）</x:v>
      </x:c>
      <x:c r="H2186" t="str">
        <x:v>若临场受让升到圣米格利托体育+2.5且水位≥1.85，优先升盘提高容错；若压到+2.0但给到≥2.00可小注博高回报，≤1.80则不追。大小球若降到3/3.25且小球≥1.85更优；若升到4.0但小球≥1.80可改小4.0防4球走水。</x:v>
      </x:c>
      <x:c r="I2186" t="n">
        <x:v>46079.536990740744</x:v>
      </x:c>
      <x:c r="J2186" t="str">
        <x:v>已结算</x:v>
      </x:c>
      <x:c r="K2186" t="str">
        <x:v>0-0</x:v>
      </x:c>
      <x:c r="L2186" t="str">
        <x:v>赢</x:v>
      </x:c>
      <x:c r="M2186" t="str">
        <x:v>赢</x:v>
      </x:c>
      <x:c r="N2186" t="n">
        <x:v>1</x:v>
      </x:c>
      <x:c r="O2186" t="n">
        <x:v>1</x:v>
      </x:c>
      <x:c r="P2186" t="n">
        <x:f>IF(COUNT(N2186:O2186)=0,"",SUM(N2186:O2186))</x:f>
        <x:v>2</x:v>
      </x:c>
      <x:c r="Q2186"/>
      <x:c r="R2186" t="str">
        <x:v>赛果：洛杉矶银河 0-0 圣米格利托体育；让球：圣米格利托+2.25=赢；大小：小3.5=赢（0球）</x:v>
      </x:c>
    </x:row>
    <x:row r="2187">
      <x:c r="A2187" t="str">
        <x:f>IF(B2187="","",TEXT(B2187,"yyyy-mm-dd")&amp;"|"&amp;D2187&amp;"|"&amp;E2187)</x:f>
        <x:v>2026-02-26|温哥华白帽(Whitecaps)|肯塔吉内斯(CS Cartaginés)</x:v>
      </x:c>
      <x:c r="B2187" s="39" t="n">
        <x:v>46079.4375</x:v>
      </x:c>
      <x:c r="C2187" t="str">
        <x:v>中北美冠军杯（CONCACAF Champions Cup）</x:v>
      </x:c>
      <x:c r="D2187" t="str">
        <x:v>温哥华白帽(Whitecaps)</x:v>
      </x:c>
      <x:c r="E2187" t="str">
        <x:v>肯塔吉内斯(CS Cartaginés)</x:v>
      </x:c>
      <x:c r="F2187" t="str">
        <x:v>肯塔吉内斯 +2.5（受让两球半，1.98左右）</x:v>
      </x:c>
      <x:c r="G2187" t="str">
        <x:v>小 3.5（1.91左右）</x:v>
      </x:c>
      <x:c r="H2187" t="str">
        <x:v>若临场升到肯塔吉内斯+2.75且水位仍≥1.85，优先升盘提高容错；若降到+2.25但给到≥2.05可小注博高回报。大小球若主流线降到3/3.25且小球≤1.80则不追低水；若升到4.0且小球≥1.80，可改小4.0防4球走水。</x:v>
      </x:c>
      <x:c r="I2187" t="n">
        <x:v>46079.44527777778</x:v>
      </x:c>
      <x:c r="J2187" t="str">
        <x:v>已结算</x:v>
      </x:c>
      <x:c r="K2187" t="str">
        <x:v>2-0</x:v>
      </x:c>
      <x:c r="L2187" t="str">
        <x:v>赢</x:v>
      </x:c>
      <x:c r="M2187" t="str">
        <x:v>赢</x:v>
      </x:c>
      <x:c r="N2187" t="n">
        <x:v>1</x:v>
      </x:c>
      <x:c r="O2187" t="n">
        <x:v>1</x:v>
      </x:c>
      <x:c r="P2187" t="n">
        <x:f>IF(COUNT(N2187:O2187)=0,"",SUM(N2187:O2187))</x:f>
        <x:v>2</x:v>
      </x:c>
      <x:c r="Q2187"/>
      <x:c r="R2187" t="str">
        <x:v>赛果：温哥华白帽 2-0 肯塔吉内斯；让球：肯塔吉内斯+2.5=赢；大小：小3.5=赢（2球）</x:v>
      </x:c>
    </x:row>
    <x:row r="2188">
      <x:c r="A2188" t="str">
        <x:f>IF(B2188="","",TEXT(B2188,"yyyy-mm-dd")&amp;"|"&amp;D2188&amp;"|"&amp;E2188)</x:f>
        <x:v>2026-02-26|博塔弗戈(Botafogo)|国民波托西(Nacional Potosí)</x:v>
      </x:c>
      <x:c r="B2188" s="39" t="n">
        <x:v>46079.354166666664</x:v>
      </x:c>
      <x:c r="C2188" t="str">
        <x:v>南美解放者杯</x:v>
      </x:c>
      <x:c r="D2188" t="str">
        <x:v>博塔弗戈(Botafogo)</x:v>
      </x:c>
      <x:c r="E2188" t="str">
        <x:v>国民波托西(Nacional Potosí)</x:v>
      </x:c>
      <x:c r="F2188" t="str">
        <x:v>国民波托西 +2.5（受让两球半，2.50左右）</x:v>
      </x:c>
      <x:c r="G2188" t="str">
        <x:v>小 3.5（1.90左右）</x:v>
      </x:c>
      <x:c r="H2188" t="str">
        <x:v>若临场受让升到国民波托西+2.75/+3且水位≥1.80，优先升盘提高容错；若反向压到+2且仍给到≥2.00可接受但不追低水。大小球若升到4.0且小球≥1.80，可改小4.0防4球走水；若降到3.25且小球≤1.75则放弃追。</x:v>
      </x:c>
      <x:c r="I2188" t="n">
        <x:v>46079.35901620371</x:v>
      </x:c>
      <x:c r="J2188" t="str">
        <x:v>已结算</x:v>
      </x:c>
      <x:c r="K2188" t="str">
        <x:v>2-0</x:v>
      </x:c>
      <x:c r="L2188" t="str">
        <x:v>赢</x:v>
      </x:c>
      <x:c r="M2188" t="str">
        <x:v>赢</x:v>
      </x:c>
      <x:c r="N2188" t="n">
        <x:v>1</x:v>
      </x:c>
      <x:c r="O2188" t="n">
        <x:v>1</x:v>
      </x:c>
      <x:c r="P2188" t="n">
        <x:f>IF(COUNT(N2188:O2188)=0,"",SUM(N2188:O2188))</x:f>
        <x:v>2</x:v>
      </x:c>
      <x:c r="Q2188"/>
      <x:c r="R2188" t="str">
        <x:v>赛果：博塔弗戈 2-0 国民波托西；让球：国民波托西+2.5=赢；大小：小3.5=赢（2球）</x:v>
      </x:c>
    </x:row>
    <x:row r="2189">
      <x:c r="A2189" t="str">
        <x:f>IF(B2189="","",TEXT(B2189,"yyyy-mm-dd")&amp;"|"&amp;D2189&amp;"|"&amp;E2189)</x:f>
        <x:v>2026-02-26|阿根廷青年人(Argentinos Juniors)|瓜亚基尔巴塞罗那(巴塞罗那SC/Barcelona SC)</x:v>
      </x:c>
      <x:c r="B2189" s="39" t="n">
        <x:v>46079.354166666664</x:v>
      </x:c>
      <x:c r="C2189" t="str">
        <x:v>南美解放者杯</x:v>
      </x:c>
      <x:c r="D2189" t="str">
        <x:v>阿根廷青年人(Argentinos Juniors)</x:v>
      </x:c>
      <x:c r="E2189" t="str">
        <x:v>瓜亚基尔巴塞罗那(巴塞罗那SC/Barcelona SC)</x:v>
      </x:c>
      <x:c r="F2189" t="str">
        <x:v>瓜亚基尔巴塞罗那 +0.5（受让半球，2.45左右）</x:v>
      </x:c>
      <x:c r="G2189" t="str">
        <x:v>大 2.5（2.15左右）</x:v>
      </x:c>
      <x:c r="H2189" t="str">
        <x:v>若临场主让从-0.5升到-0.75，但客队受让+0.75仍≥1.85，可用+0.75提高容错；若盘口退到主让-0/ -0.25且客队受让端≥1.90，则降级为客队+0.25更稳。大小球若升到2.75且大球≥1.90，可改大2.75防2球走水/赢半；若降到2/2.25则不追低水。</x:v>
      </x:c>
      <x:c r="I2189" t="n">
        <x:v>46079.27310185185</x:v>
      </x:c>
      <x:c r="J2189" t="str">
        <x:v>已结算</x:v>
      </x:c>
      <x:c r="K2189" t="str">
        <x:v>0-1</x:v>
      </x:c>
      <x:c r="L2189" t="str">
        <x:v>赢</x:v>
      </x:c>
      <x:c r="M2189" t="str">
        <x:v>输</x:v>
      </x:c>
      <x:c r="N2189" t="n">
        <x:v>1</x:v>
      </x:c>
      <x:c r="O2189" t="n">
        <x:v>-1</x:v>
      </x:c>
      <x:c r="P2189" t="n">
        <x:f>IF(COUNT(N2189:O2189)=0,"",SUM(N2189:O2189))</x:f>
        <x:v>0</x:v>
      </x:c>
      <x:c r="Q2189"/>
      <x:c r="R2189" t="str">
        <x:v>赛果：阿根廷青年人 0-1 瓜亚基尔巴塞罗那；让球：巴塞罗那SC+0.5=赢；大小：大2.5=输（1球）</x:v>
      </x:c>
    </x:row>
    <x:row r="2190">
      <x:c r="A2190" t="str">
        <x:f>IF(B2190="","",TEXT(B2190,"yyyy-mm-dd")&amp;"|"&amp;D2190&amp;"|"&amp;E2190)</x:f>
        <x:v>2026-02-26|拉普拉塔体操(Gimnasia La Plata)|罗萨里奥中央(Rosario Central)</x:v>
      </x:c>
      <x:c r="B2190" s="39" t="n">
        <x:v>46079.166666666664</x:v>
      </x:c>
      <x:c r="C2190" t="str">
        <x:v>阿根廷职业联赛（Liga Profesional·Apertura）</x:v>
      </x:c>
      <x:c r="D2190" t="str">
        <x:v>拉普拉塔体操(Gimnasia La Plata)</x:v>
      </x:c>
      <x:c r="E2190" t="str">
        <x:v>罗萨里奥中央(Rosario Central)</x:v>
      </x:c>
      <x:c r="F2190" t="str">
        <x:v>罗萨里奥中央 0（平手盘/DNB，1.84左右）</x:v>
      </x:c>
      <x:c r="G2190" t="str">
        <x:v>小 2.5（1.90左右）</x:v>
      </x:c>
      <x:c r="H2190" t="str">
        <x:v>若临场退到罗萨里奥中央+0.25且水位≥1.80，可用+0.25替代更稳；若升到客让0/0.25（客队开始让球）则不追低水。大小球若升到2.75且小球≥1.80，可改小2.75提高容错；若降到2/2.25且小球低水则放弃追。</x:v>
      </x:c>
      <x:c r="I2190" t="n">
        <x:v>46079.23134259259</x:v>
      </x:c>
      <x:c r="J2190" t="str">
        <x:v>已结算</x:v>
      </x:c>
      <x:c r="K2190" t="str">
        <x:v>1-2</x:v>
      </x:c>
      <x:c r="L2190" t="str">
        <x:v>赢</x:v>
      </x:c>
      <x:c r="M2190" t="str">
        <x:v>输</x:v>
      </x:c>
      <x:c r="N2190" t="n">
        <x:v>1</x:v>
      </x:c>
      <x:c r="O2190" t="n">
        <x:v>-1</x:v>
      </x:c>
      <x:c r="P2190" t="n">
        <x:f>IF(COUNT(N2190:O2190)=0,"",SUM(N2190:O2190))</x:f>
        <x:v>0</x:v>
      </x:c>
      <x:c r="Q2190"/>
      <x:c r="R2190" t="str">
        <x:v>赛果：拉普拉塔体操 1-2 罗萨里奥中央；让球：罗萨里奥中央0(DNB)=赢；大小：小2.5=输（3球）</x:v>
      </x:c>
    </x:row>
    <x:row r="2191">
      <x:c r="A2191" t="str">
        <x:f>IF(B2191="","",TEXT(B2191,"yyyy-mm-dd")&amp;"|"&amp;D2191&amp;"|"&amp;E2191)</x:f>
        <x:v>2026-02-26|诺维奇(诺维奇城/Norwich)|谢菲尔德星期三(谢周三/Sheff Wed)</x:v>
      </x:c>
      <x:c r="B2191" s="39" t="n">
        <x:v>46079.15625</x:v>
      </x:c>
      <x:c r="C2191" t="str">
        <x:v>英格兰冠军联赛（英冠）</x:v>
      </x:c>
      <x:c r="D2191" t="str">
        <x:v>诺维奇(诺维奇城/Norwich)</x:v>
      </x:c>
      <x:c r="E2191" t="str">
        <x:v>谢菲尔德星期三(谢周三/Sheff Wed)</x:v>
      </x:c>
      <x:c r="F2191" t="str">
        <x:v>诺维奇 -2（亚洲让球，1.87左右）</x:v>
      </x:c>
      <x:c r="G2191" t="str">
        <x:v>大 3.5（2.12左右）</x:v>
      </x:c>
      <x:c r="H2191" t="str">
        <x:v>临场若让球升到诺维奇-2.25且主队水位仍≥1.90可小加；若退回-1.75且水位≥1.80则用-1.75替代更稳。大小球若降到3/3.25且大球≥1.85，更优。</x:v>
      </x:c>
      <x:c r="I2191" t="n">
        <x:v>46078.99841435185</x:v>
      </x:c>
      <x:c r="J2191" t="str">
        <x:v>已结算</x:v>
      </x:c>
      <x:c r="K2191" t="str">
        <x:v>2-0</x:v>
      </x:c>
      <x:c r="L2191" t="str">
        <x:v>走水</x:v>
      </x:c>
      <x:c r="M2191" t="str">
        <x:v>输</x:v>
      </x:c>
      <x:c r="N2191" t="n">
        <x:v>0</x:v>
      </x:c>
      <x:c r="O2191" t="n">
        <x:v>-1</x:v>
      </x:c>
      <x:c r="P2191" t="n">
        <x:f>IF(COUNT(N2191:O2191)=0,"",SUM(N2191:O2191))</x:f>
        <x:v>-1</x:v>
      </x:c>
      <x:c r="Q2191"/>
      <x:c r="R2191" t="str">
        <x:v>赛果：诺维奇 2-0 谢周三；让球：诺维奇-2=走水；大小：大3.5=输（2球）</x:v>
      </x:c>
    </x:row>
    <x:row r="2192">
      <x:c r="A2192" t="str">
        <x:f>IF(B2192="","",TEXT(B2192,"yyyy-mm-dd")&amp;"|"&amp;D2192&amp;"|"&amp;E2192)</x:f>
        <x:v>2026-02-26|谢菲尔德联(谢菲联)|考文垂(Coventry)</x:v>
      </x:c>
      <x:c r="B2192" s="39" t="n">
        <x:v>46079.15625</x:v>
      </x:c>
      <x:c r="C2192" t="str">
        <x:v>英格兰冠军联赛（英冠）</x:v>
      </x:c>
      <x:c r="D2192" t="str">
        <x:v>谢菲尔德联(谢菲联)</x:v>
      </x:c>
      <x:c r="E2192" t="str">
        <x:v>考文垂(Coventry)</x:v>
      </x:c>
      <x:c r="F2192" t="str">
        <x:v>谢菲尔德联 0（平手盘）@0.86</x:v>
      </x:c>
      <x:c r="G2192" t="str">
        <x:v>小 2.75 @0.90</x:v>
      </x:c>
      <x:c r="H2192" t="str">
        <x:v>可选小注：小 2.5 @1.05+（若临场仍≥0.95）</x:v>
      </x:c>
      <x:c r="I2192" t="n">
        <x:v>46078.98681712963</x:v>
      </x:c>
      <x:c r="J2192" t="str">
        <x:v>已结算</x:v>
      </x:c>
      <x:c r="K2192" t="str">
        <x:v>1-2</x:v>
      </x:c>
      <x:c r="L2192" t="str">
        <x:v>输</x:v>
      </x:c>
      <x:c r="M2192" t="str">
        <x:v>输半</x:v>
      </x:c>
      <x:c r="N2192" t="n">
        <x:v>-1</x:v>
      </x:c>
      <x:c r="O2192" t="n">
        <x:v>-0.5</x:v>
      </x:c>
      <x:c r="P2192" t="n">
        <x:f>IF(COUNT(N2192:O2192)=0,"",SUM(N2192:O2192))</x:f>
        <x:v>-1.5</x:v>
      </x:c>
      <x:c r="Q2192"/>
      <x:c r="R2192" t="str">
        <x:v>复核赛果：谢菲尔德联(谢菲联) 1-2 考文垂(Coventry)；让球：谢菲联 0（DNB）=输；大小：小2.75=输半（3球）。</x:v>
      </x:c>
    </x:row>
    <x:row r="2193">
      <x:c r="A2193" t="str">
        <x:f>IF(B2193="","",TEXT(B2193,"yyyy-mm-dd")&amp;"|"&amp;D2193&amp;"|"&amp;E2193)</x:f>
        <x:v>2026-02-26|亚特兰大(Atalanta)|多特蒙德(多特/BVB)</x:v>
      </x:c>
      <x:c r="B2193" s="39" t="n">
        <x:v>46079.072916666664</x:v>
      </x:c>
      <x:c r="C2193" t="str">
        <x:v>欧洲冠军联赛（UEFA Champions League）</x:v>
      </x:c>
      <x:c r="D2193" t="str">
        <x:v>亚特兰大(Atalanta)</x:v>
      </x:c>
      <x:c r="E2193" t="str">
        <x:v>多特蒙德(多特/BVB)</x:v>
      </x:c>
      <x:c r="F2193" t="str">
        <x:v>多特蒙德 +0.25（受让平半，1.90左右）</x:v>
      </x:c>
      <x:c r="G2193" t="str">
        <x:v>小 2.5（2.20左右）</x:v>
      </x:c>
      <x:c r="H2193" t="str">
        <x:v>若临场升到多特+0.5且水位≥1.80，优先用+0.5替代更稳；若退到平手(DNB)且多特≥1.85也可接受。大小球若升到2.75且小球≥1.85，可用小2.75降低被3球击穿的风险；若降到2/2.25则不追低水。</x:v>
      </x:c>
      <x:c r="I2193" t="n">
        <x:v>46079.229675925926</x:v>
      </x:c>
      <x:c r="J2193" t="str">
        <x:v>已结算</x:v>
      </x:c>
      <x:c r="K2193" t="str">
        <x:v>4-1</x:v>
      </x:c>
      <x:c r="L2193" t="str">
        <x:v>输</x:v>
      </x:c>
      <x:c r="M2193" t="str">
        <x:v>输</x:v>
      </x:c>
      <x:c r="N2193" t="n">
        <x:v>-1</x:v>
      </x:c>
      <x:c r="O2193" t="n">
        <x:v>-1</x:v>
      </x:c>
      <x:c r="P2193" t="n">
        <x:f>IF(COUNT(N2193:O2193)=0,"",SUM(N2193:O2193))</x:f>
        <x:v>-2</x:v>
      </x:c>
      <x:c r="Q2193"/>
      <x:c r="R2193" t="str">
        <x:v>赛果：亚特兰大 4-1 多特蒙德；让球：多特+0.25=输；大小：小2.5=输（5球）</x:v>
      </x:c>
    </x:row>
    <x:row r="2194">
      <x:c r="A2194" t="str">
        <x:f>IF(B2194="","",TEXT(B2194,"yyyy-mm-dd")&amp;"|"&amp;D2194&amp;"|"&amp;E2194)</x:f>
        <x:v>2026-02-25|洛杉矶FC（LAFC）|皇家伊斯柏纳（Real España）</x:v>
      </x:c>
      <x:c r="B2194" s="39" t="n">
        <x:v>46078.458333333336</x:v>
      </x:c>
      <x:c r="C2194" t="str">
        <x:v>中北美冠军杯（CONCACAF Champions Cup）</x:v>
      </x:c>
      <x:c r="D2194" t="str">
        <x:v>洛杉矶FC（LAFC）</x:v>
      </x:c>
      <x:c r="E2194" t="str">
        <x:v>皇家伊斯柏纳（Real España）</x:v>
      </x:c>
      <x:c r="F2194" t="str">
        <x:v>皇家伊斯柏纳 +2.25（受让两球/两球半）@0.85~0.90左右（港赔）</x:v>
      </x:c>
      <x:c r="G2194" t="str">
        <x:v>小 3.5 @0.85~0.90左右（港赔）</x:v>
      </x:c>
      <x:c r="H2194" t="str">
        <x:v>更稳：若临场升到+2.5且≥0.80：优先升级皇家伊斯柏纳+2.5；若退到+2且≥0.90：可改+2（输2球走水）。大小球：若回落到3.0且小3≥0.85：改小3.0（3球走水）；若阵容大轮换（孙兴慜/布安加其一轮休）且小3.5≥0.85：可小注加仓小3.5</x:v>
      </x:c>
      <x:c r="I2194" t="n">
        <x:v>46078.459282407406</x:v>
      </x:c>
      <x:c r="J2194" t="str">
        <x:v>已结算</x:v>
      </x:c>
      <x:c r="K2194" t="str">
        <x:v>2-1</x:v>
      </x:c>
      <x:c r="L2194" t="str">
        <x:v>赢</x:v>
      </x:c>
      <x:c r="M2194" t="str">
        <x:v>赢</x:v>
      </x:c>
      <x:c r="N2194" t="n">
        <x:v>1</x:v>
      </x:c>
      <x:c r="O2194" t="n">
        <x:v>1</x:v>
      </x:c>
      <x:c r="P2194" t="n">
        <x:f>IF(COUNT(N2194:O2194)=0,"",SUM(N2194:O2194))</x:f>
        <x:v>2</x:v>
      </x:c>
      <x:c r="Q2194"/>
      <x:c r="R2194" t="str">
        <x:v>赛果：洛杉矶FC 2-1 皇家伊斯柏纳；让球：皇家伊斯柏纳+2.25=赢；大小：小3.5=赢（3球）</x:v>
      </x:c>
    </x:row>
    <x:row r="2195">
      <x:c r="A2195" t="str">
        <x:f>IF(B2195="","",TEXT(B2195,"yyyy-mm-dd")&amp;"|"&amp;D2195&amp;"|"&amp;E2195)</x:f>
        <x:v>2026-02-25|安提瓜（Antigua GFC）|瓜斯塔托亚（Deportivo Guastatoya）</x:v>
      </x:c>
      <x:c r="B2195" s="39" t="n">
        <x:v>46078.416666666664</x:v>
      </x:c>
      <x:c r="C2195" t="str">
        <x:v>危地马拉甲级联赛（Liga Guate Banrural，Clausura）</x:v>
      </x:c>
      <x:c r="D2195" t="str">
        <x:v>安提瓜（Antigua GFC）</x:v>
      </x:c>
      <x:c r="E2195" t="str">
        <x:v>瓜斯塔托亚（Deportivo Guastatoya）</x:v>
      </x:c>
      <x:c r="F2195" t="str">
        <x:v>瓜斯塔托亚 +0.75（受让半/一）@2.02左右（港赔≈1.02）</x:v>
      </x:c>
      <x:c r="G2195" t="str">
        <x:v>小 2.25（2/2.5）@1.95左右（港赔≈0.95）</x:v>
      </x:c>
      <x:c r="H2195" t="str">
        <x:v>更稳：若临场退到瓜斯塔托亚+0.5且≥1.90：优先+0.5；若升到+1且≥1.85：可升级+1（输1球走水）。大小球：若升到2.5且小2.5≥1.80：升级小2.5；若降到2.0且小2.0≥1.85：改小2.0（2球走水）</x:v>
      </x:c>
      <x:c r="I2195" t="n">
        <x:v>46078.42390046296</x:v>
      </x:c>
      <x:c r="J2195" t="str">
        <x:v>已结算</x:v>
      </x:c>
      <x:c r="K2195" t="str">
        <x:v>2-0</x:v>
      </x:c>
      <x:c r="L2195" t="str">
        <x:v>输</x:v>
      </x:c>
      <x:c r="M2195" t="str">
        <x:v>赢半</x:v>
      </x:c>
      <x:c r="N2195" t="n">
        <x:v>-1</x:v>
      </x:c>
      <x:c r="O2195" t="n">
        <x:v>0.5</x:v>
      </x:c>
      <x:c r="P2195" t="n">
        <x:f>IF(COUNT(N2195:O2195)=0,"",SUM(N2195:O2195))</x:f>
        <x:v>-0.5</x:v>
      </x:c>
      <x:c r="Q2195"/>
      <x:c r="R2195" t="str">
        <x:v>赛果：安提瓜 2-0 瓜斯塔托亚；让球：瓜斯塔托亚+0.75=输（输2球）；大小：小2.25=赢半（2球）</x:v>
      </x:c>
    </x:row>
    <x:row r="2196">
      <x:c r="A2196" t="str">
        <x:f>IF(B2196="","",TEXT(B2196,"yyyy-mm-dd")&amp;"|"&amp;D2196&amp;"|"&amp;E2196)</x:f>
        <x:v>2026-02-25|贝尔格拉诺（Belgrano）|图库曼竞技（Atlético Tucumán）</x:v>
      </x:c>
      <x:c r="B2196" s="39" t="n">
        <x:v>46078.354166666664</x:v>
      </x:c>
      <x:c r="C2196" t="str">
        <x:v>阿根廷职业联赛（Liga Profesional·Apertura）</x:v>
      </x:c>
      <x:c r="D2196" t="str">
        <x:v>贝尔格拉诺（Belgrano）</x:v>
      </x:c>
      <x:c r="E2196" t="str">
        <x:v>图库曼竞技（Atlético Tucumán）</x:v>
      </x:c>
      <x:c r="F2196" t="str">
        <x:v>贝尔格拉诺 -0.75（让半/一）@1.95左右（港赔≈0.95）</x:v>
      </x:c>
      <x:c r="G2196" t="str">
        <x:v>大 2.5 @2.35左右（港赔≈1.35）</x:v>
      </x:c>
      <x:c r="H2196" t="str">
        <x:v>更稳：若临场退到贝尔格拉诺 -0.5 且≥1.85可降盘；搏高回报：贝尔格拉诺 -1 @2.35左右（赢1球走水）；若临场小2.5回到≥1.85且阵容偏保守：可反向切小2.5</x:v>
      </x:c>
      <x:c r="I2196" t="n">
        <x:v>46078.36697916667</x:v>
      </x:c>
      <x:c r="J2196" t="str">
        <x:v>已结算</x:v>
      </x:c>
      <x:c r="K2196" t="str">
        <x:v>3-1</x:v>
      </x:c>
      <x:c r="L2196" t="str">
        <x:v>赢</x:v>
      </x:c>
      <x:c r="M2196" t="str">
        <x:v>赢</x:v>
      </x:c>
      <x:c r="N2196" t="n">
        <x:v>1</x:v>
      </x:c>
      <x:c r="O2196" t="n">
        <x:v>1</x:v>
      </x:c>
      <x:c r="P2196" t="n">
        <x:f>IF(COUNT(N2196:O2196)=0,"",SUM(N2196:O2196))</x:f>
        <x:v>2</x:v>
      </x:c>
      <x:c r="Q2196"/>
      <x:c r="R2196" t="str">
        <x:v>赛果：贝尔格拉诺 3-1 图库曼竞技；让球：贝尔格拉诺-0.75=赢；大小：大2.5=赢（4球）</x:v>
      </x:c>
    </x:row>
    <x:row r="2197">
      <x:c r="A2197" t="str">
        <x:f>IF(B2197="","",TEXT(B2197,"yyyy-mm-dd")&amp;"|"&amp;D2197&amp;"|"&amp;E2197)</x:f>
        <x:v>2026-02-25|麦德林独立（Independiente Medellín）|蒙得维的亚利物浦（Liverpool Montevideo）</x:v>
      </x:c>
      <x:c r="B2197" s="39" t="n">
        <x:v>46078.354166666664</x:v>
      </x:c>
      <x:c r="C2197" t="str">
        <x:v>南美解放者杯</x:v>
      </x:c>
      <x:c r="D2197" t="str">
        <x:v>麦德林独立（Independiente Medellín）</x:v>
      </x:c>
      <x:c r="E2197" t="str">
        <x:v>蒙得维的亚利物浦（Liverpool Montevideo）</x:v>
      </x:c>
      <x:c r="F2197" t="str">
        <x:v>麦德林独立 -1（让一球）@1.80左右（港赔≈0.80，赢1球走水）</x:v>
      </x:c>
      <x:c r="G2197" t="str">
        <x:v>小 2.25（2/2.5）@2.03左右（港赔≈1.03）</x:v>
      </x:c>
      <x:c r="H2197" t="str">
        <x:v>更稳：若临场退到麦德林独立-0.75且≥1.85：优先退盘；若升到-1.25且麦德林独立-1.25≥1.95：可小注博穿（赢1球赢半）。大小球：若回到2.5且小2.5≥1.85：升级小2.5；若降到2.0且小2.0≥1.80：改小2.0（2球走水）</x:v>
      </x:c>
      <x:c r="I2197" t="n">
        <x:v>46078.34841435185</x:v>
      </x:c>
      <x:c r="J2197" t="str">
        <x:v>已结算</x:v>
      </x:c>
      <x:c r="K2197" t="str">
        <x:v>0-0</x:v>
      </x:c>
      <x:c r="L2197" t="str">
        <x:v>输</x:v>
      </x:c>
      <x:c r="M2197" t="str">
        <x:v>赢</x:v>
      </x:c>
      <x:c r="N2197" t="n">
        <x:v>-1</x:v>
      </x:c>
      <x:c r="O2197" t="n">
        <x:v>1</x:v>
      </x:c>
      <x:c r="P2197" t="n">
        <x:f>IF(COUNT(N2197:O2197)=0,"",SUM(N2197:O2197))</x:f>
        <x:v>0</x:v>
      </x:c>
      <x:c r="Q2197"/>
      <x:c r="R2197" t="str">
        <x:v>赛果：麦德林独立 0-0 蒙得维的亚利物浦；让球：麦德林独立-1=输；大小：小2.25=赢（0球）</x:v>
      </x:c>
    </x:row>
    <x:row r="2198">
      <x:c r="A2198" t="str">
        <x:f>IF(B2198="","",TEXT(B2198,"yyyy-mm-dd")&amp;"|"&amp;D2198&amp;"|"&amp;E2198)</x:f>
        <x:v>2026-02-25|赫尔城（Hull City）|德比郡（Derby County）</x:v>
      </x:c>
      <x:c r="B2198" s="39" t="n">
        <x:v>46078.15625</x:v>
      </x:c>
      <x:c r="C2198" t="str">
        <x:v>英格兰冠军联赛（英冠）</x:v>
      </x:c>
      <x:c r="D2198" t="str">
        <x:v>赫尔城（Hull City）</x:v>
      </x:c>
      <x:c r="E2198" t="str">
        <x:v>德比郡（Derby County）</x:v>
      </x:c>
      <x:c r="F2198" t="str">
        <x:v>德比郡 +0.25（受让平/半）@1.85左右（港赔≈0.85）</x:v>
      </x:c>
      <x:c r="G2198" t="str">
        <x:v>小 2.5 @1.81左右（港赔≈0.81）</x:v>
      </x:c>
      <x:c r="H2198" t="str">
        <x:v>若临场+0.25跌破1.75且德比郡+0.5≥1.85：升级德比郡+0.5；若仅有平手(0)≥2.00：可改平手(0)走水；大小球若降到2.25且小2.25≥1.90：优先升级小2.25（2球赢半）；若升到2.75且小2.75≥1.85：用小2.75保护（3球输半）</x:v>
      </x:c>
      <x:c r="I2198" t="n">
        <x:v>46077.944027777776</x:v>
      </x:c>
      <x:c r="J2198" t="str">
        <x:v>已结算</x:v>
      </x:c>
      <x:c r="K2198" t="str">
        <x:v>4-2</x:v>
      </x:c>
      <x:c r="L2198" t="str">
        <x:v>输</x:v>
      </x:c>
      <x:c r="M2198" t="str">
        <x:v>输</x:v>
      </x:c>
      <x:c r="N2198" t="n">
        <x:v>-1</x:v>
      </x:c>
      <x:c r="O2198" t="n">
        <x:v>-1</x:v>
      </x:c>
      <x:c r="P2198" t="n">
        <x:f>IF(COUNT(N2198:O2198)=0,"",SUM(N2198:O2198))</x:f>
        <x:v>-2</x:v>
      </x:c>
      <x:c r="Q2198"/>
      <x:c r="R2198" t="str">
        <x:v>赛果：赫尔城 4-2 德比郡；让球：德比+0.25=输；大小：小2.5=输（6球）</x:v>
      </x:c>
    </x:row>
    <x:row r="2199">
      <x:c r="A2199" t="str">
        <x:f>IF(B2199="","",TEXT(B2199,"yyyy-mm-dd")&amp;"|"&amp;D2199&amp;"|"&amp;E2199)</x:f>
        <x:v>2026-02-25|米德尔斯堡（Middlesbrough）|莱斯特城（Leicester City）</x:v>
      </x:c>
      <x:c r="B2199" s="39" t="n">
        <x:v>46078.15625</x:v>
      </x:c>
      <x:c r="C2199" t="str">
        <x:v>英格兰冠军联赛（英冠）</x:v>
      </x:c>
      <x:c r="D2199" t="str">
        <x:v>米德尔斯堡（Middlesbrough）</x:v>
      </x:c>
      <x:c r="E2199" t="str">
        <x:v>莱斯特城（Leicester City）</x:v>
      </x:c>
      <x:c r="F2199" t="str">
        <x:v>米德尔斯堡 -1（让一球）@1.82~1.93左右（港赔≈0.82~0.93）</x:v>
      </x:c>
      <x:c r="G2199" t="str">
        <x:v>小 2.5 @2.07~2.15左右（港赔≈1.07~1.15）</x:v>
      </x:c>
      <x:c r="H2199" t="str">
        <x:v>更稳：米德尔斯堡 -0.75（半/一）若≥1.80可退盘；若临场升到-1.25且≥1.90：可小注博穿（赢1球赢半）；大小球若升到2.75且小2.75≥1.85：用小2.75做保护（3球输半）</x:v>
      </x:c>
      <x:c r="I2199" t="n">
        <x:v>46077.9194212963</x:v>
      </x:c>
      <x:c r="J2199" t="str">
        <x:v>已结算</x:v>
      </x:c>
      <x:c r="K2199" t="str">
        <x:v>1-1</x:v>
      </x:c>
      <x:c r="L2199" t="str">
        <x:v>输</x:v>
      </x:c>
      <x:c r="M2199" t="str">
        <x:v>赢</x:v>
      </x:c>
      <x:c r="N2199" t="n">
        <x:v>-1</x:v>
      </x:c>
      <x:c r="O2199" t="n">
        <x:v>1</x:v>
      </x:c>
      <x:c r="P2199" t="n">
        <x:f>IF(COUNT(N2199:O2199)=0,"",SUM(N2199:O2199))</x:f>
        <x:v>0</x:v>
      </x:c>
      <x:c r="Q2199"/>
      <x:c r="R2199" t="str">
        <x:v>赛果：米德尔斯堡 1-1 莱斯特城；让球：米德尔斯堡-1=输；大小：小2.5=赢</x:v>
      </x:c>
    </x:row>
    <x:row r="2200">
      <x:c r="A2200" t="str">
        <x:f>IF(B2200="","",TEXT(B2200,"yyyy-mm-dd")&amp;"|"&amp;D2200&amp;"|"&amp;E2200)</x:f>
        <x:v>2026-02-25|沃特福德（Watford）|伊普斯维奇（Ipswich Town）</x:v>
      </x:c>
      <x:c r="B2200" s="39" t="n">
        <x:v>46078.15625</x:v>
      </x:c>
      <x:c r="C2200" t="str">
        <x:v>英格兰冠军联赛（英冠）</x:v>
      </x:c>
      <x:c r="D2200" t="str">
        <x:v>沃特福德（Watford）</x:v>
      </x:c>
      <x:c r="E2200" t="str">
        <x:v>伊普斯维奇（Ipswich Town）</x:v>
      </x:c>
      <x:c r="F2200" t="str">
        <x:v>沃特福德 +0.25（受让平/半）@1.88~1.92左右（港赔≈0.88~0.92）</x:v>
      </x:c>
      <x:c r="G2200" t="str">
        <x:v>小 2.5 @2.00左右（港赔≈1.00）</x:v>
      </x:c>
      <x:c r="H2200" t="str">
        <x:v>更稳：沃特福德 +0.5 若≥1.80可升级；若临场升盘到伊普斯维奇-0.5且沃特福德+0.5≥1.95：优先+0.5；大小球若降到2.25且小2.25≥1.90：改小2.25（2球赢半）</x:v>
      </x:c>
      <x:c r="I2200" t="n">
        <x:v>46077.9158912037</x:v>
      </x:c>
      <x:c r="J2200" t="str">
        <x:v>已结算</x:v>
      </x:c>
      <x:c r="K2200" t="str">
        <x:v>0-2</x:v>
      </x:c>
      <x:c r="L2200" t="str">
        <x:v>输</x:v>
      </x:c>
      <x:c r="M2200" t="str">
        <x:v>赢</x:v>
      </x:c>
      <x:c r="N2200" t="n">
        <x:v>-1</x:v>
      </x:c>
      <x:c r="O2200" t="n">
        <x:v>1</x:v>
      </x:c>
      <x:c r="P2200" t="n">
        <x:f>IF(COUNT(N2200:O2200)=0,"",SUM(N2200:O2200))</x:f>
        <x:v>0</x:v>
      </x:c>
      <x:c r="Q2200"/>
      <x:c r="R2200" t="str">
        <x:v>赛果：沃特福德 0-2 伊普斯维奇；让球：沃特福德+0.25=输；大小：小2.5=赢</x:v>
      </x:c>
    </x:row>
    <x:row r="2201">
      <x:c r="A2201" t="str">
        <x:f>IF(B2201="","",TEXT(B2201,"yyyy-mm-dd")&amp;"|"&amp;D2201&amp;"|"&amp;E2201)</x:f>
        <x:v>2026-02-25|斯旺西城（Swansea City）|普雷斯顿北区（Preston North End）</x:v>
      </x:c>
      <x:c r="B2201" s="39" t="n">
        <x:v>46078.15625</x:v>
      </x:c>
      <x:c r="C2201" t="str">
        <x:v>英格兰冠军联赛（英冠）</x:v>
      </x:c>
      <x:c r="D2201" t="str">
        <x:v>斯旺西城（Swansea City）</x:v>
      </x:c>
      <x:c r="E2201" t="str">
        <x:v>普雷斯顿北区（Preston North End）</x:v>
      </x:c>
      <x:c r="F2201" t="str">
        <x:v>斯旺西城 -0.5（让半球）@1.80左右（港赔≈0.80）</x:v>
      </x:c>
      <x:c r="G2201" t="str">
        <x:v>小 2.5 @1.83左右（港赔≈0.83）</x:v>
      </x:c>
      <x:c r="H2201" t="str">
        <x:v>更稳：斯旺西城 -0.25 若临场≥1.85可退盘；若临场升到-0.75且斯旺西-0.75≥1.95：可小注博穿（赢1球赢半）；大小球若降到2.25且小2.25≥1.90：优先升级小2.25；若升到2.75且小2.75≥1.85：用小2.75做保护（3球输半）</x:v>
      </x:c>
      <x:c r="I2201" t="n">
        <x:v>46077.91333333333</x:v>
      </x:c>
      <x:c r="J2201" t="str">
        <x:v>已结算</x:v>
      </x:c>
      <x:c r="K2201" t="str">
        <x:v>1-1</x:v>
      </x:c>
      <x:c r="L2201" t="str">
        <x:v>输</x:v>
      </x:c>
      <x:c r="M2201" t="str">
        <x:v>赢</x:v>
      </x:c>
      <x:c r="N2201" t="n">
        <x:v>-1</x:v>
      </x:c>
      <x:c r="O2201" t="n">
        <x:v>1</x:v>
      </x:c>
      <x:c r="P2201" t="n">
        <x:f>IF(COUNT(N2201:O2201)=0,"",SUM(N2201:O2201))</x:f>
        <x:v>0</x:v>
      </x:c>
      <x:c r="Q2201"/>
      <x:c r="R2201" t="str">
        <x:v>赛果：斯旺西城 1-1 普雷斯顿；让球：斯旺西-0.5=输；大小：小2.5=赢</x:v>
      </x:c>
    </x:row>
    <x:row r="2202">
      <x:c r="A2202" t="str">
        <x:f>IF(B2202="","",TEXT(B2202,"yyyy-mm-dd")&amp;"|"&amp;D2202&amp;"|"&amp;E2202)</x:f>
        <x:v>2026-02-25|雷克瑟姆（Wrexham）|朴茨茅斯（Portsmouth）</x:v>
      </x:c>
      <x:c r="B2202" s="39" t="n">
        <x:v>46078.15625</x:v>
      </x:c>
      <x:c r="C2202" t="str">
        <x:v>英格兰冠军联赛（英冠）</x:v>
      </x:c>
      <x:c r="D2202" t="str">
        <x:v>雷克瑟姆（Wrexham）</x:v>
      </x:c>
      <x:c r="E2202" t="str">
        <x:v>朴茨茅斯（Portsmouth）</x:v>
      </x:c>
      <x:c r="F2202" t="str">
        <x:v>朴茨茅斯 +0.25（受让平/半）@2.02~2.05左右（港赔≈1.02~1.05）</x:v>
      </x:c>
      <x:c r="G2202" t="str">
        <x:v>大 2.25（2/2.5）@1.93~1.96左右（港赔≈0.93~0.96）</x:v>
      </x:c>
      <x:c r="H2202" t="str">
        <x:v>更稳：朴茨茅斯 +0.5 若≥1.80可升级；若临场盘口升到雷克瑟姆-0.5且朴茨茅斯+0.5≥1.85：优先+0.5；大小球若升到2.5且大2.5≥2.05：改大2.5；若降到2.0且大2.0≥1.85：改大2.0（2球走水）</x:v>
      </x:c>
      <x:c r="I2202" t="n">
        <x:v>46077.90840277778</x:v>
      </x:c>
      <x:c r="J2202" t="str">
        <x:v>已结算</x:v>
      </x:c>
      <x:c r="K2202" t="str">
        <x:v>2-1</x:v>
      </x:c>
      <x:c r="L2202" t="str">
        <x:v>输</x:v>
      </x:c>
      <x:c r="M2202" t="str">
        <x:v>赢</x:v>
      </x:c>
      <x:c r="N2202" t="n">
        <x:v>-1</x:v>
      </x:c>
      <x:c r="O2202" t="n">
        <x:v>1</x:v>
      </x:c>
      <x:c r="P2202" t="n">
        <x:f>IF(COUNT(N2202:O2202)=0,"",SUM(N2202:O2202))</x:f>
        <x:v>0</x:v>
      </x:c>
      <x:c r="Q2202"/>
      <x:c r="R2202" t="str">
        <x:v>赛果：雷克瑟姆 2-1 朴茨茅斯；让球：朴茨茅斯+0.25=输；大小：大2.25=赢</x:v>
      </x:c>
    </x:row>
    <x:row r="2203">
      <x:c r="A2203" t="str">
        <x:f>IF(B2203="","",TEXT(B2203,"yyyy-mm-dd")&amp;"|"&amp;D2203&amp;"|"&amp;E2203)</x:f>
        <x:v>2026-02-25|布莱克本流浪者（Blackburn Rovers）|布里斯托尔城（Bristol City）</x:v>
      </x:c>
      <x:c r="B2203" s="39" t="n">
        <x:v>46078.15625</x:v>
      </x:c>
      <x:c r="C2203" t="str">
        <x:v>英格兰冠军联赛（英冠）</x:v>
      </x:c>
      <x:c r="D2203" t="str">
        <x:v>布莱克本流浪者（Blackburn Rovers）</x:v>
      </x:c>
      <x:c r="E2203" t="str">
        <x:v>布里斯托尔城（Bristol City）</x:v>
      </x:c>
      <x:c r="F2203" t="str">
        <x:v>布里斯托尔城 +0.25（受让平/半）@1.82左右（港赔≈0.82）</x:v>
      </x:c>
      <x:c r="G2203" t="str">
        <x:v>小 2.25（2/2.5）@1.90~1.93左右（港赔≈0.90~0.93）</x:v>
      </x:c>
      <x:c r="H2203" t="str">
        <x:v>更稳：布里斯托尔城 平手(0)@2.05左右（走水保护）；若临场总分升到2.5且小2.5≥1.80：升级小2.5；若+0.25跌破1.75而平手≥2.00：改平手(0)</x:v>
      </x:c>
      <x:c r="I2203" t="n">
        <x:v>46077.905173611114</x:v>
      </x:c>
      <x:c r="J2203" t="str">
        <x:v>已结算</x:v>
      </x:c>
      <x:c r="K2203" t="str">
        <x:v>1-2</x:v>
      </x:c>
      <x:c r="L2203" t="str">
        <x:v>赢</x:v>
      </x:c>
      <x:c r="M2203" t="str">
        <x:v>输</x:v>
      </x:c>
      <x:c r="N2203" t="n">
        <x:v>1</x:v>
      </x:c>
      <x:c r="O2203" t="n">
        <x:v>-1</x:v>
      </x:c>
      <x:c r="P2203" t="n">
        <x:f>IF(COUNT(N2203:O2203)=0,"",SUM(N2203:O2203))</x:f>
        <x:v>0</x:v>
      </x:c>
      <x:c r="Q2203"/>
      <x:c r="R2203" t="str">
        <x:v>赛果：布莱克本 1-2 布里斯托尔城；让球：布里斯托尔城+0.25=赢；大小：小2.25=输（3球）</x:v>
      </x:c>
    </x:row>
    <x:row r="2204">
      <x:c r="A2204" t="str">
        <x:f>IF(B2204="","",TEXT(B2204,"yyyy-mm-dd")&amp;"|"&amp;D2204&amp;"|"&amp;E2204)</x:f>
        <x:v>2026-02-25|马德里竞技（Atlético Madrid）|布鲁日（Club Brugge）</x:v>
      </x:c>
      <x:c r="B2204" s="39" t="n">
        <x:v>46078.072916666664</x:v>
      </x:c>
      <x:c r="C2204" t="str">
        <x:v>欧洲冠军联赛（UEFA Champions League）</x:v>
      </x:c>
      <x:c r="D2204" t="str">
        <x:v>马德里竞技（Atlético Madrid）</x:v>
      </x:c>
      <x:c r="E2204" t="str">
        <x:v>布鲁日（Club Brugge）</x:v>
      </x:c>
      <x:c r="F2204" t="str">
        <x:v>布鲁日 +1.25（受让一球/球半）@2.00~2.09左右（港赔≈1.00~1.09）</x:v>
      </x:c>
      <x:c r="G2204" t="str">
        <x:v>小 3.25（3/3.5）@1.95~1.99左右（港赔≈0.95~0.99）</x:v>
      </x:c>
      <x:c r="H2204" t="str">
        <x:v>更稳：布鲁日 +1.5 若≥1.80可升级；若临场退到布鲁日+1且≥1.90：优先+1（输1球走水）；大小球若回落到3.0且小3.0≥1.85：改小3.0（3球走水）；若升到3.5且小3.5≥1.80：可加小3.5保护</x:v>
      </x:c>
      <x:c r="I2204" t="n">
        <x:v>46078.007731481484</x:v>
      </x:c>
      <x:c r="J2204" t="str">
        <x:v>已结算</x:v>
      </x:c>
      <x:c r="K2204" t="str">
        <x:v>4-1</x:v>
      </x:c>
      <x:c r="L2204" t="str">
        <x:v>输</x:v>
      </x:c>
      <x:c r="M2204" t="str">
        <x:v>输</x:v>
      </x:c>
      <x:c r="N2204" t="n">
        <x:v>-1</x:v>
      </x:c>
      <x:c r="O2204" t="n">
        <x:v>-1</x:v>
      </x:c>
      <x:c r="P2204" t="n">
        <x:f>IF(COUNT(N2204:O2204)=0,"",SUM(N2204:O2204))</x:f>
        <x:v>-2</x:v>
      </x:c>
      <x:c r="Q2204"/>
      <x:c r="R2204" t="str">
        <x:v>赛果：马德里竞技 4-1 布鲁日；让球：布鲁日+1.25=输；大小：小3.25=输（5球）</x:v>
      </x:c>
    </x:row>
    <x:row r="2205">
      <x:c r="A2205" t="str">
        <x:f>IF(B2205="","",TEXT(B2205,"yyyy-mm-dd")&amp;"|"&amp;D2205&amp;"|"&amp;E2205)</x:f>
        <x:v>2026-02-24|奥迪萨（Odisha FC）|喀什国际（Inter Kashi FC）</x:v>
      </x:c>
      <x:c r="B2205" s="39" t="n">
        <x:v>46077.916666666664</x:v>
      </x:c>
      <x:c r="C2205" t="str">
        <x:v>印度超级联赛（Indian Super League）</x:v>
      </x:c>
      <x:c r="D2205" t="str">
        <x:v>奥迪萨（Odisha FC）</x:v>
      </x:c>
      <x:c r="E2205" t="str">
        <x:v>喀什国际（Inter Kashi FC）</x:v>
      </x:c>
      <x:c r="F2205" t="str">
        <x:v>奥迪萨 +0.75（受让半/一）@0.98（港赔）</x:v>
      </x:c>
      <x:c r="G2205" t="str">
        <x:v>小 2.75（2.5/3）@0.91（港赔）</x:v>
      </x:c>
      <x:c r="H2205" t="str">
        <x:v>若临场主受让降到+0.5且≥0.95：改奥迪萨+0.5；若大小退到2.5且小2.5≥0.95：可改小2.5更稳</x:v>
      </x:c>
      <x:c r="I2205" t="n">
        <x:v>46077.8462037037</x:v>
      </x:c>
      <x:c r="J2205" t="str">
        <x:v>已结算</x:v>
      </x:c>
      <x:c r="K2205" t="str">
        <x:v>0-0</x:v>
      </x:c>
      <x:c r="L2205" t="str">
        <x:v>赢</x:v>
      </x:c>
      <x:c r="M2205" t="str">
        <x:v>赢</x:v>
      </x:c>
      <x:c r="N2205" t="n">
        <x:v>1</x:v>
      </x:c>
      <x:c r="O2205" t="n">
        <x:v>1</x:v>
      </x:c>
      <x:c r="P2205" t="n">
        <x:f>IF(COUNT(N2205:O2205)=0,"",SUM(N2205:O2205))</x:f>
        <x:v>2</x:v>
      </x:c>
      <x:c r="Q2205"/>
      <x:c r="R2205" t="str">
        <x:v>赛果：奥迪萨 0-0 喀什国际；让球：奥迪萨+0.75=赢；大小：小2.75=赢</x:v>
      </x:c>
    </x:row>
    <x:row r="2206">
      <x:c r="A2206" t="str">
        <x:f>IF(B2206="","",TEXT(B2206,"yyyy-mm-dd")&amp;"|"&amp;D2206&amp;"|"&amp;E2206)</x:f>
        <x:v>2026-02-24|巴杨卡拉（Bhayangkara Presisi Lampung FC）|塞曼巴东（Semen Padang FC）</x:v>
      </x:c>
      <x:c r="B2206" s="39" t="n">
        <x:v>46077.895833333336</x:v>
      </x:c>
      <x:c r="C2206" t="str">
        <x:v>印度尼西亚超级联赛（印尼超/Liga 1 Indonesia）</x:v>
      </x:c>
      <x:c r="D2206" t="str">
        <x:v>巴杨卡拉（Bhayangkara Presisi Lampung FC）</x:v>
      </x:c>
      <x:c r="E2206" t="str">
        <x:v>塞曼巴东（Semen Padang FC）</x:v>
      </x:c>
      <x:c r="F2206" t="str">
        <x:v>巴杨卡拉 -0.75（半/一）@1.80左右（港≈0.80）</x:v>
      </x:c>
      <x:c r="G2206" t="str">
        <x:v>大 2.5 @1.95左右（港≈0.95）</x:v>
      </x:c>
      <x:c r="H2206" t="str">
        <x:v>若临场升盘到-1且≥1.90：可小注追巴杨卡拉-1（赢1球走水）；若大小升到3.0且小3≥1.85：可用小3.0对冲保护（3球走水）</x:v>
      </x:c>
      <x:c r="I2206" t="n">
        <x:v>46077.84354166667</x:v>
      </x:c>
      <x:c r="J2206" t="str">
        <x:v>已结算</x:v>
      </x:c>
      <x:c r="K2206" t="str">
        <x:v>4-0</x:v>
      </x:c>
      <x:c r="L2206" t="str">
        <x:v>赢</x:v>
      </x:c>
      <x:c r="M2206" t="str">
        <x:v>赢</x:v>
      </x:c>
      <x:c r="N2206" t="n">
        <x:v>1</x:v>
      </x:c>
      <x:c r="O2206" t="n">
        <x:v>1</x:v>
      </x:c>
      <x:c r="P2206" t="n">
        <x:f>IF(COUNT(N2206:O2206)=0,"",SUM(N2206:O2206))</x:f>
        <x:v>2</x:v>
      </x:c>
      <x:c r="Q2206"/>
      <x:c r="R2206" t="str">
        <x:v>赛果：巴杨卡拉 4-0 塞曼巴东；让球：巴杨卡拉-0.75=赢；大小：大2.5=赢</x:v>
      </x:c>
    </x:row>
    <x:row r="2207">
      <x:c r="A2207" t="str">
        <x:f>IF(B2207="","",TEXT(B2207,"yyyy-mm-dd")&amp;"|"&amp;D2207&amp;"|"&amp;E2207)</x:f>
        <x:v>2026-02-24|马鲁特联（Malut United）|佩西加雅加达（Persija Jakarta）</x:v>
      </x:c>
      <x:c r="B2207" s="39" t="n">
        <x:v>46077.833333333336</x:v>
      </x:c>
      <x:c r="C2207" t="str">
        <x:v>印度尼西亚超级联赛（印尼超/Liga 1 Indonesia）</x:v>
      </x:c>
      <x:c r="D2207" t="str">
        <x:v>马鲁特联（Malut United）</x:v>
      </x:c>
      <x:c r="E2207" t="str">
        <x:v>佩西加雅加达（Persija Jakarta）</x:v>
      </x:c>
      <x:c r="F2207" t="str">
        <x:v>佩西加雅加达 -0.25（让平/半）@0.93~1.01（港赔）</x:v>
      </x:c>
      <x:c r="G2207" t="str">
        <x:v>小 2.5 @0.93~0.95（港赔）</x:v>
      </x:c>
      <x:c r="H2207" t="str">
        <x:v>若临场退回平手且佩西加≥0.90：改佩西加0；若升到佩西加-0.5且≥0.90：小注追-0.5；大小若升到2.75且小2.75≥0.85：可加小2.75</x:v>
      </x:c>
      <x:c r="I2207" t="n">
        <x:v>46077.800775462965</x:v>
      </x:c>
      <x:c r="J2207" t="str">
        <x:v>已结算</x:v>
      </x:c>
      <x:c r="K2207" t="str">
        <x:v>2-3</x:v>
      </x:c>
      <x:c r="L2207" t="str">
        <x:v>赢</x:v>
      </x:c>
      <x:c r="M2207" t="str">
        <x:v>输</x:v>
      </x:c>
      <x:c r="N2207" t="n">
        <x:v>1</x:v>
      </x:c>
      <x:c r="O2207" t="n">
        <x:v>-1</x:v>
      </x:c>
      <x:c r="P2207" t="n">
        <x:f>IF(COUNT(N2207:O2207)=0,"",SUM(N2207:O2207))</x:f>
        <x:v>0</x:v>
      </x:c>
      <x:c r="Q2207"/>
      <x:c r="R2207" t="str">
        <x:v>赛果：马鲁特联 2-3 佩西加雅加达；让球：佩西加-0.25=赢；大小：小2.5=输（5球）</x:v>
      </x:c>
    </x:row>
    <x:row r="2208">
      <x:c r="A2208" t="str">
        <x:f>IF(B2208="","",TEXT(B2208,"yyyy-mm-dd")&amp;"|"&amp;D2208&amp;"|"&amp;E2208)</x:f>
        <x:v>2026-02-24|云博独立（Independiente Yumbo）|皇家桑坦德（Real Santander）</x:v>
      </x:c>
      <x:c r="B2208" s="39" t="n">
        <x:v>46077.333333333336</x:v>
      </x:c>
      <x:c r="C2208" t="str">
        <x:v>哥伦比亚乙级联赛（Primera B / Torneo BetPlay Apertura）</x:v>
      </x:c>
      <x:c r="D2208" t="str">
        <x:v>云博独立（Independiente Yumbo）</x:v>
      </x:c>
      <x:c r="E2208" t="str">
        <x:v>皇家桑坦德（Real Santander）</x:v>
      </x:c>
      <x:c r="F2208" t="str">
        <x:v>云博独立 -0.75（半/一）@1.80左右（港赔≈0.80）</x:v>
      </x:c>
      <x:c r="G2208" t="str">
        <x:v>小 2.25（2/2.5）@1.95左右（港赔≈0.95）</x:v>
      </x:c>
      <x:c r="H2208" t="str">
        <x:v>若临场退盘到-0.5且≥1.85：优先改云博独立-0.5；若升盘到-1且云博独立-1≥1.95：可小注博穿（赢1球走水）</x:v>
      </x:c>
      <x:c r="I2208" t="n">
        <x:v>46077.32564814815</x:v>
      </x:c>
      <x:c r="J2208" t="str">
        <x:v>已结算</x:v>
      </x:c>
      <x:c r="K2208" t="str">
        <x:v>1-1</x:v>
      </x:c>
      <x:c r="L2208" t="str">
        <x:v>输</x:v>
      </x:c>
      <x:c r="M2208" t="str">
        <x:v>赢半</x:v>
      </x:c>
      <x:c r="N2208" t="n">
        <x:v>-1</x:v>
      </x:c>
      <x:c r="O2208" t="n">
        <x:v>0.5</x:v>
      </x:c>
      <x:c r="P2208" t="n">
        <x:f>IF(COUNT(N2208:O2208)=0,"",SUM(N2208:O2208))</x:f>
        <x:v>-0.5</x:v>
      </x:c>
      <x:c r="Q2208" t="str">
        <x:v>SofaScore</x:v>
      </x:c>
      <x:c r="R2208" t="str">
        <x:v>校正赛果：云博独立（Independiente Yumbo） 1-1 皇家桑坦德（Real Santander）；让球：云博独立 -0.75 -&gt; 输（-1）；大小：小2.25 -&gt; 赢半（0.5）；来源：SofaScore。</x:v>
      </x:c>
    </x:row>
    <x:row r="2209">
      <x:c r="A2209" t="str">
        <x:f>IF(B2209="","",TEXT(B2209,"yyyy-mm-dd")&amp;"|"&amp;D2209&amp;"|"&amp;E2209)</x:f>
        <x:v>2026-02-24|埃弗顿（Everton）|曼联（Manchester United）</x:v>
      </x:c>
      <x:c r="B2209" s="39" t="n">
        <x:v>46077.166666666664</x:v>
      </x:c>
      <x:c r="C2209" t="str">
        <x:v>英格兰超级联赛（Premier League）</x:v>
      </x:c>
      <x:c r="D2209" t="str">
        <x:v>埃弗顿（Everton）</x:v>
      </x:c>
      <x:c r="E2209" t="str">
        <x:v>曼联（Manchester United）</x:v>
      </x:c>
      <x:c r="F2209" t="str">
        <x:v>埃弗顿 +0.5（受让半球）@1.89~2.00（港赔≈0.89~1.00）</x:v>
      </x:c>
      <x:c r="G2209" t="str">
        <x:v>小 2.5 @2.10左右（港赔≈1.10）</x:v>
      </x:c>
      <x:c r="H2209" t="str">
        <x:v>若临场埃弗顿+0.5跌破1.80：宁可等+0.25且≥1.95；若升盘到3.0且小3≥1.80：可用小3.0做保护（3球走水）</x:v>
      </x:c>
      <x:c r="I2209" t="n">
        <x:v>46076.974016203705</x:v>
      </x:c>
      <x:c r="J2209" t="str">
        <x:v>已结算</x:v>
      </x:c>
      <x:c r="K2209" t="str">
        <x:v>0-1</x:v>
      </x:c>
      <x:c r="L2209" t="str">
        <x:v>输</x:v>
      </x:c>
      <x:c r="M2209" t="str">
        <x:v>赢</x:v>
      </x:c>
      <x:c r="N2209" t="n">
        <x:v>-1</x:v>
      </x:c>
      <x:c r="O2209" t="n">
        <x:v>1</x:v>
      </x:c>
      <x:c r="P2209" t="n">
        <x:f>IF(COUNT(N2209:O2209)=0,"",SUM(N2209:O2209))</x:f>
        <x:v>0</x:v>
      </x:c>
      <x:c r="Q2209"/>
      <x:c r="R2209" t="str">
        <x:v>更正赛果：埃弗顿 0-1 曼联；让球：埃弗顿+0.5=输；大小：小2.5=赢</x:v>
      </x:c>
    </x:row>
    <x:row r="2210">
      <x:c r="A2210" t="str">
        <x:f>IF(B2210="","",TEXT(B2210,"yyyy-mm-dd")&amp;"|"&amp;D2210&amp;"|"&amp;E2210)</x:f>
        <x:v>2026-02-24|博洛尼亚（Bologna）|乌迪内斯（Udinese）</x:v>
      </x:c>
      <x:c r="B2210" s="39" t="n">
        <x:v>46077.15625</x:v>
      </x:c>
      <x:c r="C2210" t="str">
        <x:v>意大利甲级联赛（Serie A）</x:v>
      </x:c>
      <x:c r="D2210" t="str">
        <x:v>博洛尼亚（Bologna）</x:v>
      </x:c>
      <x:c r="E2210" t="str">
        <x:v>乌迪内斯（Udinese）</x:v>
      </x:c>
      <x:c r="F2210" t="str">
        <x:v>乌迪内斯 +0.5（受让半球）@2.01左右（港赔≈1.01）</x:v>
      </x:c>
      <x:c r="G2210" t="str">
        <x:v>小 2.5 @2.16左右（港赔≈1.16）</x:v>
      </x:c>
      <x:c r="H2210" t="str">
        <x:v>若临场退盘到乌迪内斯+0.25且≥2.05：可改+0.25；若升盘到2.75且小2.75≥1.90：可加小2.75（更稳）</x:v>
      </x:c>
      <x:c r="I2210" t="n">
        <x:v>46077.00234953704</x:v>
      </x:c>
      <x:c r="J2210" t="str">
        <x:v>已结算</x:v>
      </x:c>
      <x:c r="K2210" t="str">
        <x:v>1-0</x:v>
      </x:c>
      <x:c r="L2210" t="str">
        <x:v>输</x:v>
      </x:c>
      <x:c r="M2210" t="str">
        <x:v>赢</x:v>
      </x:c>
      <x:c r="N2210" t="n">
        <x:v>-1</x:v>
      </x:c>
      <x:c r="O2210" t="n">
        <x:v>1</x:v>
      </x:c>
      <x:c r="P2210" t="n">
        <x:f>IF(COUNT(N2210:O2210)=0,"",SUM(N2210:O2210))</x:f>
        <x:v>0</x:v>
      </x:c>
      <x:c r="Q2210"/>
      <x:c r="R2210" t="str">
        <x:v>更正赛果：博洛尼亚 1-0 乌迪内斯；让球：乌迪内斯+0.5=输；大小：小2.5=赢</x:v>
      </x:c>
    </x:row>
    <x:row r="2211">
      <x:c r="A2211" t="str">
        <x:f>IF(B2211="","",TEXT(B2211,"yyyy-mm-dd")&amp;"|"&amp;D2211&amp;"|"&amp;E2211)</x:f>
        <x:v>2026-02-24|佛罗伦萨（Fiorentina）|比萨（Pisa）</x:v>
      </x:c>
      <x:c r="B2211" s="39" t="n">
        <x:v>46077.0625</x:v>
      </x:c>
      <x:c r="C2211" t="str">
        <x:v>意大利甲级联赛（Serie A）</x:v>
      </x:c>
      <x:c r="D2211" t="str">
        <x:v>佛罗伦萨（Fiorentina）</x:v>
      </x:c>
      <x:c r="E2211" t="str">
        <x:v>比萨（Pisa）</x:v>
      </x:c>
      <x:c r="F2211" t="str">
        <x:v>比萨 +0.75（受让半/一）@2.10左右（港赔≈1.10）</x:v>
      </x:c>
      <x:c r="G2211" t="str">
        <x:v>小 2.5 @2.03左右（港赔≈1.03）</x:v>
      </x:c>
      <x:c r="H2211" t="str">
        <x:v>若临场退到比萨+1且≥1.85：优先升级+1；若升盘到3.0且小3≥1.80：可加小3.0保护（3球走水）</x:v>
      </x:c>
      <x:c r="I2211" t="n">
        <x:v>46076.95371527778</x:v>
      </x:c>
      <x:c r="J2211" t="str">
        <x:v>已结算</x:v>
      </x:c>
      <x:c r="K2211" t="str">
        <x:v>1-0</x:v>
      </x:c>
      <x:c r="L2211" t="str">
        <x:v>输半</x:v>
      </x:c>
      <x:c r="M2211" t="str">
        <x:v>赢</x:v>
      </x:c>
      <x:c r="N2211" t="n">
        <x:v>-0.5</x:v>
      </x:c>
      <x:c r="O2211" t="n">
        <x:v>1</x:v>
      </x:c>
      <x:c r="P2211" t="n">
        <x:f>IF(COUNT(N2211:O2211)=0,"",SUM(N2211:O2211))</x:f>
        <x:v>0.5</x:v>
      </x:c>
      <x:c r="Q2211"/>
      <x:c r="R2211" t="str">
        <x:v>赛果：佛罗伦萨 1-0 比萨；让球：比萨+0.75=输半；大小：小2.5=赢</x:v>
      </x:c>
    </x:row>
    <x:row r="2212">
      <x:c r="A2212" t="str">
        <x:f>IF(B2212="","",TEXT(B2212,"yyyy-mm-dd")&amp;"|"&amp;D2212&amp;"|"&amp;E2212)</x:f>
        <x:v>2026-02-23|莫亨巴根超级巨人（Mohun Bagan Super Giant）|钦奈因（Chennaiyin FC）</x:v>
      </x:c>
      <x:c r="B2212" s="39" t="n">
        <x:v>46076.916666666664</x:v>
      </x:c>
      <x:c r="C2212" t="str">
        <x:v>印度超级联赛（Indian Super League）</x:v>
      </x:c>
      <x:c r="D2212" t="str">
        <x:v>莫亨巴根超级巨人（Mohun Bagan Super Giant）</x:v>
      </x:c>
      <x:c r="E2212" t="str">
        <x:v>钦奈因（Chennaiyin FC）</x:v>
      </x:c>
      <x:c r="F2212" t="str">
        <x:v>钦奈因 +1.5（受让一球半）@1.81左右（港赔≈0.81）</x:v>
      </x:c>
      <x:c r="G2212" t="str">
        <x:v>小 2.5 @2.21左右（港赔≈1.21）</x:v>
      </x:c>
      <x:c r="H2212" t="str">
        <x:v>若临场退盘到+1.25且≥1.90：改钦奈因+1.25；若升盘到3且≥1.80：可加小3.0</x:v>
      </x:c>
      <x:c r="I2212" t="n">
        <x:v>46076.90730324074</x:v>
      </x:c>
      <x:c r="J2212" t="str">
        <x:v>已结算</x:v>
      </x:c>
      <x:c r="K2212" t="str">
        <x:v>2-0</x:v>
      </x:c>
      <x:c r="L2212" t="str">
        <x:v>输</x:v>
      </x:c>
      <x:c r="M2212" t="str">
        <x:v>赢</x:v>
      </x:c>
      <x:c r="N2212" t="n">
        <x:v>-1</x:v>
      </x:c>
      <x:c r="O2212" t="n">
        <x:v>1</x:v>
      </x:c>
      <x:c r="P2212" t="n">
        <x:f>IF(COUNT(N2212:O2212)=0,"",SUM(N2212:O2212))</x:f>
        <x:v>0</x:v>
      </x:c>
      <x:c r="Q2212"/>
      <x:c r="R2212" t="str">
        <x:v>赛果：莫亨巴根 2-0 钦奈因；让球：钦奈因+1.5=输；大小：小2.5=赢</x:v>
      </x:c>
    </x:row>
    <x:row r="2213">
      <x:c r="A2213" t="str">
        <x:f>IF(B2213="","",TEXT(B2213,"yyyy-mm-dd")&amp;"|"&amp;D2213&amp;"|"&amp;E2213)</x:f>
        <x:v>2026-02-23|永亚卡达（PSIM Yogyakarta）|巴厘联（Bali United）</x:v>
      </x:c>
      <x:c r="B2213" s="39" t="n">
        <x:v>46076.895833333336</x:v>
      </x:c>
      <x:c r="C2213" t="str">
        <x:v>印度尼西亚超级联赛（印尼超/Liga 1 Indonesia）</x:v>
      </x:c>
      <x:c r="D2213" t="str">
        <x:v>永亚卡达（PSIM Yogyakarta）</x:v>
      </x:c>
      <x:c r="E2213" t="str">
        <x:v>巴厘联（Bali United）</x:v>
      </x:c>
      <x:c r="F2213" t="str">
        <x:v>巴厘联 +0.25（受让平/半）@0.84左右</x:v>
      </x:c>
      <x:c r="G2213" t="str">
        <x:v>大 2.5 @0.91左右</x:v>
      </x:c>
      <x:c r="H2213" t="str">
        <x:v>更稳：巴厘联 平手(0)@1.02左右（走水保护）</x:v>
      </x:c>
      <x:c r="I2213" t="n">
        <x:v>46076.587118055555</x:v>
      </x:c>
      <x:c r="J2213" t="str">
        <x:v>已结算</x:v>
      </x:c>
      <x:c r="K2213" t="str">
        <x:v>3-3</x:v>
      </x:c>
      <x:c r="L2213" t="str">
        <x:v>赢半</x:v>
      </x:c>
      <x:c r="M2213" t="str">
        <x:v>赢</x:v>
      </x:c>
      <x:c r="N2213" t="n">
        <x:v>0.5</x:v>
      </x:c>
      <x:c r="O2213" t="n">
        <x:v>1</x:v>
      </x:c>
      <x:c r="P2213" t="n">
        <x:f>IF(COUNT(N2213:O2213)=0,"",SUM(N2213:O2213))</x:f>
        <x:v>1.5</x:v>
      </x:c>
      <x:c r="Q2213"/>
      <x:c r="R2213" t="str">
        <x:v>赛果：永亚卡达 3-3 巴厘联；让球：巴厘联+0.25=赢半；大小：大2.5=赢</x:v>
      </x:c>
    </x:row>
    <x:row r="2214">
      <x:c r="A2214" t="str">
        <x:f>IF(B2214="","",TEXT(B2214,"yyyy-mm-dd")&amp;"|"&amp;D2214&amp;"|"&amp;E2214)</x:f>
        <x:v>2026-02-23|卡利美洲（América de Cali）|科尔多巴美洲豹（Jaguares de Córdoba）</x:v>
      </x:c>
      <x:c r="B2214" s="39" t="n">
        <x:v>46076.395833333336</x:v>
      </x:c>
      <x:c r="C2214" t="str">
        <x:v>哥伦比亚甲级联赛（Liga BetPlay DIMAYOR）</x:v>
      </x:c>
      <x:c r="D2214" t="str">
        <x:v>卡利美洲（América de Cali）</x:v>
      </x:c>
      <x:c r="E2214" t="str">
        <x:v>科尔多巴美洲豹（Jaguares de Córdoba）</x:v>
      </x:c>
      <x:c r="F2214" t="str">
        <x:v>卡利美洲 -1.25 @1.88</x:v>
      </x:c>
      <x:c r="G2214" t="str">
        <x:v>小 2.5 @1.88</x:v>
      </x:c>
      <x:c r="H2214" t="str">
        <x:v>稳一点替代：卡利美洲 -1 @1.80（赢1球走水）</x:v>
      </x:c>
      <x:c r="I2214" t="n">
        <x:v>46076.34446759259</x:v>
      </x:c>
      <x:c r="J2214" t="str">
        <x:v>已结算</x:v>
      </x:c>
      <x:c r="K2214" t="str">
        <x:v>3-0</x:v>
      </x:c>
      <x:c r="L2214" t="str">
        <x:v>赢</x:v>
      </x:c>
      <x:c r="M2214" t="str">
        <x:v>输</x:v>
      </x:c>
      <x:c r="N2214" t="n">
        <x:v>1</x:v>
      </x:c>
      <x:c r="O2214" t="n">
        <x:v>-1</x:v>
      </x:c>
      <x:c r="P2214" t="n">
        <x:f>IF(COUNT(N2214:O2214)=0,"",SUM(N2214:O2214))</x:f>
        <x:v>0</x:v>
      </x:c>
      <x:c r="Q2214" t="str">
        <x:v>SofaScore</x:v>
      </x:c>
      <x:c r="R2214" t="str">
        <x:v>校正赛果：卡利美洲（América de Cali） 3-0 科尔多巴美洲豹（Jaguares de Córdoba）；让球：卡利美洲 -1.25 -&gt; 赢（1）；大小：小2.5 -&gt; 输（-1）；来源：SofaScore。</x:v>
      </x:c>
    </x:row>
    <x:row r="2215">
      <x:c r="A2215" t="str">
        <x:f>IF(B2215="","",TEXT(B2215,"yyyy-mm-dd")&amp;"|"&amp;D2215&amp;"|"&amp;E2215)</x:f>
        <x:v>2026-02-23|克雷塔罗（Querétaro）|华雷斯（FC Juárez）</x:v>
      </x:c>
      <x:c r="B2215" s="39" t="n">
        <x:v>46076.375</x:v>
      </x:c>
      <x:c r="C2215" t="str">
        <x:v>墨西哥超（Liga MX，Clausura）</x:v>
      </x:c>
      <x:c r="D2215" t="str">
        <x:v>克雷塔罗（Querétaro）</x:v>
      </x:c>
      <x:c r="E2215" t="str">
        <x:v>华雷斯（FC Juárez）</x:v>
      </x:c>
      <x:c r="F2215" t="str">
        <x:v>克雷塔罗 0（平手/走盘）@1.82</x:v>
      </x:c>
      <x:c r="G2215" t="str">
        <x:v>大 2.5 @2.10</x:v>
      </x:c>
      <x:c r="H2215" t="str">
        <x:v>小注对冲：双方进球 是（BTTS Yes）@1.86；或 平局 @3.20</x:v>
      </x:c>
      <x:c r="I2215" t="n">
        <x:v>46076.33678240741</x:v>
      </x:c>
      <x:c r="J2215" t="str">
        <x:v>已结算</x:v>
      </x:c>
      <x:c r="K2215" t="str">
        <x:v>1-1</x:v>
      </x:c>
      <x:c r="L2215" t="str">
        <x:v>走水</x:v>
      </x:c>
      <x:c r="M2215" t="str">
        <x:v>输</x:v>
      </x:c>
      <x:c r="N2215" t="n">
        <x:v>0</x:v>
      </x:c>
      <x:c r="O2215" t="n">
        <x:v>-1</x:v>
      </x:c>
      <x:c r="P2215" t="n">
        <x:f>IF(COUNT(N2215:O2215)=0,"",SUM(N2215:O2215))</x:f>
        <x:v>-1</x:v>
      </x:c>
      <x:c r="Q2215" t="str">
        <x:v>https://www.espn.com/soccer/match/_/gameId/401840876/fc-juarez-queretaro | https://www.foxsports.com/soccer/liga-mx-queretaro-vs-fc-juarez-apr-07-2026-game-boxscore-755958 | 查询时间：2026-07-15 23:40（北京时间）</x:v>
      </x:c>
      <x:c r="R2215" t="str">
        <x:v>历史积压补结：原2月23日延期，4月7日完成，90分钟1-1；克雷塔罗平手走水，大2.5未打出。</x:v>
      </x:c>
    </x:row>
    <x:row r="2216">
      <x:c r="A2216" t="str">
        <x:f>IF(B2216="","",TEXT(B2216,"yyyy-mm-dd")&amp;"|"&amp;D2216&amp;"|"&amp;E2216)</x:f>
        <x:v>2026-02-23|美洲狮（Pumas UNAM）|蒙特雷（Monterrey）</x:v>
      </x:c>
      <x:c r="B2216" s="39" t="n">
        <x:v>46076.333333333336</x:v>
      </x:c>
      <x:c r="C2216" t="str">
        <x:v>墨西哥超（Liga MX，Clausura）</x:v>
      </x:c>
      <x:c r="D2216" t="str">
        <x:v>美洲狮（Pumas UNAM）</x:v>
      </x:c>
      <x:c r="E2216" t="str">
        <x:v>蒙特雷（Monterrey）</x:v>
      </x:c>
      <x:c r="F2216" t="str">
        <x:v>蒙特雷 0（平手/走盘）@1.81</x:v>
      </x:c>
      <x:c r="G2216" t="str">
        <x:v>小 2.5 @1.96</x:v>
      </x:c>
      <x:c r="H2216" t="str">
        <x:v>可选加仓：半场 平局 @2.18</x:v>
      </x:c>
      <x:c r="I2216" t="n">
        <x:v>46076.30005787037</x:v>
      </x:c>
      <x:c r="J2216" t="str">
        <x:v>已结算</x:v>
      </x:c>
      <x:c r="K2216" t="str">
        <x:v>2-0</x:v>
      </x:c>
      <x:c r="L2216" t="str">
        <x:v>输</x:v>
      </x:c>
      <x:c r="M2216" t="str">
        <x:v>赢</x:v>
      </x:c>
      <x:c r="N2216" t="n">
        <x:v>-1</x:v>
      </x:c>
      <x:c r="O2216" t="n">
        <x:v>1</x:v>
      </x:c>
      <x:c r="P2216" t="n">
        <x:f>IF(COUNT(N2216:O2216)=0,"",SUM(N2216:O2216))</x:f>
        <x:v>0</x:v>
      </x:c>
      <x:c r="Q2216"/>
      <x:c r="R2216" t="str">
        <x:v>FT 2-0（蒙特雷0=输；小2.5=赢）</x:v>
      </x:c>
    </x:row>
    <x:row r="2217">
      <x:c r="A2217" t="str">
        <x:f>IF(B2217="","",TEXT(B2217,"yyyy-mm-dd")&amp;"|"&amp;D2217&amp;"|"&amp;E2217)</x:f>
        <x:v>2026-02-23|佩纳罗尔（蒙得维的亚）（Peñarol）|马尔多纳多（Deportivo Maldonado）</x:v>
      </x:c>
      <x:c r="B2217" s="39" t="n">
        <x:v>46076.3125</x:v>
      </x:c>
      <x:c r="C2217" t="str">
        <x:v>乌拉圭甲级联赛（Campeonato Uruguayo·Primera División）</x:v>
      </x:c>
      <x:c r="D2217" t="str">
        <x:v>佩纳罗尔（蒙得维的亚）（Peñarol）</x:v>
      </x:c>
      <x:c r="E2217" t="str">
        <x:v>马尔多纳多（Deportivo Maldonado）</x:v>
      </x:c>
      <x:c r="F2217" t="str">
        <x:v>马尔多纳多 +1 @1.90</x:v>
      </x:c>
      <x:c r="G2217" t="str">
        <x:v>小 2.25（2/2.5）@2.00</x:v>
      </x:c>
      <x:c r="H2217" t="str">
        <x:v>进取替代：佩纳罗尔 -0.5 @2.07（只博主胜）</x:v>
      </x:c>
      <x:c r="I2217" t="n">
        <x:v>46076.31909722222</x:v>
      </x:c>
      <x:c r="J2217" t="str">
        <x:v>已结算</x:v>
      </x:c>
      <x:c r="K2217" t="str">
        <x:v>2-1</x:v>
      </x:c>
      <x:c r="L2217" t="str">
        <x:v>走水</x:v>
      </x:c>
      <x:c r="M2217" t="str">
        <x:v>输</x:v>
      </x:c>
      <x:c r="N2217" t="n">
        <x:v>0</x:v>
      </x:c>
      <x:c r="O2217" t="n">
        <x:v>-1</x:v>
      </x:c>
      <x:c r="P2217" t="n">
        <x:f>IF(COUNT(N2217:O2217)=0,"",SUM(N2217:O2217))</x:f>
        <x:v>-1</x:v>
      </x:c>
      <x:c r="Q2217" t="str">
        <x:v>SofaScore</x:v>
      </x:c>
      <x:c r="R2217" t="str">
        <x:v>校正赛果：佩纳罗尔（蒙得维的亚）（Peñarol） 2-1 马尔多纳多（Deportivo Maldonado）；让球：马尔多纳多 +1 -&gt; 走水（0）；大小：小2.25 -&gt; 输（-1）；来源：SofaScore。</x:v>
      </x:c>
    </x:row>
    <x:row r="2218">
      <x:c r="A2218" t="str">
        <x:f>IF(B2218="","",TEXT(B2218,"yyyy-mm-dd")&amp;"|"&amp;D2218&amp;"|"&amp;E2218)</x:f>
        <x:v>2026-02-23|博亚卡奇科（Boyacá Chicó）|里奥内格罗老鹰（Águilas Doradas）</x:v>
      </x:c>
      <x:c r="B2218" s="39" t="n">
        <x:v>46076.29861111111</x:v>
      </x:c>
      <x:c r="C2218" t="str">
        <x:v>哥伦比亚甲级联赛（Liga BetPlay DIMAYOR）</x:v>
      </x:c>
      <x:c r="D2218" t="str">
        <x:v>博亚卡奇科（Boyacá Chicó）</x:v>
      </x:c>
      <x:c r="E2218" t="str">
        <x:v>里奥内格罗老鹰（Águilas Doradas）</x:v>
      </x:c>
      <x:c r="F2218" t="str">
        <x:v>里奥内格罗老鹰 0（平手/走盘）@2.02</x:v>
      </x:c>
      <x:c r="G2218" t="str">
        <x:v>小 1.5 @2.38</x:v>
      </x:c>
      <x:c r="H2218" t="str">
        <x:v>进取：里奥内格罗老鹰 -0.25 @2.49</x:v>
      </x:c>
      <x:c r="I2218" t="n">
        <x:v>46076.303564814814</x:v>
      </x:c>
      <x:c r="J2218" t="str">
        <x:v>已结算</x:v>
      </x:c>
      <x:c r="K2218" t="str">
        <x:v>0-1</x:v>
      </x:c>
      <x:c r="L2218" t="str">
        <x:v>赢</x:v>
      </x:c>
      <x:c r="M2218" t="str">
        <x:v>赢</x:v>
      </x:c>
      <x:c r="N2218" t="n">
        <x:v>1</x:v>
      </x:c>
      <x:c r="O2218" t="n">
        <x:v>1</x:v>
      </x:c>
      <x:c r="P2218" t="n">
        <x:f>IF(COUNT(N2218:O2218)=0,"",SUM(N2218:O2218))</x:f>
        <x:v>2</x:v>
      </x:c>
      <x:c r="Q2218"/>
      <x:c r="R2218" t="str">
        <x:v>FT 0-1（里奥内格罗老鹰0=赢；小1.5=赢）</x:v>
      </x:c>
    </x:row>
    <x:row r="2219">
      <x:c r="A2219" t="str">
        <x:f>IF(B2219="","",TEXT(B2219,"yyyy-mm-dd")&amp;"|"&amp;D2219&amp;"|"&amp;E2219)</x:f>
        <x:v>2026-02-23|罗马（AS Roma）|克雷莫纳（Cremonese）</x:v>
      </x:c>
      <x:c r="B2219" s="39" t="n">
        <x:v>46076.15625</x:v>
      </x:c>
      <x:c r="C2219" t="str">
        <x:v>意大利甲级联赛（Serie A）</x:v>
      </x:c>
      <x:c r="D2219" t="str">
        <x:v>罗马（AS Roma）</x:v>
      </x:c>
      <x:c r="E2219" t="str">
        <x:v>克雷莫纳（Cremonese）</x:v>
      </x:c>
      <x:c r="F2219" t="str">
        <x:v>罗马 -1/1.5（-1.25）@1.80~1.86</x:v>
      </x:c>
      <x:c r="G2219" t="str">
        <x:v>小 2.5 @1.88~1.98</x:v>
      </x:c>
      <x:c r="H2219" t="str">
        <x:v>稳健：罗马 -1（赢1走水）若≥1.90；或 小 3.0（3球走水）若≥1.80｜进取：罗马 -1.5 @2.00左右；或 比分 1-0/2-0 小注</x:v>
      </x:c>
      <x:c r="I2219" t="n">
        <x:v>46075.98825231481</x:v>
      </x:c>
      <x:c r="J2219" t="str">
        <x:v>已结算</x:v>
      </x:c>
      <x:c r="K2219" t="str">
        <x:v>3-0</x:v>
      </x:c>
      <x:c r="L2219" t="str">
        <x:v>赢</x:v>
      </x:c>
      <x:c r="M2219" t="str">
        <x:v>输</x:v>
      </x:c>
      <x:c r="N2219" t="n">
        <x:v>1</x:v>
      </x:c>
      <x:c r="O2219" t="n">
        <x:v>-1</x:v>
      </x:c>
      <x:c r="P2219" t="n">
        <x:f>IF(COUNT(N2219:O2219)=0,"",SUM(N2219:O2219))</x:f>
        <x:v>0</x:v>
      </x:c>
      <x:c r="Q2219"/>
      <x:c r="R2219" t="str">
        <x:v>FT 3-0（罗马-1.25=赢；小2.5=输）</x:v>
      </x:c>
    </x:row>
    <x:row r="2220">
      <x:c r="A2220" t="str">
        <x:f>IF(B2220="","",TEXT(B2220,"yyyy-mm-dd")&amp;"|"&amp;D2220&amp;"|"&amp;E2220)</x:f>
        <x:v>2026-02-23|AC米兰（AC Milan）|帕尔马（Parma）</x:v>
      </x:c>
      <x:c r="B2220" s="39" t="n">
        <x:v>46076.041666666664</x:v>
      </x:c>
      <x:c r="C2220" t="str">
        <x:v>意大利甲级联赛（Serie A）</x:v>
      </x:c>
      <x:c r="D2220" t="str">
        <x:v>AC米兰（AC Milan）</x:v>
      </x:c>
      <x:c r="E2220" t="str">
        <x:v>帕尔马（Parma）</x:v>
      </x:c>
      <x:c r="F2220" t="str">
        <x:v>AC米兰 -1/1.5（-1.25）@1.83（Pinnacle）</x:v>
      </x:c>
      <x:c r="G2220" t="str">
        <x:v>大 2.5/3（2.75）@2.02（Pinnacle）</x:v>
      </x:c>
      <x:c r="H2220" t="str">
        <x:v>稳健：AC米兰 -1（赢1走水）若≥1.90；或 大2.5 若≥1.85｜进取：AC米兰 -1.5 若≥2.10；或 BTTS 是 若≥1.95（小注）</x:v>
      </x:c>
      <x:c r="I2220" t="n">
        <x:v>46075.98516203704</x:v>
      </x:c>
      <x:c r="J2220" t="str">
        <x:v>已结算</x:v>
      </x:c>
      <x:c r="K2220" t="str">
        <x:v>0-1</x:v>
      </x:c>
      <x:c r="L2220" t="str">
        <x:v>输</x:v>
      </x:c>
      <x:c r="M2220" t="str">
        <x:v>输</x:v>
      </x:c>
      <x:c r="N2220" t="n">
        <x:v>-1</x:v>
      </x:c>
      <x:c r="O2220" t="n">
        <x:v>-1</x:v>
      </x:c>
      <x:c r="P2220" t="n">
        <x:f>IF(COUNT(N2220:O2220)=0,"",SUM(N2220:O2220))</x:f>
        <x:v>-2</x:v>
      </x:c>
      <x:c r="Q2220"/>
      <x:c r="R2220" t="str">
        <x:v>FT 0-1（AC米兰-1.25=输；大2.75=输）</x:v>
      </x:c>
    </x:row>
    <x:row r="2221">
      <x:c r="A2221" t="str">
        <x:f>IF(B2221="","",TEXT(B2221,"yyyy-mm-dd")&amp;"|"&amp;D2221&amp;"|"&amp;E2221)</x:f>
        <x:v>2026-02-23|托特纳姆热刺（Tottenham Hotspur）|阿森纳（Arsenal）</x:v>
      </x:c>
      <x:c r="B2221" s="39" t="n">
        <x:v>46076.020833333336</x:v>
      </x:c>
      <x:c r="C2221" t="str">
        <x:v>英格兰超级联赛（Premier League）</x:v>
      </x:c>
      <x:c r="D2221" t="str">
        <x:v>托特纳姆热刺（Tottenham Hotspur）</x:v>
      </x:c>
      <x:c r="E2221" t="str">
        <x:v>阿森纳（Arsenal）</x:v>
      </x:c>
      <x:c r="F2221" t="str">
        <x:v>阿森纳 -1（亚洲让球）@1.91~1.92（-109附近）</x:v>
      </x:c>
      <x:c r="G2221" t="str">
        <x:v>小 2.5 @2.00~2.05（+102附近）</x:v>
      </x:c>
      <x:c r="H2221" t="str">
        <x:v>稳健：阿森纳 -0.75（若≥1.85）；或 阿森纳胜 &amp; 小3.5（若≥1.90）｜进取：BTTS 否 @1.83~1.86；或 阿森纳 -1.25（若≥2.05再考虑）｜比分倾向 0-2 / 0-1 / 1-2</x:v>
      </x:c>
      <x:c r="I2221" t="n">
        <x:v>46076.002916666665</x:v>
      </x:c>
      <x:c r="J2221" t="str">
        <x:v>已结算</x:v>
      </x:c>
      <x:c r="K2221" t="str">
        <x:v>1-4</x:v>
      </x:c>
      <x:c r="L2221" t="str">
        <x:v>赢</x:v>
      </x:c>
      <x:c r="M2221" t="str">
        <x:v>输</x:v>
      </x:c>
      <x:c r="N2221" t="n">
        <x:v>1</x:v>
      </x:c>
      <x:c r="O2221" t="n">
        <x:v>-1</x:v>
      </x:c>
      <x:c r="P2221" t="n">
        <x:f>IF(COUNT(N2221:O2221)=0,"",SUM(N2221:O2221))</x:f>
        <x:v>0</x:v>
      </x:c>
      <x:c r="Q2221"/>
      <x:c r="R2221" t="str">
        <x:v>FT 1-4（阿森纳-1=赢；小2.5=输）</x:v>
      </x:c>
    </x:row>
    <x:row r="2222">
      <x:c r="A2222" t="str">
        <x:f>IF(B2222="","",TEXT(B2222,"yyyy-mm-dd")&amp;"|"&amp;D2222&amp;"|"&amp;E2222)</x:f>
        <x:v>2026-02-22|巴塞罗那（FC Barcelona）|莱万特（Levante UD）</x:v>
      </x:c>
      <x:c r="B2222" s="39" t="n">
        <x:v>46075.96875</x:v>
      </x:c>
      <x:c r="C2222" t="str">
        <x:v>西甲（LaLiga）</x:v>
      </x:c>
      <x:c r="D2222" t="str">
        <x:v>巴塞罗那（FC Barcelona）</x:v>
      </x:c>
      <x:c r="E2222" t="str">
        <x:v>莱万特（Levante UD）</x:v>
      </x:c>
      <x:c r="F2222" t="str">
        <x:v>莱万特 +2.5/3（+2.75）@1.88左右</x:v>
      </x:c>
      <x:c r="G2222" t="str">
        <x:v>小 4.0 @2.07左右</x:v>
      </x:c>
      <x:c r="H2222" t="str">
        <x:v>稳健：莱万特 +3（受三球）若≥1.80；或 小 4/4.5（4.25）若≥1.90｜进取：巴塞罗那 -2.5 @1.84~1.92（看好大胜时）；或 BTTS 否 @1.90左右｜比分倾向：2-0/3-0/3-1（4球走水）</x:v>
      </x:c>
      <x:c r="I2222" t="n">
        <x:v>46075.98111111111</x:v>
      </x:c>
      <x:c r="J2222" t="str">
        <x:v>已结算</x:v>
      </x:c>
      <x:c r="K2222" t="str">
        <x:v>3-0</x:v>
      </x:c>
      <x:c r="L2222" t="str">
        <x:v>输半</x:v>
      </x:c>
      <x:c r="M2222" t="str">
        <x:v>赢</x:v>
      </x:c>
      <x:c r="N2222" t="n">
        <x:v>-0.5</x:v>
      </x:c>
      <x:c r="O2222" t="n">
        <x:v>1</x:v>
      </x:c>
      <x:c r="P2222" t="n">
        <x:f>IF(COUNT(N2222:O2222)=0,"",SUM(N2222:O2222))</x:f>
        <x:v>0.5</x:v>
      </x:c>
      <x:c r="Q2222" t="str">
        <x:v>SofaScore</x:v>
      </x:c>
      <x:c r="R2222" t="str">
        <x:v>校正赛果：巴塞罗那（FC Barcelona） 3-0 莱万特（Levante UD）；让球：莱万特 +2.75 -&gt; 输半（-0.5）；大小：小4.0 -&gt; 赢（1）；来源：SofaScore。</x:v>
      </x:c>
    </x:row>
    <x:row r="2223">
      <x:c r="A2223" t="str">
        <x:f>IF(B2223="","",TEXT(B2223,"yyyy-mm-dd")&amp;"|"&amp;D2223&amp;"|"&amp;E2223)</x:f>
        <x:v>2026-02-22|桑德兰（Sunderland）|富勒姆（Fulham）</x:v>
      </x:c>
      <x:c r="B2223" s="39" t="n">
        <x:v>46075.916666666664</x:v>
      </x:c>
      <x:c r="C2223" t="str">
        <x:v>英格兰超级联赛（Premier League）</x:v>
      </x:c>
      <x:c r="D2223" t="str">
        <x:v>桑德兰（Sunderland）</x:v>
      </x:c>
      <x:c r="E2223" t="str">
        <x:v>富勒姆（Fulham）</x:v>
      </x:c>
      <x:c r="F2223" t="str">
        <x:v>桑德兰 0（平手/DNB）@2.00~2.08</x:v>
      </x:c>
      <x:c r="G2223" t="str">
        <x:v>大 2.5 @1.97~2.18</x:v>
      </x:c>
      <x:c r="H2223" t="str">
        <x:v>稳健：大 2/2.5（2.25）若≥1.85；或 平局 @2.95~3.15（小注博中路）｜进取：BTTS 否 @1.90~1.95</x:v>
      </x:c>
      <x:c r="I2223" t="n">
        <x:v>46075.946863425925</x:v>
      </x:c>
      <x:c r="J2223" t="str">
        <x:v>已结算</x:v>
      </x:c>
      <x:c r="K2223" t="str">
        <x:v>1-3</x:v>
      </x:c>
      <x:c r="L2223" t="str">
        <x:v>输</x:v>
      </x:c>
      <x:c r="M2223" t="str">
        <x:v>赢</x:v>
      </x:c>
      <x:c r="N2223" t="n">
        <x:v>-1</x:v>
      </x:c>
      <x:c r="O2223" t="n">
        <x:v>1</x:v>
      </x:c>
      <x:c r="P2223" t="n">
        <x:f>IF(COUNT(N2223:O2223)=0,"",SUM(N2223:O2223))</x:f>
        <x:v>0</x:v>
      </x:c>
      <x:c r="Q2223"/>
      <x:c r="R2223" t="str">
        <x:v>FT 1-3（桑德兰DNB=输；大2.5=赢）</x:v>
      </x:c>
    </x:row>
    <x:row r="2224">
      <x:c r="A2224" t="str">
        <x:f>IF(B2224="","",TEXT(B2224,"yyyy-mm-dd")&amp;"|"&amp;D2224&amp;"|"&amp;E2224)</x:f>
        <x:v>2026-02-22|水晶宫（Crystal Palace）|狼队（Wolverhampton Wanderers）</x:v>
      </x:c>
      <x:c r="B2224" s="39" t="n">
        <x:v>46075.916666666664</x:v>
      </x:c>
      <x:c r="C2224" t="str">
        <x:v>英格兰超级联赛（Premier League）</x:v>
      </x:c>
      <x:c r="D2224" t="str">
        <x:v>水晶宫（Crystal Palace）</x:v>
      </x:c>
      <x:c r="E2224" t="str">
        <x:v>狼队（Wolverhampton Wanderers）</x:v>
      </x:c>
      <x:c r="F2224" t="str">
        <x:v>狼队 +0.5（受让半球）@1.87~1.98</x:v>
      </x:c>
      <x:c r="G2224" t="str">
        <x:v>小 2.5 @1.90左右</x:v>
      </x:c>
      <x:c r="H2224" t="str">
        <x:v>稳健：狼队 +0.75（受让半一）若≥1.80；进取：平局 @3.70左右（小注博中路）；或 狼队不败（X2）若≥1.90</x:v>
      </x:c>
      <x:c r="I2224" t="n">
        <x:v>46075.94091435185</x:v>
      </x:c>
      <x:c r="J2224" t="str">
        <x:v>已结算</x:v>
      </x:c>
      <x:c r="K2224" t="str">
        <x:v>1-0</x:v>
      </x:c>
      <x:c r="L2224" t="str">
        <x:v>输</x:v>
      </x:c>
      <x:c r="M2224" t="str">
        <x:v>赢</x:v>
      </x:c>
      <x:c r="N2224" t="n">
        <x:v>-1</x:v>
      </x:c>
      <x:c r="O2224" t="n">
        <x:v>1</x:v>
      </x:c>
      <x:c r="P2224" t="n">
        <x:f>IF(COUNT(N2224:O2224)=0,"",SUM(N2224:O2224))</x:f>
        <x:v>0</x:v>
      </x:c>
      <x:c r="Q2224"/>
      <x:c r="R2224" t="str">
        <x:v>FT 1-0（水晶宫胜；狼队+0.5=输；小2.5=赢）</x:v>
      </x:c>
    </x:row>
    <x:row r="2225">
      <x:c r="A2225" t="str">
        <x:f>IF(B2225="","",TEXT(B2225,"yyyy-mm-dd")&amp;"|"&amp;D2225&amp;"|"&amp;E2225)</x:f>
        <x:v>2026-02-22|亚特兰大（Atalanta）|那不勒斯（Napoli）</x:v>
      </x:c>
      <x:c r="B2225" s="39" t="n">
        <x:v>46075.916666666664</x:v>
      </x:c>
      <x:c r="C2225" t="str">
        <x:v>意大利甲级联赛（Serie A）</x:v>
      </x:c>
      <x:c r="D2225" t="str">
        <x:v>亚特兰大（Atalanta）</x:v>
      </x:c>
      <x:c r="E2225" t="str">
        <x:v>那不勒斯（Napoli）</x:v>
      </x:c>
      <x:c r="F2225" t="str">
        <x:v>亚特兰大 -0/0.5（-0.25，平半）@1.98~2.06</x:v>
      </x:c>
      <x:c r="G2225" t="str">
        <x:v>大 2.5 @2.20~2.30</x:v>
      </x:c>
      <x:c r="H2225" t="str">
        <x:v>稳健：大 2/2.5（2.25）若≥1.85；或 亚特兰大 0（平手/DNB）若≥1.75仅串关/若≥1.85可单｜进取：亚特兰大 -0.5 @2.25~2.35；或 BTTS 是 @1.75~1.85</x:v>
      </x:c>
      <x:c r="I2225" t="n">
        <x:v>46075.930659722224</x:v>
      </x:c>
      <x:c r="J2225" t="str">
        <x:v>已结算</x:v>
      </x:c>
      <x:c r="K2225" t="str">
        <x:v>2-1</x:v>
      </x:c>
      <x:c r="L2225" t="str">
        <x:v>赢</x:v>
      </x:c>
      <x:c r="M2225" t="str">
        <x:v>赢</x:v>
      </x:c>
      <x:c r="N2225" t="n">
        <x:v>1</x:v>
      </x:c>
      <x:c r="O2225" t="n">
        <x:v>1</x:v>
      </x:c>
      <x:c r="P2225" t="n">
        <x:f>IF(COUNT(N2225:O2225)=0,"",SUM(N2225:O2225))</x:f>
        <x:v>2</x:v>
      </x:c>
      <x:c r="Q2225"/>
      <x:c r="R2225" t="str">
        <x:v>FT 2-1（亚特兰大-0.25=赢；大2.5=赢）</x:v>
      </x:c>
    </x:row>
    <x:row r="2226">
      <x:c r="A2226" t="str">
        <x:f>IF(B2226="","",TEXT(B2226,"yyyy-mm-dd")&amp;"|"&amp;D2226&amp;"|"&amp;E2226)</x:f>
        <x:v>2026-02-22|诺丁汉森林（Nottingham Forest）|利物浦（Liverpool）</x:v>
      </x:c>
      <x:c r="B2226" s="39" t="n">
        <x:v>46075.916666666664</x:v>
      </x:c>
      <x:c r="C2226" t="str">
        <x:v>英格兰超级联赛（Premier League）</x:v>
      </x:c>
      <x:c r="D2226" t="str">
        <x:v>诺丁汉森林（Nottingham Forest）</x:v>
      </x:c>
      <x:c r="E2226" t="str">
        <x:v>利物浦（Liverpool）</x:v>
      </x:c>
      <x:c r="F2226" t="str">
        <x:v>利物浦 -0.5（让半球）@1.88~1.92</x:v>
      </x:c>
      <x:c r="G2226" t="str">
        <x:v>小 2.5/3（2.75）@1.90~1.98</x:v>
      </x:c>
      <x:c r="H2226" t="str">
        <x:v>稳健：小 2.5 @2.05~2.15；或 利物浦 0（平手/DNB）若≥1.70仅串关｜进取：BTTS 否 @2.00~2.15；或 比分 0-1/0-2（小注）</x:v>
      </x:c>
      <x:c r="I2226" t="n">
        <x:v>46075.92283564815</x:v>
      </x:c>
      <x:c r="J2226" t="str">
        <x:v>已结算</x:v>
      </x:c>
      <x:c r="K2226" t="str">
        <x:v>0-1</x:v>
      </x:c>
      <x:c r="L2226" t="str">
        <x:v>赢</x:v>
      </x:c>
      <x:c r="M2226" t="str">
        <x:v>赢</x:v>
      </x:c>
      <x:c r="N2226" t="n">
        <x:v>1</x:v>
      </x:c>
      <x:c r="O2226" t="n">
        <x:v>1</x:v>
      </x:c>
      <x:c r="P2226" t="n">
        <x:f>IF(COUNT(N2226:O2226)=0,"",SUM(N2226:O2226))</x:f>
        <x:v>2</x:v>
      </x:c>
      <x:c r="Q2226" t="str">
        <x:v>SofaScore</x:v>
      </x:c>
      <x:c r="R2226" t="str">
        <x:v>校正赛果：诺丁汉森林（Nottingham Forest） 0-1 利物浦（Liverpool）；让球：利物浦 -0.5 -&gt; 赢（1）；大小：小2.75 -&gt; 赢（1）；来源：SofaScore。</x:v>
      </x:c>
    </x:row>
    <x:row r="2227">
      <x:c r="A2227" t="str">
        <x:f>IF(B2227="","",TEXT(B2227,"yyyy-mm-dd")&amp;"|"&amp;D2227&amp;"|"&amp;E2227)</x:f>
        <x:v>2026-02-22|万隆（Persib Bandung）|培斯塔坦格朗（Persita Tangerang）</x:v>
      </x:c>
      <x:c r="B2227" s="39" t="n">
        <x:v>46075.895833333336</x:v>
      </x:c>
      <x:c r="C2227" t="str">
        <x:v>印度尼西亚超级联赛（印尼超/Liga 1 Indonesia）</x:v>
      </x:c>
      <x:c r="D2227" t="str">
        <x:v>万隆（Persib Bandung）</x:v>
      </x:c>
      <x:c r="E2227" t="str">
        <x:v>培斯塔坦格朗（Persita Tangerang）</x:v>
      </x:c>
      <x:c r="F2227" t="str">
        <x:v>万隆 -1/1.5（-1.25）@1.95左右</x:v>
      </x:c>
      <x:c r="G2227" t="str">
        <x:v>小 2.5 @1.81左右</x:v>
      </x:c>
      <x:c r="H2227" t="str">
        <x:v>稳健：小 3.0（3球走水）若≥1.70仅串关/若≥1.80可单｜进取：万隆 -1.5 @2.26左右｜附加：万隆 零封胜（若≥2.10）</x:v>
      </x:c>
      <x:c r="I2227" t="n">
        <x:v>46075.91065972222</x:v>
      </x:c>
      <x:c r="J2227" t="str">
        <x:v>已结算</x:v>
      </x:c>
      <x:c r="K2227" t="str">
        <x:v>1-0</x:v>
      </x:c>
      <x:c r="L2227" t="str">
        <x:v>输半</x:v>
      </x:c>
      <x:c r="M2227" t="str">
        <x:v>赢</x:v>
      </x:c>
      <x:c r="N2227" t="n">
        <x:v>-0.5</x:v>
      </x:c>
      <x:c r="O2227" t="n">
        <x:v>1</x:v>
      </x:c>
      <x:c r="P2227" t="n">
        <x:f>IF(COUNT(N2227:O2227)=0,"",SUM(N2227:O2227))</x:f>
        <x:v>0.5</x:v>
      </x:c>
      <x:c r="Q2227" t="str">
        <x:v>SofaScore</x:v>
      </x:c>
      <x:c r="R2227" t="str">
        <x:v>校正赛果：万隆（Persib Bandung） 1-0 培斯塔坦格朗（Persita Tangerang）；让球：万隆 -1.25 -&gt; 输半（-0.5）；大小：小2.5 -&gt; 赢（1）；来源：SofaScore。</x:v>
      </x:c>
    </x:row>
    <x:row r="2228">
      <x:c r="A2228" t="str">
        <x:f>IF(B2228="","",TEXT(B2228,"yyyy-mm-dd")&amp;"|"&amp;D2228&amp;"|"&amp;E2228)</x:f>
        <x:v>2026-02-22|德瓦联（Dewa United Banten FC）|婆罗洲FC（三马林达）（Borneo FC Samarinda）</x:v>
      </x:c>
      <x:c r="B2228" s="39" t="n">
        <x:v>46075.895833333336</x:v>
      </x:c>
      <x:c r="C2228" t="str">
        <x:v>印度尼西亚超级联赛（印尼超/Liga 1 Indonesia）</x:v>
      </x:c>
      <x:c r="D2228" t="str">
        <x:v>德瓦联（Dewa United Banten FC）</x:v>
      </x:c>
      <x:c r="E2228" t="str">
        <x:v>婆罗洲FC（三马林达）（Borneo FC Samarinda）</x:v>
      </x:c>
      <x:c r="F2228" t="str">
        <x:v>婆罗洲FC 0（平手/DNB）@2.20左右</x:v>
      </x:c>
      <x:c r="G2228" t="str">
        <x:v>小 2.5 @2.05~2.10（Pinnacle区间）</x:v>
      </x:c>
      <x:c r="H2228" t="str">
        <x:v>稳健：小 3.0（3球走水）若≥1.75仅串关/若≥1.85可单｜进取：婆罗洲FC +0/0.5（+0.25）若≥1.90再考虑｜附加：BTTS 否 @2.07~2.15</x:v>
      </x:c>
      <x:c r="I2228" t="n">
        <x:v>46075.89949074074</x:v>
      </x:c>
      <x:c r="J2228" t="str">
        <x:v>已结算</x:v>
      </x:c>
      <x:c r="K2228" t="str">
        <x:v>2-1</x:v>
      </x:c>
      <x:c r="L2228" t="str">
        <x:v>输</x:v>
      </x:c>
      <x:c r="M2228" t="str">
        <x:v>输</x:v>
      </x:c>
      <x:c r="N2228" t="n">
        <x:v>-1</x:v>
      </x:c>
      <x:c r="O2228" t="n">
        <x:v>-1</x:v>
      </x:c>
      <x:c r="P2228" t="n">
        <x:f>IF(COUNT(N2228:O2228)=0,"",SUM(N2228:O2228))</x:f>
        <x:v>-2</x:v>
      </x:c>
      <x:c r="Q2228"/>
      <x:c r="R2228" t="str">
        <x:v>FT 2-1（婆罗洲DNB=输；小2.5=输）</x:v>
      </x:c>
    </x:row>
    <x:row r="2229">
      <x:c r="A2229" t="str">
        <x:f>IF(B2229="","",TEXT(B2229,"yyyy-mm-dd")&amp;"|"&amp;D2229&amp;"|"&amp;E2229)</x:f>
        <x:v>2026-02-22|汉诺威96（Hannover 96）|德累斯顿迪纳摩（Dynamo Dresden）</x:v>
      </x:c>
      <x:c r="B2229" s="39" t="n">
        <x:v>46075.854166666664</x:v>
      </x:c>
      <x:c r="C2229" t="str">
        <x:v>德国乙级联赛（2. Bundesliga）</x:v>
      </x:c>
      <x:c r="D2229" t="str">
        <x:v>汉诺威96（Hannover 96）</x:v>
      </x:c>
      <x:c r="E2229" t="str">
        <x:v>德累斯顿迪纳摩（Dynamo Dresden）</x:v>
      </x:c>
      <x:c r="F2229" t="str">
        <x:v>汉诺威96 -1/1.5（-1.25）@1.95左右（-105）</x:v>
      </x:c>
      <x:c r="G2229" t="str">
        <x:v>大 3/3.5（3.25）@2.08左右（+108）</x:v>
      </x:c>
      <x:c r="H2229" t="str">
        <x:v>稳健：汉诺威96 -1（赢1走水）若≥1.80；或 大3.0（3球走水）若≥1.85｜进取：汉诺威96 -1.5 若≥2.15｜对冲：BTTS 否 @2.16左右（+116）</x:v>
      </x:c>
      <x:c r="I2229" t="n">
        <x:v>46075.84405092592</x:v>
      </x:c>
      <x:c r="J2229" t="str">
        <x:v>已结算</x:v>
      </x:c>
      <x:c r="K2229" t="str">
        <x:v>0-0</x:v>
      </x:c>
      <x:c r="L2229" t="str">
        <x:v>输</x:v>
      </x:c>
      <x:c r="M2229" t="str">
        <x:v>输</x:v>
      </x:c>
      <x:c r="N2229" t="n">
        <x:v>-1</x:v>
      </x:c>
      <x:c r="O2229" t="n">
        <x:v>-1</x:v>
      </x:c>
      <x:c r="P2229" t="n">
        <x:f>IF(COUNT(N2229:O2229)=0,"",SUM(N2229:O2229))</x:f>
        <x:v>-2</x:v>
      </x:c>
      <x:c r="Q2229"/>
      <x:c r="R2229" t="str">
        <x:v>FT 0-0（汉诺威-1.25=输；大3.25=输）</x:v>
      </x:c>
    </x:row>
    <x:row r="2230">
      <x:c r="A2230" t="str">
        <x:f>IF(B2230="","",TEXT(B2230,"yyyy-mm-dd")&amp;"|"&amp;D2230&amp;"|"&amp;E2230)</x:f>
        <x:v>2026-02-22|普鲁士明斯特（Preußen Münster）|凯泽斯劳滕（1. FC Kaiserslautern）</x:v>
      </x:c>
      <x:c r="B2230" s="39" t="n">
        <x:v>46075.854166666664</x:v>
      </x:c>
      <x:c r="C2230" t="str">
        <x:v>德国乙级联赛（2. Bundesliga）</x:v>
      </x:c>
      <x:c r="D2230" t="str">
        <x:v>普鲁士明斯特（Preußen Münster）</x:v>
      </x:c>
      <x:c r="E2230" t="str">
        <x:v>凯泽斯劳滕（1. FC Kaiserslautern）</x:v>
      </x:c>
      <x:c r="F2230" t="str">
        <x:v>普鲁士明斯特 -0/0.5（-0.25）@2.12（Pinnacle）</x:v>
      </x:c>
      <x:c r="G2230" t="str">
        <x:v>小 2.5 @2.03（Pinnacle）</x:v>
      </x:c>
      <x:c r="H2230" t="str">
        <x:v>稳健：小 3.0（3球走水）若≥1.80；或 普鲁士明斯特 0（平手/DNB）若≥1.80｜进取：普鲁士明斯特 -0.5 若≥2.45；或 平局 @3.30~3.60（小注对冲）｜阅读比赛：先求不败、后半段再提速</x:v>
      </x:c>
      <x:c r="I2230" t="n">
        <x:v>46075.831400462965</x:v>
      </x:c>
      <x:c r="J2230" t="str">
        <x:v>已结算</x:v>
      </x:c>
      <x:c r="K2230" t="str">
        <x:v>2-3</x:v>
      </x:c>
      <x:c r="L2230" t="str">
        <x:v>输</x:v>
      </x:c>
      <x:c r="M2230" t="str">
        <x:v>输</x:v>
      </x:c>
      <x:c r="N2230" t="n">
        <x:v>-1</x:v>
      </x:c>
      <x:c r="O2230" t="n">
        <x:v>-1</x:v>
      </x:c>
      <x:c r="P2230" t="n">
        <x:f>IF(COUNT(N2230:O2230)=0,"",SUM(N2230:O2230))</x:f>
        <x:v>-2</x:v>
      </x:c>
      <x:c r="Q2230"/>
      <x:c r="R2230" t="str">
        <x:v>FT 2-3（明斯特-0.25=输；小2.5=输）</x:v>
      </x:c>
    </x:row>
    <x:row r="2231">
      <x:c r="A2231" t="str">
        <x:f>IF(B2231="","",TEXT(B2231,"yyyy-mm-dd")&amp;"|"&amp;D2231&amp;"|"&amp;E2231)</x:f>
        <x:v>2026-02-22|帕德博恩（SC Paderborn 07）|柏林赫塔（Hertha BSC）</x:v>
      </x:c>
      <x:c r="B2231" s="39" t="n">
        <x:v>46075.854166666664</x:v>
      </x:c>
      <x:c r="C2231" t="str">
        <x:v>德国乙级联赛（2. Bundesliga）</x:v>
      </x:c>
      <x:c r="D2231" t="str">
        <x:v>帕德博恩（SC Paderborn 07）</x:v>
      </x:c>
      <x:c r="E2231" t="str">
        <x:v>柏林赫塔（Hertha BSC）</x:v>
      </x:c>
      <x:c r="F2231" t="str">
        <x:v>柏林赫塔 +0/0.5（+0.25，受让平半）@1.92~1.95</x:v>
      </x:c>
      <x:c r="G2231" t="str">
        <x:v>大 2.5/3（2.75）@1.88~1.92</x:v>
      </x:c>
      <x:c r="H2231" t="str">
        <x:v>稳健：柏林赫塔 +0.5（受半球）若≥1.80；或 柏林赫塔 0（平手/DNB）若≥2.10｜进取：大 3.0（3球走水）若≥1.95；或 平局 @3.30~3.60（小注博中路）</x:v>
      </x:c>
      <x:c r="I2231" t="n">
        <x:v>46075.82555555556</x:v>
      </x:c>
      <x:c r="J2231" t="str">
        <x:v>已结算</x:v>
      </x:c>
      <x:c r="K2231" t="str">
        <x:v>5-2</x:v>
      </x:c>
      <x:c r="L2231" t="str">
        <x:v>输</x:v>
      </x:c>
      <x:c r="M2231" t="str">
        <x:v>赢</x:v>
      </x:c>
      <x:c r="N2231" t="n">
        <x:v>-1</x:v>
      </x:c>
      <x:c r="O2231" t="n">
        <x:v>1</x:v>
      </x:c>
      <x:c r="P2231" t="n">
        <x:f>IF(COUNT(N2231:O2231)=0,"",SUM(N2231:O2231))</x:f>
        <x:v>0</x:v>
      </x:c>
      <x:c r="Q2231"/>
      <x:c r="R2231" t="str">
        <x:v>FT 5-2（赫塔+0.25=输；大2.75=赢）</x:v>
      </x:c>
    </x:row>
    <x:row r="2232">
      <x:c r="A2232" t="str">
        <x:f>IF(B2232="","",TEXT(B2232,"yyyy-mm-dd")&amp;"|"&amp;D2232&amp;"|"&amp;E2232)</x:f>
        <x:v>2026-02-22|谢菲尔德联（Sheffield United）|谢菲尔德星期三（Sheffield Wednesday）</x:v>
      </x:c>
      <x:c r="B2232" s="39" t="n">
        <x:v>46075.833333333336</x:v>
      </x:c>
      <x:c r="C2232" t="str">
        <x:v>英格兰冠军联赛（英冠）</x:v>
      </x:c>
      <x:c r="D2232" t="str">
        <x:v>谢菲尔德联（Sheffield United）</x:v>
      </x:c>
      <x:c r="E2232" t="str">
        <x:v>谢菲尔德星期三（Sheffield Wednesday）</x:v>
      </x:c>
      <x:c r="F2232" t="str">
        <x:v>谢菲尔德联 -2/2.5（-2.25）@1.87~1.92</x:v>
      </x:c>
      <x:c r="G2232" t="str">
        <x:v>大 3/3.5（3.25）@1.85~1.90</x:v>
      </x:c>
      <x:c r="H2232" t="str">
        <x:v>稳健：谢菲尔德联 -2（赢2走水）若≥1.80；或 大3.0 若≥1.80｜进取：谢菲尔德联 -2.5 若≥2.10｜附加思路：谢菲联零封胜（若≥1.95）</x:v>
      </x:c>
      <x:c r="I2232" t="n">
        <x:v>46075.810648148145</x:v>
      </x:c>
      <x:c r="J2232" t="str">
        <x:v>已结算</x:v>
      </x:c>
      <x:c r="K2232" t="str">
        <x:v>2-1</x:v>
      </x:c>
      <x:c r="L2232" t="str">
        <x:v>输</x:v>
      </x:c>
      <x:c r="M2232" t="str">
        <x:v>输半</x:v>
      </x:c>
      <x:c r="N2232" t="n">
        <x:v>-1</x:v>
      </x:c>
      <x:c r="O2232" t="n">
        <x:v>-0.5</x:v>
      </x:c>
      <x:c r="P2232" t="n">
        <x:f>IF(COUNT(N2232:O2232)=0,"",SUM(N2232:O2232))</x:f>
        <x:v>-1.5</x:v>
      </x:c>
      <x:c r="Q2232"/>
      <x:c r="R2232" t="str">
        <x:v>FT 2-1（谢菲联-2.25=输；大3.25=输半）</x:v>
      </x:c>
    </x:row>
    <x:row r="2233">
      <x:c r="A2233" t="str">
        <x:f>IF(B2233="","",TEXT(B2233,"yyyy-mm-dd")&amp;"|"&amp;D2233&amp;"|"&amp;E2233)</x:f>
        <x:v>2026-02-22|开赛利体育（Kayserispor）|安塔利亚体育（Antalyaspor）</x:v>
      </x:c>
      <x:c r="B2233" s="39" t="n">
        <x:v>46075.770833333336</x:v>
      </x:c>
      <x:c r="C2233" t="str">
        <x:v>土耳其超级联赛（土超）</x:v>
      </x:c>
      <x:c r="D2233" t="str">
        <x:v>开赛利体育（Kayserispor）</x:v>
      </x:c>
      <x:c r="E2233" t="str">
        <x:v>安塔利亚体育（Antalyaspor）</x:v>
      </x:c>
      <x:c r="F2233" t="str">
        <x:v>安塔利亚体育 +0/0.5（+0.25，受让平半）@2.05左右</x:v>
      </x:c>
      <x:c r="G2233" t="str">
        <x:v>小 2.5 @2.00左右</x:v>
      </x:c>
      <x:c r="H2233" t="str">
        <x:v>稳健：安塔利亚体育 +0.5（受半球）若≥1.85；进取：BTTS 否 若≥1.85；小注博平局 @3.10~3.30</x:v>
      </x:c>
      <x:c r="I2233" t="n">
        <x:v>46075.80496527778</x:v>
      </x:c>
      <x:c r="J2233" t="str">
        <x:v>已结算</x:v>
      </x:c>
      <x:c r="K2233" t="str">
        <x:v>1-0</x:v>
      </x:c>
      <x:c r="L2233" t="str">
        <x:v>输</x:v>
      </x:c>
      <x:c r="M2233" t="str">
        <x:v>赢</x:v>
      </x:c>
      <x:c r="N2233" t="n">
        <x:v>-1</x:v>
      </x:c>
      <x:c r="O2233" t="n">
        <x:v>1</x:v>
      </x:c>
      <x:c r="P2233" t="n">
        <x:f>IF(COUNT(N2233:O2233)=0,"",SUM(N2233:O2233))</x:f>
        <x:v>0</x:v>
      </x:c>
      <x:c r="Q2233"/>
      <x:c r="R2233" t="str">
        <x:v>FT 1-0（安塔利亚+0.25=输；小2.5=赢）</x:v>
      </x:c>
    </x:row>
    <x:row r="2234">
      <x:c r="A2234" t="str">
        <x:f>IF(B2234="","",TEXT(B2234,"yyyy-mm-dd")&amp;"|"&amp;D2234&amp;"|"&amp;E2234)</x:f>
        <x:v>2026-02-22|纽卡斯尔喷气机（Newcastle Jets）|麦克阿瑟（Macarthur FC）</x:v>
      </x:c>
      <x:c r="B2234" s="39" t="n">
        <x:v>46075.625</x:v>
      </x:c>
      <x:c r="C2234" t="str">
        <x:v>澳大利亚A联赛（A-League Men）</x:v>
      </x:c>
      <x:c r="D2234" t="str">
        <x:v>纽卡斯尔喷气机（Newcastle Jets）</x:v>
      </x:c>
      <x:c r="E2234" t="str">
        <x:v>麦克阿瑟（Macarthur FC）</x:v>
      </x:c>
      <x:c r="F2234" t="str">
        <x:v>纽卡斯尔喷气机 -0.5 @1.88</x:v>
      </x:c>
      <x:c r="G2234" t="str">
        <x:v>大 3.5 @1.80</x:v>
      </x:c>
      <x:c r="H2234" t="str">
        <x:v>可选加仓：半场 纽卡斯尔喷气机 -0.25 @1.97</x:v>
      </x:c>
      <x:c r="I2234" t="n">
        <x:v>46075.651967592596</x:v>
      </x:c>
      <x:c r="J2234" t="str">
        <x:v>已结算</x:v>
      </x:c>
      <x:c r="K2234" t="str">
        <x:v>1-0</x:v>
      </x:c>
      <x:c r="L2234" t="str">
        <x:v>赢</x:v>
      </x:c>
      <x:c r="M2234" t="str">
        <x:v>输</x:v>
      </x:c>
      <x:c r="N2234" t="n">
        <x:v>1</x:v>
      </x:c>
      <x:c r="O2234" t="n">
        <x:v>-1</x:v>
      </x:c>
      <x:c r="P2234" t="n">
        <x:f>IF(COUNT(N2234:O2234)=0,"",SUM(N2234:O2234))</x:f>
        <x:v>0</x:v>
      </x:c>
      <x:c r="Q2234"/>
      <x:c r="R2234" t="str">
        <x:v>FT 1-0（喷气机-0.5=赢；大3.5=输；半场-0.25未知未回填）</x:v>
      </x:c>
    </x:row>
    <x:row r="2235">
      <x:c r="A2235" t="str">
        <x:f>IF(B2235="","",TEXT(B2235,"yyyy-mm-dd")&amp;"|"&amp;D2235&amp;"|"&amp;E2235)</x:f>
        <x:v>2026-02-22|大阪樱花（Cerezo Osaka）|广岛三箭（Sanfrecce Hiroshima）</x:v>
      </x:c>
      <x:c r="B2235" s="39" t="n">
        <x:v>46075.583333333336</x:v>
      </x:c>
      <x:c r="C2235" t="str">
        <x:v>日职联（J1 League）</x:v>
      </x:c>
      <x:c r="D2235" t="str">
        <x:v>大阪樱花（Cerezo Osaka）</x:v>
      </x:c>
      <x:c r="E2235" t="str">
        <x:v>广岛三箭（Sanfrecce Hiroshima）</x:v>
      </x:c>
      <x:c r="F2235" t="str">
        <x:v>大阪樱花 +0.5 @1.88</x:v>
      </x:c>
      <x:c r="G2235" t="str">
        <x:v>小 2.75（水位0.91≈1.91）</x:v>
      </x:c>
      <x:c r="H2235" t="str">
        <x:v>更稳替代：小 2.5 @2.13（若能拿到）；或 大阪樱花 +0.75（水位≥0.85时）</x:v>
      </x:c>
      <x:c r="I2235" t="n">
        <x:v>46075.58940972222</x:v>
      </x:c>
      <x:c r="J2235" t="str">
        <x:v>已结算</x:v>
      </x:c>
      <x:c r="K2235" t="str">
        <x:v>1-2</x:v>
      </x:c>
      <x:c r="L2235" t="str">
        <x:v>输</x:v>
      </x:c>
      <x:c r="M2235" t="str">
        <x:v>输半</x:v>
      </x:c>
      <x:c r="N2235" t="n">
        <x:v>-1</x:v>
      </x:c>
      <x:c r="O2235" t="n">
        <x:v>-0.5</x:v>
      </x:c>
      <x:c r="P2235" t="n">
        <x:f>IF(COUNT(N2235:O2235)=0,"",SUM(N2235:O2235))</x:f>
        <x:v>-1.5</x:v>
      </x:c>
      <x:c r="Q2235"/>
      <x:c r="R2235" t="str">
        <x:v>FT 1-2（大阪樱花+0.5=输；小2.75=输半；更稳小2.5=输）</x:v>
      </x:c>
    </x:row>
    <x:row r="2236">
      <x:c r="A2236" t="str">
        <x:f>IF(B2236="","",TEXT(B2236,"yyyy-mm-dd")&amp;"|"&amp;D2236&amp;"|"&amp;E2236)</x:f>
        <x:v>2026-02-22|中央海岸水手（Central Coast Mariners）|西悉尼流浪者（Western Sydney Wanderers）</x:v>
      </x:c>
      <x:c r="B2236" s="39" t="n">
        <x:v>46075.583333333336</x:v>
      </x:c>
      <x:c r="C2236" t="str">
        <x:v>澳大利亚A联赛（A-League Men）</x:v>
      </x:c>
      <x:c r="D2236" t="str">
        <x:v>中央海岸水手（Central Coast Mariners）</x:v>
      </x:c>
      <x:c r="E2236" t="str">
        <x:v>西悉尼流浪者（Western Sydney Wanderers）</x:v>
      </x:c>
      <x:c r="F2236" t="str">
        <x:v>西悉尼流浪者 -0.75 @1.95</x:v>
      </x:c>
      <x:c r="G2236" t="str">
        <x:v>小 2.5 @2.12</x:v>
      </x:c>
      <x:c r="H2236" t="str">
        <x:v>进取：西悉尼流浪者 -1 @2.25左右（若临场仍≥1.95再考虑）</x:v>
      </x:c>
      <x:c r="I2236" t="n">
        <x:v>46075.57268518519</x:v>
      </x:c>
      <x:c r="J2236" t="str">
        <x:v>已结算</x:v>
      </x:c>
      <x:c r="K2236" t="str">
        <x:v>3-2</x:v>
      </x:c>
      <x:c r="L2236" t="str">
        <x:v>输</x:v>
      </x:c>
      <x:c r="M2236" t="str">
        <x:v>输</x:v>
      </x:c>
      <x:c r="N2236" t="n">
        <x:v>-1</x:v>
      </x:c>
      <x:c r="O2236" t="n">
        <x:v>-1</x:v>
      </x:c>
      <x:c r="P2236" t="n">
        <x:f>IF(COUNT(N2236:O2236)=0,"",SUM(N2236:O2236))</x:f>
        <x:v>-2</x:v>
      </x:c>
      <x:c r="Q2236"/>
      <x:c r="R2236" t="str">
        <x:v>FT 3-2（西悉尼-0.75=输；小2.5=输；进取-1=输）</x:v>
      </x:c>
    </x:row>
    <x:row r="2237">
      <x:c r="A2237" t="str">
        <x:f>IF(B2237="","",TEXT(B2237,"yyyy-mm-dd")&amp;"|"&amp;D2237&amp;"|"&amp;E2237)</x:f>
        <x:v>2026-02-22|京都不死鸟|福冈黄蜂</x:v>
      </x:c>
      <x:c r="B2237" s="39" t="n">
        <x:v>46075.541666666664</x:v>
      </x:c>
      <x:c r="C2237" t="str">
        <x:v>日职联（J1 League）</x:v>
      </x:c>
      <x:c r="D2237" t="str">
        <x:v>京都不死鸟</x:v>
      </x:c>
      <x:c r="E2237" t="str">
        <x:v>福冈黄蜂</x:v>
      </x:c>
      <x:c r="F2237" t="str">
        <x:v>福冈黄蜂 +0.5 @1.98</x:v>
      </x:c>
      <x:c r="G2237" t="str">
        <x:v>小 2.5 @1.91</x:v>
      </x:c>
      <x:c r="H2237" t="str">
        <x:v>博高回报：福冈黄蜂 0（平手/走盘）@2.75；或 平局 @3.20</x:v>
      </x:c>
      <x:c r="I2237" t="n">
        <x:v>46075.56542824074</x:v>
      </x:c>
      <x:c r="J2237" t="str">
        <x:v>已结算</x:v>
      </x:c>
      <x:c r="K2237" t="str">
        <x:v>2-0</x:v>
      </x:c>
      <x:c r="L2237" t="str">
        <x:v>输</x:v>
      </x:c>
      <x:c r="M2237" t="str">
        <x:v>赢</x:v>
      </x:c>
      <x:c r="N2237" t="n">
        <x:v>-1</x:v>
      </x:c>
      <x:c r="O2237" t="n">
        <x:v>1</x:v>
      </x:c>
      <x:c r="P2237" t="n">
        <x:f>IF(COUNT(N2237:O2237)=0,"",SUM(N2237:O2237))</x:f>
        <x:v>0</x:v>
      </x:c>
      <x:c r="Q2237"/>
      <x:c r="R2237" t="str">
        <x:v>FT 2-0（福冈+0.5=输；小2.5=赢；进取福冈0=输）</x:v>
      </x:c>
    </x:row>
    <x:row r="2238">
      <x:c r="A2238" t="str">
        <x:f>IF(B2238="","",TEXT(B2238,"yyyy-mm-dd")&amp;"|"&amp;D2238&amp;"|"&amp;E2238)</x:f>
        <x:v>2026-02-22|水户蜀葵（Mito HollyHock）|千叶市原（JEF United Chiba）</x:v>
      </x:c>
      <x:c r="B2238" s="39" t="n">
        <x:v>46075.541666666664</x:v>
      </x:c>
      <x:c r="C2238" t="str">
        <x:v>日职联（J1 League）</x:v>
      </x:c>
      <x:c r="D2238" t="str">
        <x:v>水户蜀葵（Mito HollyHock）</x:v>
      </x:c>
      <x:c r="E2238" t="str">
        <x:v>千叶市原（JEF United Chiba）</x:v>
      </x:c>
      <x:c r="F2238" t="str">
        <x:v>千叶市原 +0.25（水位1.09）</x:v>
      </x:c>
      <x:c r="G2238" t="str">
        <x:v>小 2.25（水位0.82）</x:v>
      </x:c>
      <x:c r="H2238" t="str">
        <x:v>稳一点可选：千叶市原 0（平手/走盘，水位1.10）</x:v>
      </x:c>
      <x:c r="I2238" t="n">
        <x:v>46075.563263888886</x:v>
      </x:c>
      <x:c r="J2238" t="str">
        <x:v>已结算</x:v>
      </x:c>
      <x:c r="K2238" t="str">
        <x:v>1-1</x:v>
      </x:c>
      <x:c r="L2238" t="str">
        <x:v>赢半</x:v>
      </x:c>
      <x:c r="M2238" t="str">
        <x:v>赢半</x:v>
      </x:c>
      <x:c r="N2238" t="n">
        <x:v>0.5</x:v>
      </x:c>
      <x:c r="O2238" t="n">
        <x:v>0.5</x:v>
      </x:c>
      <x:c r="P2238" t="n">
        <x:f>IF(COUNT(N2238:O2238)=0,"",SUM(N2238:O2238))</x:f>
        <x:v>1</x:v>
      </x:c>
      <x:c r="Q2238"/>
      <x:c r="R2238" t="str">
        <x:v>FT 1-1（千叶+0.25=赢半；小2/2.5=赢半；替代千叶0=走水）</x:v>
      </x:c>
    </x:row>
    <x:row r="2239">
      <x:c r="A2239" t="str">
        <x:f>IF(B2239="","",TEXT(B2239,"yyyy-mm-dd")&amp;"|"&amp;D2239&amp;"|"&amp;E2239)</x:f>
        <x:v>2026-02-22|冈山绿雉（Fagiano Okayama）|大阪钢巴（Gamba Osaka）</x:v>
      </x:c>
      <x:c r="B2239" s="39" t="n">
        <x:v>46075.541666666664</x:v>
      </x:c>
      <x:c r="C2239" t="str">
        <x:v>日职联（J1 League）</x:v>
      </x:c>
      <x:c r="D2239" t="str">
        <x:v>冈山绿雉（Fagiano Okayama）</x:v>
      </x:c>
      <x:c r="E2239" t="str">
        <x:v>大阪钢巴（Gamba Osaka）</x:v>
      </x:c>
      <x:c r="F2239" t="str">
        <x:v>大阪钢巴 -0.25（-0/0.5）@2.05</x:v>
      </x:c>
      <x:c r="G2239" t="str">
        <x:v>小 2.25（2/2.5）@1.95</x:v>
      </x:c>
      <x:c r="H2239" t="str">
        <x:v>平局 @3.30（小注对冲）</x:v>
      </x:c>
      <x:c r="I2239" t="n">
        <x:v>46075.55501157408</x:v>
      </x:c>
      <x:c r="J2239" t="str">
        <x:v>已结算</x:v>
      </x:c>
      <x:c r="K2239" t="str">
        <x:v>1-2</x:v>
      </x:c>
      <x:c r="L2239" t="str">
        <x:v>赢</x:v>
      </x:c>
      <x:c r="M2239" t="str">
        <x:v>输</x:v>
      </x:c>
      <x:c r="N2239" t="n">
        <x:v>1</x:v>
      </x:c>
      <x:c r="O2239" t="n">
        <x:v>-1</x:v>
      </x:c>
      <x:c r="P2239" t="n">
        <x:f>IF(COUNT(N2239:O2239)=0,"",SUM(N2239:O2239))</x:f>
        <x:v>0</x:v>
      </x:c>
      <x:c r="Q2239"/>
      <x:c r="R2239" t="str">
        <x:v>FT 1-2（大阪钢巴-0.25=赢；小2/2.5=输；平局单=输）</x:v>
      </x:c>
    </x:row>
    <x:row r="2240">
      <x:c r="A2240" t="str">
        <x:f>IF(B2240="","",TEXT(B2240,"yyyy-mm-dd")&amp;"|"&amp;D2240&amp;"|"&amp;E2240)</x:f>
        <x:v>2026-02-22|圣地亚哥FC（San Diego FC）|蒙特利尔CF（CF Montréal）</x:v>
      </x:c>
      <x:c r="B2240" s="39" t="n">
        <x:v>46075.479166666664</x:v>
      </x:c>
      <x:c r="C2240" t="str">
        <x:v>美职联（MLS）</x:v>
      </x:c>
      <x:c r="D2240" t="str">
        <x:v>圣地亚哥FC（San Diego FC）</x:v>
      </x:c>
      <x:c r="E2240" t="str">
        <x:v>蒙特利尔CF（CF Montréal）</x:v>
      </x:c>
      <x:c r="F2240" t="str">
        <x:v>蒙特利尔CF +1.25 @1.84</x:v>
      </x:c>
      <x:c r="G2240" t="str">
        <x:v>小 3.0 @2.02</x:v>
      </x:c>
      <x:c r="H2240" t="str">
        <x:v>更稳替代：蒙特利尔CF +1 @2.70（容错更小但回报更高）</x:v>
      </x:c>
      <x:c r="I2240" t="n">
        <x:v>46075.497511574074</x:v>
      </x:c>
      <x:c r="J2240" t="str">
        <x:v>已结算</x:v>
      </x:c>
      <x:c r="K2240" t="str">
        <x:v>5-0</x:v>
      </x:c>
      <x:c r="L2240" t="str">
        <x:v>输</x:v>
      </x:c>
      <x:c r="M2240" t="str">
        <x:v>输</x:v>
      </x:c>
      <x:c r="N2240" t="n">
        <x:v>-1</x:v>
      </x:c>
      <x:c r="O2240" t="n">
        <x:v>-1</x:v>
      </x:c>
      <x:c r="P2240" t="n">
        <x:f>IF(COUNT(N2240:O2240)=0,"",SUM(N2240:O2240))</x:f>
        <x:v>-2</x:v>
      </x:c>
      <x:c r="Q2240"/>
      <x:c r="R2240" t="str">
        <x:v>FT 5-0（蒙特利尔+1.25=输；小3=输；替代+1=输）</x:v>
      </x:c>
    </x:row>
    <x:row r="2241">
      <x:c r="A2241" t="str">
        <x:f>IF(B2241="","",TEXT(B2241,"yyyy-mm-dd")&amp;"|"&amp;D2241&amp;"|"&amp;E2241)</x:f>
        <x:v>2026-02-22|洛杉矶FC（LAFC）|迈阿密国际（Inter Miami）</x:v>
      </x:c>
      <x:c r="B2241" s="39" t="n">
        <x:v>46075.4375</x:v>
      </x:c>
      <x:c r="C2241" t="str">
        <x:v>美职联（MLS）</x:v>
      </x:c>
      <x:c r="D2241" t="str">
        <x:v>洛杉矶FC（LAFC）</x:v>
      </x:c>
      <x:c r="E2241" t="str">
        <x:v>迈阿密国际（Inter Miami）</x:v>
      </x:c>
      <x:c r="F2241" t="str">
        <x:v>迈阿密国际 +0.5 @1.79</x:v>
      </x:c>
      <x:c r="G2241" t="str">
        <x:v>大 3.0 @1.93</x:v>
      </x:c>
      <x:c r="H2241" t="str">
        <x:v>平局 @3.60（小注博）</x:v>
      </x:c>
      <x:c r="I2241" t="n">
        <x:v>46075.44296296296</x:v>
      </x:c>
      <x:c r="J2241" t="str">
        <x:v>已结算</x:v>
      </x:c>
      <x:c r="K2241" t="str">
        <x:v>3-0</x:v>
      </x:c>
      <x:c r="L2241" t="str">
        <x:v>输</x:v>
      </x:c>
      <x:c r="M2241" t="str">
        <x:v>走水</x:v>
      </x:c>
      <x:c r="N2241" t="n">
        <x:v>-1</x:v>
      </x:c>
      <x:c r="O2241" t="n">
        <x:v>0</x:v>
      </x:c>
      <x:c r="P2241" t="n">
        <x:f>IF(COUNT(N2241:O2241)=0,"",SUM(N2241:O2241))</x:f>
        <x:v>-1</x:v>
      </x:c>
      <x:c r="Q2241"/>
      <x:c r="R2241" t="str">
        <x:v>FT 3-0（迈阿密+0.5=输；大3=走水；平局单=输）</x:v>
      </x:c>
    </x:row>
    <x:row r="2242">
      <x:c r="A2242" t="str">
        <x:f>IF(B2242="","",TEXT(B2242,"yyyy-mm-dd")&amp;"|"&amp;D2242&amp;"|"&amp;E2242)</x:f>
        <x:v>2026-02-22|波哥大国际（Internacional de Bogotá/Inter Bogotá）|百万富翁（Millonarios）</x:v>
      </x:c>
      <x:c r="B2242" s="39" t="n">
        <x:v>46075.395833333336</x:v>
      </x:c>
      <x:c r="C2242" t="str">
        <x:v>哥伦比亚甲级联赛（Liga BetPlay DIMAYOR）</x:v>
      </x:c>
      <x:c r="D2242" t="str">
        <x:v>波哥大国际（Internacional de Bogotá/Inter Bogotá）</x:v>
      </x:c>
      <x:c r="E2242" t="str">
        <x:v>百万富翁（Millonarios）</x:v>
      </x:c>
      <x:c r="F2242" t="str">
        <x:v>百万富翁 -0.5 @2.40</x:v>
      </x:c>
      <x:c r="G2242" t="str">
        <x:v>大 2.5 @2.35</x:v>
      </x:c>
      <x:c r="H2242" t="str">
        <x:v>平局 @2.90（小注对冲/中路）</x:v>
      </x:c>
      <x:c r="I2242" t="n">
        <x:v>46075.416284722225</x:v>
      </x:c>
      <x:c r="J2242" t="str">
        <x:v>已结算</x:v>
      </x:c>
      <x:c r="K2242" t="str">
        <x:v>3-2</x:v>
      </x:c>
      <x:c r="L2242" t="str">
        <x:v>输</x:v>
      </x:c>
      <x:c r="M2242" t="str">
        <x:v>赢</x:v>
      </x:c>
      <x:c r="N2242" t="n">
        <x:v>-1</x:v>
      </x:c>
      <x:c r="O2242" t="n">
        <x:v>1</x:v>
      </x:c>
      <x:c r="P2242" t="n">
        <x:f>IF(COUNT(N2242:O2242)=0,"",SUM(N2242:O2242))</x:f>
        <x:v>0</x:v>
      </x:c>
      <x:c r="Q2242"/>
      <x:c r="R2242" t="str">
        <x:v>FT 3-2（百万富翁-0.5=输；大2.5=赢；平局单=输）</x:v>
      </x:c>
    </x:row>
    <x:row r="2243">
      <x:c r="A2243" t="str">
        <x:f>IF(B2243="","",TEXT(B2243,"yyyy-mm-dd")&amp;"|"&amp;D2243&amp;"|"&amp;E2243)</x:f>
        <x:v>2026-02-22|莱昂（León）|桑托斯拉古纳（Santos Laguna）</x:v>
      </x:c>
      <x:c r="B2243" s="39" t="n">
        <x:v>46075.375</x:v>
      </x:c>
      <x:c r="C2243" t="str">
        <x:v>墨西哥超（Liga MX，Clausura）</x:v>
      </x:c>
      <x:c r="D2243" t="str">
        <x:v>莱昂（León）</x:v>
      </x:c>
      <x:c r="E2243" t="str">
        <x:v>桑托斯拉古纳（Santos Laguna）</x:v>
      </x:c>
      <x:c r="F2243" t="str">
        <x:v>莱昂 -0.75（-0.5/-1.0）@1.80</x:v>
      </x:c>
      <x:c r="G2243" t="str">
        <x:v>大 3.0 @1.90</x:v>
      </x:c>
      <x:c r="H2243" t="str">
        <x:v>进取加仓：莱昂 -1 @1.96；或 大 3.25 @2.08</x:v>
      </x:c>
      <x:c r="I2243" t="n">
        <x:v>46075.37018518519</x:v>
      </x:c>
      <x:c r="J2243" t="str">
        <x:v>已结算</x:v>
      </x:c>
      <x:c r="K2243" t="str">
        <x:v>2-1</x:v>
      </x:c>
      <x:c r="L2243" t="str">
        <x:v>赢半</x:v>
      </x:c>
      <x:c r="M2243" t="str">
        <x:v>走水</x:v>
      </x:c>
      <x:c r="N2243" t="n">
        <x:v>0.5</x:v>
      </x:c>
      <x:c r="O2243" t="n">
        <x:v>0</x:v>
      </x:c>
      <x:c r="P2243" t="n">
        <x:f>IF(COUNT(N2243:O2243)=0,"",SUM(N2243:O2243))</x:f>
        <x:v>0.5</x:v>
      </x:c>
      <x:c r="Q2243"/>
      <x:c r="R2243" t="str">
        <x:v>FT 2-1（莱昂-0.75=赢半；大3=走水；进取-1=走水/大3.25=输半）</x:v>
      </x:c>
    </x:row>
    <x:row r="2244">
      <x:c r="A2244" t="str">
        <x:f>IF(B2244="","",TEXT(B2244,"yyyy-mm-dd")&amp;"|"&amp;D2244&amp;"|"&amp;E2244)</x:f>
        <x:v>2026-02-22|科尔多瓦中央（Central Córdoba SdE）|提格雷（Tigre）</x:v>
      </x:c>
      <x:c r="B2244" s="39" t="n">
        <x:v>46075.354166666664</x:v>
      </x:c>
      <x:c r="C2244" t="str">
        <x:v>阿根廷职业联赛（Liga Profesional·Apertura）</x:v>
      </x:c>
      <x:c r="D2244" t="str">
        <x:v>科尔多瓦中央（Central Córdoba SdE）</x:v>
      </x:c>
      <x:c r="E2244" t="str">
        <x:v>提格雷（Tigre）</x:v>
      </x:c>
      <x:c r="F2244" t="str">
        <x:v>提格雷 0（平手/走盘）@1.83</x:v>
      </x:c>
      <x:c r="G2244" t="str">
        <x:v>小 1.5 @1.94</x:v>
      </x:c>
      <x:c r="H2244" t="str">
        <x:v>进取替代：提格雷 -0.25 @2.02</x:v>
      </x:c>
      <x:c r="I2244" t="n">
        <x:v>46075.362858796296</x:v>
      </x:c>
      <x:c r="J2244" t="str">
        <x:v>已结算</x:v>
      </x:c>
      <x:c r="K2244" t="str">
        <x:v>0-0</x:v>
      </x:c>
      <x:c r="L2244" t="str">
        <x:v>走水</x:v>
      </x:c>
      <x:c r="M2244" t="str">
        <x:v>赢</x:v>
      </x:c>
      <x:c r="N2244" t="n">
        <x:v>0</x:v>
      </x:c>
      <x:c r="O2244" t="n">
        <x:v>1</x:v>
      </x:c>
      <x:c r="P2244" t="n">
        <x:f>IF(COUNT(N2244:O2244)=0,"",SUM(N2244:O2244))</x:f>
        <x:v>1</x:v>
      </x:c>
      <x:c r="Q2244"/>
      <x:c r="R2244" t="str">
        <x:v>FT 0-0（提格雷0=走水；小1.5=赢；进取-0.25=输半）</x:v>
      </x:c>
    </x:row>
    <x:row r="2245">
      <x:c r="A2245" t="str">
        <x:f>IF(B2245="","",TEXT(B2245,"yyyy-mm-dd")&amp;"|"&amp;D2245&amp;"|"&amp;E2245)</x:f>
        <x:v>2026-02-22|圣何塞体育（Sporting FC）|普塔雷纳斯（Puntarenas FC）</x:v>
      </x:c>
      <x:c r="B2245" t="n">
        <x:v>46075.333333333336</x:v>
      </x:c>
      <x:c r="C2245" t="str">
        <x:v>哥斯达黎加甲（Primera Division）</x:v>
      </x:c>
      <x:c r="D2245" t="str">
        <x:v>圣何塞体育（Sporting FC）</x:v>
      </x:c>
      <x:c r="E2245" t="str">
        <x:v>普塔雷纳斯（Puntarenas FC）</x:v>
      </x:c>
      <x:c r="F2245" t="str">
        <x:v>普塔雷纳斯 0（平手/走盘）@2.95</x:v>
      </x:c>
      <x:c r="G2245" t="str">
        <x:v>大 2.5 @2.50</x:v>
      </x:c>
      <x:c r="H2245" t="str">
        <x:v>平局 @3.20（小注博中路）</x:v>
      </x:c>
      <x:c r="I2245" t="n">
        <x:v>46075.359618055554</x:v>
      </x:c>
      <x:c r="J2245" t="str">
        <x:v>已结算</x:v>
      </x:c>
      <x:c r="K2245" t="str">
        <x:v>1-2</x:v>
      </x:c>
      <x:c r="L2245" t="str">
        <x:v>赢</x:v>
      </x:c>
      <x:c r="M2245" t="str">
        <x:v>赢</x:v>
      </x:c>
      <x:c r="N2245" t="n">
        <x:v>1</x:v>
      </x:c>
      <x:c r="O2245" t="n">
        <x:v>1</x:v>
      </x:c>
      <x:c r="P2245" t="n">
        <x:f>IF(COUNT(N2245:O2245)=0,"",SUM(N2245:O2245))</x:f>
        <x:v>2</x:v>
      </x:c>
      <x:c r="Q2245"/>
      <x:c r="R2245" t="str">
        <x:v>FT 1-2（普塔雷纳斯0=赢；大2.5=赢；平局单=输）</x:v>
      </x:c>
    </x:row>
    <x:row r="2246">
      <x:c r="A2246" t="str">
        <x:f>IF(B2246="","",TEXT(B2246,"yyyy-mm-dd")&amp;"|"&amp;D2246&amp;"|"&amp;E2246)</x:f>
        <x:v>2026-02-22|国民竞技（Atlético Nacional）|阿利安萨（Alianza FC）</x:v>
      </x:c>
      <x:c r="B2246" t="n">
        <x:v>46075.305555555555</x:v>
      </x:c>
      <x:c r="C2246" t="str">
        <x:v>哥伦比亚甲级联赛（Liga BetPlay DIMAYOR）</x:v>
      </x:c>
      <x:c r="D2246" t="str">
        <x:v>国民竞技（Atlético Nacional）</x:v>
      </x:c>
      <x:c r="E2246" t="str">
        <x:v>阿利安萨（Alianza FC）</x:v>
      </x:c>
      <x:c r="F2246" t="str">
        <x:v>国民竞技 -1.25 @1.85</x:v>
      </x:c>
      <x:c r="G2246" t="str">
        <x:v>大 2.5 @1.82</x:v>
      </x:c>
      <x:c r="H2246" t="str">
        <x:v>加仓思路：国民竞技 胜 &amp; 大2.5 @2.15（偏进取）</x:v>
      </x:c>
      <x:c r="I2246" t="n">
        <x:v>46075.31175925926</x:v>
      </x:c>
      <x:c r="J2246" t="str">
        <x:v>已结算</x:v>
      </x:c>
      <x:c r="K2246" t="str">
        <x:v>3-0</x:v>
      </x:c>
      <x:c r="L2246" t="str">
        <x:v>赢</x:v>
      </x:c>
      <x:c r="M2246" t="str">
        <x:v>赢</x:v>
      </x:c>
      <x:c r="N2246" t="n">
        <x:v>1</x:v>
      </x:c>
      <x:c r="O2246" t="n">
        <x:v>1</x:v>
      </x:c>
      <x:c r="P2246" t="n">
        <x:f>IF(COUNT(N2246:O2246)=0,"",SUM(N2246:O2246))</x:f>
        <x:v>2</x:v>
      </x:c>
      <x:c r="Q2246"/>
      <x:c r="R2246" t="str">
        <x:v>FT 3-0（国民竞技-1.25=赢；大2.5=赢；胜&amp;大2.5=赢）</x:v>
      </x:c>
    </x:row>
    <x:row r="2247">
      <x:c r="A2247" t="str">
        <x:f>IF(B2247="","",TEXT(B2247,"yyyy-mm-dd")&amp;"|"&amp;D2247&amp;"|"&amp;E2247)</x:f>
        <x:v>2026-02-22|阿特拉斯（Atlas）|圣路易斯竞技（Atlético San Luis）</x:v>
      </x:c>
      <x:c r="B2247" t="n">
        <x:v>46075.291666666664</x:v>
      </x:c>
      <x:c r="C2247" t="str">
        <x:v>墨西哥超（Liga MX，Clausura）</x:v>
      </x:c>
      <x:c r="D2247" t="str">
        <x:v>阿特拉斯（Atlas）</x:v>
      </x:c>
      <x:c r="E2247" t="str">
        <x:v>圣路易斯竞技（Atlético San Luis）</x:v>
      </x:c>
      <x:c r="F2247" t="str">
        <x:v>阿特拉斯 -0.25 @2.12</x:v>
      </x:c>
      <x:c r="G2247" t="str">
        <x:v>小 2.5 @1.80</x:v>
      </x:c>
      <x:c r="H2247" t="str">
        <x:v>阿特拉斯 0（平手/走盘）@1.81（更稳替代）</x:v>
      </x:c>
      <x:c r="I2247" t="n">
        <x:v>46075.30101851852</x:v>
      </x:c>
      <x:c r="J2247" t="str">
        <x:v>已结算</x:v>
      </x:c>
      <x:c r="K2247" t="str">
        <x:v>3-2</x:v>
      </x:c>
      <x:c r="L2247" t="str">
        <x:v>赢</x:v>
      </x:c>
      <x:c r="M2247" t="str">
        <x:v>输</x:v>
      </x:c>
      <x:c r="N2247" t="n">
        <x:v>1</x:v>
      </x:c>
      <x:c r="O2247" t="n">
        <x:v>-1</x:v>
      </x:c>
      <x:c r="P2247" t="n">
        <x:f>IF(COUNT(N2247:O2247)=0,"",SUM(N2247:O2247))</x:f>
        <x:v>0</x:v>
      </x:c>
      <x:c r="Q2247"/>
      <x:c r="R2247" t="str">
        <x:v>FT 3-2（阿特拉斯-0.25=赢；小2.5=输；替代阿特拉斯0=赢）</x:v>
      </x:c>
    </x:row>
    <x:row r="2248">
      <x:c r="A2248" t="str">
        <x:f>IF(B2248="","",TEXT(B2248,"yyyy-mm-dd")&amp;"|"&amp;D2248&amp;"|"&amp;E2248)</x:f>
        <x:v>2026-02-22|班菲尔德|纽维尔老男孩</x:v>
      </x:c>
      <x:c r="B2248" t="n">
        <x:v>46075.260416666664</x:v>
      </x:c>
      <x:c r="C2248" t="str">
        <x:v>阿根廷职业联赛（Liga Profesional·Apertura）</x:v>
      </x:c>
      <x:c r="D2248" t="str">
        <x:v>班菲尔德</x:v>
      </x:c>
      <x:c r="E2248" t="str">
        <x:v>纽维尔老男孩</x:v>
      </x:c>
      <x:c r="F2248" t="str">
        <x:v>班菲尔德 -0.25 @2.00</x:v>
      </x:c>
      <x:c r="G2248" t="str">
        <x:v>大 2.5 @2.00</x:v>
      </x:c>
      <x:c r="H2248" t="str">
        <x:v>进取加仓：班菲尔德 -0.5 @1.91</x:v>
      </x:c>
      <x:c r="I2248" t="n">
        <x:v>46075.3046875</x:v>
      </x:c>
      <x:c r="J2248" t="str">
        <x:v>已结算</x:v>
      </x:c>
      <x:c r="K2248" t="str">
        <x:v>3-0</x:v>
      </x:c>
      <x:c r="L2248" t="str">
        <x:v>赢</x:v>
      </x:c>
      <x:c r="M2248" t="str">
        <x:v>赢</x:v>
      </x:c>
      <x:c r="N2248" t="n">
        <x:v>1</x:v>
      </x:c>
      <x:c r="O2248" t="n">
        <x:v>1</x:v>
      </x:c>
      <x:c r="P2248" t="n">
        <x:f>IF(COUNT(N2248:O2248)=0,"",SUM(N2248:O2248))</x:f>
        <x:v>2</x:v>
      </x:c>
      <x:c r="Q2248"/>
      <x:c r="R2248" t="str">
        <x:v>FT 3-0（班菲尔德-0.25=赢；大2.5=赢；进取-0.5=赢）</x:v>
      </x:c>
    </x:row>
    <x:row r="2249">
      <x:c r="A2249" t="str">
        <x:f>IF(B2249="","",TEXT(B2249,"yyyy-mm-dd")&amp;"|"&amp;D2249&amp;"|"&amp;E2249)</x:f>
        <x:v>2026-02-22|利斯特雷（Deportivo Riestra）|飓风（Huracán）</x:v>
      </x:c>
      <x:c r="B2249" t="n">
        <x:v>46075.260416666664</x:v>
      </x:c>
      <x:c r="C2249" t="str">
        <x:v>阿根廷职业联赛（Liga Profesional·Apertura）</x:v>
      </x:c>
      <x:c r="D2249" t="str">
        <x:v>利斯特雷（Deportivo Riestra）</x:v>
      </x:c>
      <x:c r="E2249" t="str">
        <x:v>飓风（Huracán）</x:v>
      </x:c>
      <x:c r="F2249" t="str">
        <x:v>飓风 0（平手/走盘）@2.00</x:v>
      </x:c>
      <x:c r="G2249" t="str">
        <x:v>小 1.5 @1.94</x:v>
      </x:c>
      <x:c r="H2249" t="str">
        <x:v>平局 @2.65（小注博中路）</x:v>
      </x:c>
      <x:c r="I2249" t="n">
        <x:v>46075.29657407408</x:v>
      </x:c>
      <x:c r="J2249" t="str">
        <x:v>已结算</x:v>
      </x:c>
      <x:c r="K2249" t="str">
        <x:v>0-0</x:v>
      </x:c>
      <x:c r="L2249" t="str">
        <x:v>走水</x:v>
      </x:c>
      <x:c r="M2249" t="str">
        <x:v>赢</x:v>
      </x:c>
      <x:c r="N2249" t="n">
        <x:v>0</x:v>
      </x:c>
      <x:c r="O2249" t="n">
        <x:v>1</x:v>
      </x:c>
      <x:c r="P2249" t="n">
        <x:f>IF(COUNT(N2249:O2249)=0,"",SUM(N2249:O2249))</x:f>
        <x:v>1</x:v>
      </x:c>
      <x:c r="Q2249"/>
      <x:c r="R2249" t="str">
        <x:v>FT 0-0（飓风0=走水；小1.5=赢；平局单=赢）</x:v>
      </x:c>
    </x:row>
    <x:row r="2250">
      <x:c r="A2250" t="str">
        <x:f>IF(B2250="","",TEXT(B2250,"yyyy-mm-dd")&amp;"|"&amp;D2250&amp;"|"&amp;E2250)</x:f>
        <x:v>2026-02-22|曼彻斯特城（Manchester City）|纽卡斯尔联（Newcastle United）</x:v>
      </x:c>
      <x:c r="B2250" t="n">
        <x:v>46075.166666666664</x:v>
      </x:c>
      <x:c r="C2250" t="str">
        <x:v>英格兰超级联赛（Premier League）</x:v>
      </x:c>
      <x:c r="D2250" t="str">
        <x:v>曼彻斯特城（Manchester City）</x:v>
      </x:c>
      <x:c r="E2250" t="str">
        <x:v>纽卡斯尔联（Newcastle United）</x:v>
      </x:c>
      <x:c r="F2250" t="str">
        <x:v>曼城 -1/1.5（-1.25）@2.04（Pinnacle）</x:v>
      </x:c>
      <x:c r="G2250" t="str">
        <x:v>小 3/3.5（3.25）@1.99</x:v>
      </x:c>
      <x:c r="H2250" t="str">
        <x:v>进取：曼城 -1.5 @2.26（若仍有）；或 曼城 -1.75 @2.60（高风险）｜比分倾向 2-0 / 3-0 / 3-1</x:v>
      </x:c>
      <x:c r="I2250" t="n">
        <x:v>46075.040821759256</x:v>
      </x:c>
      <x:c r="J2250" t="str">
        <x:v>已结算</x:v>
      </x:c>
      <x:c r="K2250" t="str">
        <x:v>2-1</x:v>
      </x:c>
      <x:c r="L2250" t="str">
        <x:v>输半</x:v>
      </x:c>
      <x:c r="M2250" t="str">
        <x:v>赢半</x:v>
      </x:c>
      <x:c r="N2250" t="n">
        <x:v>-0.5</x:v>
      </x:c>
      <x:c r="O2250" t="n">
        <x:v>0.5</x:v>
      </x:c>
      <x:c r="P2250" t="n">
        <x:f>IF(COUNT(N2250:O2250)=0,"",SUM(N2250:O2250))</x:f>
        <x:v>0</x:v>
      </x:c>
      <x:c r="Q2250"/>
      <x:c r="R2250" t="str">
        <x:v>复核赛果：曼彻斯特城（Manchester City） 2-1 纽卡斯尔联（Newcastle United）。按冻结盘口结算：曼城 -1.25 输半；小3.25 赢半。修正原因：净胜1球时，主让1.25应为输半；此前备注“无法判定/或赢”不正确。</x:v>
      </x:c>
    </x:row>
    <x:row r="2251">
      <x:c r="A2251" t="str">
        <x:f>IF(B2251="","",TEXT(B2251,"yyyy-mm-dd")&amp;"|"&amp;D2251&amp;"|"&amp;E2251)</x:f>
        <x:v>2026-02-22|西汉姆联|伯恩茅斯</x:v>
      </x:c>
      <x:c r="B2251" t="n">
        <x:v>46075.0625</x:v>
      </x:c>
      <x:c r="C2251" t="str">
        <x:v>英格兰超级联赛（Premier League）</x:v>
      </x:c>
      <x:c r="D2251" t="str">
        <x:v>西汉姆联</x:v>
      </x:c>
      <x:c r="E2251" t="str">
        <x:v>伯恩茅斯</x:v>
      </x:c>
      <x:c r="F2251" t="str">
        <x:v>伯恩茅斯 +0.25 @1.80</x:v>
      </x:c>
      <x:c r="G2251" t="str">
        <x:v>小 3.0 @1.95</x:v>
      </x:c>
      <x:c r="H2251" t="str">
        <x:v>伯恩茅斯 0（平手/走盘）@1.95（更稳替代）</x:v>
      </x:c>
      <x:c r="I2251" t="n">
        <x:v>46075.069236111114</x:v>
      </x:c>
      <x:c r="J2251" t="str">
        <x:v>已结算</x:v>
      </x:c>
      <x:c r="K2251" t="str">
        <x:v>0-0</x:v>
      </x:c>
      <x:c r="L2251" t="str">
        <x:v>赢半</x:v>
      </x:c>
      <x:c r="M2251" t="str">
        <x:v>赢</x:v>
      </x:c>
      <x:c r="N2251" t="n">
        <x:v>0.5</x:v>
      </x:c>
      <x:c r="O2251" t="n">
        <x:v>1</x:v>
      </x:c>
      <x:c r="P2251" t="n">
        <x:f>IF(COUNT(N2251:O2251)=0,"",SUM(N2251:O2251))</x:f>
        <x:v>1.5</x:v>
      </x:c>
      <x:c r="Q2251"/>
      <x:c r="R2251" t="str">
        <x:v>FT 0-0（伯恩茅斯+0.25=赢半；小3=赢）</x:v>
      </x:c>
    </x:row>
    <x:row r="2252">
      <x:c r="A2252" t="str">
        <x:f>IF(B2252="","",TEXT(B2252,"yyyy-mm-dd")&amp;"|"&amp;D2252&amp;"|"&amp;E2252)</x:f>
        <x:v>2026-02-22|莱比锡红牛（RB Leipzig）|多特蒙德（Borussia Dortmund）</x:v>
      </x:c>
      <x:c r="B2252" t="n">
        <x:v>46075.0625</x:v>
      </x:c>
      <x:c r="C2252" t="str">
        <x:v>德国甲级联赛（德甲/Bundesliga）</x:v>
      </x:c>
      <x:c r="D2252" t="str">
        <x:v>莱比锡红牛（RB Leipzig）</x:v>
      </x:c>
      <x:c r="E2252" t="str">
        <x:v>多特蒙德（Borussia Dortmund）</x:v>
      </x:c>
      <x:c r="F2252" t="str">
        <x:v>莱比锡红牛 -0/0.5（-0.25，平半）@1.90~1.98</x:v>
      </x:c>
      <x:c r="G2252" t="str">
        <x:v>大 3.5 @2.05~2.20</x:v>
      </x:c>
      <x:c r="H2252" t="str">
        <x:v>稳健：大 3.0（3球走水）若≥1.80；或 BTTS 是（若≥1.60仅串关/若≥1.75可单）；进取：莱比锡 -0.5（若≥2.25再考虑）</x:v>
      </x:c>
      <x:c r="I2252" t="n">
        <x:v>46075.02762731481</x:v>
      </x:c>
      <x:c r="J2252" t="str">
        <x:v>已结算</x:v>
      </x:c>
      <x:c r="K2252" t="str">
        <x:v>2-2</x:v>
      </x:c>
      <x:c r="L2252" t="str">
        <x:v>输半</x:v>
      </x:c>
      <x:c r="M2252" t="str">
        <x:v>赢</x:v>
      </x:c>
      <x:c r="N2252" t="n">
        <x:v>-0.5</x:v>
      </x:c>
      <x:c r="O2252" t="n">
        <x:v>1</x:v>
      </x:c>
      <x:c r="P2252" t="n">
        <x:f>IF(COUNT(N2252:O2252)=0,"",SUM(N2252:O2252))</x:f>
        <x:v>0.5</x:v>
      </x:c>
      <x:c r="Q2252"/>
      <x:c r="R2252" t="str">
        <x:v>FT 2-2；让：莱比锡-0.25；大3.5</x:v>
      </x:c>
    </x:row>
    <x:row r="2253">
      <x:c r="A2253" t="str">
        <x:f>IF(B2253="","",TEXT(B2253,"yyyy-mm-dd")&amp;"|"&amp;D2253&amp;"|"&amp;E2253)</x:f>
        <x:v>2026-02-22|干亚斯堡（科尼亚体育/Konyaspor）|加拉塔萨雷（Galatasaray）</x:v>
      </x:c>
      <x:c r="B2253" t="n">
        <x:v>46075.041666666664</x:v>
      </x:c>
      <x:c r="C2253" t="str">
        <x:v>土耳其超级联赛（土超）</x:v>
      </x:c>
      <x:c r="D2253" t="str">
        <x:v>干亚斯堡（科尼亚体育/Konyaspor）</x:v>
      </x:c>
      <x:c r="E2253" t="str">
        <x:v>加拉塔萨雷（Galatasaray）</x:v>
      </x:c>
      <x:c r="F2253" t="str">
        <x:v>加拉塔萨雷 -1.5（亚洲让球，参考赔率2.41≈水位1.41）</x:v>
      </x:c>
      <x:c r="G2253" t="str">
        <x:v>小 2.5（全场进球数，参考赔率2.26≈水位1.26）</x:v>
      </x:c>
      <x:c r="H2253" t="str">
        <x:v>可选：双方进球 否（BTTS No，参考赔率约2.00+）</x:v>
      </x:c>
      <x:c r="I2253" t="n">
        <x:v>46075.048159722224</x:v>
      </x:c>
      <x:c r="J2253" t="str">
        <x:v>已结算</x:v>
      </x:c>
      <x:c r="K2253" t="str">
        <x:v>2-0</x:v>
      </x:c>
      <x:c r="L2253" t="str">
        <x:v>输</x:v>
      </x:c>
      <x:c r="M2253" t="str">
        <x:v>赢</x:v>
      </x:c>
      <x:c r="N2253" t="n">
        <x:v>-1</x:v>
      </x:c>
      <x:c r="O2253" t="n">
        <x:v>1</x:v>
      </x:c>
      <x:c r="P2253" t="n">
        <x:f>IF(COUNT(N2253:O2253)=0,"",SUM(N2253:O2253))</x:f>
        <x:v>0</x:v>
      </x:c>
      <x:c r="Q2253"/>
      <x:c r="R2253" t="str">
        <x:v>FT 2-0（加拉塔-1.5=输；小2.5=赢；BTTS否=赢）</x:v>
      </x:c>
    </x:row>
    <x:row r="2254">
      <x:c r="A2254" t="str">
        <x:f>IF(B2254="","",TEXT(B2254,"yyyy-mm-dd")&amp;"|"&amp;D2254&amp;"|"&amp;E2254)</x:f>
        <x:v>2026-02-21|哈茨（Hearts）|福尔柯克（Falkirk）</x:v>
      </x:c>
      <x:c r="B2254" t="n">
        <x:v>46074.958333333336</x:v>
      </x:c>
      <x:c r="C2254" t="str">
        <x:v>苏格兰超级联赛</x:v>
      </x:c>
      <x:c r="D2254" t="str">
        <x:v>哈茨（Hearts）</x:v>
      </x:c>
      <x:c r="E2254" t="str">
        <x:v>福尔柯克（Falkirk）</x:v>
      </x:c>
      <x:c r="F2254" t="str">
        <x:v>福尔柯克 +0.75 @1.97</x:v>
      </x:c>
      <x:c r="G2254" t="str">
        <x:v>小 2.5 @1.90</x:v>
      </x:c>
      <x:c r="H2254" t="str">
        <x:v>对冲思路：若哈茨先入球且节奏提速，可滚球转大 2.5</x:v>
      </x:c>
      <x:c r="I2254" t="n">
        <x:v>46074.959398148145</x:v>
      </x:c>
      <x:c r="J2254" t="str">
        <x:v>已结算</x:v>
      </x:c>
      <x:c r="K2254" t="str">
        <x:v>1-0</x:v>
      </x:c>
      <x:c r="L2254" t="str">
        <x:v>输半</x:v>
      </x:c>
      <x:c r="M2254" t="str">
        <x:v>赢</x:v>
      </x:c>
      <x:c r="N2254" t="n">
        <x:v>-0.5</x:v>
      </x:c>
      <x:c r="O2254" t="n">
        <x:v>1</x:v>
      </x:c>
      <x:c r="P2254" t="n">
        <x:f>IF(COUNT(N2254:O2254)=0,"",SUM(N2254:O2254))</x:f>
        <x:v>0.5</x:v>
      </x:c>
      <x:c r="Q2254"/>
      <x:c r="R2254" t="str">
        <x:v>更正赛果：哈茨 1-0 福尔柯克；让球：福尔柯克+0.75输半；大小：小2.5赢。</x:v>
      </x:c>
    </x:row>
    <x:row r="2255">
      <x:c r="A2255" t="str">
        <x:f>IF(B2255="","",TEXT(B2255,"yyyy-mm-dd")&amp;"|"&amp;D2255&amp;"|"&amp;E2255)</x:f>
        <x:v>2026-02-21|米德尔斯堡|牛津联</x:v>
      </x:c>
      <x:c r="B2255" t="n">
        <x:v>46074.958333333336</x:v>
      </x:c>
      <x:c r="C2255" t="str">
        <x:v>英格兰冠军联赛（英冠）</x:v>
      </x:c>
      <x:c r="D2255" t="str">
        <x:v>米德尔斯堡</x:v>
      </x:c>
      <x:c r="E2255" t="str">
        <x:v>牛津联</x:v>
      </x:c>
      <x:c r="F2255" t="str">
        <x:v>牛津联 +1.25 @1.97</x:v>
      </x:c>
      <x:c r="G2255" t="str">
        <x:v>小 2.5 @2.15</x:v>
      </x:c>
      <x:c r="H2255" t="str">
        <x:v>加仓点：若米堡轮换/锋线缺人，小 2.75（若≥1.90）</x:v>
      </x:c>
      <x:c r="I2255" t="n">
        <x:v>46074.95930555555</x:v>
      </x:c>
      <x:c r="J2255" t="str">
        <x:v>已结算</x:v>
      </x:c>
      <x:c r="K2255" t="str">
        <x:v>0-0</x:v>
      </x:c>
      <x:c r="L2255" t="str">
        <x:v>赢</x:v>
      </x:c>
      <x:c r="M2255" t="str">
        <x:v>赢</x:v>
      </x:c>
      <x:c r="N2255" t="n">
        <x:v>1</x:v>
      </x:c>
      <x:c r="O2255" t="n">
        <x:v>1</x:v>
      </x:c>
      <x:c r="P2255" t="n">
        <x:f>IF(COUNT(N2255:O2255)=0,"",SUM(N2255:O2255))</x:f>
        <x:v>2</x:v>
      </x:c>
      <x:c r="Q2255"/>
      <x:c r="R2255" t="str">
        <x:v>更正赛果：米德尔斯堡 0-0 牛津联；让球：牛津+1.25赢；大小：小2.5赢。</x:v>
      </x:c>
    </x:row>
    <x:row r="2256">
      <x:c r="A2256" t="str">
        <x:f>IF(B2256="","",TEXT(B2256,"yyyy-mm-dd")&amp;"|"&amp;D2256&amp;"|"&amp;E2256)</x:f>
        <x:v>2026-02-21|米尔沃尔|朴茨茅斯</x:v>
      </x:c>
      <x:c r="B2256" t="n">
        <x:v>46074.958333333336</x:v>
      </x:c>
      <x:c r="C2256" t="str">
        <x:v>英格兰冠军联赛（英冠）</x:v>
      </x:c>
      <x:c r="D2256" t="str">
        <x:v>米尔沃尔</x:v>
      </x:c>
      <x:c r="E2256" t="str">
        <x:v>朴茨茅斯</x:v>
      </x:c>
      <x:c r="F2256" t="str">
        <x:v>朴茨茅斯 +0.5 @1.93</x:v>
      </x:c>
      <x:c r="G2256" t="str">
        <x:v>大 2.5 @2.04</x:v>
      </x:c>
      <x:c r="H2256" t="str">
        <x:v>更稳可选：朴茨茅斯 +0.75（若临场≥1.85）</x:v>
      </x:c>
      <x:c r="I2256" t="n">
        <x:v>46074.95923611111</x:v>
      </x:c>
      <x:c r="J2256" t="str">
        <x:v>已结算</x:v>
      </x:c>
      <x:c r="K2256" t="str">
        <x:v>1-3</x:v>
      </x:c>
      <x:c r="L2256" t="str">
        <x:v>赢</x:v>
      </x:c>
      <x:c r="M2256" t="str">
        <x:v>赢</x:v>
      </x:c>
      <x:c r="N2256" t="n">
        <x:v>1</x:v>
      </x:c>
      <x:c r="O2256" t="n">
        <x:v>1</x:v>
      </x:c>
      <x:c r="P2256" t="n">
        <x:f>IF(COUNT(N2256:O2256)=0,"",SUM(N2256:O2256))</x:f>
        <x:v>2</x:v>
      </x:c>
      <x:c r="Q2256"/>
      <x:c r="R2256" t="str">
        <x:v>更正赛果：米尔沃尔 1-3 朴茨茅斯；让球：朴茨茅斯+0.5赢；大小：大2.5赢。</x:v>
      </x:c>
    </x:row>
    <x:row r="2257">
      <x:c r="A2257" t="str">
        <x:f>IF(B2257="","",TEXT(B2257,"yyyy-mm-dd")&amp;"|"&amp;D2257&amp;"|"&amp;E2257)</x:f>
        <x:v>2026-02-21|诺维奇|伯明翰</x:v>
      </x:c>
      <x:c r="B2257" t="n">
        <x:v>46074.958333333336</x:v>
      </x:c>
      <x:c r="C2257" t="str">
        <x:v>英格兰冠军联赛（英冠）</x:v>
      </x:c>
      <x:c r="D2257" t="str">
        <x:v>诺维奇</x:v>
      </x:c>
      <x:c r="E2257" t="str">
        <x:v>伯明翰</x:v>
      </x:c>
      <x:c r="F2257" t="str">
        <x:v>诺维奇 -0.25 @2.20</x:v>
      </x:c>
      <x:c r="G2257" t="str">
        <x:v>小 2.5 @1.93</x:v>
      </x:c>
      <x:c r="H2257" t="str">
        <x:v>加仓思路：若诺维奇首发偏进攻且风大雨大（影响脚下），小球可加到 2.75（若≥1.85）</x:v>
      </x:c>
      <x:c r="I2257" t="n">
        <x:v>46074.95914351852</x:v>
      </x:c>
      <x:c r="J2257" t="str">
        <x:v>已结算</x:v>
      </x:c>
      <x:c r="K2257" t="str">
        <x:v>1-3</x:v>
      </x:c>
      <x:c r="L2257" t="str">
        <x:v>输</x:v>
      </x:c>
      <x:c r="M2257" t="str">
        <x:v>输</x:v>
      </x:c>
      <x:c r="N2257" t="n">
        <x:v>-1</x:v>
      </x:c>
      <x:c r="O2257" t="n">
        <x:v>-1</x:v>
      </x:c>
      <x:c r="P2257" t="n">
        <x:f>IF(COUNT(N2257:O2257)=0,"",SUM(N2257:O2257))</x:f>
        <x:v>-2</x:v>
      </x:c>
      <x:c r="Q2257"/>
      <x:c r="R2257" t="str">
        <x:v>全场比分：诺维奇 1-3 伯明翰；让球：诺维奇-0.25输；大小：小2.5未出。</x:v>
      </x:c>
    </x:row>
    <x:row r="2258">
      <x:c r="A2258" t="str">
        <x:f>IF(B2258="","",TEXT(B2258,"yyyy-mm-dd")&amp;"|"&amp;D2258&amp;"|"&amp;E2258)</x:f>
        <x:v>2026-02-21|沃特福德|德比郡</x:v>
      </x:c>
      <x:c r="B2258" t="n">
        <x:v>46074.958333333336</x:v>
      </x:c>
      <x:c r="C2258" t="str">
        <x:v>英格兰冠军联赛（英冠）</x:v>
      </x:c>
      <x:c r="D2258" t="str">
        <x:v>沃特福德</x:v>
      </x:c>
      <x:c r="E2258" t="str">
        <x:v>德比郡</x:v>
      </x:c>
      <x:c r="F2258" t="str">
        <x:v>德比郡 +0.25 @2.02</x:v>
      </x:c>
      <x:c r="G2258" t="str">
        <x:v>大 2.5 @2.05</x:v>
      </x:c>
      <x:c r="H2258" t="str">
        <x:v>保守可选：德比郡 +0.5 @1.78（若临场升到≥1.80再考虑）</x:v>
      </x:c>
      <x:c r="I2258" t="n">
        <x:v>46074.95903935185</x:v>
      </x:c>
      <x:c r="J2258" t="str">
        <x:v>已结算</x:v>
      </x:c>
      <x:c r="K2258" t="str">
        <x:v>2-0</x:v>
      </x:c>
      <x:c r="L2258" t="str">
        <x:v>输</x:v>
      </x:c>
      <x:c r="M2258" t="str">
        <x:v>输</x:v>
      </x:c>
      <x:c r="N2258" t="n">
        <x:v>-1</x:v>
      </x:c>
      <x:c r="O2258" t="n">
        <x:v>-1</x:v>
      </x:c>
      <x:c r="P2258" t="n">
        <x:f>IF(COUNT(N2258:O2258)=0,"",SUM(N2258:O2258))</x:f>
        <x:v>-2</x:v>
      </x:c>
      <x:c r="Q2258"/>
      <x:c r="R2258" t="str">
        <x:v>更正赛果：沃特福德 2-0 德比郡；让球：德比+0.25输；大小：大2.5未出。</x:v>
      </x:c>
    </x:row>
    <x:row r="2259">
      <x:c r="A2259" t="str">
        <x:f>IF(B2259="","",TEXT(B2259,"yyyy-mm-dd")&amp;"|"&amp;D2259&amp;"|"&amp;E2259)</x:f>
        <x:v>2026-02-21|雷克瑟姆|伊普斯维奇</x:v>
      </x:c>
      <x:c r="B2259" t="n">
        <x:v>46074.958333333336</x:v>
      </x:c>
      <x:c r="C2259" t="str">
        <x:v>英格兰冠军联赛（英冠）</x:v>
      </x:c>
      <x:c r="D2259" t="str">
        <x:v>雷克瑟姆</x:v>
      </x:c>
      <x:c r="E2259" t="str">
        <x:v>伊普斯维奇</x:v>
      </x:c>
      <x:c r="F2259" t="str">
        <x:v>伊普斯维奇 -0.25（1.81）</x:v>
      </x:c>
      <x:c r="G2259" t="str">
        <x:v>大 2.5（2.00）</x:v>
      </x:c>
      <x:c r="H2259" t="str">
        <x:v>可选：雷克瑟姆 +0.25（1.96）小注对冲；或若前15分钟节奏慢→走小球方向（等盘/走地）</x:v>
      </x:c>
      <x:c r="I2259" t="n">
        <x:v>46074.958645833336</x:v>
      </x:c>
      <x:c r="J2259" t="str">
        <x:v>已结算</x:v>
      </x:c>
      <x:c r="K2259" t="str">
        <x:v>5-3</x:v>
      </x:c>
      <x:c r="L2259" t="str">
        <x:v>输</x:v>
      </x:c>
      <x:c r="M2259" t="str">
        <x:v>赢</x:v>
      </x:c>
      <x:c r="N2259" t="n">
        <x:v>-1</x:v>
      </x:c>
      <x:c r="O2259" t="n">
        <x:v>1</x:v>
      </x:c>
      <x:c r="P2259" t="n">
        <x:f>IF(COUNT(N2259:O2259)=0,"",SUM(N2259:O2259))</x:f>
        <x:v>0</x:v>
      </x:c>
      <x:c r="Q2259"/>
      <x:c r="R2259" t="str">
        <x:v>全场比分：雷克瑟姆 5-3 伊普斯维奇；让球：伊普斯维奇-0.25未打出；大小：大2.5打出。</x:v>
      </x:c>
    </x:row>
    <x:row r="2260">
      <x:c r="A2260" t="str">
        <x:f>IF(B2260="","",TEXT(B2260,"yyyy-mm-dd")&amp;"|"&amp;D2260&amp;"|"&amp;E2260)</x:f>
        <x:v>2026-02-21|布伦特福德（Brentford）|布莱顿（Brighton &amp; Hove Albion）</x:v>
      </x:c>
      <x:c r="B2260" t="n">
        <x:v>46074.958333333336</x:v>
      </x:c>
      <x:c r="C2260" t="str">
        <x:v>英格兰超级联赛（Premier League）</x:v>
      </x:c>
      <x:c r="D2260" t="str">
        <x:v>布伦特福德（Brentford）</x:v>
      </x:c>
      <x:c r="E2260" t="str">
        <x:v>布莱顿（Brighton &amp; Hove Albion）</x:v>
      </x:c>
      <x:c r="F2260" t="str">
        <x:v>布伦特福德 -0.5（让半球）@1.90~1.97</x:v>
      </x:c>
      <x:c r="G2260" t="str">
        <x:v>小 2.5 @1.95~2.00</x:v>
      </x:c>
      <x:c r="H2260" t="str">
        <x:v>小注：1X2 主胜 @2.05~2.10；进取：布伦特福德 -0.75（若≥2.10再考虑）｜防守向：布莱顿进球数 小0.5（若≥2.20可小注）</x:v>
      </x:c>
      <x:c r="I2260" t="n">
        <x:v>46074.91550925926</x:v>
      </x:c>
      <x:c r="J2260" t="str">
        <x:v>已结算</x:v>
      </x:c>
      <x:c r="K2260" t="str">
        <x:v>0-2</x:v>
      </x:c>
      <x:c r="L2260" t="str">
        <x:v>输</x:v>
      </x:c>
      <x:c r="M2260" t="str">
        <x:v>赢</x:v>
      </x:c>
      <x:c r="N2260" t="n">
        <x:v>-1</x:v>
      </x:c>
      <x:c r="O2260" t="n">
        <x:v>1</x:v>
      </x:c>
      <x:c r="P2260" t="n">
        <x:f>IF(COUNT(N2260:O2260)=0,"",SUM(N2260:O2260))</x:f>
        <x:v>0</x:v>
      </x:c>
      <x:c r="Q2260"/>
      <x:c r="R2260" t="str">
        <x:v>FT 布伦特福德 0-2 布莱顿；布伦特福德-0.5输；小2.5（总2）赢</x:v>
      </x:c>
    </x:row>
    <x:row r="2261">
      <x:c r="A2261" t="str">
        <x:f>IF(B2261="","",TEXT(B2261,"yyyy-mm-dd")&amp;"|"&amp;D2261&amp;"|"&amp;E2261)</x:f>
        <x:v>2026-02-21|切尔西（Chelsea）|伯恩利（Burnley）</x:v>
      </x:c>
      <x:c r="B2261" t="n">
        <x:v>46074.958333333336</x:v>
      </x:c>
      <x:c r="C2261" t="str">
        <x:v>英格兰超级联赛（Premier League）</x:v>
      </x:c>
      <x:c r="D2261" t="str">
        <x:v>切尔西（Chelsea）</x:v>
      </x:c>
      <x:c r="E2261" t="str">
        <x:v>伯恩利（Burnley）</x:v>
      </x:c>
      <x:c r="F2261" t="str">
        <x:v>切尔西 -2.0（让两球）@1.92~1.98</x:v>
      </x:c>
      <x:c r="G2261" t="str">
        <x:v>大 3.5 @2.05左右</x:v>
      </x:c>
      <x:c r="H2261" t="str">
        <x:v>进取：切尔西 -2/2.5（-2.25）若≥2.05再上；或 切尔西 -2 &amp; 大2.5 串关（仅小注）｜比分倾向 3-0 / 4-0 / 4-1</x:v>
      </x:c>
      <x:c r="I2261" t="n">
        <x:v>46074.91171296296</x:v>
      </x:c>
      <x:c r="J2261" t="str">
        <x:v>已结算</x:v>
      </x:c>
      <x:c r="K2261" t="str">
        <x:v>1-1</x:v>
      </x:c>
      <x:c r="L2261" t="str">
        <x:v>输</x:v>
      </x:c>
      <x:c r="M2261" t="str">
        <x:v>输</x:v>
      </x:c>
      <x:c r="N2261" t="n">
        <x:v>-1</x:v>
      </x:c>
      <x:c r="O2261" t="n">
        <x:v>-1</x:v>
      </x:c>
      <x:c r="P2261" t="n">
        <x:f>IF(COUNT(N2261:O2261)=0,"",SUM(N2261:O2261))</x:f>
        <x:v>-2</x:v>
      </x:c>
      <x:c r="Q2261"/>
      <x:c r="R2261" t="str">
        <x:v>FT 切尔西 1-1 伯恩利；切尔西-2.0输；大3.5（总2）输</x:v>
      </x:c>
    </x:row>
    <x:row r="2262">
      <x:c r="A2262" t="str">
        <x:f>IF(B2262="","",TEXT(B2262,"yyyy-mm-dd")&amp;"|"&amp;D2262&amp;"|"&amp;E2262)</x:f>
        <x:v>2026-02-21|阿斯顿维拉（Aston Villa）|利兹联（Leeds United）</x:v>
      </x:c>
      <x:c r="B2262" t="n">
        <x:v>46074.958333333336</x:v>
      </x:c>
      <x:c r="C2262" t="str">
        <x:v>英格兰超级联赛（Premier League）</x:v>
      </x:c>
      <x:c r="D2262" t="str">
        <x:v>阿斯顿维拉（Aston Villa）</x:v>
      </x:c>
      <x:c r="E2262" t="str">
        <x:v>利兹联（Leeds United）</x:v>
      </x:c>
      <x:c r="F2262" t="str">
        <x:v>阿斯顿维拉 -0.5/-1（-0.75，半一）@2.04左右</x:v>
      </x:c>
      <x:c r="G2262" t="str">
        <x:v>大 2.5 @1.88左右</x:v>
      </x:c>
      <x:c r="H2262" t="str">
        <x:v>保守：阿斯顿维拉 -0.5 @1.85左右；进取：阿斯顿维拉 -1（若≥2.10再上）；或 BTTS 是（若≥1.85）</x:v>
      </x:c>
      <x:c r="I2262" t="n">
        <x:v>46074.90850694444</x:v>
      </x:c>
      <x:c r="J2262" t="str">
        <x:v>已结算</x:v>
      </x:c>
      <x:c r="K2262" t="str">
        <x:v>1-1</x:v>
      </x:c>
      <x:c r="L2262" t="str">
        <x:v>输</x:v>
      </x:c>
      <x:c r="M2262" t="str">
        <x:v>输</x:v>
      </x:c>
      <x:c r="N2262" t="n">
        <x:v>-1</x:v>
      </x:c>
      <x:c r="O2262" t="n">
        <x:v>-1</x:v>
      </x:c>
      <x:c r="P2262" t="n">
        <x:f>IF(COUNT(N2262:O2262)=0,"",SUM(N2262:O2262))</x:f>
        <x:v>-2</x:v>
      </x:c>
      <x:c r="Q2262"/>
      <x:c r="R2262" t="str">
        <x:v>FT 阿斯顿维拉 1-1 利兹联；维拉-0.75输；大2.5（总2）输</x:v>
      </x:c>
    </x:row>
    <x:row r="2263">
      <x:c r="A2263" t="str">
        <x:f>IF(B2263="","",TEXT(B2263,"yyyy-mm-dd")&amp;"|"&amp;D2263&amp;"|"&amp;E2263)</x:f>
        <x:v>2026-02-21|拜仁慕尼黑（Bayern Munich）|法兰克福（Eintracht Frankfurt）</x:v>
      </x:c>
      <x:c r="B2263" t="n">
        <x:v>46074.9375</x:v>
      </x:c>
      <x:c r="C2263" t="str">
        <x:v>德国甲级联赛（德甲/Bundesliga）</x:v>
      </x:c>
      <x:c r="D2263" t="str">
        <x:v>拜仁慕尼黑（Bayern Munich）</x:v>
      </x:c>
      <x:c r="E2263" t="str">
        <x:v>法兰克福（Eintracht Frankfurt）</x:v>
      </x:c>
      <x:c r="F2263" t="str">
        <x:v>拜仁慕尼黑 -2.5（让两球半）@1.93左右</x:v>
      </x:c>
      <x:c r="G2263" t="str">
        <x:v>小 4/4.5（4.25）@2.03左右</x:v>
      </x:c>
      <x:c r="H2263" t="str">
        <x:v>进取：拜仁慕尼黑 -3.0（若≥2.05再上）；或 BTTS 否 @2.00~2.10｜比分倾向3-0/4-0</x:v>
      </x:c>
      <x:c r="I2263" t="n">
        <x:v>46074.944085648145</x:v>
      </x:c>
      <x:c r="J2263" t="str">
        <x:v>已结算</x:v>
      </x:c>
      <x:c r="K2263" t="str">
        <x:v>3-2</x:v>
      </x:c>
      <x:c r="L2263" t="str">
        <x:v>输</x:v>
      </x:c>
      <x:c r="M2263" t="str">
        <x:v>输</x:v>
      </x:c>
      <x:c r="N2263" t="n">
        <x:v>-1</x:v>
      </x:c>
      <x:c r="O2263" t="n">
        <x:v>-1</x:v>
      </x:c>
      <x:c r="P2263" t="n">
        <x:f>IF(COUNT(N2263:O2263)=0,"",SUM(N2263:O2263))</x:f>
        <x:v>-2</x:v>
      </x:c>
      <x:c r="Q2263"/>
      <x:c r="R2263" t="str">
        <x:v>FT 拜仁慕尼黑 3-2 法兰克福；拜仁-2.5输；小4.25（总5）输</x:v>
      </x:c>
    </x:row>
    <x:row r="2264">
      <x:c r="A2264" t="str">
        <x:f>IF(B2264="","",TEXT(B2264,"yyyy-mm-dd")&amp;"|"&amp;D2264&amp;"|"&amp;E2264)</x:f>
        <x:v>2026-02-21|科隆（1. FC 科隆/FC Köln）|霍芬海姆（TSG 1899 Hoffenheim）</x:v>
      </x:c>
      <x:c r="B2264" t="n">
        <x:v>46074.9375</x:v>
      </x:c>
      <x:c r="C2264" t="str">
        <x:v>德国甲级联赛（德甲/Bundesliga）</x:v>
      </x:c>
      <x:c r="D2264" t="str">
        <x:v>科隆（1. FC 科隆/FC Köln）</x:v>
      </x:c>
      <x:c r="E2264" t="str">
        <x:v>霍芬海姆（TSG 1899 Hoffenheim）</x:v>
      </x:c>
      <x:c r="F2264" t="str">
        <x:v>霍芬海姆 -0/0.5（-0.25，平半）@1.80</x:v>
      </x:c>
      <x:c r="G2264" t="str">
        <x:v>大 3.0（3球走水）@2.01</x:v>
      </x:c>
      <x:c r="H2264" t="str">
        <x:v>稳健：霍芬海姆 -0.5（若≥1.95再上）；或 大2.75（若临场≥1.80再上）｜小注：霍芬海姆 胜（1X2）@2.05~2.15</x:v>
      </x:c>
      <x:c r="I2264" t="n">
        <x:v>46074.94159722222</x:v>
      </x:c>
      <x:c r="J2264" t="str">
        <x:v>已结算</x:v>
      </x:c>
      <x:c r="K2264" t="str">
        <x:v>2-2</x:v>
      </x:c>
      <x:c r="L2264" t="str">
        <x:v>输半</x:v>
      </x:c>
      <x:c r="M2264" t="str">
        <x:v>赢</x:v>
      </x:c>
      <x:c r="N2264" t="n">
        <x:v>-0.5</x:v>
      </x:c>
      <x:c r="O2264" t="n">
        <x:v>1</x:v>
      </x:c>
      <x:c r="P2264" t="n">
        <x:f>IF(COUNT(N2264:O2264)=0,"",SUM(N2264:O2264))</x:f>
        <x:v>0.5</x:v>
      </x:c>
      <x:c r="Q2264"/>
      <x:c r="R2264" t="str">
        <x:v>FT 科隆 2-2 霍芬海姆；霍芬海姆-0.25平局=输半；大3.0（总4）赢</x:v>
      </x:c>
    </x:row>
    <x:row r="2265">
      <x:c r="A2265" t="str">
        <x:f>IF(B2265="","",TEXT(B2265,"yyyy-mm-dd")&amp;"|"&amp;D2265&amp;"|"&amp;E2265)</x:f>
        <x:v>2026-02-21|尤文图斯（Juventus）|科莫（Como 1907）</x:v>
      </x:c>
      <x:c r="B2265" t="n">
        <x:v>46074.916666666664</x:v>
      </x:c>
      <x:c r="C2265" t="str">
        <x:v>意大利甲级联赛（Serie A）</x:v>
      </x:c>
      <x:c r="D2265" t="str">
        <x:v>尤文图斯（Juventus）</x:v>
      </x:c>
      <x:c r="E2265" t="str">
        <x:v>科莫（Como 1907）</x:v>
      </x:c>
      <x:c r="F2265" t="str">
        <x:v>科莫 +0/0.5（+0.25，受让平半）@2.02~2.08</x:v>
      </x:c>
      <x:c r="G2265" t="str">
        <x:v>小 2.5 @1.82~1.88</x:v>
      </x:c>
      <x:c r="H2265" t="str">
        <x:v>保守：科莫 +0.5（受半球）若≥1.85；进取：科莫 0（平手/DNB）若≥2.35；或 BTTS 否 @2.00左右｜比分倾向0-0/0-1/1-1</x:v>
      </x:c>
      <x:c r="I2265" t="n">
        <x:v>46074.84113425926</x:v>
      </x:c>
      <x:c r="J2265" t="str">
        <x:v>已结算</x:v>
      </x:c>
      <x:c r="K2265"/>
      <x:c r="L2265" t="str">
        <x:v>赢</x:v>
      </x:c>
      <x:c r="M2265" t="str">
        <x:v>赢</x:v>
      </x:c>
      <x:c r="N2265" t="n">
        <x:v>1</x:v>
      </x:c>
      <x:c r="O2265" t="n">
        <x:v>1</x:v>
      </x:c>
      <x:c r="P2265" t="n">
        <x:f>IF(COUNT(N2265:O2265)=0,"",SUM(N2265:O2265))</x:f>
        <x:v>2</x:v>
      </x:c>
      <x:c r="Q2265"/>
      <x:c r="R2265" t="str">
        <x:v>更正：尤文主场0-2科莫（科莫+0.25=赢；小2.5=赢；BTTS否=赢）</x:v>
      </x:c>
    </x:row>
    <x:row r="2266">
      <x:c r="A2266" t="str">
        <x:f>IF(B2266="","",TEXT(B2266,"yyyy-mm-dd")&amp;"|"&amp;D2266&amp;"|"&amp;E2266)</x:f>
        <x:v>2026-02-21|马都拉联（Madura United）|阿雷马（Arema FC）</x:v>
      </x:c>
      <x:c r="B2266" t="n">
        <x:v>46074.895833333336</x:v>
      </x:c>
      <x:c r="C2266" t="str">
        <x:v>印度尼西亚超级联赛（印尼超/Liga 1 Indonesia）</x:v>
      </x:c>
      <x:c r="D2266" t="str">
        <x:v>马都拉联（Madura United）</x:v>
      </x:c>
      <x:c r="E2266" t="str">
        <x:v>阿雷马（Arema FC）</x:v>
      </x:c>
      <x:c r="F2266" t="str">
        <x:v>阿雷马 0（平手/DNB）@1.82~1.88</x:v>
      </x:c>
      <x:c r="G2266" t="str">
        <x:v>小 2.5 @1.88左右（Pinnacle）</x:v>
      </x:c>
      <x:c r="H2266" t="str">
        <x:v>小注：BTTS 否 @2.00~2.05；进取：阿雷马 -0/0.5（-0.25）若≥2.05再考虑｜比分倾向0-1/1-1/0-2</x:v>
      </x:c>
      <x:c r="I2266" t="n">
        <x:v>46074.88255787037</x:v>
      </x:c>
      <x:c r="J2266" t="str">
        <x:v>已结算</x:v>
      </x:c>
      <x:c r="K2266" t="str">
        <x:v>2-2</x:v>
      </x:c>
      <x:c r="L2266" t="str">
        <x:v>走水</x:v>
      </x:c>
      <x:c r="M2266" t="str">
        <x:v>输</x:v>
      </x:c>
      <x:c r="N2266" t="n">
        <x:v>0</x:v>
      </x:c>
      <x:c r="O2266" t="n">
        <x:v>-1</x:v>
      </x:c>
      <x:c r="P2266" t="n">
        <x:f>IF(COUNT(N2266:O2266)=0,"",SUM(N2266:O2266))</x:f>
        <x:v>-1</x:v>
      </x:c>
      <x:c r="Q2266"/>
      <x:c r="R2266" t="str">
        <x:v>FT 马都拉联 2-2 阿雷马；阿雷马DNB走水；小2.5（总4）输</x:v>
      </x:c>
    </x:row>
    <x:row r="2267">
      <x:c r="A2267" t="str">
        <x:f>IF(B2267="","",TEXT(B2267,"yyyy-mm-dd")&amp;"|"&amp;D2267&amp;"|"&amp;E2267)</x:f>
        <x:v>2026-02-21|杰帕拉（Persijap Jepara）|帕尔斯巴亚（Persebaya Surabaya）</x:v>
      </x:c>
      <x:c r="B2267" t="n">
        <x:v>46074.895833333336</x:v>
      </x:c>
      <x:c r="C2267" t="str">
        <x:v>印度尼西亚超级联赛（印尼超/Liga 1 Indonesia）</x:v>
      </x:c>
      <x:c r="D2267" t="str">
        <x:v>杰帕拉（Persijap Jepara）</x:v>
      </x:c>
      <x:c r="E2267" t="str">
        <x:v>帕尔斯巴亚（Persebaya Surabaya）</x:v>
      </x:c>
      <x:c r="F2267" t="str">
        <x:v>帕尔斯巴亚 0（平手/DNB）@1.90~1.95</x:v>
      </x:c>
      <x:c r="G2267" t="str">
        <x:v>小 2/2.5（2.25）@1.90~1.95</x:v>
      </x:c>
      <x:c r="H2267" t="str">
        <x:v>小注：帕尔斯巴亚 胜（1X2）@2.20~2.35；进取：帕尔斯巴亚 -0/0.5（-0.25）若≥2.15再考虑｜比分倾向0-1/0-2/1-1</x:v>
      </x:c>
      <x:c r="I2267" t="n">
        <x:v>46074.87850694444</x:v>
      </x:c>
      <x:c r="J2267" t="str">
        <x:v>已结算</x:v>
      </x:c>
      <x:c r="K2267" t="str">
        <x:v>3-1</x:v>
      </x:c>
      <x:c r="L2267" t="str">
        <x:v>输</x:v>
      </x:c>
      <x:c r="M2267" t="str">
        <x:v>输</x:v>
      </x:c>
      <x:c r="N2267" t="n">
        <x:v>-1</x:v>
      </x:c>
      <x:c r="O2267" t="n">
        <x:v>-1</x:v>
      </x:c>
      <x:c r="P2267" t="n">
        <x:f>IF(COUNT(N2267:O2267)=0,"",SUM(N2267:O2267))</x:f>
        <x:v>-2</x:v>
      </x:c>
      <x:c r="Q2267"/>
      <x:c r="R2267" t="str">
        <x:v>FT 杰帕拉 3-1 帕尔斯巴亚；帕尔斯巴亚DNB输；小2.25（总4）输</x:v>
      </x:c>
    </x:row>
    <x:row r="2268">
      <x:c r="A2268" t="str">
        <x:f>IF(B2268="","",TEXT(B2268,"yyyy-mm-dd")&amp;"|"&amp;D2268&amp;"|"&amp;E2268)</x:f>
        <x:v>2026-02-21|伯希索罗（Persis Solo）|PSBS巴克伦佛（PSBS Biak Numfor）</x:v>
      </x:c>
      <x:c r="B2268" t="n">
        <x:v>46074.895833333336</x:v>
      </x:c>
      <x:c r="C2268" t="str">
        <x:v>印度尼西亚超级联赛（印尼超/Liga 1 Indonesia）</x:v>
      </x:c>
      <x:c r="D2268" t="str">
        <x:v>伯希索罗（Persis Solo）</x:v>
      </x:c>
      <x:c r="E2268" t="str">
        <x:v>PSBS巴克伦佛（PSBS Biak Numfor）</x:v>
      </x:c>
      <x:c r="F2268" t="str">
        <x:v>伯希索罗 -0.5/-1（-0.75，半一）@2.00左右（Pinnacle参考）</x:v>
      </x:c>
      <x:c r="G2268" t="str">
        <x:v>小 2.5 @2.12</x:v>
      </x:c>
      <x:c r="H2268" t="str">
        <x:v>稳健：伯希索罗 -0.5（若≥1.85再优先）；或 BTTS 否 @2.08｜比分倾向 1-0 / 2-0 / 1-1</x:v>
      </x:c>
      <x:c r="I2268" t="n">
        <x:v>46074.874768518515</x:v>
      </x:c>
      <x:c r="J2268" t="str">
        <x:v>已结算</x:v>
      </x:c>
      <x:c r="K2268" t="str">
        <x:v>1-1</x:v>
      </x:c>
      <x:c r="L2268" t="str">
        <x:v>输</x:v>
      </x:c>
      <x:c r="M2268" t="str">
        <x:v>赢</x:v>
      </x:c>
      <x:c r="N2268" t="n">
        <x:v>-1</x:v>
      </x:c>
      <x:c r="O2268" t="n">
        <x:v>1</x:v>
      </x:c>
      <x:c r="P2268" t="n">
        <x:f>IF(COUNT(N2268:O2268)=0,"",SUM(N2268:O2268))</x:f>
        <x:v>0</x:v>
      </x:c>
      <x:c r="Q2268"/>
      <x:c r="R2268" t="str">
        <x:v>FT 伯希索罗 1-1 PSBS巴克伦佛；伯希索罗-0.75输；小2.5（总2）赢</x:v>
      </x:c>
    </x:row>
    <x:row r="2269">
      <x:c r="A2269" t="str">
        <x:f>IF(B2269="","",TEXT(B2269,"yyyy-mm-dd")&amp;"|"&amp;D2269&amp;"|"&amp;E2269)</x:f>
        <x:v>2026-02-21|皇家社会（Real Sociedad）|皇家奥维耶多（Real Oviedo）</x:v>
      </x:c>
      <x:c r="B2269" t="n">
        <x:v>46074.875</x:v>
      </x:c>
      <x:c r="C2269" t="str">
        <x:v>西甲（LaLiga）</x:v>
      </x:c>
      <x:c r="D2269" t="str">
        <x:v>皇家社会（Real Sociedad）</x:v>
      </x:c>
      <x:c r="E2269" t="str">
        <x:v>皇家奥维耶多（Real Oviedo）</x:v>
      </x:c>
      <x:c r="F2269" t="str">
        <x:v>皇家社会 -1.0（让一球）@1.90~2.05</x:v>
      </x:c>
      <x:c r="G2269" t="str">
        <x:v>小 2.5 @1.90~1.95</x:v>
      </x:c>
      <x:c r="H2269" t="str">
        <x:v>进取：皇家社会 -1/1.5（-1.25）若≥1.90再考虑；或 皇家社会 零封胜（Win to Nil）@2.05+｜保守对冲：奥维耶多 +1.5 若≥1.85｜比分倾向 2-0 / 1-0 / 2-1</x:v>
      </x:c>
      <x:c r="I2269" t="n">
        <x:v>46074.85542824074</x:v>
      </x:c>
      <x:c r="J2269" t="str">
        <x:v>已结算</x:v>
      </x:c>
      <x:c r="K2269" t="str">
        <x:v>3-3</x:v>
      </x:c>
      <x:c r="L2269" t="str">
        <x:v>输</x:v>
      </x:c>
      <x:c r="M2269" t="str">
        <x:v>输</x:v>
      </x:c>
      <x:c r="N2269" t="n">
        <x:v>-1</x:v>
      </x:c>
      <x:c r="O2269" t="n">
        <x:v>-1</x:v>
      </x:c>
      <x:c r="P2269" t="n">
        <x:f>IF(COUNT(N2269:O2269)=0,"",SUM(N2269:O2269))</x:f>
        <x:v>-2</x:v>
      </x:c>
      <x:c r="Q2269"/>
      <x:c r="R2269" t="str">
        <x:v>FT 皇家社会 3-3 皇家奥维耶多；让-1.0输；小2.5输（总6球）</x:v>
      </x:c>
    </x:row>
    <x:row r="2270">
      <x:c r="A2270" t="str">
        <x:f>IF(B2270="","",TEXT(B2270,"yyyy-mm-dd")&amp;"|"&amp;D2270&amp;"|"&amp;E2270)</x:f>
        <x:v>2026-02-21|斯旺西城（Swansea City）|布里斯托尔城（Bristol City）</x:v>
      </x:c>
      <x:c r="B2270" t="n">
        <x:v>46074.854166666664</x:v>
      </x:c>
      <x:c r="C2270" t="str">
        <x:v>英格兰冠军联赛（英冠）</x:v>
      </x:c>
      <x:c r="D2270" t="str">
        <x:v>斯旺西城（Swansea City）</x:v>
      </x:c>
      <x:c r="E2270" t="str">
        <x:v>布里斯托尔城（Bristol City）</x:v>
      </x:c>
      <x:c r="F2270" t="str">
        <x:v>斯旺西城 -0/0.5（-0.25，平半）@1.85~1.92</x:v>
      </x:c>
      <x:c r="G2270" t="str">
        <x:v>小 2.5 @1.83~1.90</x:v>
      </x:c>
      <x:c r="H2270" t="str">
        <x:v>小注：平局（1X2）@3.40~3.55；或 BTTS 否 @2.00~2.15｜进取：斯旺西城 -0.5（若≥2.05再考虑）</x:v>
      </x:c>
      <x:c r="I2270" t="n">
        <x:v>46074.852997685186</x:v>
      </x:c>
      <x:c r="J2270" t="str">
        <x:v>已结算</x:v>
      </x:c>
      <x:c r="K2270" t="str">
        <x:v>1-0</x:v>
      </x:c>
      <x:c r="L2270" t="str">
        <x:v>赢</x:v>
      </x:c>
      <x:c r="M2270" t="str">
        <x:v>赢</x:v>
      </x:c>
      <x:c r="N2270" t="n">
        <x:v>1</x:v>
      </x:c>
      <x:c r="O2270" t="n">
        <x:v>1</x:v>
      </x:c>
      <x:c r="P2270" t="n">
        <x:f>IF(COUNT(N2270:O2270)=0,"",SUM(N2270:O2270))</x:f>
        <x:v>2</x:v>
      </x:c>
      <x:c r="Q2270"/>
      <x:c r="R2270" t="str">
        <x:v>FT 斯旺西城 1-0 布里斯托尔城；斯旺西-0.25赢；小2.5（总1）赢</x:v>
      </x:c>
    </x:row>
    <x:row r="2271">
      <x:c r="A2271" t="str">
        <x:f>IF(B2271="","",TEXT(B2271,"yyyy-mm-dd")&amp;"|"&amp;D2271&amp;"|"&amp;E2271)</x:f>
        <x:v>2026-02-21|斯托克城（Stoke City）|莱斯特城（Leicester City）</x:v>
      </x:c>
      <x:c r="B2271" t="n">
        <x:v>46074.854166666664</x:v>
      </x:c>
      <x:c r="C2271" t="str">
        <x:v>英格兰冠军联赛（英冠）</x:v>
      </x:c>
      <x:c r="D2271" t="str">
        <x:v>斯托克城（Stoke City）</x:v>
      </x:c>
      <x:c r="E2271" t="str">
        <x:v>莱斯特城（Leicester City）</x:v>
      </x:c>
      <x:c r="F2271" t="str">
        <x:v>斯托克城 -0/0.5（-0.25，平半）@1.85~1.95</x:v>
      </x:c>
      <x:c r="G2271" t="str">
        <x:v>小 2.5 @1.83~1.90</x:v>
      </x:c>
      <x:c r="H2271" t="str">
        <x:v>小注：平局（1X2）@3.10~3.30；或 BTTS 否 @1.83~1.90｜进取：斯托克城 -0.5（若≥2.05再考虑）</x:v>
      </x:c>
      <x:c r="I2271" t="n">
        <x:v>46074.8334837963</x:v>
      </x:c>
      <x:c r="J2271" t="str">
        <x:v>已结算</x:v>
      </x:c>
      <x:c r="K2271" t="str">
        <x:v>2-2</x:v>
      </x:c>
      <x:c r="L2271" t="str">
        <x:v>输半</x:v>
      </x:c>
      <x:c r="M2271" t="str">
        <x:v>输</x:v>
      </x:c>
      <x:c r="N2271" t="n">
        <x:v>-0.5</x:v>
      </x:c>
      <x:c r="O2271" t="n">
        <x:v>-1</x:v>
      </x:c>
      <x:c r="P2271" t="n">
        <x:f>IF(COUNT(N2271:O2271)=0,"",SUM(N2271:O2271))</x:f>
        <x:v>-1.5</x:v>
      </x:c>
      <x:c r="Q2271"/>
      <x:c r="R2271" t="str">
        <x:v>FT 斯托克城 2-2 莱斯特城；斯托克-0.25平=输半；小2.5（总4）输</x:v>
      </x:c>
    </x:row>
    <x:row r="2272">
      <x:c r="A2272" t="str">
        <x:f>IF(B2272="","",TEXT(B2272,"yyyy-mm-dd")&amp;"|"&amp;D2272&amp;"|"&amp;E2272)</x:f>
        <x:v>2026-02-21|西布罗姆维奇（West Bromwich Albion）|考文垂（Coventry City）</x:v>
      </x:c>
      <x:c r="B2272" t="n">
        <x:v>46074.854166666664</x:v>
      </x:c>
      <x:c r="C2272" t="str">
        <x:v>英格兰冠军联赛（英冠）</x:v>
      </x:c>
      <x:c r="D2272" t="str">
        <x:v>西布罗姆维奇（West Bromwich Albion）</x:v>
      </x:c>
      <x:c r="E2272" t="str">
        <x:v>考文垂（Coventry City）</x:v>
      </x:c>
      <x:c r="F2272" t="str">
        <x:v>考文垂 -0.5（让半球）@1.90~1.95</x:v>
      </x:c>
      <x:c r="G2272" t="str">
        <x:v>小 2.5 @1.88~1.95</x:v>
      </x:c>
      <x:c r="H2272" t="str">
        <x:v>进取：考文垂 -0.75（若≥2.00再上）；或 BTTS 否 @2.00左右</x:v>
      </x:c>
      <x:c r="I2272" t="n">
        <x:v>46074.823796296296</x:v>
      </x:c>
      <x:c r="J2272" t="str">
        <x:v>已结算</x:v>
      </x:c>
      <x:c r="K2272" t="str">
        <x:v>0-2</x:v>
      </x:c>
      <x:c r="L2272" t="str">
        <x:v>赢</x:v>
      </x:c>
      <x:c r="M2272" t="str">
        <x:v>赢</x:v>
      </x:c>
      <x:c r="N2272" t="n">
        <x:v>1</x:v>
      </x:c>
      <x:c r="O2272" t="n">
        <x:v>1</x:v>
      </x:c>
      <x:c r="P2272" t="n">
        <x:f>IF(COUNT(N2272:O2272)=0,"",SUM(N2272:O2272))</x:f>
        <x:v>2</x:v>
      </x:c>
      <x:c r="Q2272"/>
      <x:c r="R2272" t="str">
        <x:v>FT 西布罗姆维奇 0-2 考文垂；考文垂-0.5赢；小2.5（总2）赢</x:v>
      </x:c>
    </x:row>
    <x:row r="2273">
      <x:c r="A2273" t="str">
        <x:f>IF(B2273="","",TEXT(B2273,"yyyy-mm-dd")&amp;"|"&amp;D2273&amp;"|"&amp;E2273)</x:f>
        <x:v>2026-02-21|赫尔城（Hull City）|女王公园巡游者（QPR/Queens Park Rangers）</x:v>
      </x:c>
      <x:c r="B2273" t="n">
        <x:v>46074.854166666664</x:v>
      </x:c>
      <x:c r="C2273" t="str">
        <x:v>英格兰冠军联赛（英冠）</x:v>
      </x:c>
      <x:c r="D2273" t="str">
        <x:v>赫尔城（Hull City）</x:v>
      </x:c>
      <x:c r="E2273" t="str">
        <x:v>女王公园巡游者（QPR/Queens Park Rangers）</x:v>
      </x:c>
      <x:c r="F2273" t="str">
        <x:v>赫尔城 -0.25（让平/半）2.00</x:v>
      </x:c>
      <x:c r="G2273" t="str">
        <x:v>大 2.5 2.00</x:v>
      </x:c>
      <x:c r="H2273" t="str">
        <x:v>小注：赫尔城 胜（1X2）2.25；或QPR不败+进球（X2&amp;Over1.5）仅串关</x:v>
      </x:c>
      <x:c r="I2273" t="n">
        <x:v>46074.818449074075</x:v>
      </x:c>
      <x:c r="J2273" t="str">
        <x:v>已结算</x:v>
      </x:c>
      <x:c r="K2273" t="str">
        <x:v>1-3</x:v>
      </x:c>
      <x:c r="L2273" t="str">
        <x:v>输</x:v>
      </x:c>
      <x:c r="M2273" t="str">
        <x:v>赢</x:v>
      </x:c>
      <x:c r="N2273" t="n">
        <x:v>-1</x:v>
      </x:c>
      <x:c r="O2273" t="n">
        <x:v>1</x:v>
      </x:c>
      <x:c r="P2273" t="n">
        <x:f>IF(COUNT(N2273:O2273)=0,"",SUM(N2273:O2273))</x:f>
        <x:v>0</x:v>
      </x:c>
      <x:c r="Q2273"/>
      <x:c r="R2273" t="str">
        <x:v>FT 赫尔城 1-3 女王公园巡游者；赫尔城-0.25输；大2.5（总4）赢</x:v>
      </x:c>
    </x:row>
    <x:row r="2274">
      <x:c r="A2274" t="str">
        <x:f>IF(B2274="","",TEXT(B2274,"yyyy-mm-dd")&amp;"|"&amp;D2274&amp;"|"&amp;E2274)</x:f>
        <x:v>2026-02-21|卡尔斯鲁厄（Karlsruher SC）|荷尔施泰因基尔（Holstein Kiel）</x:v>
      </x:c>
      <x:c r="B2274" t="n">
        <x:v>46074.833333333336</x:v>
      </x:c>
      <x:c r="C2274" t="str">
        <x:v>德国乙级联赛（2. Bundesliga）</x:v>
      </x:c>
      <x:c r="D2274" t="str">
        <x:v>卡尔斯鲁厄（Karlsruher SC）</x:v>
      </x:c>
      <x:c r="E2274" t="str">
        <x:v>荷尔施泰因基尔（Holstein Kiel）</x:v>
      </x:c>
      <x:c r="F2274" t="str">
        <x:v>荷尔施泰因基尔 0（平手/DNB）@1.95~2.05</x:v>
      </x:c>
      <x:c r="G2274" t="str">
        <x:v>小 2.5/3.0（2.75）@1.90~1.95</x:v>
      </x:c>
      <x:c r="H2274" t="str">
        <x:v>稳健备选：荷尔施泰因基尔 +0/0.5（+0.25）若≥1.85；或 BTTS 否 @1.90+｜比分倾向 0-1 / 1-1 / 1-2</x:v>
      </x:c>
      <x:c r="I2274" t="n">
        <x:v>46074.836064814815</x:v>
      </x:c>
      <x:c r="J2274" t="str">
        <x:v>已结算</x:v>
      </x:c>
      <x:c r="K2274" t="str">
        <x:v>3-1</x:v>
      </x:c>
      <x:c r="L2274" t="str">
        <x:v>输</x:v>
      </x:c>
      <x:c r="M2274" t="str">
        <x:v>输</x:v>
      </x:c>
      <x:c r="N2274" t="n">
        <x:v>-1</x:v>
      </x:c>
      <x:c r="O2274" t="n">
        <x:v>-1</x:v>
      </x:c>
      <x:c r="P2274" t="n">
        <x:f>IF(COUNT(N2274:O2274)=0,"",SUM(N2274:O2274))</x:f>
        <x:v>-2</x:v>
      </x:c>
      <x:c r="Q2274"/>
      <x:c r="R2274" t="str">
        <x:v>FT 卡尔斯鲁厄 3-1 荷尔施泰因基尔；基尔DNB输；小2.75（总4）输</x:v>
      </x:c>
    </x:row>
    <x:row r="2275">
      <x:c r="A2275" t="str">
        <x:f>IF(B2275="","",TEXT(B2275,"yyyy-mm-dd")&amp;"|"&amp;D2275&amp;"|"&amp;E2275)</x:f>
        <x:v>2026-02-21|墨尔本城（Melbourne City）|墨尔本胜利（Melbourne Victory）</x:v>
      </x:c>
      <x:c r="B2275" t="n">
        <x:v>46074.69097222222</x:v>
      </x:c>
      <x:c r="C2275" t="str">
        <x:v>澳大利亚A联赛（A-League Men）</x:v>
      </x:c>
      <x:c r="D2275" t="str">
        <x:v>墨尔本城（Melbourne City）</x:v>
      </x:c>
      <x:c r="E2275" t="str">
        <x:v>墨尔本胜利（Melbourne Victory）</x:v>
      </x:c>
      <x:c r="F2275" t="str">
        <x:v>墨尔本胜利 +0.25（受让平/半）1.85~1.92</x:v>
      </x:c>
      <x:c r="G2275" t="str">
        <x:v>小 2.5 1.88~1.92</x:v>
      </x:c>
      <x:c r="H2275" t="str">
        <x:v>小注：平局（1X2）≈3.50；或BTTS 否（双方进球 否）≈2.05~2.20</x:v>
      </x:c>
      <x:c r="I2275" t="n">
        <x:v>46074.69527777778</x:v>
      </x:c>
      <x:c r="J2275" t="str">
        <x:v>已结算</x:v>
      </x:c>
      <x:c r="K2275" t="str">
        <x:v>1-3</x:v>
      </x:c>
      <x:c r="L2275" t="str">
        <x:v>赢</x:v>
      </x:c>
      <x:c r="M2275" t="str">
        <x:v>输</x:v>
      </x:c>
      <x:c r="N2275" t="n">
        <x:v>1</x:v>
      </x:c>
      <x:c r="O2275" t="n">
        <x:v>-1</x:v>
      </x:c>
      <x:c r="P2275" t="n">
        <x:f>IF(COUNT(N2275:O2275)=0,"",SUM(N2275:O2275))</x:f>
        <x:v>0</x:v>
      </x:c>
      <x:c r="Q2275"/>
      <x:c r="R2275" t="str">
        <x:v>FT 墨尔本城 1-3 墨尔本胜利；让：胜利+0.25赢；小2.5（总4）输</x:v>
      </x:c>
    </x:row>
    <x:row r="2276">
      <x:c r="A2276" t="str">
        <x:f>IF(B2276="","",TEXT(B2276,"yyyy-mm-dd")&amp;"|"&amp;D2276&amp;"|"&amp;E2276)</x:f>
        <x:v>2026-02-21|洛克达尔伊林登（Rockdale Ilinden）|黑镇市（Blacktown City）</x:v>
      </x:c>
      <x:c r="B2276" t="n">
        <x:v>46074.6875</x:v>
      </x:c>
      <x:c r="C2276" t="str">
        <x:v>澳大利亚 维多利亚州超级联赛1（VPL1）</x:v>
      </x:c>
      <x:c r="D2276" t="str">
        <x:v>洛克达尔伊林登（Rockdale Ilinden）</x:v>
      </x:c>
      <x:c r="E2276" t="str">
        <x:v>黑镇市（Blacktown City）</x:v>
      </x:c>
      <x:c r="F2276" t="str">
        <x:v>洛克达尔伊林登 -0.25（让平/半）1.81</x:v>
      </x:c>
      <x:c r="G2276" t="str">
        <x:v>小 3.5 1.90</x:v>
      </x:c>
      <x:c r="H2276" t="str">
        <x:v>小注：BTTS 否（双方进球 否）≈2.42~2.45；或1X2 平局≈3.75~3.91</x:v>
      </x:c>
      <x:c r="I2276" t="n">
        <x:v>46074.697430555556</x:v>
      </x:c>
      <x:c r="J2276" t="str">
        <x:v>已结算</x:v>
      </x:c>
      <x:c r="K2276" t="str">
        <x:v>3-2</x:v>
      </x:c>
      <x:c r="L2276" t="str">
        <x:v>赢</x:v>
      </x:c>
      <x:c r="M2276" t="str">
        <x:v>输</x:v>
      </x:c>
      <x:c r="N2276" t="n">
        <x:v>1</x:v>
      </x:c>
      <x:c r="O2276" t="n">
        <x:v>-1</x:v>
      </x:c>
      <x:c r="P2276" t="n">
        <x:f>IF(COUNT(N2276:O2276)=0,"",SUM(N2276:O2276))</x:f>
        <x:v>0</x:v>
      </x:c>
      <x:c r="Q2276"/>
      <x:c r="R2276" t="str">
        <x:v>复核赛果：洛克达尔伊林登（Rockdale Ilinden） 3-2 黑镇市（Blacktown City）；让球：洛克达尔伊林登 -0.25=赢；大小：小3.5=输。</x:v>
      </x:c>
    </x:row>
    <x:row r="2277">
      <x:c r="A2277" t="str">
        <x:f>IF(B2277="","",TEXT(B2277,"yyyy-mm-dd")&amp;"|"&amp;D2277&amp;"|"&amp;E2277)</x:f>
        <x:v>2026-02-21|悉尼FC（Sydney FC）|布里斯班狮吼（Brisbane Roar）</x:v>
      </x:c>
      <x:c r="B2277" t="n">
        <x:v>46074.583333333336</x:v>
      </x:c>
      <x:c r="C2277" t="str">
        <x:v>澳大利亚A联赛（A-League Men）</x:v>
      </x:c>
      <x:c r="D2277" t="str">
        <x:v>悉尼FC（Sydney FC）</x:v>
      </x:c>
      <x:c r="E2277" t="str">
        <x:v>布里斯班狮吼（Brisbane Roar）</x:v>
      </x:c>
      <x:c r="F2277" t="str">
        <x:v>悉尼FC -0.75（让半一）1.85</x:v>
      </x:c>
      <x:c r="G2277" t="str">
        <x:v>小 2.5 2.12</x:v>
      </x:c>
      <x:c r="H2277" t="str">
        <x:v>小注：BTTS 否（双方进球 否）2.17；进取：悉尼FC -1（若临场≥2.05再考虑）</x:v>
      </x:c>
      <x:c r="I2277" t="n">
        <x:v>46074.60561342593</x:v>
      </x:c>
      <x:c r="J2277" t="str">
        <x:v>已结算</x:v>
      </x:c>
      <x:c r="K2277" t="str">
        <x:v>1-0</x:v>
      </x:c>
      <x:c r="L2277" t="str">
        <x:v>赢半</x:v>
      </x:c>
      <x:c r="M2277" t="str">
        <x:v>赢</x:v>
      </x:c>
      <x:c r="N2277" t="n">
        <x:v>0.5</x:v>
      </x:c>
      <x:c r="O2277" t="n">
        <x:v>1</x:v>
      </x:c>
      <x:c r="P2277" t="n">
        <x:f>IF(COUNT(N2277:O2277)=0,"",SUM(N2277:O2277))</x:f>
        <x:v>1.5</x:v>
      </x:c>
      <x:c r="Q2277" t="str">
        <x:v>SofaScore</x:v>
      </x:c>
      <x:c r="R2277" t="str">
        <x:v>校正赛果：悉尼FC（Sydney FC） 1-0 布里斯班狮吼（Brisbane Roar）；让球：悉尼FC -0.75 -&gt; 赢半（0.5）；大小：小2.5 -&gt; 赢（1）；来源：SofaScore。</x:v>
      </x:c>
    </x:row>
    <x:row r="2278">
      <x:c r="A2278" t="str">
        <x:f>IF(B2278="","",TEXT(B2278,"yyyy-mm-dd")&amp;"|"&amp;D2278&amp;"|"&amp;E2278)</x:f>
        <x:v>2026-02-21|东京绿茵（Tokyo Verdy）|町田泽维亚（Machida Zelvia）</x:v>
      </x:c>
      <x:c r="B2278" t="n">
        <x:v>46074.54375</x:v>
      </x:c>
      <x:c r="C2278" t="str">
        <x:v>日职联（J1 League）</x:v>
      </x:c>
      <x:c r="D2278" t="str">
        <x:v>东京绿茵（Tokyo Verdy）</x:v>
      </x:c>
      <x:c r="E2278" t="str">
        <x:v>町田泽维亚（Machida Zelvia）</x:v>
      </x:c>
      <x:c r="F2278" t="str">
        <x:v>东京绿茵 +0.25（受让平/半）1.90~1.98</x:v>
      </x:c>
      <x:c r="G2278" t="str">
        <x:v>大 2.0（亚洲盘）1.95~1.98（2球走水）</x:v>
      </x:c>
      <x:c r="H2278" t="str">
        <x:v>小注：平局（1X2）≈3.00；或BTTS 是（若≥1.85）</x:v>
      </x:c>
      <x:c r="I2278" t="n">
        <x:v>46074.555925925924</x:v>
      </x:c>
      <x:c r="J2278" t="str">
        <x:v>已结算</x:v>
      </x:c>
      <x:c r="K2278" t="str">
        <x:v>2-2</x:v>
      </x:c>
      <x:c r="L2278" t="str">
        <x:v>赢半</x:v>
      </x:c>
      <x:c r="M2278" t="str">
        <x:v>赢</x:v>
      </x:c>
      <x:c r="N2278" t="n">
        <x:v>0.5</x:v>
      </x:c>
      <x:c r="O2278" t="n">
        <x:v>1</x:v>
      </x:c>
      <x:c r="P2278" t="n">
        <x:f>IF(COUNT(N2278:O2278)=0,"",SUM(N2278:O2278))</x:f>
        <x:v>1.5</x:v>
      </x:c>
      <x:c r="Q2278" t="str">
        <x:v>SofaScore</x:v>
      </x:c>
      <x:c r="R2278" t="str">
        <x:v>校正赛果：东京绿茵（Tokyo Verdy） 2-2 町田泽维亚（Machida Zelvia）；让球：东京绿茵 +0.25 -&gt; 赢半（0.5）；大小：大2.0 -&gt; 赢（1）；来源：SofaScore。</x:v>
      </x:c>
    </x:row>
    <x:row r="2279">
      <x:c r="A2279" t="str">
        <x:f>IF(B2279="","",TEXT(B2279,"yyyy-mm-dd")&amp;"|"&amp;D2279&amp;"|"&amp;E2279)</x:f>
        <x:v>2026-02-21|SC相模原（SC Sagamihara）|秋田闪电（秋田蓝色闪电/Blaublitz Akita）</x:v>
      </x:c>
      <x:c r="B2279" t="n">
        <x:v>46074.541666666664</x:v>
      </x:c>
      <x:c r="C2279" t="str">
        <x:v>日职 明治安田J2·J3百年构想联赛</x:v>
      </x:c>
      <x:c r="D2279" t="str">
        <x:v>SC相模原（SC Sagamihara）</x:v>
      </x:c>
      <x:c r="E2279" t="str">
        <x:v>秋田闪电（秋田蓝色闪电/Blaublitz Akita）</x:v>
      </x:c>
      <x:c r="F2279" t="str">
        <x:v>秋田闪电 -0.5（让半球）1.85~1.95</x:v>
      </x:c>
      <x:c r="G2279" t="str">
        <x:v>小 2.25 1.95~2.10</x:v>
      </x:c>
      <x:c r="H2279" t="str">
        <x:v>稳健：小2.5 1.80~1.88；小注：秋田闪电 -0.75（若≥2.05再考虑）｜比分倾向0-1/0-2</x:v>
      </x:c>
      <x:c r="I2279" t="n">
        <x:v>46074.5462962963</x:v>
      </x:c>
      <x:c r="J2279" t="str">
        <x:v>已结算</x:v>
      </x:c>
      <x:c r="K2279" t="str">
        <x:v>1-2</x:v>
      </x:c>
      <x:c r="L2279" t="str">
        <x:v>赢</x:v>
      </x:c>
      <x:c r="M2279" t="str">
        <x:v>输</x:v>
      </x:c>
      <x:c r="N2279" t="n">
        <x:v>1</x:v>
      </x:c>
      <x:c r="O2279" t="n">
        <x:v>-1</x:v>
      </x:c>
      <x:c r="P2279" t="n">
        <x:f>IF(COUNT(N2279:O2279)=0,"",SUM(N2279:O2279))</x:f>
        <x:v>0</x:v>
      </x:c>
      <x:c r="Q2279"/>
      <x:c r="R2279" t="str">
        <x:v>FT SC相模原 1-2 秋田闪电；让：秋田-0.5赢；小2.25（总3）输</x:v>
      </x:c>
    </x:row>
    <x:row r="2280">
      <x:c r="A2280" t="str">
        <x:f>IF(B2280="","",TEXT(B2280,"yyyy-mm-dd")&amp;"|"&amp;D2280&amp;"|"&amp;E2280)</x:f>
        <x:v>2026-02-21|惠灵顿凤凰（Wellington Phoenix）|奥克兰FC（Auckland FC）</x:v>
      </x:c>
      <x:c r="B2280" t="n">
        <x:v>46074.5</x:v>
      </x:c>
      <x:c r="C2280" t="str">
        <x:v>澳大利亚A联赛（A-League Men）</x:v>
      </x:c>
      <x:c r="D2280" t="str">
        <x:v>惠灵顿凤凰（Wellington Phoenix）</x:v>
      </x:c>
      <x:c r="E2280" t="str">
        <x:v>奥克兰FC（Auckland FC）</x:v>
      </x:c>
      <x:c r="F2280" t="str">
        <x:v>奥克兰FC -0.5（让半球）1.82~1.90</x:v>
      </x:c>
      <x:c r="G2280" t="str">
        <x:v>小 2.5 2.20</x:v>
      </x:c>
      <x:c r="H2280" t="str">
        <x:v>小注：BTTS 否（双方进球 否）2.20；比分倾向0-1/1-1</x:v>
      </x:c>
      <x:c r="I2280" t="n">
        <x:v>46074.50287037037</x:v>
      </x:c>
      <x:c r="J2280" t="str">
        <x:v>已结算</x:v>
      </x:c>
      <x:c r="K2280" t="str">
        <x:v>0-5</x:v>
      </x:c>
      <x:c r="L2280" t="str">
        <x:v>赢</x:v>
      </x:c>
      <x:c r="M2280" t="str">
        <x:v>输</x:v>
      </x:c>
      <x:c r="N2280" t="n">
        <x:v>1</x:v>
      </x:c>
      <x:c r="O2280" t="n">
        <x:v>-1</x:v>
      </x:c>
      <x:c r="P2280" t="n">
        <x:f>IF(COUNT(N2280:O2280)=0,"",SUM(N2280:O2280))</x:f>
        <x:v>0</x:v>
      </x:c>
      <x:c r="Q2280"/>
      <x:c r="R2280" t="str">
        <x:v>FT 0-5（总5球）；奥克兰-0.5赢；小2.5输</x:v>
      </x:c>
    </x:row>
    <x:row r="2281">
      <x:c r="A2281" t="str">
        <x:f>IF(B2281="","",TEXT(B2281,"yyyy-mm-dd")&amp;"|"&amp;D2281&amp;"|"&amp;E2281)</x:f>
        <x:v>2026-02-21|普布埃拉（Puebla）|墨西哥美洲（Club América）</x:v>
      </x:c>
      <x:c r="B2281" t="n">
        <x:v>46074.4625</x:v>
      </x:c>
      <x:c r="C2281" t="str">
        <x:v>墨西哥超（Liga MX，Clausura）</x:v>
      </x:c>
      <x:c r="D2281" t="str">
        <x:v>普布埃拉（Puebla）</x:v>
      </x:c>
      <x:c r="E2281" t="str">
        <x:v>墨西哥美洲（Club América）</x:v>
      </x:c>
      <x:c r="F2281" t="str">
        <x:v>普布埃拉 +0.75（受让半一）1.83</x:v>
      </x:c>
      <x:c r="G2281" t="str">
        <x:v>大 2.5 2.04</x:v>
      </x:c>
      <x:c r="H2281" t="str">
        <x:v>小注：双方进球 是（BTTS Yes）1.89；或进取：墨西哥美洲 -0.75 1.93（仅小注）</x:v>
      </x:c>
      <x:c r="I2281" t="n">
        <x:v>46074.46665509259</x:v>
      </x:c>
      <x:c r="J2281" t="str">
        <x:v>已结算</x:v>
      </x:c>
      <x:c r="K2281" t="str">
        <x:v>0-4</x:v>
      </x:c>
      <x:c r="L2281" t="str">
        <x:v>输</x:v>
      </x:c>
      <x:c r="M2281" t="str">
        <x:v>赢</x:v>
      </x:c>
      <x:c r="N2281" t="n">
        <x:v>-1</x:v>
      </x:c>
      <x:c r="O2281" t="n">
        <x:v>1</x:v>
      </x:c>
      <x:c r="P2281" t="n">
        <x:f>IF(COUNT(N2281:O2281)=0,"",SUM(N2281:O2281))</x:f>
        <x:v>0</x:v>
      </x:c>
      <x:c r="Q2281" t="str">
        <x:v>SofaScore</x:v>
      </x:c>
      <x:c r="R2281" t="str">
        <x:v>校正赛果：普布埃拉（Puebla） 0-4 墨西哥美洲（Club América）；让球：普布埃拉 +0.75 -&gt; 输（-1）；大小：大2.5 -&gt; 赢（1）；来源：SofaScore。</x:v>
      </x:c>
    </x:row>
    <x:row r="2282">
      <x:c r="A2282" t="str">
        <x:f>IF(B2282="","",TEXT(B2282,"yyyy-mm-dd")&amp;"|"&amp;D2282&amp;"|"&amp;E2282)</x:f>
        <x:v>2026-02-21|佩雷拉（Deportivo Pereira）|柏斯度（Deportivo Pasto）</x:v>
      </x:c>
      <x:c r="B2282" t="n">
        <x:v>46074.395833333336</x:v>
      </x:c>
      <x:c r="C2282" t="str">
        <x:v>哥伦比亚甲级联赛（Liga BetPlay DIMAYOR）</x:v>
      </x:c>
      <x:c r="D2282" t="str">
        <x:v>佩雷拉（Deportivo Pereira）</x:v>
      </x:c>
      <x:c r="E2282" t="str">
        <x:v>柏斯度（Deportivo Pasto）</x:v>
      </x:c>
      <x:c r="F2282" t="str">
        <x:v>柏斯度 0（平手/DNB）2.05（主流接近：1.83~2.05）</x:v>
      </x:c>
      <x:c r="G2282" t="str">
        <x:v>小 2.0（亚洲盘）1.85~1.90（2球走水）</x:v>
      </x:c>
      <x:c r="H2282" t="str">
        <x:v>进取：柏斯度 -0.25 2.20（若仍在2.10+可小注）；或1X2 客胜≈2.70；保守串关：X2≈1.38</x:v>
      </x:c>
      <x:c r="I2282" t="n">
        <x:v>46074.40226851852</x:v>
      </x:c>
      <x:c r="J2282" t="str">
        <x:v>已结算</x:v>
      </x:c>
      <x:c r="K2282" t="str">
        <x:v>2-2</x:v>
      </x:c>
      <x:c r="L2282" t="str">
        <x:v>走水</x:v>
      </x:c>
      <x:c r="M2282" t="str">
        <x:v>输</x:v>
      </x:c>
      <x:c r="N2282" t="n">
        <x:v>0</x:v>
      </x:c>
      <x:c r="O2282" t="n">
        <x:v>-1</x:v>
      </x:c>
      <x:c r="P2282" t="n">
        <x:f>IF(COUNT(N2282:O2282)=0,"",SUM(N2282:O2282))</x:f>
        <x:v>-1</x:v>
      </x:c>
      <x:c r="Q2282"/>
      <x:c r="R2282" t="str">
        <x:v>FT 2-2（总4球）；柏斯度DNB走水；小2.0输</x:v>
      </x:c>
    </x:row>
    <x:row r="2283">
      <x:c r="A2283" t="str">
        <x:f>IF(B2283="","",TEXT(B2283,"yyyy-mm-dd")&amp;"|"&amp;D2283&amp;"|"&amp;E2283)</x:f>
        <x:v>2026-02-21|多拉多斯（锡那罗亚）（Dorados de Sinaloa）|莫雷利亚竞技（Atlético Morelia）</x:v>
      </x:c>
      <x:c r="B2283" t="n">
        <x:v>46074.375</x:v>
      </x:c>
      <x:c r="C2283" t="str">
        <x:v>墨西哥甲级扩展联赛（Liga de Expansión MX）</x:v>
      </x:c>
      <x:c r="D2283" t="str">
        <x:v>多拉多斯（锡那罗亚）（Dorados de Sinaloa）</x:v>
      </x:c>
      <x:c r="E2283" t="str">
        <x:v>莫雷利亚竞技（Atlético Morelia）</x:v>
      </x:c>
      <x:c r="F2283" t="str">
        <x:v>莫雷利亚竞技 -0.5（让半球）1.88</x:v>
      </x:c>
      <x:c r="G2283" t="str">
        <x:v>大 2.5/3.0（2.75）1.90</x:v>
      </x:c>
      <x:c r="H2283" t="str">
        <x:v>小注：1X2客胜≈1.90~1.95；若BTTS 是≥1.85可小注</x:v>
      </x:c>
      <x:c r="I2283" t="n">
        <x:v>46074.399872685186</x:v>
      </x:c>
      <x:c r="J2283" t="str">
        <x:v>已结算</x:v>
      </x:c>
      <x:c r="K2283" t="str">
        <x:v>0-1</x:v>
      </x:c>
      <x:c r="L2283" t="str">
        <x:v>赢</x:v>
      </x:c>
      <x:c r="M2283" t="str">
        <x:v>输</x:v>
      </x:c>
      <x:c r="N2283" t="n">
        <x:v>1</x:v>
      </x:c>
      <x:c r="O2283" t="n">
        <x:v>-1</x:v>
      </x:c>
      <x:c r="P2283" t="n">
        <x:f>IF(COUNT(N2283:O2283)=0,"",SUM(N2283:O2283))</x:f>
        <x:v>0</x:v>
      </x:c>
      <x:c r="Q2283"/>
      <x:c r="R2283" t="str">
        <x:v>FT 0-1（总1球）；莫雷利亚-0.5赢；大2.75输</x:v>
      </x:c>
    </x:row>
    <x:row r="2284">
      <x:c r="A2284" t="str">
        <x:f>IF(B2284="","",TEXT(B2284,"yyyy-mm-dd")&amp;"|"&amp;D2284&amp;"|"&amp;E2284)</x:f>
        <x:v>2026-02-21|老虎大学（Tigres UANL）|帕丘卡（Pachuca）</x:v>
      </x:c>
      <x:c r="B2284" t="n">
        <x:v>46074.375</x:v>
      </x:c>
      <x:c r="C2284" t="str">
        <x:v>墨西哥超（Liga MX，Clausura）</x:v>
      </x:c>
      <x:c r="D2284" t="str">
        <x:v>老虎大学（Tigres UANL）</x:v>
      </x:c>
      <x:c r="E2284" t="str">
        <x:v>帕丘卡（Pachuca）</x:v>
      </x:c>
      <x:c r="F2284" t="str">
        <x:v>帕丘卡 +0.5（受半球）2.35</x:v>
      </x:c>
      <x:c r="G2284" t="str">
        <x:v>小 2.5 1.95</x:v>
      </x:c>
      <x:c r="H2284" t="str">
        <x:v>小注：平局（1X2）4.30；或BTTS 否（若≥1.95再考虑）</x:v>
      </x:c>
      <x:c r="I2284" t="n">
        <x:v>46074.39560185185</x:v>
      </x:c>
      <x:c r="J2284" t="str">
        <x:v>已结算</x:v>
      </x:c>
      <x:c r="K2284" t="str">
        <x:v>2-1</x:v>
      </x:c>
      <x:c r="L2284" t="str">
        <x:v>赢</x:v>
      </x:c>
      <x:c r="M2284" t="str">
        <x:v>输</x:v>
      </x:c>
      <x:c r="N2284" t="n">
        <x:v>1</x:v>
      </x:c>
      <x:c r="O2284" t="n">
        <x:v>-1</x:v>
      </x:c>
      <x:c r="P2284" t="n">
        <x:f>IF(COUNT(N2284:O2284)=0,"",SUM(N2284:O2284))</x:f>
        <x:v>0</x:v>
      </x:c>
      <x:c r="Q2284"/>
      <x:c r="R2284" t="str">
        <x:v>FT 2-1（总3球）；帕丘卡+0.5赢；小2.5输</x:v>
      </x:c>
    </x:row>
    <x:row r="2285">
      <x:c r="A2285" t="str">
        <x:f>IF(B2285="","",TEXT(B2285,"yyyy-mm-dd")&amp;"|"&amp;D2285&amp;"|"&amp;E2285)</x:f>
        <x:v>2026-02-21|拉尼罗斯（Llaneros FC）|麦德林独立（Independiente Medellín）</x:v>
      </x:c>
      <x:c r="B2285" t="n">
        <x:v>46074.305555555555</x:v>
      </x:c>
      <x:c r="C2285" t="str">
        <x:v>哥伦比亚甲级联赛（Liga BetPlay DIMAYOR）</x:v>
      </x:c>
      <x:c r="D2285" t="str">
        <x:v>拉尼罗斯（Llaneros FC）</x:v>
      </x:c>
      <x:c r="E2285" t="str">
        <x:v>麦德林独立（Independiente Medellín）</x:v>
      </x:c>
      <x:c r="F2285" t="str">
        <x:v>麦德林独立 +0.25（受让平/半）1.95~2.00</x:v>
      </x:c>
      <x:c r="G2285" t="str">
        <x:v>小 2.0（亚洲盘）1.90~2.00</x:v>
      </x:c>
      <x:c r="H2285" t="str">
        <x:v>小注：平局（1X2）3.10~3.25；进取：麦德林独立 0（平手/DNB）2.30+（若仍有）</x:v>
      </x:c>
      <x:c r="I2285" t="n">
        <x:v>46074.342627314814</x:v>
      </x:c>
      <x:c r="J2285" t="str">
        <x:v>已结算</x:v>
      </x:c>
      <x:c r="K2285" t="str">
        <x:v>2-2</x:v>
      </x:c>
      <x:c r="L2285" t="str">
        <x:v>赢半</x:v>
      </x:c>
      <x:c r="M2285" t="str">
        <x:v>输</x:v>
      </x:c>
      <x:c r="N2285" t="n">
        <x:v>0.5</x:v>
      </x:c>
      <x:c r="O2285" t="n">
        <x:v>-1</x:v>
      </x:c>
      <x:c r="P2285" t="n">
        <x:f>IF(COUNT(N2285:O2285)=0,"",SUM(N2285:O2285))</x:f>
        <x:v>-0.5</x:v>
      </x:c>
      <x:c r="Q2285" t="str">
        <x:v>SofaScore</x:v>
      </x:c>
      <x:c r="R2285" t="str">
        <x:v>校正赛果：拉尼罗斯（Llaneros FC） 2-2 麦德林独立（Independiente Medellín）；让球：麦德林独立 +0.25 -&gt; 赢半（0.5）；大小：小2.0 -&gt; 输（-1）；来源：SofaScore。</x:v>
      </x:c>
    </x:row>
    <x:row r="2286">
      <x:c r="A2286" t="str">
        <x:f>IF(B2286="","",TEXT(B2286,"yyyy-mm-dd")&amp;"|"&amp;D2286&amp;"|"&amp;E2286)</x:f>
        <x:v>2026-02-21|博卡青年（Boca Juniors）|竞技俱乐部（阿韦亚内达）（Racing Club）</x:v>
      </x:c>
      <x:c r="B2286" t="n">
        <x:v>46074.291666666664</x:v>
      </x:c>
      <x:c r="C2286" t="str">
        <x:v>阿根廷职业联赛（Liga Profesional·Apertura）</x:v>
      </x:c>
      <x:c r="D2286" t="str">
        <x:v>博卡青年（Boca Juniors）</x:v>
      </x:c>
      <x:c r="E2286" t="str">
        <x:v>竞技俱乐部（阿韦亚内达）（Racing Club）</x:v>
      </x:c>
      <x:c r="F2286" t="str">
        <x:v>竞技俱乐部 0（平手/DNB）2.40</x:v>
      </x:c>
      <x:c r="G2286" t="str">
        <x:v>大 2/2.5（2.25）2.20~2.30</x:v>
      </x:c>
      <x:c r="H2286" t="str">
        <x:v>对冲小注：上半场 小0.75 2.05；或总牌数 大5.25 1.86</x:v>
      </x:c>
      <x:c r="I2286" t="n">
        <x:v>46074.30548611111</x:v>
      </x:c>
      <x:c r="J2286" t="str">
        <x:v>已结算</x:v>
      </x:c>
      <x:c r="K2286" t="str">
        <x:v>0-0</x:v>
      </x:c>
      <x:c r="L2286" t="str">
        <x:v>走水</x:v>
      </x:c>
      <x:c r="M2286" t="str">
        <x:v>输</x:v>
      </x:c>
      <x:c r="N2286" t="n">
        <x:v>0</x:v>
      </x:c>
      <x:c r="O2286" t="n">
        <x:v>-1</x:v>
      </x:c>
      <x:c r="P2286" t="n">
        <x:f>IF(COUNT(N2286:O2286)=0,"",SUM(N2286:O2286))</x:f>
        <x:v>-1</x:v>
      </x:c>
      <x:c r="Q2286"/>
      <x:c r="R2286" t="str">
        <x:v>FT 0-0（总0球）；竞技DNB走水；大2.25输</x:v>
      </x:c>
    </x:row>
    <x:row r="2287">
      <x:c r="A2287" t="str">
        <x:f>IF(B2287="","",TEXT(B2287,"yyyy-mm-dd")&amp;"|"&amp;D2287&amp;"|"&amp;E2287)</x:f>
        <x:v>2026-02-21|科尔多瓦学院（Instituto de Córdoba）|图库曼竞技（Atlético Tucumán）</x:v>
      </x:c>
      <x:c r="B2287" t="n">
        <x:v>46074.291666666664</x:v>
      </x:c>
      <x:c r="C2287" t="str">
        <x:v>阿根廷职业联赛（Liga Profesional·Apertura）</x:v>
      </x:c>
      <x:c r="D2287" t="str">
        <x:v>科尔多瓦学院（Instituto de Córdoba）</x:v>
      </x:c>
      <x:c r="E2287" t="str">
        <x:v>图库曼竞技（Atlético Tucumán）</x:v>
      </x:c>
      <x:c r="F2287" t="str">
        <x:v>图库曼竞技 +0.5（受让半球）1.85</x:v>
      </x:c>
      <x:c r="G2287" t="str">
        <x:v>小 2.0（亚洲盘）2.04~2.08</x:v>
      </x:c>
      <x:c r="H2287" t="str">
        <x:v>小注：平局（1X2）≈3.05~3.15；进取：图库曼竞技 +0.25 2.11（若临场仍≥2.05可小注）；或半场 小0.75 2.07~2.08</x:v>
      </x:c>
      <x:c r="I2287" t="n">
        <x:v>46074.28920138889</x:v>
      </x:c>
      <x:c r="J2287" t="str">
        <x:v>已结算</x:v>
      </x:c>
      <x:c r="K2287" t="str">
        <x:v>2-1</x:v>
      </x:c>
      <x:c r="L2287" t="str">
        <x:v>输</x:v>
      </x:c>
      <x:c r="M2287" t="str">
        <x:v>输</x:v>
      </x:c>
      <x:c r="N2287" t="n">
        <x:v>-1</x:v>
      </x:c>
      <x:c r="O2287" t="n">
        <x:v>-1</x:v>
      </x:c>
      <x:c r="P2287" t="n">
        <x:f>IF(COUNT(N2287:O2287)=0,"",SUM(N2287:O2287))</x:f>
        <x:v>-2</x:v>
      </x:c>
      <x:c r="Q2287"/>
      <x:c r="R2287" t="str">
        <x:v>FT 2-1（总3球）；图库曼+0.5输；小2.0输</x:v>
      </x:c>
    </x:row>
    <x:row r="2288">
      <x:c r="A2288" t="str">
        <x:f>IF(B2288="","",TEXT(B2288,"yyyy-mm-dd")&amp;"|"&amp;D2288&amp;"|"&amp;E2288)</x:f>
        <x:v>2026-02-21|切洛（Cerro）|蒙得维的亚利物浦（Liverpool Montevideo）</x:v>
      </x:c>
      <x:c r="B2288" t="n">
        <x:v>46074.239583333336</x:v>
      </x:c>
      <x:c r="C2288" t="str">
        <x:v>乌拉圭甲级联赛（Campeonato Uruguayo·Primera División）</x:v>
      </x:c>
      <x:c r="D2288" t="str">
        <x:v>切洛（Cerro）</x:v>
      </x:c>
      <x:c r="E2288" t="str">
        <x:v>蒙得维的亚利物浦（Liverpool Montevideo）</x:v>
      </x:c>
      <x:c r="F2288" t="str">
        <x:v>蒙得维的亚利物浦 -0.25（让平/半）2.00~2.05</x:v>
      </x:c>
      <x:c r="G2288" t="str">
        <x:v>小 2.0（亚洲盘）1.85~1.90</x:v>
      </x:c>
      <x:c r="H2288" t="str">
        <x:v>小注：平局（1X2）≈3.00；或0-0正确比分≈6.10</x:v>
      </x:c>
      <x:c r="I2288" t="n">
        <x:v>46074.222662037035</x:v>
      </x:c>
      <x:c r="J2288" t="str">
        <x:v>已结算</x:v>
      </x:c>
      <x:c r="K2288" t="str">
        <x:v>1-1</x:v>
      </x:c>
      <x:c r="L2288" t="str">
        <x:v>输半</x:v>
      </x:c>
      <x:c r="M2288" t="str">
        <x:v>走水</x:v>
      </x:c>
      <x:c r="N2288" t="n">
        <x:v>-0.5</x:v>
      </x:c>
      <x:c r="O2288" t="n">
        <x:v>0</x:v>
      </x:c>
      <x:c r="P2288" t="n">
        <x:f>IF(COUNT(N2288:O2288)=0,"",SUM(N2288:O2288))</x:f>
        <x:v>-0.5</x:v>
      </x:c>
      <x:c r="Q2288"/>
      <x:c r="R2288" t="str">
        <x:v>FT 1-1（总2球）；客-0.25平=输半；小2.0走水</x:v>
      </x:c>
    </x:row>
    <x:row r="2289">
      <x:c r="A2289" t="str">
        <x:f>IF(B2289="","",TEXT(B2289,"yyyy-mm-dd")&amp;"|"&amp;D2289&amp;"|"&amp;E2289)</x:f>
        <x:v>2026-02-21|防卫者与司法（Defensa y Justicia）|贝尔格拉诺（Belgrano）</x:v>
      </x:c>
      <x:c r="B2289" t="n">
        <x:v>46074.177083333336</x:v>
      </x:c>
      <x:c r="C2289" t="str">
        <x:v>阿根廷职业联赛（Liga Profesional·Apertura）</x:v>
      </x:c>
      <x:c r="D2289" t="str">
        <x:v>防卫者与司法（Defensa y Justicia）</x:v>
      </x:c>
      <x:c r="E2289" t="str">
        <x:v>贝尔格拉诺（Belgrano）</x:v>
      </x:c>
      <x:c r="F2289" t="str">
        <x:v>贝尔格拉诺 -0.25（让平/半）2.15~2.25</x:v>
      </x:c>
      <x:c r="G2289" t="str">
        <x:v>小 2.5 1.83~1.85</x:v>
      </x:c>
      <x:c r="H2289" t="str">
        <x:v>小注：平局（1X2）2.85~2.90；或0-0正确比分≈6.40</x:v>
      </x:c>
      <x:c r="I2289" t="n">
        <x:v>46074.22813657407</x:v>
      </x:c>
      <x:c r="J2289" t="str">
        <x:v>已结算</x:v>
      </x:c>
      <x:c r="K2289" t="str">
        <x:v>1-1</x:v>
      </x:c>
      <x:c r="L2289" t="str">
        <x:v>输半</x:v>
      </x:c>
      <x:c r="M2289" t="str">
        <x:v>赢</x:v>
      </x:c>
      <x:c r="N2289" t="n">
        <x:v>-0.5</x:v>
      </x:c>
      <x:c r="O2289" t="n">
        <x:v>1</x:v>
      </x:c>
      <x:c r="P2289" t="n">
        <x:f>IF(COUNT(N2289:O2289)=0,"",SUM(N2289:O2289))</x:f>
        <x:v>0.5</x:v>
      </x:c>
      <x:c r="Q2289"/>
      <x:c r="R2289" t="str">
        <x:v>FT 1-1（总2球）；贝尔格拉诺-0.25平=输半；小2.5赢</x:v>
      </x:c>
    </x:row>
    <x:row r="2290">
      <x:c r="A2290" t="str">
        <x:f>IF(B2290="","",TEXT(B2290,"yyyy-mm-dd")&amp;"|"&amp;D2290&amp;"|"&amp;E2290)</x:f>
        <x:v>2026-02-21|布莱克本流浪者（Blackburn Rovers）|普雷斯顿北区（Preston North End）</x:v>
      </x:c>
      <x:c r="B2290" t="n">
        <x:v>46074.166666666664</x:v>
      </x:c>
      <x:c r="C2290" t="str">
        <x:v>英格兰冠军联赛（英冠）</x:v>
      </x:c>
      <x:c r="D2290" t="str">
        <x:v>布莱克本流浪者（Blackburn Rovers）</x:v>
      </x:c>
      <x:c r="E2290" t="str">
        <x:v>普雷斯顿北区（Preston North End）</x:v>
      </x:c>
      <x:c r="F2290" t="str">
        <x:v>普雷斯顿北区 +0.5（受让半球）1.84</x:v>
      </x:c>
      <x:c r="G2290" t="str">
        <x:v>小 2.25 1.87</x:v>
      </x:c>
      <x:c r="H2290" t="str">
        <x:v>小注：0-0 正确比分 8.50；或1X2 平局 3.20</x:v>
      </x:c>
      <x:c r="I2290" t="n">
        <x:v>46074.20710648148</x:v>
      </x:c>
      <x:c r="J2290" t="str">
        <x:v>已结算</x:v>
      </x:c>
      <x:c r="K2290" t="str">
        <x:v>1-0</x:v>
      </x:c>
      <x:c r="L2290" t="str">
        <x:v>输</x:v>
      </x:c>
      <x:c r="M2290" t="str">
        <x:v>赢</x:v>
      </x:c>
      <x:c r="N2290" t="n">
        <x:v>-1</x:v>
      </x:c>
      <x:c r="O2290" t="n">
        <x:v>1</x:v>
      </x:c>
      <x:c r="P2290" t="n">
        <x:f>IF(COUNT(N2290:O2290)=0,"",SUM(N2290:O2290))</x:f>
        <x:v>0</x:v>
      </x:c>
      <x:c r="Q2290"/>
      <x:c r="R2290" t="str">
        <x:v>FT 1-0（总1球）；普雷斯顿+0.5输；小2.25赢</x:v>
      </x:c>
    </x:row>
    <x:row r="2291">
      <x:c r="A2291" t="str">
        <x:f>IF(B2291="","",TEXT(B2291,"yyyy-mm-dd")&amp;"|"&amp;D2291&amp;"|"&amp;E2291)</x:f>
        <x:v>2026-02-21|毕尔巴鄂竞技（Athletic Club）|埃尔切（Elche）</x:v>
      </x:c>
      <x:c r="B2291" t="n">
        <x:v>46074.166666666664</x:v>
      </x:c>
      <x:c r="C2291" t="str">
        <x:v>西甲（LaLiga）</x:v>
      </x:c>
      <x:c r="D2291" t="str">
        <x:v>毕尔巴鄂竞技（Athletic Club）</x:v>
      </x:c>
      <x:c r="E2291" t="str">
        <x:v>埃尔切（Elche）</x:v>
      </x:c>
      <x:c r="F2291" t="str">
        <x:v>毕尔巴鄂竞技 -0.75（让半一）1.82~1.90</x:v>
      </x:c>
      <x:c r="G2291" t="str">
        <x:v>小 2.5 1.88~1.93</x:v>
      </x:c>
      <x:c r="H2291" t="str">
        <x:v>小注：BTTS 否（双方进球 否）≈1.90~1.95；若临场升到毕尔巴鄂-1且≥1.85，可加仓一档</x:v>
      </x:c>
      <x:c r="I2291" t="n">
        <x:v>46074.20355324074</x:v>
      </x:c>
      <x:c r="J2291" t="str">
        <x:v>已结算</x:v>
      </x:c>
      <x:c r="K2291" t="str">
        <x:v>2-1</x:v>
      </x:c>
      <x:c r="L2291" t="str">
        <x:v>赢半</x:v>
      </x:c>
      <x:c r="M2291" t="str">
        <x:v>输</x:v>
      </x:c>
      <x:c r="N2291" t="n">
        <x:v>0.5</x:v>
      </x:c>
      <x:c r="O2291" t="n">
        <x:v>-1</x:v>
      </x:c>
      <x:c r="P2291" t="n">
        <x:f>IF(COUNT(N2291:O2291)=0,"",SUM(N2291:O2291))</x:f>
        <x:v>-0.5</x:v>
      </x:c>
      <x:c r="Q2291" t="str">
        <x:v>SofaScore</x:v>
      </x:c>
      <x:c r="R2291" t="str">
        <x:v>校正赛果：毕尔巴鄂竞技（Athletic Club） 2-1 埃尔切（Elche）；让球：毕尔巴鄂竞技 -0.75 -&gt; 赢半（0.5）；大小：小2.5 -&gt; 输（-1）；来源：SofaScore。</x:v>
      </x:c>
    </x:row>
    <x:row r="2292">
      <x:c r="A2292" t="str">
        <x:f>IF(B2292="","",TEXT(B2292,"yyyy-mm-dd")&amp;"|"&amp;D2292&amp;"|"&amp;E2292)</x:f>
        <x:v>2026-02-20|塞曼巴东（Semen Padang）|马鲁特联（Malut United）</x:v>
      </x:c>
      <x:c r="B2292" t="n">
        <x:v>46073.916666666664</x:v>
      </x:c>
      <x:c r="C2292" t="str">
        <x:v>印度尼西亚超级联赛（印尼超/Liga 1 Indonesia）</x:v>
      </x:c>
      <x:c r="D2292" t="str">
        <x:v>塞曼巴东（Semen Padang）</x:v>
      </x:c>
      <x:c r="E2292" t="str">
        <x:v>马鲁特联（Malut United）</x:v>
      </x:c>
      <x:c r="F2292" t="str">
        <x:v>马鲁特联（Malut United）-0.5 1.93</x:v>
      </x:c>
      <x:c r="G2292" t="str">
        <x:v>小 2.5 1.93</x:v>
      </x:c>
      <x:c r="H2292" t="str">
        <x:v>小注：马鲁特联 胜（1X2客胜）≈1.90；若临场客让升到-0.75且≥2.05才考虑追</x:v>
      </x:c>
      <x:c r="I2292" t="n">
        <x:v>46073.899050925924</x:v>
      </x:c>
      <x:c r="J2292" t="str">
        <x:v>已结算</x:v>
      </x:c>
      <x:c r="K2292" t="str">
        <x:v>2-2</x:v>
      </x:c>
      <x:c r="L2292" t="str">
        <x:v>输</x:v>
      </x:c>
      <x:c r="M2292" t="str">
        <x:v>输</x:v>
      </x:c>
      <x:c r="N2292" t="n">
        <x:v>-1</x:v>
      </x:c>
      <x:c r="O2292" t="n">
        <x:v>-1</x:v>
      </x:c>
      <x:c r="P2292" t="n">
        <x:f>IF(COUNT(N2292:O2292)=0,"",SUM(N2292:O2292))</x:f>
        <x:v>-2</x:v>
      </x:c>
      <x:c r="Q2292"/>
      <x:c r="R2292" t="str">
        <x:v>FT 2-2（总4球）；马鲁特-0.5输；小2.5输</x:v>
      </x:c>
    </x:row>
    <x:row r="2293">
      <x:c r="A2293" t="str">
        <x:f>IF(B2293="","",TEXT(B2293,"yyyy-mm-dd")&amp;"|"&amp;D2293&amp;"|"&amp;E2293)</x:f>
        <x:v>2026-02-20|佩西加雅加达（Persija Jakarta）|PSM马卡萨（PSM Makassar）</x:v>
      </x:c>
      <x:c r="B2293" t="n">
        <x:v>46073.895833333336</x:v>
      </x:c>
      <x:c r="C2293" t="str">
        <x:v>印度尼西亚超级联赛（印尼超/Liga 1 Indonesia）</x:v>
      </x:c>
      <x:c r="D2293" t="str">
        <x:v>佩西加雅加达（Persija Jakarta）</x:v>
      </x:c>
      <x:c r="E2293" t="str">
        <x:v>PSM马卡萨（PSM Makassar）</x:v>
      </x:c>
      <x:c r="F2293" t="str">
        <x:v>PSM马卡萨 +1.25（受让一球/球半）2.025</x:v>
      </x:c>
      <x:c r="G2293" t="str">
        <x:v>小 2.75（2 3/4）1.85</x:v>
      </x:c>
      <x:c r="H2293" t="str">
        <x:v>进取小注：PSM马卡萨 +1.5（若临场≥1.85可优先）；对冲：佩西加雅加达 -1.25 1.80（小注）</x:v>
      </x:c>
      <x:c r="I2293" t="n">
        <x:v>46073.88717592593</x:v>
      </x:c>
      <x:c r="J2293" t="str">
        <x:v>已结算</x:v>
      </x:c>
      <x:c r="K2293" t="str">
        <x:v>2-1</x:v>
      </x:c>
      <x:c r="L2293" t="str">
        <x:v>赢半</x:v>
      </x:c>
      <x:c r="M2293" t="str">
        <x:v>输半</x:v>
      </x:c>
      <x:c r="N2293" t="n">
        <x:v>0.5</x:v>
      </x:c>
      <x:c r="O2293" t="n">
        <x:v>-0.5</x:v>
      </x:c>
      <x:c r="P2293" t="n">
        <x:f>IF(COUNT(N2293:O2293)=0,"",SUM(N2293:O2293))</x:f>
        <x:v>0</x:v>
      </x:c>
      <x:c r="Q2293"/>
      <x:c r="R2293" t="str">
        <x:v>FT 2-1（总3球）；PSM+1.25输1球=赢半；小2.75输半</x:v>
      </x:c>
    </x:row>
    <x:row r="2294">
      <x:c r="A2294" t="str">
        <x:f>IF(B2294="","",TEXT(B2294,"yyyy-mm-dd")&amp;"|"&amp;D2294&amp;"|"&amp;E2294)</x:f>
        <x:v>2026-02-20|佩斯克谏义里（Persik Kediri）|巴杨卡拉（泗水联/印尼警察队）（Bhayangkara）</x:v>
      </x:c>
      <x:c r="B2294" t="n">
        <x:v>46073.895833333336</x:v>
      </x:c>
      <x:c r="C2294" t="str">
        <x:v>印度尼西亚超级联赛（印尼超/Liga 1 Indonesia）</x:v>
      </x:c>
      <x:c r="D2294" t="str">
        <x:v>佩斯克谏义里（Persik Kediri）</x:v>
      </x:c>
      <x:c r="E2294" t="str">
        <x:v>巴杨卡拉（泗水联/印尼警察队）（Bhayangkara）</x:v>
      </x:c>
      <x:c r="F2294" t="str">
        <x:v>佩斯克谏义里 -0.25（让平/半）1.85~1.90</x:v>
      </x:c>
      <x:c r="G2294" t="str">
        <x:v>大 2/2.5（2.25）1.95~1.98</x:v>
      </x:c>
      <x:c r="H2294" t="str">
        <x:v>小注：BTTS 是（双方进球 是）1.82~1.88；进取：大2.5 2.02~2.20</x:v>
      </x:c>
      <x:c r="I2294" t="n">
        <x:v>46073.87414351852</x:v>
      </x:c>
      <x:c r="J2294" t="str">
        <x:v>已结算</x:v>
      </x:c>
      <x:c r="K2294" t="str">
        <x:v>3-4</x:v>
      </x:c>
      <x:c r="L2294" t="str">
        <x:v>输</x:v>
      </x:c>
      <x:c r="M2294" t="str">
        <x:v>赢</x:v>
      </x:c>
      <x:c r="N2294" t="n">
        <x:v>-1</x:v>
      </x:c>
      <x:c r="O2294" t="n">
        <x:v>1</x:v>
      </x:c>
      <x:c r="P2294" t="n">
        <x:f>IF(COUNT(N2294:O2294)=0,"",SUM(N2294:O2294))</x:f>
        <x:v>0</x:v>
      </x:c>
      <x:c r="Q2294"/>
      <x:c r="R2294" t="str">
        <x:v>FT 3-4（总7球）；让-0.25输；大2.25赢</x:v>
      </x:c>
    </x:row>
    <x:row r="2295">
      <x:c r="A2295" t="str">
        <x:f>IF(B2295="","",TEXT(B2295,"yyyy-mm-dd")&amp;"|"&amp;D2295&amp;"|"&amp;E2295)</x:f>
        <x:v>2026-02-20|阿德莱德联（Adelaide United）|珀斯光荣（Perth Glory）</x:v>
      </x:c>
      <x:c r="B2295" t="n">
        <x:v>46073.69097222222</x:v>
      </x:c>
      <x:c r="C2295" t="str">
        <x:v>澳大利亚A联赛（A-League Men）</x:v>
      </x:c>
      <x:c r="D2295" t="str">
        <x:v>阿德莱德联（Adelaide United）</x:v>
      </x:c>
      <x:c r="E2295" t="str">
        <x:v>珀斯光荣（Perth Glory）</x:v>
      </x:c>
      <x:c r="F2295" t="str">
        <x:v>珀斯光荣 +0.25（受让平/半）1.85</x:v>
      </x:c>
      <x:c r="G2295" t="str">
        <x:v>小 2.5 2.75</x:v>
      </x:c>
      <x:c r="H2295" t="str">
        <x:v>小注：平局（1X2）≈4.10~4.20；或阿德莱德联进球数 小1.5（若≥2.05再考虑）</x:v>
      </x:c>
      <x:c r="I2295" t="n">
        <x:v>46073.68325231481</x:v>
      </x:c>
      <x:c r="J2295" t="str">
        <x:v>已结算</x:v>
      </x:c>
      <x:c r="K2295" t="str">
        <x:v>4-0</x:v>
      </x:c>
      <x:c r="L2295" t="str">
        <x:v>输</x:v>
      </x:c>
      <x:c r="M2295" t="str">
        <x:v>输</x:v>
      </x:c>
      <x:c r="N2295" t="n">
        <x:v>-1</x:v>
      </x:c>
      <x:c r="O2295" t="n">
        <x:v>-1</x:v>
      </x:c>
      <x:c r="P2295" t="n">
        <x:f>IF(COUNT(N2295:O2295)=0,"",SUM(N2295:O2295))</x:f>
        <x:v>-2</x:v>
      </x:c>
      <x:c r="Q2295"/>
      <x:c r="R2295" t="str">
        <x:v>FT 4-0（总4球）；珀斯+0.25输；小2.5输</x:v>
      </x:c>
    </x:row>
    <x:row r="2296">
      <x:c r="A2296" t="str">
        <x:f>IF(B2296="","",TEXT(B2296,"yyyy-mm-dd")&amp;"|"&amp;D2296&amp;"|"&amp;E2296)</x:f>
        <x:v>2026-02-20|墨尔本港鲨鱼（Port Melbourne Sharks）|布林狮子（Bulleen Lions）</x:v>
      </x:c>
      <x:c r="B2296" t="n">
        <x:v>46073.6875</x:v>
      </x:c>
      <x:c r="C2296" t="str">
        <x:v>澳大利亚 维多利亚州超级联赛1（VPL1）</x:v>
      </x:c>
      <x:c r="D2296" t="str">
        <x:v>墨尔本港鲨鱼（Port Melbourne Sharks）</x:v>
      </x:c>
      <x:c r="E2296" t="str">
        <x:v>布林狮子（Bulleen Lions）</x:v>
      </x:c>
      <x:c r="F2296" t="str">
        <x:v>墨尔本港鲨鱼 +1.25（受让一球/球半）</x:v>
      </x:c>
      <x:c r="G2296" t="str">
        <x:v>小 3.5（0.82）</x:v>
      </x:c>
      <x:c r="H2296" t="str">
        <x:v>进取小注：小 2.5 2.90（或平局 5.00）</x:v>
      </x:c>
      <x:c r="I2296" t="n">
        <x:v>46073.69431712963</x:v>
      </x:c>
      <x:c r="J2296" t="str">
        <x:v>已结算</x:v>
      </x:c>
      <x:c r="K2296" t="str">
        <x:v>1-2</x:v>
      </x:c>
      <x:c r="L2296" t="str">
        <x:v>赢半</x:v>
      </x:c>
      <x:c r="M2296" t="str">
        <x:v>赢</x:v>
      </x:c>
      <x:c r="N2296" t="n">
        <x:v>0.5</x:v>
      </x:c>
      <x:c r="O2296" t="n">
        <x:v>1</x:v>
      </x:c>
      <x:c r="P2296" t="n">
        <x:f>IF(COUNT(N2296:O2296)=0,"",SUM(N2296:O2296))</x:f>
        <x:v>1.5</x:v>
      </x:c>
      <x:c r="Q2296"/>
      <x:c r="R2296" t="str">
        <x:v>FT 1-2（总3球）；受让+1.25输1球=赢半；小3.5赢</x:v>
      </x:c>
    </x:row>
    <x:row r="2297">
      <x:c r="A2297" t="str">
        <x:f>IF(B2297="","",TEXT(B2297,"yyyy-mm-dd")&amp;"|"&amp;D2297&amp;"|"&amp;E2297)</x:f>
        <x:v>2026-02-20|曼立联U20（Manly United U20）|APIA莱卡特老虎U20（APIA Leichhardt Tigers U20）</x:v>
      </x:c>
      <x:c r="B2297" t="n">
        <x:v>46073.604166666664</x:v>
      </x:c>
      <x:c r="C2297" t="str">
        <x:v>澳大利亚 维多利亚州超级联赛1（VPL1）</x:v>
      </x:c>
      <x:c r="D2297" t="str">
        <x:v>曼立联U20（Manly United U20）</x:v>
      </x:c>
      <x:c r="E2297" t="str">
        <x:v>APIA莱卡特老虎U20（APIA Leichhardt Tigers U20）</x:v>
      </x:c>
      <x:c r="F2297" t="str">
        <x:v>APIA莱卡特老虎U20 +0.25（受让平/半）1.95</x:v>
      </x:c>
      <x:c r="G2297" t="str">
        <x:v>小 3.5 2.70</x:v>
      </x:c>
      <x:c r="H2297" t="str">
        <x:v>小注：平局（1X2）3.50；进取备选：小 2.5 2.25</x:v>
      </x:c>
      <x:c r="I2297" t="n">
        <x:v>46073.60122685185</x:v>
      </x:c>
      <x:c r="J2297" t="str">
        <x:v>已结算</x:v>
      </x:c>
      <x:c r="K2297" t="str">
        <x:v>1-2</x:v>
      </x:c>
      <x:c r="L2297" t="str">
        <x:v>赢</x:v>
      </x:c>
      <x:c r="M2297" t="str">
        <x:v>赢</x:v>
      </x:c>
      <x:c r="N2297" t="n">
        <x:v>1</x:v>
      </x:c>
      <x:c r="O2297" t="n">
        <x:v>1</x:v>
      </x:c>
      <x:c r="P2297" t="n">
        <x:f>IF(COUNT(N2297:O2297)=0,"",SUM(N2297:O2297))</x:f>
        <x:v>2</x:v>
      </x:c>
      <x:c r="Q2297"/>
      <x:c r="R2297" t="str">
        <x:v>FT 1-2（总3球）；APIA+0.25赢；小3.5赢</x:v>
      </x:c>
    </x:row>
    <x:row r="2298">
      <x:c r="A2298" t="str">
        <x:f>IF(B2298="","",TEXT(B2298,"yyyy-mm-dd")&amp;"|"&amp;D2298&amp;"|"&amp;E2298)</x:f>
        <x:v>2026-02-20|圣米格利托体育（Sporting San Miguelito）|洛杉矶银河（LA Galaxy）</x:v>
      </x:c>
      <x:c r="B2298" t="n">
        <x:v>46073.375</x:v>
      </x:c>
      <x:c r="C2298" t="str">
        <x:v>中北美冠军杯（CONCACAF Champions Cup）</x:v>
      </x:c>
      <x:c r="D2298" t="str">
        <x:v>圣米格利托体育（Sporting San Miguelito）</x:v>
      </x:c>
      <x:c r="E2298" t="str">
        <x:v>洛杉矶银河（LA Galaxy）</x:v>
      </x:c>
      <x:c r="F2298" t="str">
        <x:v>洛杉矶银河 -0.75（让半一）1.85</x:v>
      </x:c>
      <x:c r="G2298" t="str">
        <x:v>小 2.75（2 3/4）1.85</x:v>
      </x:c>
      <x:c r="H2298" t="str">
        <x:v>稳健：洛杉矶银河 -0.5（若≥1.90再优先）；小注：洛杉矶银河 零封胜（Win to Nil）≈2.10+</x:v>
      </x:c>
      <x:c r="I2298" t="n">
        <x:v>46073.382372685184</x:v>
      </x:c>
      <x:c r="J2298" t="str">
        <x:v>已结算</x:v>
      </x:c>
      <x:c r="K2298" t="str">
        <x:v>1-1</x:v>
      </x:c>
      <x:c r="L2298" t="str">
        <x:v>输</x:v>
      </x:c>
      <x:c r="M2298" t="str">
        <x:v>赢</x:v>
      </x:c>
      <x:c r="N2298" t="n">
        <x:v>-1</x:v>
      </x:c>
      <x:c r="O2298" t="n">
        <x:v>1</x:v>
      </x:c>
      <x:c r="P2298" t="n">
        <x:f>IF(COUNT(N2298:O2298)=0,"",SUM(N2298:O2298))</x:f>
        <x:v>0</x:v>
      </x:c>
      <x:c r="Q2298"/>
      <x:c r="R2298" t="str">
        <x:v>FT 1-1（总2球）；银河-0.75输；小2.75赢</x:v>
      </x:c>
    </x:row>
    <x:row r="2299">
      <x:c r="A2299" t="str">
        <x:f>IF(B2299="","",TEXT(B2299,"yyyy-mm-dd")&amp;"|"&amp;D2299&amp;"|"&amp;E2299)</x:f>
        <x:v>2026-02-20|拉努斯（Lanús）|弗拉门戈（Flamengo）</x:v>
      </x:c>
      <x:c r="B2299" t="n">
        <x:v>46073.354166666664</x:v>
      </x:c>
      <x:c r="C2299" t="str">
        <x:v>南美解放者杯</x:v>
      </x:c>
      <x:c r="D2299" t="str">
        <x:v>拉努斯（Lanús）</x:v>
      </x:c>
      <x:c r="E2299" t="str">
        <x:v>弗拉门戈（Flamengo）</x:v>
      </x:c>
      <x:c r="F2299" t="str">
        <x:v>拉努斯 +0.25（受让平/半）2.00~2.05</x:v>
      </x:c>
      <x:c r="G2299" t="str">
        <x:v>小 2.0（亚洲盘）2.00~2.10</x:v>
      </x:c>
      <x:c r="H2299" t="str">
        <x:v>小注：1X2 平局≈3.25~3.40；或弗拉门戈 受让不败（X2）≈1.30（仅串关）</x:v>
      </x:c>
      <x:c r="I2299" t="n">
        <x:v>46073.39135416667</x:v>
      </x:c>
      <x:c r="J2299" t="str">
        <x:v>已结算</x:v>
      </x:c>
      <x:c r="K2299" t="str">
        <x:v>1-0</x:v>
      </x:c>
      <x:c r="L2299" t="str">
        <x:v>赢</x:v>
      </x:c>
      <x:c r="M2299" t="str">
        <x:v>赢</x:v>
      </x:c>
      <x:c r="N2299" t="n">
        <x:v>1</x:v>
      </x:c>
      <x:c r="O2299" t="n">
        <x:v>1</x:v>
      </x:c>
      <x:c r="P2299" t="n">
        <x:f>IF(COUNT(N2299:O2299)=0,"",SUM(N2299:O2299))</x:f>
        <x:v>2</x:v>
      </x:c>
      <x:c r="Q2299"/>
      <x:c r="R2299" t="str">
        <x:v>FT 1-0（总1球）；拉努斯+0.25赢；小2.0赢</x:v>
      </x:c>
    </x:row>
    <x:row r="2300">
      <x:c r="A2300" t="str">
        <x:f>IF(B2300="","",TEXT(B2300,"yyyy-mm-dd")&amp;"|"&amp;D2300&amp;"|"&amp;E2300)</x:f>
        <x:v>2026-02-20|巴拉纳竞技（Athletico Paranaense）|科林蒂安（Corinthians）</x:v>
      </x:c>
      <x:c r="B2300" t="n">
        <x:v>46073.270833333336</x:v>
      </x:c>
      <x:c r="C2300" t="str">
        <x:v>巴西甲（Serie A）</x:v>
      </x:c>
      <x:c r="D2300" t="str">
        <x:v>巴拉纳竞技（Athletico Paranaense）</x:v>
      </x:c>
      <x:c r="E2300" t="str">
        <x:v>科林蒂安（Corinthians）</x:v>
      </x:c>
      <x:c r="F2300" t="str">
        <x:v>巴拉纳竞技 -0.25（让平/半）2.05~2.15</x:v>
      </x:c>
      <x:c r="G2300" t="str">
        <x:v>小 2.25 1.80~1.86</x:v>
      </x:c>
      <x:c r="H2300" t="str">
        <x:v>小注：BTTS 否（双方进球 否）1.82~1.90；若临场让球退到平手且主队≥1.85，可加一档</x:v>
      </x:c>
      <x:c r="I2300" t="n">
        <x:v>46073.37496527778</x:v>
      </x:c>
      <x:c r="J2300" t="str">
        <x:v>已结算</x:v>
      </x:c>
      <x:c r="K2300" t="str">
        <x:v>0-1</x:v>
      </x:c>
      <x:c r="L2300" t="str">
        <x:v>输</x:v>
      </x:c>
      <x:c r="M2300" t="str">
        <x:v>赢</x:v>
      </x:c>
      <x:c r="N2300" t="n">
        <x:v>-1</x:v>
      </x:c>
      <x:c r="O2300" t="n">
        <x:v>1</x:v>
      </x:c>
      <x:c r="P2300" t="n">
        <x:f>IF(COUNT(N2300:O2300)=0,"",SUM(N2300:O2300))</x:f>
        <x:v>0</x:v>
      </x:c>
      <x:c r="Q2300"/>
      <x:c r="R2300" t="str">
        <x:v>FT 0-1（总1球）；让-0.25输；小2.25赢</x:v>
      </x:c>
    </x:row>
    <x:row r="2301">
      <x:c r="A2301" t="str">
        <x:f>IF(B2301="","",TEXT(B2301,"yyyy-mm-dd")&amp;"|"&amp;D2301&amp;"|"&amp;E2301)</x:f>
        <x:v>2026-02-20|尤文图德（拉斯彼德拉斯）（Juventud de Las Piedras）|亚松森瓜拉尼（Guaraní）</x:v>
      </x:c>
      <x:c r="B2301" t="n">
        <x:v>46073.25</x:v>
      </x:c>
      <x:c r="C2301" t="str">
        <x:v>南美解放者杯</x:v>
      </x:c>
      <x:c r="D2301" t="str">
        <x:v>尤文图德（拉斯彼德拉斯）（Juventud de Las Piedras）</x:v>
      </x:c>
      <x:c r="E2301" t="str">
        <x:v>亚松森瓜拉尼（Guaraní）</x:v>
      </x:c>
      <x:c r="F2301" t="str">
        <x:v>亚松森瓜拉尼 0（平手/DNB）1.90~1.95</x:v>
      </x:c>
      <x:c r="G2301" t="str">
        <x:v>小 2.0（亚洲盘）1.85~1.90</x:v>
      </x:c>
      <x:c r="H2301" t="str">
        <x:v>进取：亚松森瓜拉尼 -0.25（若临场≥1.90可小注）；或1X2 平局≈3.10</x:v>
      </x:c>
      <x:c r="I2301" t="n">
        <x:v>46073.24636574074</x:v>
      </x:c>
      <x:c r="J2301" t="str">
        <x:v>已结算</x:v>
      </x:c>
      <x:c r="K2301" t="str">
        <x:v>0-0</x:v>
      </x:c>
      <x:c r="L2301" t="str">
        <x:v>走水</x:v>
      </x:c>
      <x:c r="M2301" t="str">
        <x:v>赢</x:v>
      </x:c>
      <x:c r="N2301" t="n">
        <x:v>0</x:v>
      </x:c>
      <x:c r="O2301" t="n">
        <x:v>1</x:v>
      </x:c>
      <x:c r="P2301" t="n">
        <x:f>IF(COUNT(N2301:O2301)=0,"",SUM(N2301:O2301))</x:f>
        <x:v>1</x:v>
      </x:c>
      <x:c r="Q2301"/>
      <x:c r="R2301" t="str">
        <x:v>FT 0-0（总0球）；瓜拉尼DNB走水；小2.0赢</x:v>
      </x:c>
    </x:row>
    <x:row r="2302">
      <x:c r="A2302" t="str">
        <x:f>IF(B2302="","",TEXT(B2302,"yyyy-mm-dd")&amp;"|"&amp;D2302&amp;"|"&amp;E2302)</x:f>
        <x:v>2026-02-20|雅盖隆（Jagiellonia Białystok）|佛罗伦萨（Fiorentina）</x:v>
      </x:c>
      <x:c r="B2302" t="n">
        <x:v>46073.166666666664</x:v>
      </x:c>
      <x:c r="C2302" t="str">
        <x:v>欧洲协会联赛（UEFA Europa Conference League）</x:v>
      </x:c>
      <x:c r="D2302" t="str">
        <x:v>雅盖隆（Jagiellonia Białystok）</x:v>
      </x:c>
      <x:c r="E2302" t="str">
        <x:v>佛罗伦萨（Fiorentina）</x:v>
      </x:c>
      <x:c r="F2302" t="str">
        <x:v>佛罗伦萨 -0.25（让平/半） 1.94~1.98</x:v>
      </x:c>
      <x:c r="G2302" t="str">
        <x:v>小 2.5 1.90~1.94</x:v>
      </x:c>
      <x:c r="H2302" t="str">
        <x:v>小注：BTTS 否（双方进球 否）1.91~1.97；进取：1X2客胜 2.18~2.25</x:v>
      </x:c>
      <x:c r="I2302" t="n">
        <x:v>46073.19017361111</x:v>
      </x:c>
      <x:c r="J2302" t="str">
        <x:v>已结算</x:v>
      </x:c>
      <x:c r="K2302" t="str">
        <x:v>0-3</x:v>
      </x:c>
      <x:c r="L2302" t="str">
        <x:v>赢</x:v>
      </x:c>
      <x:c r="M2302" t="str">
        <x:v>输</x:v>
      </x:c>
      <x:c r="N2302" t="n">
        <x:v>1</x:v>
      </x:c>
      <x:c r="O2302" t="n">
        <x:v>-1</x:v>
      </x:c>
      <x:c r="P2302" t="n">
        <x:f>IF(COUNT(N2302:O2302)=0,"",SUM(N2302:O2302))</x:f>
        <x:v>0</x:v>
      </x:c>
      <x:c r="Q2302"/>
      <x:c r="R2302" t="str">
        <x:v>FT 0-3（总3球）；佛罗伦萨-0.25赢；小2.5输</x:v>
      </x:c>
    </x:row>
    <x:row r="2303">
      <x:c r="A2303" t="str">
        <x:f>IF(B2303="","",TEXT(B2303,"yyyy-mm-dd")&amp;"|"&amp;D2303&amp;"|"&amp;E2303)</x:f>
        <x:v>2026-02-20|开罗国民（Al Ahly）|艾尔格纳（El Gouna）</x:v>
      </x:c>
      <x:c r="B2303" t="n">
        <x:v>46073.145833333336</x:v>
      </x:c>
      <x:c r="C2303" t="str">
        <x:v>埃及超级联赛（Egyptian Premier League）</x:v>
      </x:c>
      <x:c r="D2303" t="str">
        <x:v>开罗国民（Al Ahly）</x:v>
      </x:c>
      <x:c r="E2303" t="str">
        <x:v>艾尔格纳（El Gouna）</x:v>
      </x:c>
      <x:c r="F2303" t="str">
        <x:v>开罗国民 -1.5（让球半） 1.95~2.05</x:v>
      </x:c>
      <x:c r="G2303" t="str">
        <x:v>小 2.5 1.85~1.95</x:v>
      </x:c>
      <x:c r="H2303" t="str">
        <x:v>小注：开罗国民 零封胜（Win to Nil）≈1.85~1.90；或半场 小 1.0 ≈1.90</x:v>
      </x:c>
      <x:c r="I2303" t="n">
        <x:v>46073.17600694444</x:v>
      </x:c>
      <x:c r="J2303" t="str">
        <x:v>已结算</x:v>
      </x:c>
      <x:c r="K2303" t="str">
        <x:v>1-0</x:v>
      </x:c>
      <x:c r="L2303" t="str">
        <x:v>输</x:v>
      </x:c>
      <x:c r="M2303" t="str">
        <x:v>赢</x:v>
      </x:c>
      <x:c r="N2303" t="n">
        <x:v>-1</x:v>
      </x:c>
      <x:c r="O2303" t="n">
        <x:v>1</x:v>
      </x:c>
      <x:c r="P2303" t="n">
        <x:f>IF(COUNT(N2303:O2303)=0,"",SUM(N2303:O2303))</x:f>
        <x:v>0</x:v>
      </x:c>
      <x:c r="Q2303"/>
      <x:c r="R2303" t="str">
        <x:v>FT 1-0（总1球）；让-1.5输；小2.5赢</x:v>
      </x:c>
    </x:row>
    <x:row r="2304">
      <x:c r="A2304" t="str">
        <x:f>IF(B2304="","",TEXT(B2304,"yyyy-mm-dd")&amp;"|"&amp;D2304&amp;"|"&amp;E2304)</x:f>
        <x:v>2026-02-20|布兰（SK Brann）|博洛尼亚（Bologna）</x:v>
      </x:c>
      <x:c r="B2304" t="n">
        <x:v>46073.072916666664</x:v>
      </x:c>
      <x:c r="C2304" t="str">
        <x:v>欧洲足联欧罗巴联赛（UEFA Europa League）</x:v>
      </x:c>
      <x:c r="D2304" t="str">
        <x:v>布兰（SK Brann）</x:v>
      </x:c>
      <x:c r="E2304" t="str">
        <x:v>博洛尼亚（Bologna）</x:v>
      </x:c>
      <x:c r="F2304" t="str">
        <x:v>布兰 +0.5（受半球）@1.90-2.05区间</x:v>
      </x:c>
      <x:c r="G2304" t="str">
        <x:v>小 2/2.5（2.25）@1.95左右</x:v>
      </x:c>
      <x:c r="H2304" t="str">
        <x:v>小注：平局（1X2）@3.30-3.50</x:v>
      </x:c>
      <x:c r="I2304" t="n">
        <x:v>46073.17083333333</x:v>
      </x:c>
      <x:c r="J2304" t="str">
        <x:v>已结算</x:v>
      </x:c>
      <x:c r="K2304" t="str">
        <x:v>0-1</x:v>
      </x:c>
      <x:c r="L2304" t="str">
        <x:v>输</x:v>
      </x:c>
      <x:c r="M2304" t="str">
        <x:v>赢</x:v>
      </x:c>
      <x:c r="N2304" t="n">
        <x:v>-1</x:v>
      </x:c>
      <x:c r="O2304" t="n">
        <x:v>1</x:v>
      </x:c>
      <x:c r="P2304" t="n">
        <x:f>IF(COUNT(N2304:O2304)=0,"",SUM(N2304:O2304))</x:f>
        <x:v>0</x:v>
      </x:c>
      <x:c r="Q2304"/>
      <x:c r="R2304" t="str">
        <x:v>FT 0-1（总1球）；布兰+0.5输；小2.25赢</x:v>
      </x:c>
    </x:row>
    <x:row r="2305">
      <x:c r="A2305" t="str">
        <x:f>IF(B2305="","",TEXT(B2305,"yyyy-mm-dd")&amp;"|"&amp;D2305&amp;"|"&amp;E2305)</x:f>
        <x:v>2026-02-19|孟买城（Mumbai City FC）|钦奈泰坦（Chennaiyin FC）</x:v>
      </x:c>
      <x:c r="B2305" t="n">
        <x:v>46072.916666666664</x:v>
      </x:c>
      <x:c r="C2305" t="str">
        <x:v>印度超级联赛（Indian Super League）</x:v>
      </x:c>
      <x:c r="D2305" t="str">
        <x:v>孟买城（Mumbai City FC）</x:v>
      </x:c>
      <x:c r="E2305" t="str">
        <x:v>钦奈泰坦（Chennaiyin FC）</x:v>
      </x:c>
      <x:c r="F2305" t="str">
        <x:v>孟买城 -0.25（让平/半） 1.85~1.95</x:v>
      </x:c>
      <x:c r="G2305" t="str">
        <x:v>小 2.5 1.90~1.95</x:v>
      </x:c>
      <x:c r="H2305" t="str">
        <x:v>小注：BTTS 否（双方进球 否）≈2.00；或1X2主胜≈1.95</x:v>
      </x:c>
      <x:c r="I2305" t="n">
        <x:v>46072.90710648148</x:v>
      </x:c>
      <x:c r="J2305" t="str">
        <x:v>已结算</x:v>
      </x:c>
      <x:c r="K2305" t="str">
        <x:v>1-0</x:v>
      </x:c>
      <x:c r="L2305" t="str">
        <x:v>赢</x:v>
      </x:c>
      <x:c r="M2305" t="str">
        <x:v>赢</x:v>
      </x:c>
      <x:c r="N2305" t="n">
        <x:v>1</x:v>
      </x:c>
      <x:c r="O2305" t="n">
        <x:v>1</x:v>
      </x:c>
      <x:c r="P2305" t="n">
        <x:f>IF(COUNT(N2305:O2305)=0,"",SUM(N2305:O2305))</x:f>
        <x:v>2</x:v>
      </x:c>
      <x:c r="Q2305"/>
      <x:c r="R2305" t="str">
        <x:v>FT 1-0（总1球）；让-0.25赢；小2.5赢</x:v>
      </x:c>
    </x:row>
    <x:row r="2306">
      <x:c r="A2306" t="str">
        <x:f>IF(B2306="","",TEXT(B2306,"yyyy-mm-dd")&amp;"|"&amp;D2306&amp;"|"&amp;E2306)</x:f>
        <x:v>2026-02-19|大阪钢巴（Gamba Osaka）|浦项制铁（Pohang Steelers）</x:v>
      </x:c>
      <x:c r="B2306" t="n">
        <x:v>46072.75</x:v>
      </x:c>
      <x:c r="C2306" t="str">
        <x:v>亚冠二级联赛（AFC Champions League Two）</x:v>
      </x:c>
      <x:c r="D2306" t="str">
        <x:v>大阪钢巴（Gamba Osaka）</x:v>
      </x:c>
      <x:c r="E2306" t="str">
        <x:v>浦项制铁（Pohang Steelers）</x:v>
      </x:c>
      <x:c r="F2306" t="str">
        <x:v>大阪钢巴 -0/0.5（-0.25，平半）</x:v>
      </x:c>
      <x:c r="G2306" t="str">
        <x:v>小 2/2.5（2.25）</x:v>
      </x:c>
      <x:c r="H2306" t="str">
        <x:v>进取：大阪钢巴 -0.5/-1（-0.75，半一）@1.90；或BTTS 是（≥1.88）</x:v>
      </x:c>
      <x:c r="I2306" t="n">
        <x:v>46072.75445601852</x:v>
      </x:c>
      <x:c r="J2306" t="str">
        <x:v>已结算</x:v>
      </x:c>
      <x:c r="K2306" t="str">
        <x:v>2-1</x:v>
      </x:c>
      <x:c r="L2306" t="str">
        <x:v>赢</x:v>
      </x:c>
      <x:c r="M2306" t="str">
        <x:v>输</x:v>
      </x:c>
      <x:c r="N2306" t="n">
        <x:v>1</x:v>
      </x:c>
      <x:c r="O2306" t="n">
        <x:v>-1</x:v>
      </x:c>
      <x:c r="P2306" t="n">
        <x:f>IF(COUNT(N2306:O2306)=0,"",SUM(N2306:O2306))</x:f>
        <x:v>0</x:v>
      </x:c>
      <x:c r="Q2306"/>
      <x:c r="R2306" t="str">
        <x:v>FT 2-1（总3球）；让-0.25赢；小2.25输</x:v>
      </x:c>
    </x:row>
    <x:row r="2307">
      <x:c r="A2307" t="str">
        <x:f>IF(B2307="","",TEXT(B2307,"yyyy-mm-dd")&amp;"|"&amp;D2307&amp;"|"&amp;E2307)</x:f>
        <x:v>2026-02-19|南墨尔本（South Melbourne）|休姆城（休城/Hume City）</x:v>
      </x:c>
      <x:c r="B2307" t="n">
        <x:v>46072.6875</x:v>
      </x:c>
      <x:c r="C2307" t="str">
        <x:v>澳大利亚 维多利亚州超级联赛1（VPL1）</x:v>
      </x:c>
      <x:c r="D2307" t="str">
        <x:v>南墨尔本（South Melbourne）</x:v>
      </x:c>
      <x:c r="E2307" t="str">
        <x:v>休姆城（休城/Hume City）</x:v>
      </x:c>
      <x:c r="F2307" t="str">
        <x:v>南墨尔本 -0.5</x:v>
      </x:c>
      <x:c r="G2307" t="str">
        <x:v>大 2.75（2.5/3）</x:v>
      </x:c>
      <x:c r="H2307" t="str">
        <x:v>小注：双方进球 是（BTTS Yes）</x:v>
      </x:c>
      <x:c r="I2307" t="n">
        <x:v>46072.642372685186</x:v>
      </x:c>
      <x:c r="J2307" t="str">
        <x:v>已结算</x:v>
      </x:c>
      <x:c r="K2307" t="str">
        <x:v>1-2</x:v>
      </x:c>
      <x:c r="L2307" t="str">
        <x:v>输</x:v>
      </x:c>
      <x:c r="M2307" t="str">
        <x:v>赢半</x:v>
      </x:c>
      <x:c r="N2307" t="n">
        <x:v>-1</x:v>
      </x:c>
      <x:c r="O2307" t="n">
        <x:v>0.5</x:v>
      </x:c>
      <x:c r="P2307" t="n">
        <x:f>IF(COUNT(N2307:O2307)=0,"",SUM(N2307:O2307))</x:f>
        <x:v>-0.5</x:v>
      </x:c>
      <x:c r="Q2307" t="str">
        <x:v>SofaScore</x:v>
      </x:c>
      <x:c r="R2307" t="str">
        <x:v>校正赛果：南墨尔本（South Melbourne） 1-2 休姆城（休城/Hume City）；让球：南墨尔本 -0.5 -&gt; 输（-1）；大小：大2.75 -&gt; 赢半（0.5）；来源：SofaScore。</x:v>
      </x:c>
    </x:row>
    <x:row r="2308">
      <x:c r="A2308" t="str">
        <x:f>IF(B2308="","",TEXT(B2308,"yyyy-mm-dd")&amp;"|"&amp;D2308&amp;"|"&amp;E2308)</x:f>
        <x:v>2026-02-19|麦克阿瑟（Macarthur FC）|曼谷联（True Bangkok United）</x:v>
      </x:c>
      <x:c r="B2308" t="n">
        <x:v>46072.65625</x:v>
      </x:c>
      <x:c r="C2308" t="str">
        <x:v>亚冠二级联赛（AFC Champions League Two）</x:v>
      </x:c>
      <x:c r="D2308" t="str">
        <x:v>麦克阿瑟（Macarthur FC）</x:v>
      </x:c>
      <x:c r="E2308" t="str">
        <x:v>曼谷联（True Bangkok United）</x:v>
      </x:c>
      <x:c r="F2308" t="str">
        <x:v>麦克阿瑟 +0.75（受让半一）</x:v>
      </x:c>
      <x:c r="G2308" t="str">
        <x:v>大 2.5</x:v>
      </x:c>
      <x:c r="H2308" t="str">
        <x:v>小注：双方进球 是（BTTS Yes）</x:v>
      </x:c>
      <x:c r="I2308" t="n">
        <x:v>46072.50230324074</x:v>
      </x:c>
      <x:c r="J2308" t="str">
        <x:v>已结算</x:v>
      </x:c>
      <x:c r="K2308" t="str">
        <x:v>2-2</x:v>
      </x:c>
      <x:c r="L2308" t="str">
        <x:v>赢</x:v>
      </x:c>
      <x:c r="M2308" t="str">
        <x:v>赢</x:v>
      </x:c>
      <x:c r="N2308" t="n">
        <x:v>1</x:v>
      </x:c>
      <x:c r="O2308" t="n">
        <x:v>1</x:v>
      </x:c>
      <x:c r="P2308" t="n">
        <x:f>IF(COUNT(N2308:O2308)=0,"",SUM(N2308:O2308))</x:f>
        <x:v>2</x:v>
      </x:c>
      <x:c r="Q2308"/>
      <x:c r="R2308" t="str">
        <x:v>FT 2-2；让球：麦克阿瑟+0.75命中；大小：大2.5命中(4球)</x:v>
      </x:c>
    </x:row>
    <x:row r="2309">
      <x:c r="A2309" t="str">
        <x:f>IF(B2309="","",TEXT(B2309,"yyyy-mm-dd")&amp;"|"&amp;D2309&amp;"|"&amp;E2309)</x:f>
        <x:v>2026-02-19|卡塔希内斯（Cartaginés）|温哥华白帽（Vancouver Whitecaps）</x:v>
      </x:c>
      <x:c r="B2309" t="n">
        <x:v>46072.458333333336</x:v>
      </x:c>
      <x:c r="C2309" t="str">
        <x:v>中北美冠军杯（CONCACAF Champions Cup）</x:v>
      </x:c>
      <x:c r="D2309" t="str">
        <x:v>卡塔希内斯（Cartaginés）</x:v>
      </x:c>
      <x:c r="E2309" t="str">
        <x:v>温哥华白帽（Vancouver Whitecaps）</x:v>
      </x:c>
      <x:c r="F2309" t="str">
        <x:v>卡塔希内斯 +1（受让一球）</x:v>
      </x:c>
      <x:c r="G2309" t="str">
        <x:v>小 2.75（2.5/3.0）</x:v>
      </x:c>
      <x:c r="H2309" t="str">
        <x:v>进取：温哥华白帽 -0.5（若≥2.05可小注）</x:v>
      </x:c>
      <x:c r="I2309" t="n">
        <x:v>46072.47144675926</x:v>
      </x:c>
      <x:c r="J2309" t="str">
        <x:v>已结算</x:v>
      </x:c>
      <x:c r="K2309" t="str">
        <x:v>0-0</x:v>
      </x:c>
      <x:c r="L2309" t="str">
        <x:v>赢</x:v>
      </x:c>
      <x:c r="M2309" t="str">
        <x:v>赢</x:v>
      </x:c>
      <x:c r="N2309" t="n">
        <x:v>1</x:v>
      </x:c>
      <x:c r="O2309" t="n">
        <x:v>1</x:v>
      </x:c>
      <x:c r="P2309" t="n">
        <x:f>IF(COUNT(N2309:O2309)=0,"",SUM(N2309:O2309))</x:f>
        <x:v>2</x:v>
      </x:c>
      <x:c r="Q2309"/>
      <x:c r="R2309" t="str">
        <x:v>FT 0-0；让球：卡塔希内斯+1命中；大小：小2.75命中</x:v>
      </x:c>
    </x:row>
    <x:row r="2310">
      <x:c r="A2310" t="str">
        <x:f>IF(B2310="","",TEXT(B2310,"yyyy-mm-dd")&amp;"|"&amp;D2310&amp;"|"&amp;E2310)</x:f>
        <x:v>2026-02-19|巴兰基亚青年（阿特莱蒂科青年/Atlético Junior）|卡利美洲（América de Cali）</x:v>
      </x:c>
      <x:c r="B2310" t="n">
        <x:v>46072.354166666664</x:v>
      </x:c>
      <x:c r="C2310" t="str">
        <x:v>哥伦比亚甲级联赛（Liga BetPlay DIMAYOR）</x:v>
      </x:c>
      <x:c r="D2310" t="str">
        <x:v>巴兰基亚青年（阿特莱蒂科青年/Atlético Junior）</x:v>
      </x:c>
      <x:c r="E2310" t="str">
        <x:v>卡利美洲（América de Cali）</x:v>
      </x:c>
      <x:c r="F2310" t="str">
        <x:v>巴兰基亚青年 -0.5</x:v>
      </x:c>
      <x:c r="G2310" t="str">
        <x:v>小 2/2.5（2.25）</x:v>
      </x:c>
      <x:c r="H2310" t="str">
        <x:v>小注：巴兰基亚青年 胜（1X2）</x:v>
      </x:c>
      <x:c r="I2310" t="n">
        <x:v>46072.36071759259</x:v>
      </x:c>
      <x:c r="J2310" t="str">
        <x:v>已结算</x:v>
      </x:c>
      <x:c r="K2310" t="str">
        <x:v>1-0</x:v>
      </x:c>
      <x:c r="L2310" t="str">
        <x:v>赢</x:v>
      </x:c>
      <x:c r="M2310" t="str">
        <x:v>赢</x:v>
      </x:c>
      <x:c r="N2310" t="n">
        <x:v>1</x:v>
      </x:c>
      <x:c r="O2310" t="n">
        <x:v>1</x:v>
      </x:c>
      <x:c r="P2310" t="n">
        <x:f>IF(COUNT(N2310:O2310)=0,"",SUM(N2310:O2310))</x:f>
        <x:v>2</x:v>
      </x:c>
      <x:c r="Q2310"/>
      <x:c r="R2310" t="str">
        <x:v>FT 1-0；让球：青年-0.5命中；大小：小2.25命中(1球)</x:v>
      </x:c>
    </x:row>
    <x:row r="2311">
      <x:c r="A2311" t="str">
        <x:f>IF(B2311="","",TEXT(B2311,"yyyy-mm-dd")&amp;"|"&amp;D2311&amp;"|"&amp;E2311)</x:f>
        <x:v>2026-02-19|国防军（Defence Force FC）|费城联合（Philadelphia Union）</x:v>
      </x:c>
      <x:c r="B2311" t="n">
        <x:v>46072.291666666664</x:v>
      </x:c>
      <x:c r="C2311" t="str">
        <x:v>中北美冠军杯（CONCACAF Champions Cup）</x:v>
      </x:c>
      <x:c r="D2311" t="str">
        <x:v>国防军（Defence Force FC）</x:v>
      </x:c>
      <x:c r="E2311" t="str">
        <x:v>费城联合（Philadelphia Union）</x:v>
      </x:c>
      <x:c r="F2311" t="str">
        <x:v>国防军 +1.25（受让一球/球半）</x:v>
      </x:c>
      <x:c r="G2311" t="str">
        <x:v>小 2.5</x:v>
      </x:c>
      <x:c r="H2311" t="str">
        <x:v>稳健：国防军 +1.5（若临场≥1.90）；或费城联合 -1.25（1.90左右）</x:v>
      </x:c>
      <x:c r="I2311" t="n">
        <x:v>46072.30112268519</x:v>
      </x:c>
      <x:c r="J2311" t="str">
        <x:v>已结算</x:v>
      </x:c>
      <x:c r="K2311" t="str">
        <x:v>0-5</x:v>
      </x:c>
      <x:c r="L2311" t="str">
        <x:v>输</x:v>
      </x:c>
      <x:c r="M2311" t="str">
        <x:v>输</x:v>
      </x:c>
      <x:c r="N2311" t="n">
        <x:v>-1</x:v>
      </x:c>
      <x:c r="O2311" t="n">
        <x:v>-1</x:v>
      </x:c>
      <x:c r="P2311" t="n">
        <x:f>IF(COUNT(N2311:O2311)=0,"",SUM(N2311:O2311))</x:f>
        <x:v>-2</x:v>
      </x:c>
      <x:c r="Q2311"/>
      <x:c r="R2311" t="str">
        <x:v>FT 0-5；让球：国防军+1.25失利；大小：小2.5失利(5球)</x:v>
      </x:c>
    </x:row>
    <x:row r="2312">
      <x:c r="A2312" t="str">
        <x:f>IF(B2312="","",TEXT(B2312,"yyyy-mm-dd")&amp;"|"&amp;D2312&amp;"|"&amp;E2312)</x:f>
        <x:v>2026-02-19|狼队（伍尔弗汉普顿流浪者/Wolverhampton Wanderers）|阿森纳（Arsenal）</x:v>
      </x:c>
      <x:c r="B2312" t="n">
        <x:v>46072.166666666664</x:v>
      </x:c>
      <x:c r="C2312" t="str">
        <x:v>英格兰超级联赛（Premier League）</x:v>
      </x:c>
      <x:c r="D2312" t="str">
        <x:v>狼队（伍尔弗汉普顿流浪者/Wolverhampton Wanderers）</x:v>
      </x:c>
      <x:c r="E2312" t="str">
        <x:v>阿森纳（Arsenal）</x:v>
      </x:c>
      <x:c r="F2312" t="str">
        <x:v>阿森纳 -1.5</x:v>
      </x:c>
      <x:c r="G2312" t="str">
        <x:v>小 2.5</x:v>
      </x:c>
      <x:c r="H2312" t="str">
        <x:v>进取：阿森纳 半场 -0.75（若≥2.00再上）</x:v>
      </x:c>
      <x:c r="I2312" t="n">
        <x:v>46071.93616898148</x:v>
      </x:c>
      <x:c r="J2312" t="str">
        <x:v>已结算</x:v>
      </x:c>
      <x:c r="K2312" t="str">
        <x:v>2-2</x:v>
      </x:c>
      <x:c r="L2312" t="str">
        <x:v>输</x:v>
      </x:c>
      <x:c r="M2312" t="str">
        <x:v>输</x:v>
      </x:c>
      <x:c r="N2312" t="n">
        <x:v>-1</x:v>
      </x:c>
      <x:c r="O2312" t="n">
        <x:v>-1</x:v>
      </x:c>
      <x:c r="P2312" t="n">
        <x:f>IF(COUNT(N2312:O2312)=0,"",SUM(N2312:O2312))</x:f>
        <x:v>-2</x:v>
      </x:c>
      <x:c r="Q2312"/>
      <x:c r="R2312" t="str">
        <x:v>FT 2-2；让球：阿森纳-1.5失利；大小：小2.5失利(4球)。进取半场-0.75未回填(需HT比分)</x:v>
      </x:c>
    </x:row>
    <x:row r="2313">
      <x:c r="A2313" t="str">
        <x:f>IF(B2313="","",TEXT(B2313,"yyyy-mm-dd")&amp;"|"&amp;D2313&amp;"|"&amp;E2313)</x:f>
        <x:v>2026-02-18|万隆（佩西比万隆/Persib Bandung）|拉查武里（Ratchaburi FC）</x:v>
      </x:c>
      <x:c r="B2313" t="n">
        <x:v>46071.84375</x:v>
      </x:c>
      <x:c r="C2313" t="str">
        <x:v>亚冠二级联赛（AFC Champions League Two）</x:v>
      </x:c>
      <x:c r="D2313" t="str">
        <x:v>万隆（佩西比万隆/Persib Bandung）</x:v>
      </x:c>
      <x:c r="E2313" t="str">
        <x:v>拉查武里（Ratchaburi FC）</x:v>
      </x:c>
      <x:c r="F2313" t="str">
        <x:v>万隆 -1.0</x:v>
      </x:c>
      <x:c r="G2313" t="str">
        <x:v>大 2.75（2 3/4）</x:v>
      </x:c>
      <x:c r="H2313" t="str">
        <x:v>进取：万隆 -1.25（若临场≥1.95再考虑）</x:v>
      </x:c>
      <x:c r="I2313" t="n">
        <x:v>46071.83086805556</x:v>
      </x:c>
      <x:c r="J2313" t="str">
        <x:v>已结算</x:v>
      </x:c>
      <x:c r="K2313" t="str">
        <x:v>1-0</x:v>
      </x:c>
      <x:c r="L2313" t="str">
        <x:v>走水</x:v>
      </x:c>
      <x:c r="M2313" t="str">
        <x:v>输</x:v>
      </x:c>
      <x:c r="N2313" t="n">
        <x:v>0</x:v>
      </x:c>
      <x:c r="O2313" t="n">
        <x:v>-1</x:v>
      </x:c>
      <x:c r="P2313" t="n">
        <x:f>IF(COUNT(N2313:O2313)=0,"",SUM(N2313:O2313))</x:f>
        <x:v>-1</x:v>
      </x:c>
      <x:c r="Q2313"/>
      <x:c r="R2313" t="str">
        <x:v>FT 1-0；让球：万隆-1走水(赢1)；大小：大2.75失利(1球)</x:v>
      </x:c>
    </x:row>
    <x:row r="2314">
      <x:c r="A2314" t="str">
        <x:f>IF(B2314="","",TEXT(B2314,"yyyy-mm-dd")&amp;"|"&amp;D2314&amp;"|"&amp;E2314)</x:f>
        <x:v>2026-02-18|淡滨尼流浪者（Tampines Rovers）|河内公安（Công An Hà Nội）</x:v>
      </x:c>
      <x:c r="B2314" t="n">
        <x:v>46071.84375</x:v>
      </x:c>
      <x:c r="C2314" t="str">
        <x:v>亚冠二级联赛（AFC Champions League Two）</x:v>
      </x:c>
      <x:c r="D2314" t="str">
        <x:v>淡滨尼流浪者（Tampines Rovers）</x:v>
      </x:c>
      <x:c r="E2314" t="str">
        <x:v>河内公安（Công An Hà Nội）</x:v>
      </x:c>
      <x:c r="F2314" t="str">
        <x:v>淡滨尼流浪者 +1.25（受让一球/球半）</x:v>
      </x:c>
      <x:c r="G2314" t="str">
        <x:v>小 3/3.5（3.25）</x:v>
      </x:c>
      <x:c r="H2314" t="str">
        <x:v>稳健：淡滨尼流浪者 +1.5（若临场≥1.85再考虑）</x:v>
      </x:c>
      <x:c r="I2314" t="n">
        <x:v>46071.827372685184</x:v>
      </x:c>
      <x:c r="J2314" t="str">
        <x:v>已结算</x:v>
      </x:c>
      <x:c r="K2314" t="str">
        <x:v>3-1</x:v>
      </x:c>
      <x:c r="L2314" t="str">
        <x:v>赢</x:v>
      </x:c>
      <x:c r="M2314" t="str">
        <x:v>输</x:v>
      </x:c>
      <x:c r="N2314" t="n">
        <x:v>1</x:v>
      </x:c>
      <x:c r="O2314" t="n">
        <x:v>-1</x:v>
      </x:c>
      <x:c r="P2314" t="n">
        <x:f>IF(COUNT(N2314:O2314)=0,"",SUM(N2314:O2314))</x:f>
        <x:v>0</x:v>
      </x:c>
      <x:c r="Q2314"/>
      <x:c r="R2314" t="str">
        <x:v>FT 3-1；让球：淡滨尼+1.25命中；大小：小3.25失利(4球)。备选+1.5同为赢</x:v>
      </x:c>
    </x:row>
    <x:row r="2315">
      <x:c r="A2315" t="str">
        <x:f>IF(B2315="","",TEXT(B2315,"yyyy-mm-dd")&amp;"|"&amp;D2315&amp;"|"&amp;E2315)</x:f>
        <x:v>2026-02-18|上海海港（Shanghai Port）|蔚山HD（Ulsan HD）</x:v>
      </x:c>
      <x:c r="B2315" t="n">
        <x:v>46071.75</x:v>
      </x:c>
      <x:c r="C2315" t="str">
        <x:v>亚冠精英</x:v>
      </x:c>
      <x:c r="D2315" t="str">
        <x:v>上海海港（Shanghai Port）</x:v>
      </x:c>
      <x:c r="E2315" t="str">
        <x:v>蔚山HD（Ulsan HD）</x:v>
      </x:c>
      <x:c r="F2315" t="str">
        <x:v>上海海港 +0.75（受让半一）</x:v>
      </x:c>
      <x:c r="G2315" t="str">
        <x:v>小 2.5</x:v>
      </x:c>
      <x:c r="H2315" t="str">
        <x:v>小注：上海海港 +0.5（受半球）</x:v>
      </x:c>
      <x:c r="I2315" t="n">
        <x:v>46071.7871875</x:v>
      </x:c>
      <x:c r="J2315" t="str">
        <x:v>已结算</x:v>
      </x:c>
      <x:c r="K2315" t="str">
        <x:v>0-0</x:v>
      </x:c>
      <x:c r="L2315" t="str">
        <x:v>赢</x:v>
      </x:c>
      <x:c r="M2315" t="str">
        <x:v>赢</x:v>
      </x:c>
      <x:c r="N2315" t="n">
        <x:v>1</x:v>
      </x:c>
      <x:c r="O2315" t="n">
        <x:v>1</x:v>
      </x:c>
      <x:c r="P2315" t="n">
        <x:f>IF(COUNT(N2315:O2315)=0,"",SUM(N2315:O2315))</x:f>
        <x:v>2</x:v>
      </x:c>
      <x:c r="Q2315"/>
      <x:c r="R2315" t="str">
        <x:v>FT 0-0；让球：海港+0.75命中；大小：小2.5命中</x:v>
      </x:c>
    </x:row>
    <x:row r="2316">
      <x:c r="A2316" t="str">
        <x:f>IF(B2316="","",TEXT(B2316,"yyyy-mm-dd")&amp;"|"&amp;D2316&amp;"|"&amp;E2316)</x:f>
        <x:v>2026-02-18|墨尔本城（Melbourne City）|江原FC（Gangwon FC）</x:v>
      </x:c>
      <x:c r="B2316" t="n">
        <x:v>46071.75</x:v>
      </x:c>
      <x:c r="C2316" t="str">
        <x:v>亚冠精英</x:v>
      </x:c>
      <x:c r="D2316" t="str">
        <x:v>墨尔本城（Melbourne City）</x:v>
      </x:c>
      <x:c r="E2316" t="str">
        <x:v>江原FC（Gangwon FC）</x:v>
      </x:c>
      <x:c r="F2316" t="str">
        <x:v>墨尔本城 -0.25（让平/半）</x:v>
      </x:c>
      <x:c r="G2316" t="str">
        <x:v>大 2.5</x:v>
      </x:c>
      <x:c r="H2316" t="str">
        <x:v>小注：墨尔本城 胜（1X2）或 BTTS 是</x:v>
      </x:c>
      <x:c r="I2316" t="n">
        <x:v>46071.73813657407</x:v>
      </x:c>
      <x:c r="J2316" t="str">
        <x:v>已结算</x:v>
      </x:c>
      <x:c r="K2316" t="str">
        <x:v>0-0</x:v>
      </x:c>
      <x:c r="L2316" t="str">
        <x:v>输半</x:v>
      </x:c>
      <x:c r="M2316" t="str">
        <x:v>输</x:v>
      </x:c>
      <x:c r="N2316" t="n">
        <x:v>-0.5</x:v>
      </x:c>
      <x:c r="O2316" t="n">
        <x:v>-1</x:v>
      </x:c>
      <x:c r="P2316" t="n">
        <x:f>IF(COUNT(N2316:O2316)=0,"",SUM(N2316:O2316))</x:f>
        <x:v>-1.5</x:v>
      </x:c>
      <x:c r="Q2316"/>
      <x:c r="R2316" t="str">
        <x:v>FT 0-0；让球：墨尔本城-0.25输半；大小：大2.5失利(0球)</x:v>
      </x:c>
    </x:row>
    <x:row r="2317">
      <x:c r="A2317" t="str">
        <x:f>IF(B2317="","",TEXT(B2317,"yyyy-mm-dd")&amp;"|"&amp;D2317&amp;"|"&amp;E2317)</x:f>
        <x:v>2026-02-18|蒙得维的亚利物浦（Liverpool Montevideo）|麦德林独立（Independiente Medellín）</x:v>
      </x:c>
      <x:c r="B2317" t="n">
        <x:v>46071.354166666664</x:v>
      </x:c>
      <x:c r="C2317" t="str">
        <x:v>南美解放者杯</x:v>
      </x:c>
      <x:c r="D2317" t="str">
        <x:v>蒙得维的亚利物浦（Liverpool Montevideo）</x:v>
      </x:c>
      <x:c r="E2317" t="str">
        <x:v>麦德林独立（Independiente Medellín）</x:v>
      </x:c>
      <x:c r="F2317" t="str">
        <x:v>蒙得维的亚利物浦 -0.25（让平/半）</x:v>
      </x:c>
      <x:c r="G2317" t="str">
        <x:v>小 2.25</x:v>
      </x:c>
      <x:c r="H2317" t="str">
        <x:v>小注：蒙得维的亚利物浦 胜（1X2主胜）</x:v>
      </x:c>
      <x:c r="I2317" t="n">
        <x:v>46071.30578703704</x:v>
      </x:c>
      <x:c r="J2317" t="str">
        <x:v>已结算</x:v>
      </x:c>
      <x:c r="K2317" t="str">
        <x:v>1-2</x:v>
      </x:c>
      <x:c r="L2317" t="str">
        <x:v>输</x:v>
      </x:c>
      <x:c r="M2317" t="str">
        <x:v>输</x:v>
      </x:c>
      <x:c r="N2317" t="n">
        <x:v>-1</x:v>
      </x:c>
      <x:c r="O2317" t="n">
        <x:v>-1</x:v>
      </x:c>
      <x:c r="P2317" t="n">
        <x:f>IF(COUNT(N2317:O2317)=0,"",SUM(N2317:O2317))</x:f>
        <x:v>-2</x:v>
      </x:c>
      <x:c r="Q2317"/>
      <x:c r="R2317" t="str">
        <x:v>FT 1-2；让球：利物浦-0.25失利；大小：小2.25失利(3球)</x:v>
      </x:c>
    </x:row>
    <x:row r="2318">
      <x:c r="A2318" t="str">
        <x:f>IF(B2318="","",TEXT(B2318,"yyyy-mm-dd")&amp;"|"&amp;D2318&amp;"|"&amp;E2318)</x:f>
        <x:v>2026-02-18|科尔多瓦美洲虎（Jaguares de Córdoba）|圣塔菲独立（Independiente Santa Fe）</x:v>
      </x:c>
      <x:c r="B2318" t="n">
        <x:v>46071.291666666664</x:v>
      </x:c>
      <x:c r="C2318" t="str">
        <x:v>哥伦比亚甲级联赛（Liga BetPlay DIMAYOR）</x:v>
      </x:c>
      <x:c r="D2318" t="str">
        <x:v>科尔多瓦美洲虎（Jaguares de Córdoba）</x:v>
      </x:c>
      <x:c r="E2318" t="str">
        <x:v>圣塔菲独立（Independiente Santa Fe）</x:v>
      </x:c>
      <x:c r="F2318" t="str">
        <x:v>科尔多瓦美洲虎 +0.25（受让平/半）</x:v>
      </x:c>
      <x:c r="G2318" t="str">
        <x:v>大 2.5</x:v>
      </x:c>
      <x:c r="H2318" t="str">
        <x:v>小注：平局（1X2）</x:v>
      </x:c>
      <x:c r="I2318" t="n">
        <x:v>46071.299467592595</x:v>
      </x:c>
      <x:c r="J2318" t="str">
        <x:v>已结算</x:v>
      </x:c>
      <x:c r="K2318" t="str">
        <x:v>3-1</x:v>
      </x:c>
      <x:c r="L2318" t="str">
        <x:v>赢</x:v>
      </x:c>
      <x:c r="M2318" t="str">
        <x:v>赢</x:v>
      </x:c>
      <x:c r="N2318" t="n">
        <x:v>1</x:v>
      </x:c>
      <x:c r="O2318" t="n">
        <x:v>1</x:v>
      </x:c>
      <x:c r="P2318" t="n">
        <x:f>IF(COUNT(N2318:O2318)=0,"",SUM(N2318:O2318))</x:f>
        <x:v>2</x:v>
      </x:c>
      <x:c r="Q2318"/>
      <x:c r="R2318" t="str">
        <x:v>FT 3-1；让球：美洲虎+0.25命中；大小：大2.5命中(4球)</x:v>
      </x:c>
    </x:row>
    <x:row r="2319">
      <x:c r="A2319" t="str">
        <x:f>IF(B2319="","",TEXT(B2319,"yyyy-mm-dd")&amp;"|"&amp;D2319&amp;"|"&amp;E2319)</x:f>
        <x:v>2026-02-18|阿利安萨（Alianza Valledupar FC）|侨卡巴（博亚卡奇科/Boyacá Chicó）</x:v>
      </x:c>
      <x:c r="B2319" t="n">
        <x:v>46071.208333333336</x:v>
      </x:c>
      <x:c r="C2319" t="str">
        <x:v>哥伦比亚甲级联赛（Liga BetPlay DIMAYOR）</x:v>
      </x:c>
      <x:c r="D2319" t="str">
        <x:v>阿利安萨（Alianza Valledupar FC）</x:v>
      </x:c>
      <x:c r="E2319" t="str">
        <x:v>侨卡巴（博亚卡奇科/Boyacá Chicó）</x:v>
      </x:c>
      <x:c r="F2319" t="str">
        <x:v>阿利安萨 -0.5</x:v>
      </x:c>
      <x:c r="G2319" t="str">
        <x:v>大 2.5</x:v>
      </x:c>
      <x:c r="H2319" t="str">
        <x:v>小注：阿利安萨 胜（1X2）</x:v>
      </x:c>
      <x:c r="I2319" t="n">
        <x:v>46071.21973379629</x:v>
      </x:c>
      <x:c r="J2319" t="str">
        <x:v>已结算</x:v>
      </x:c>
      <x:c r="K2319" t="str">
        <x:v>1-1</x:v>
      </x:c>
      <x:c r="L2319" t="str">
        <x:v>输</x:v>
      </x:c>
      <x:c r="M2319" t="str">
        <x:v>输</x:v>
      </x:c>
      <x:c r="N2319" t="n">
        <x:v>-1</x:v>
      </x:c>
      <x:c r="O2319" t="n">
        <x:v>-1</x:v>
      </x:c>
      <x:c r="P2319" t="n">
        <x:f>IF(COUNT(N2319:O2319)=0,"",SUM(N2319:O2319))</x:f>
        <x:v>-2</x:v>
      </x:c>
      <x:c r="Q2319"/>
      <x:c r="R2319" t="str">
        <x:v>赛果按检索到的对阵结果：FT 1-1；让球：阿利安萨-0.5失利；大小：大2.5失利(2球)。*注：你提供的开球日期与公开赛程存在不一致*</x:v>
      </x:c>
    </x:row>
    <x:row r="2320">
      <x:c r="A2320" t="str">
        <x:f>IF(B2320="","",TEXT(B2320,"yyyy-mm-dd")&amp;"|"&amp;D2320&amp;"|"&amp;E2320)</x:f>
        <x:v>2026-02-18|本菲卡（Benfica）|皇家马德里（Real Madrid）</x:v>
      </x:c>
      <x:c r="B2320" t="n">
        <x:v>46071.166666666664</x:v>
      </x:c>
      <x:c r="C2320" t="str">
        <x:v>欧洲冠军联赛（UEFA Champions League）</x:v>
      </x:c>
      <x:c r="D2320" t="str">
        <x:v>本菲卡（Benfica）</x:v>
      </x:c>
      <x:c r="E2320" t="str">
        <x:v>皇家马德里（Real Madrid）</x:v>
      </x:c>
      <x:c r="F2320" t="str">
        <x:v>皇家马德里 -0.25（让平/半）</x:v>
      </x:c>
      <x:c r="G2320" t="str">
        <x:v>小 2.5</x:v>
      </x:c>
      <x:c r="H2320" t="str">
        <x:v>小注：双方进球 否（BTTS No）</x:v>
      </x:c>
      <x:c r="I2320" t="n">
        <x:v>46071.1808912037</x:v>
      </x:c>
      <x:c r="J2320" t="str">
        <x:v>已结算</x:v>
      </x:c>
      <x:c r="K2320" t="str">
        <x:v>0-1</x:v>
      </x:c>
      <x:c r="L2320" t="str">
        <x:v>赢</x:v>
      </x:c>
      <x:c r="M2320" t="str">
        <x:v>赢</x:v>
      </x:c>
      <x:c r="N2320" t="n">
        <x:v>1</x:v>
      </x:c>
      <x:c r="O2320" t="n">
        <x:v>1</x:v>
      </x:c>
      <x:c r="P2320" t="n">
        <x:f>IF(COUNT(N2320:O2320)=0,"",SUM(N2320:O2320))</x:f>
        <x:v>2</x:v>
      </x:c>
      <x:c r="Q2320"/>
      <x:c r="R2320" t="str">
        <x:v>FT 0-1；让球：皇马-0.25命中；大小：小2.5命中(1球)</x:v>
      </x:c>
    </x:row>
    <x:row r="2321">
      <x:c r="A2321" t="str">
        <x:f>IF(B2321="","",TEXT(B2321,"yyyy-mm-dd")&amp;"|"&amp;D2321&amp;"|"&amp;E2321)</x:f>
        <x:v>2026-02-18|多特蒙德（Borussia Dortmund）|亚特兰大（Atalanta）</x:v>
      </x:c>
      <x:c r="B2321" t="n">
        <x:v>46071.166666666664</x:v>
      </x:c>
      <x:c r="C2321" t="str">
        <x:v>欧洲冠军联赛（UEFA Champions League）</x:v>
      </x:c>
      <x:c r="D2321" t="str">
        <x:v>多特蒙德（Borussia Dortmund）</x:v>
      </x:c>
      <x:c r="E2321" t="str">
        <x:v>亚特兰大（Atalanta）</x:v>
      </x:c>
      <x:c r="F2321" t="str">
        <x:v>多特蒙德 -0.25（让平/半）</x:v>
      </x:c>
      <x:c r="G2321" t="str">
        <x:v>小 2.5</x:v>
      </x:c>
      <x:c r="H2321" t="str">
        <x:v>小注：平局（1X2）</x:v>
      </x:c>
      <x:c r="I2321" t="n">
        <x:v>46071.17173611111</x:v>
      </x:c>
      <x:c r="J2321" t="str">
        <x:v>已结算</x:v>
      </x:c>
      <x:c r="K2321" t="str">
        <x:v>2-0</x:v>
      </x:c>
      <x:c r="L2321" t="str">
        <x:v>赢</x:v>
      </x:c>
      <x:c r="M2321" t="str">
        <x:v>赢</x:v>
      </x:c>
      <x:c r="N2321" t="n">
        <x:v>1</x:v>
      </x:c>
      <x:c r="O2321" t="n">
        <x:v>1</x:v>
      </x:c>
      <x:c r="P2321" t="n">
        <x:f>IF(COUNT(N2321:O2321)=0,"",SUM(N2321:O2321))</x:f>
        <x:v>2</x:v>
      </x:c>
      <x:c r="Q2321"/>
      <x:c r="R2321" t="str">
        <x:v>FT 2-0；让球：多特-0.25命中；大小：小2.5命中(2球)</x:v>
      </x:c>
    </x:row>
    <x:row r="2322">
      <x:c r="A2322" t="str">
        <x:f>IF(B2322="","",TEXT(B2322,"yyyy-mm-dd")&amp;"|"&amp;D2322&amp;"|"&amp;E2322)</x:f>
        <x:v>2026-02-18|布里斯托尔城（Bristol City）|雷克斯汉姆（Wrexham）</x:v>
      </x:c>
      <x:c r="B2322" t="n">
        <x:v>46071.15625</x:v>
      </x:c>
      <x:c r="C2322" t="str">
        <x:v>英格兰冠军联赛（英冠）</x:v>
      </x:c>
      <x:c r="D2322" t="str">
        <x:v>布里斯托尔城（Bristol City）</x:v>
      </x:c>
      <x:c r="E2322" t="str">
        <x:v>雷克斯汉姆（Wrexham）</x:v>
      </x:c>
      <x:c r="F2322" t="str">
        <x:v>雷克斯汉姆 +0.25（受让平/半）</x:v>
      </x:c>
      <x:c r="G2322" t="str">
        <x:v>大 2.5</x:v>
      </x:c>
      <x:c r="H2322" t="str">
        <x:v>小注：双方进球 是（BTTS Yes）</x:v>
      </x:c>
      <x:c r="I2322" t="n">
        <x:v>46070.95800925926</x:v>
      </x:c>
      <x:c r="J2322" t="str">
        <x:v>已结算</x:v>
      </x:c>
      <x:c r="K2322" t="str">
        <x:v>2-2</x:v>
      </x:c>
      <x:c r="L2322" t="str">
        <x:v>赢半</x:v>
      </x:c>
      <x:c r="M2322" t="str">
        <x:v>赢</x:v>
      </x:c>
      <x:c r="N2322" t="n">
        <x:v>0.5</x:v>
      </x:c>
      <x:c r="O2322" t="n">
        <x:v>1</x:v>
      </x:c>
      <x:c r="P2322" t="n">
        <x:f>IF(COUNT(N2322:O2322)=0,"",SUM(N2322:O2322))</x:f>
        <x:v>1.5</x:v>
      </x:c>
      <x:c r="Q2322"/>
      <x:c r="R2322" t="str">
        <x:v>FT 2-2；让球：雷克斯汉姆+0.25赢半(平局)；大小：大2.5命中(4球)</x:v>
      </x:c>
    </x:row>
    <x:row r="2323">
      <x:c r="A2323" t="str">
        <x:f>IF(B2323="","",TEXT(B2323,"yyyy-mm-dd")&amp;"|"&amp;D2323&amp;"|"&amp;E2323)</x:f>
        <x:v>2026-02-18|查尔顿竞技（Charlton Athletic）|朴茨茅斯（Portsmouth）</x:v>
      </x:c>
      <x:c r="B2323" t="n">
        <x:v>46071.15625</x:v>
      </x:c>
      <x:c r="C2323" t="str">
        <x:v>英格兰冠军联赛（英冠）</x:v>
      </x:c>
      <x:c r="D2323" t="str">
        <x:v>查尔顿竞技（Charlton Athletic）</x:v>
      </x:c>
      <x:c r="E2323" t="str">
        <x:v>朴茨茅斯（Portsmouth）</x:v>
      </x:c>
      <x:c r="F2323" t="str">
        <x:v>查尔顿竞技 -0.25（让平/半）</x:v>
      </x:c>
      <x:c r="G2323" t="str">
        <x:v>大 2.5</x:v>
      </x:c>
      <x:c r="H2323" t="str">
        <x:v>小注：双方进球 是（BTTS Yes）</x:v>
      </x:c>
      <x:c r="I2323" t="n">
        <x:v>46070.92824074074</x:v>
      </x:c>
      <x:c r="J2323" t="str">
        <x:v>已结算</x:v>
      </x:c>
      <x:c r="K2323" t="str">
        <x:v>1-3</x:v>
      </x:c>
      <x:c r="L2323" t="str">
        <x:v>输</x:v>
      </x:c>
      <x:c r="M2323" t="str">
        <x:v>赢</x:v>
      </x:c>
      <x:c r="N2323" t="n">
        <x:v>-1</x:v>
      </x:c>
      <x:c r="O2323" t="n">
        <x:v>1</x:v>
      </x:c>
      <x:c r="P2323" t="n">
        <x:f>IF(COUNT(N2323:O2323)=0,"",SUM(N2323:O2323))</x:f>
        <x:v>0</x:v>
      </x:c>
      <x:c r="Q2323"/>
      <x:c r="R2323" t="str">
        <x:v>FT 1-3；让球：查尔顿-0.25失利；大小：大2.5命中(4球)</x:v>
      </x:c>
    </x:row>
    <x:row r="2324">
      <x:c r="A2324" t="str">
        <x:f>IF(B2324="","",TEXT(B2324,"yyyy-mm-dd")&amp;"|"&amp;D2324&amp;"|"&amp;E2324)</x:f>
        <x:v>2026-02-18|阿尔萨德（Al Sadd）|吉达伊蒂哈德（Al Ittihad）</x:v>
      </x:c>
      <x:c r="B2324" t="n">
        <x:v>46071</x:v>
      </x:c>
      <x:c r="C2324" t="str">
        <x:v>亚冠精英</x:v>
      </x:c>
      <x:c r="D2324" t="str">
        <x:v>阿尔萨德（Al Sadd）</x:v>
      </x:c>
      <x:c r="E2324" t="str">
        <x:v>吉达伊蒂哈德（Al Ittihad）</x:v>
      </x:c>
      <x:c r="F2324" t="str">
        <x:v>阿尔萨德 -0.5</x:v>
      </x:c>
      <x:c r="G2324" t="str">
        <x:v>小 2.5</x:v>
      </x:c>
      <x:c r="H2324" t="str">
        <x:v>小注：阿尔萨德 胜（1X2主胜）</x:v>
      </x:c>
      <x:c r="I2324" t="n">
        <x:v>46070.96758101852</x:v>
      </x:c>
      <x:c r="J2324" t="str">
        <x:v>已结算</x:v>
      </x:c>
      <x:c r="K2324" t="str">
        <x:v>1-4</x:v>
      </x:c>
      <x:c r="L2324" t="str">
        <x:v>输</x:v>
      </x:c>
      <x:c r="M2324" t="str">
        <x:v>输</x:v>
      </x:c>
      <x:c r="N2324" t="n">
        <x:v>-1</x:v>
      </x:c>
      <x:c r="O2324" t="n">
        <x:v>-1</x:v>
      </x:c>
      <x:c r="P2324" t="n">
        <x:f>IF(COUNT(N2324:O2324)=0,"",SUM(N2324:O2324))</x:f>
        <x:v>-2</x:v>
      </x:c>
      <x:c r="Q2324"/>
      <x:c r="R2324" t="str">
        <x:v>FT 1-4；让球：阿尔萨德-0.5失利；大小：小2.5失利(5球)</x:v>
      </x:c>
    </x:row>
    <x:row r="2325">
      <x:c r="A2325" t="str">
        <x:f>IF(B2325="","",TEXT(B2325,"yyyy-mm-dd")&amp;"|"&amp;D2325&amp;"|"&amp;E2325)</x:f>
        <x:v>2026-02-17|武里南联（Buriram United）|上海申花（Shanghai Shenhua）</x:v>
      </x:c>
      <x:c r="B2325" t="n">
        <x:v>46070.84375</x:v>
      </x:c>
      <x:c r="C2325" t="str">
        <x:v>亚冠精英</x:v>
      </x:c>
      <x:c r="D2325" t="str">
        <x:v>武里南联（Buriram United）</x:v>
      </x:c>
      <x:c r="E2325" t="str">
        <x:v>上海申花（Shanghai Shenhua）</x:v>
      </x:c>
      <x:c r="F2325" t="str">
        <x:v>武里南联 -1.0</x:v>
      </x:c>
      <x:c r="G2325" t="str">
        <x:v>小 3.0</x:v>
      </x:c>
      <x:c r="H2325" t="str">
        <x:v>小注：武里南联 -1.25（仅当≥2.00再考虑）</x:v>
      </x:c>
      <x:c r="I2325" t="n">
        <x:v>46070.83247685185</x:v>
      </x:c>
      <x:c r="J2325" t="str">
        <x:v>已结算</x:v>
      </x:c>
      <x:c r="K2325" t="str">
        <x:v>2-0</x:v>
      </x:c>
      <x:c r="L2325" t="str">
        <x:v>赢</x:v>
      </x:c>
      <x:c r="M2325" t="str">
        <x:v>赢</x:v>
      </x:c>
      <x:c r="N2325" t="n">
        <x:v>1</x:v>
      </x:c>
      <x:c r="O2325" t="n">
        <x:v>1</x:v>
      </x:c>
      <x:c r="P2325" t="n">
        <x:f>IF(COUNT(N2325:O2325)=0,"",SUM(N2325:O2325))</x:f>
        <x:v>2</x:v>
      </x:c>
      <x:c r="Q2325"/>
      <x:c r="R2325" t="str">
        <x:v>FT 2-0；让球：武里南-1赢；大小：小3.0命中</x:v>
      </x:c>
    </x:row>
    <x:row r="2326">
      <x:c r="A2326" t="str">
        <x:f>IF(B2326="","",TEXT(B2326,"yyyy-mm-dd")&amp;"|"&amp;D2326&amp;"|"&amp;E2326)</x:f>
        <x:v>2026-02-17|柔佛新山（Johor Darul Ta'zim）|神户胜利船（Vissel Kobe）</x:v>
      </x:c>
      <x:c r="B2326" t="n">
        <x:v>46070.84375</x:v>
      </x:c>
      <x:c r="C2326" t="str">
        <x:v>亚冠精英</x:v>
      </x:c>
      <x:c r="D2326" t="str">
        <x:v>柔佛新山（Johor Darul Ta'zim）</x:v>
      </x:c>
      <x:c r="E2326" t="str">
        <x:v>神户胜利船（Vissel Kobe）</x:v>
      </x:c>
      <x:c r="F2326" t="str">
        <x:v>神户胜利船 +0.5（受半球）</x:v>
      </x:c>
      <x:c r="G2326" t="str">
        <x:v>小 2.5</x:v>
      </x:c>
      <x:c r="H2326" t="str">
        <x:v>进取：平局（竞彩/1X2）</x:v>
      </x:c>
      <x:c r="I2326" t="n">
        <x:v>46070.810520833336</x:v>
      </x:c>
      <x:c r="J2326" t="str">
        <x:v>已结算</x:v>
      </x:c>
      <x:c r="K2326" t="str">
        <x:v>1-0</x:v>
      </x:c>
      <x:c r="L2326" t="str">
        <x:v>输</x:v>
      </x:c>
      <x:c r="M2326" t="str">
        <x:v>赢</x:v>
      </x:c>
      <x:c r="N2326" t="n">
        <x:v>-1</x:v>
      </x:c>
      <x:c r="O2326" t="n">
        <x:v>1</x:v>
      </x:c>
      <x:c r="P2326" t="n">
        <x:f>IF(COUNT(N2326:O2326)=0,"",SUM(N2326:O2326))</x:f>
        <x:v>0</x:v>
      </x:c>
      <x:c r="Q2326"/>
      <x:c r="R2326" t="str">
        <x:v>FT 1-0；让球：神户+0.5失利；大小：小2.5命中</x:v>
      </x:c>
    </x:row>
    <x:row r="2327">
      <x:c r="A2327" t="str">
        <x:f>IF(B2327="","",TEXT(B2327,"yyyy-mm-dd")&amp;"|"&amp;D2327&amp;"|"&amp;E2327)</x:f>
        <x:v>2026-02-17|町田泽维亚（FC町田泽维亚/Machida Zelvia）|成都蓉城（Chengdu Rongcheng）</x:v>
      </x:c>
      <x:c r="B2327" t="n">
        <x:v>46070.75</x:v>
      </x:c>
      <x:c r="C2327" t="str">
        <x:v>亚冠精英</x:v>
      </x:c>
      <x:c r="D2327" t="str">
        <x:v>町田泽维亚（FC町田泽维亚/Machida Zelvia）</x:v>
      </x:c>
      <x:c r="E2327" t="str">
        <x:v>成都蓉城（Chengdu Rongcheng）</x:v>
      </x:c>
      <x:c r="F2327" t="str">
        <x:v>町田泽维亚 -1.0</x:v>
      </x:c>
      <x:c r="G2327" t="str">
        <x:v>小 2.5</x:v>
      </x:c>
      <x:c r="H2327" t="str">
        <x:v>进取：町田泽维亚 -1.25（若临场≥1.90再考虑）</x:v>
      </x:c>
      <x:c r="I2327" t="n">
        <x:v>46070.74350694445</x:v>
      </x:c>
      <x:c r="J2327" t="str">
        <x:v>已结算</x:v>
      </x:c>
      <x:c r="K2327" t="str">
        <x:v>3-2</x:v>
      </x:c>
      <x:c r="L2327" t="str">
        <x:v>走水</x:v>
      </x:c>
      <x:c r="M2327" t="str">
        <x:v>输</x:v>
      </x:c>
      <x:c r="N2327" t="n">
        <x:v>0</x:v>
      </x:c>
      <x:c r="O2327" t="n">
        <x:v>-1</x:v>
      </x:c>
      <x:c r="P2327" t="n">
        <x:f>IF(COUNT(N2327:O2327)=0,"",SUM(N2327:O2327))</x:f>
        <x:v>-1</x:v>
      </x:c>
      <x:c r="Q2327"/>
      <x:c r="R2327" t="str">
        <x:v>FT 3-2；让球：町田-1走水(赢1)；大小：小2.5失利(5球)</x:v>
      </x:c>
    </x:row>
    <x:row r="2328">
      <x:c r="A2328" t="str">
        <x:f>IF(B2328="","",TEXT(B2328,"yyyy-mm-dd")&amp;"|"&amp;D2328&amp;"|"&amp;E2328)</x:f>
        <x:v>2026-02-17|首尔FC|广岛三箭</x:v>
      </x:c>
      <x:c r="B2328" t="n">
        <x:v>46070.75</x:v>
      </x:c>
      <x:c r="C2328" t="str">
        <x:v>亚冠精英</x:v>
      </x:c>
      <x:c r="D2328" t="str">
        <x:v>首尔FC</x:v>
      </x:c>
      <x:c r="E2328" t="str">
        <x:v>广岛三箭</x:v>
      </x:c>
      <x:c r="F2328" t="str">
        <x:v>广岛三箭 平手(0) 2.07</x:v>
      </x:c>
      <x:c r="G2328" t="str">
        <x:v>小2.5 1.91</x:v>
      </x:c>
      <x:c r="H2328" t="str">
        <x:v>进取备选：广岛三箭 -0.5 2.30（小注）｜若临场平手降到广岛-0/0.25且≥1.90，可加仓</x:v>
      </x:c>
      <x:c r="I2328" t="n">
        <x:v>46070.739756944444</x:v>
      </x:c>
      <x:c r="J2328" t="str">
        <x:v>已结算</x:v>
      </x:c>
      <x:c r="K2328" t="str">
        <x:v>2-2</x:v>
      </x:c>
      <x:c r="L2328" t="str">
        <x:v>走水</x:v>
      </x:c>
      <x:c r="M2328" t="str">
        <x:v>输</x:v>
      </x:c>
      <x:c r="N2328" t="n">
        <x:v>0</x:v>
      </x:c>
      <x:c r="O2328" t="n">
        <x:v>-1</x:v>
      </x:c>
      <x:c r="P2328" t="n">
        <x:f>IF(COUNT(N2328:O2328)=0,"",SUM(N2328:O2328))</x:f>
        <x:v>-1</x:v>
      </x:c>
      <x:c r="Q2328"/>
      <x:c r="R2328" t="str">
        <x:v>FT 2-2；让球：广岛0走水；大小：小2.5失利(4球)</x:v>
      </x:c>
    </x:row>
    <x:row r="2329">
      <x:c r="A2329" t="str">
        <x:f>IF(B2329="","",TEXT(B2329,"yyyy-mm-dd")&amp;"|"&amp;D2329&amp;"|"&amp;E2329)</x:f>
        <x:v>2026-02-17|悉尼FC（Sydney FC）|奥克兰FC（Auckland FC）</x:v>
      </x:c>
      <x:c r="B2329" t="n">
        <x:v>46070.666666666664</x:v>
      </x:c>
      <x:c r="C2329" t="str">
        <x:v>澳大利亚A联赛（A-League Men）</x:v>
      </x:c>
      <x:c r="D2329" t="str">
        <x:v>悉尼FC（Sydney FC）</x:v>
      </x:c>
      <x:c r="E2329" t="str">
        <x:v>奥克兰FC（Auckland FC）</x:v>
      </x:c>
      <x:c r="F2329" t="str">
        <x:v>悉尼FC 0（平手/DNB）</x:v>
      </x:c>
      <x:c r="G2329" t="str">
        <x:v>小 2.5</x:v>
      </x:c>
      <x:c r="H2329" t="str">
        <x:v>小注：悉尼FC 胜（1X2主胜）</x:v>
      </x:c>
      <x:c r="I2329" t="n">
        <x:v>46070.62125</x:v>
      </x:c>
      <x:c r="J2329" t="str">
        <x:v>已结算</x:v>
      </x:c>
      <x:c r="K2329" t="str">
        <x:v>1-1</x:v>
      </x:c>
      <x:c r="L2329" t="str">
        <x:v>走水</x:v>
      </x:c>
      <x:c r="M2329" t="str">
        <x:v>赢</x:v>
      </x:c>
      <x:c r="N2329" t="n">
        <x:v>0</x:v>
      </x:c>
      <x:c r="O2329" t="n">
        <x:v>1</x:v>
      </x:c>
      <x:c r="P2329" t="n">
        <x:f>IF(COUNT(N2329:O2329)=0,"",SUM(N2329:O2329))</x:f>
        <x:v>1</x:v>
      </x:c>
      <x:c r="Q2329"/>
      <x:c r="R2329" t="str">
        <x:v>FT 1-1；让球0走水；小2.5赢；备选主胜输</x:v>
      </x:c>
    </x:row>
    <x:row r="2330">
      <x:c r="A2330" t="str">
        <x:f>IF(B2330="","",TEXT(B2330,"yyyy-mm-dd")&amp;"|"&amp;D2330&amp;"|"&amp;E2330)</x:f>
        <x:v>2026-02-17|蒙得维的亚城图尔克（Montevideo City Torque）|尤文图德（Juventud de Las Piedras）</x:v>
      </x:c>
      <x:c r="B2330" t="n">
        <x:v>46070.354166666664</x:v>
      </x:c>
      <x:c r="C2330" t="str">
        <x:v>乌拉圭甲级联赛（Campeonato Uruguayo·Primera División）</x:v>
      </x:c>
      <x:c r="D2330" t="str">
        <x:v>蒙得维的亚城图尔克（Montevideo City Torque）</x:v>
      </x:c>
      <x:c r="E2330" t="str">
        <x:v>尤文图德（Juventud de Las Piedras）</x:v>
      </x:c>
      <x:c r="F2330" t="str">
        <x:v>蒙得维的亚城图尔克 -0.75（-0.5/-1）@1.975（水位0.975）</x:v>
      </x:c>
      <x:c r="G2330" t="str">
        <x:v>小2.5 @1.90（水位0.90）</x:v>
      </x:c>
      <x:c r="H2330" t="str">
        <x:v>小注搏高：蒙得维的亚城图尔克 -1.5 @2.30（约水位1.30）；或角球大9.5 @1.95（水位0.95）</x:v>
      </x:c>
      <x:c r="I2330" t="n">
        <x:v>46070.362488425926</x:v>
      </x:c>
      <x:c r="J2330" t="str">
        <x:v>已结算</x:v>
      </x:c>
      <x:c r="K2330" t="str">
        <x:v>2-2</x:v>
      </x:c>
      <x:c r="L2330" t="str">
        <x:v>输</x:v>
      </x:c>
      <x:c r="M2330" t="str">
        <x:v>输</x:v>
      </x:c>
      <x:c r="N2330" t="n">
        <x:v>-1</x:v>
      </x:c>
      <x:c r="O2330" t="n">
        <x:v>-1</x:v>
      </x:c>
      <x:c r="P2330" t="n">
        <x:f>IF(COUNT(N2330:O2330)=0,"",SUM(N2330:O2330))</x:f>
        <x:v>-2</x:v>
      </x:c>
      <x:c r="Q2330"/>
      <x:c r="R2330" t="str">
        <x:v>赛果：蒙得维的亚城图尔克 2-2 尤文图德（总进球4）。冻结推荐：图尔克-0.75 负；小2.5 负；可选图尔克-1 亦负。</x:v>
      </x:c>
    </x:row>
    <x:row r="2331">
      <x:c r="A2331" t="str">
        <x:f>IF(B2331="","",TEXT(B2331,"yyyy-mm-dd")&amp;"|"&amp;D2331&amp;"|"&amp;E2331)</x:f>
        <x:v>2026-02-17|考文垂城（Coventry City）|米德尔斯堡（Middlesbrough）</x:v>
      </x:c>
      <x:c r="B2331" t="n">
        <x:v>46070.166666666664</x:v>
      </x:c>
      <x:c r="C2331" t="str">
        <x:v>英格兰冠军联赛（英冠）</x:v>
      </x:c>
      <x:c r="D2331" t="str">
        <x:v>考文垂城（Coventry City）</x:v>
      </x:c>
      <x:c r="E2331" t="str">
        <x:v>米德尔斯堡（Middlesbrough）</x:v>
      </x:c>
      <x:c r="F2331" t="str">
        <x:v>考文垂城 -0/0.5（-0.25）@1.91</x:v>
      </x:c>
      <x:c r="G2331" t="str">
        <x:v>小 2.5/3.0（2.75）@1.85</x:v>
      </x:c>
      <x:c r="H2331" t="str">
        <x:v>小注：考文垂城 独赢(ML) @2.27；或 平局 @3.55。走地：前20-25分钟合计射正≤2、两队更偏阵地消耗（节奏紧、犯规多、禁区触球少）→可补走地小2.25（≥1.85）；若15分钟内早球/红牌或进入高转换（连续高质量禁区触球）则不加小球，转而观察走地米堡+0.5（≥1.85）或大2.25（≥1.85）小额对冲。</x:v>
      </x:c>
      <x:c r="I2331" t="n">
        <x:v>46070.28637731481</x:v>
      </x:c>
      <x:c r="J2331" t="str">
        <x:v>已结算</x:v>
      </x:c>
      <x:c r="K2331" t="str">
        <x:v>2-1</x:v>
      </x:c>
      <x:c r="L2331" t="str">
        <x:v>赢</x:v>
      </x:c>
      <x:c r="M2331" t="str">
        <x:v>输</x:v>
      </x:c>
      <x:c r="N2331" t="n">
        <x:v>1</x:v>
      </x:c>
      <x:c r="O2331" t="n">
        <x:v>-1</x:v>
      </x:c>
      <x:c r="P2331" t="n">
        <x:f>IF(COUNT(N2331:O2331)=0,"",SUM(N2331:O2331))</x:f>
        <x:v>0</x:v>
      </x:c>
      <x:c r="Q2331"/>
      <x:c r="R2331" t="str">
        <x:v>FT 2-1；考文垂-0.25赢，小2.75输</x:v>
      </x:c>
    </x:row>
    <x:row r="2332">
      <x:c r="A2332" t="str">
        <x:f>IF(B2332="","",TEXT(B2332,"yyyy-mm-dd")&amp;"|"&amp;D2332&amp;"|"&amp;E2332)</x:f>
        <x:v>2026-02-17|卡利亚里（Cagliari）|莱切（Lecce）</x:v>
      </x:c>
      <x:c r="B2332" t="n">
        <x:v>46070.15625</x:v>
      </x:c>
      <x:c r="C2332" t="str">
        <x:v>意大利甲级联赛（Serie A）</x:v>
      </x:c>
      <x:c r="D2332" t="str">
        <x:v>卡利亚里（Cagliari）</x:v>
      </x:c>
      <x:c r="E2332" t="str">
        <x:v>莱切（Lecce）</x:v>
      </x:c>
      <x:c r="F2332" t="str">
        <x:v>卡利亚里 -0/0.5（-0.25）@1.96（Pinnacle 美式-104）</x:v>
      </x:c>
      <x:c r="G2332" t="str">
        <x:v>小 2.0 @1.90（Pinnacle 美式-111）</x:v>
      </x:c>
      <x:c r="H2332" t="str">
        <x:v>小注：卡利亚里 独赢(ML) @2.30左右；更激进：正确比分 1-0 @5.50（小仓）</x:v>
      </x:c>
      <x:c r="I2332" t="n">
        <x:v>46070.03071759259</x:v>
      </x:c>
      <x:c r="J2332" t="str">
        <x:v>已结算</x:v>
      </x:c>
      <x:c r="K2332" t="str">
        <x:v>0-2</x:v>
      </x:c>
      <x:c r="L2332" t="str">
        <x:v>输</x:v>
      </x:c>
      <x:c r="M2332" t="str">
        <x:v>走水</x:v>
      </x:c>
      <x:c r="N2332" t="n">
        <x:v>-1</x:v>
      </x:c>
      <x:c r="O2332" t="n">
        <x:v>0</x:v>
      </x:c>
      <x:c r="P2332" t="n">
        <x:f>IF(COUNT(N2332:O2332)=0,"",SUM(N2332:O2332))</x:f>
        <x:v>-1</x:v>
      </x:c>
      <x:c r="Q2332"/>
      <x:c r="R2332" t="str">
        <x:v>FT 0-2；卡利亚里-0.25输，小2.0走水</x:v>
      </x:c>
    </x:row>
    <x:row r="2333">
      <x:c r="A2333" t="str">
        <x:f>IF(B2333="","",TEXT(B2333,"yyyy-mm-dd")&amp;"|"&amp;D2333&amp;"|"&amp;E2333)</x:f>
        <x:v>2026-02-17|巴格达警察（Al Shorta）|杜海勒（Al Duhail）</x:v>
      </x:c>
      <x:c r="B2333" t="n">
        <x:v>46070.09375</x:v>
      </x:c>
      <x:c r="C2333" t="str">
        <x:v>亚冠精英</x:v>
      </x:c>
      <x:c r="D2333" t="str">
        <x:v>巴格达警察（Al Shorta）</x:v>
      </x:c>
      <x:c r="E2333" t="str">
        <x:v>杜海勒（Al Duhail）</x:v>
      </x:c>
      <x:c r="F2333" t="str">
        <x:v>巴格达警察 +0.5/+1.0（+0.75）@1.98</x:v>
      </x:c>
      <x:c r="G2333" t="str">
        <x:v>小 2.5 @2.00</x:v>
      </x:c>
      <x:c r="H2333" t="str">
        <x:v>小注：平局 @3.70~3.88；或 1X（主队不败）@1.80。走地：前20-25分钟合计射正≤2、杜海勒更多是阵地推进而非高转换→可补走地小2.0/2.25（≥1.85）；若15分钟内早球/红牌或两队频繁打身后（高质量禁区触球连续出现）则不加小球，改观察走地巴格达警察+1.0（≥1.85）做风险对冲。</x:v>
      </x:c>
      <x:c r="I2333" t="n">
        <x:v>46070.02349537037</x:v>
      </x:c>
      <x:c r="J2333" t="str">
        <x:v>已结算</x:v>
      </x:c>
      <x:c r="K2333" t="str">
        <x:v>3-2</x:v>
      </x:c>
      <x:c r="L2333" t="str">
        <x:v>赢</x:v>
      </x:c>
      <x:c r="M2333" t="str">
        <x:v>输</x:v>
      </x:c>
      <x:c r="N2333" t="n">
        <x:v>1</x:v>
      </x:c>
      <x:c r="O2333" t="n">
        <x:v>-1</x:v>
      </x:c>
      <x:c r="P2333" t="n">
        <x:f>IF(COUNT(N2333:O2333)=0,"",SUM(N2333:O2333))</x:f>
        <x:v>0</x:v>
      </x:c>
      <x:c r="Q2333"/>
      <x:c r="R2333" t="str">
        <x:v>FT 3-2；巴格达警察+0.75赢，小2.5输</x:v>
      </x:c>
    </x:row>
    <x:row r="2334">
      <x:c r="A2334" t="str">
        <x:f>IF(B2334="","",TEXT(B2334,"yyyy-mm-dd")&amp;"|"&amp;D2334&amp;"|"&amp;E2334)</x:f>
        <x:v>2026-02-16|墨尔本胜利青年队（Melbourne Victory U21）|埃尔特姆红背蛛（Eltham Redbacks）</x:v>
      </x:c>
      <x:c r="B2334" t="n">
        <x:v>46069.729166666664</x:v>
      </x:c>
      <x:c r="C2334" t="str">
        <x:v>澳大利亚 维多利亚州超级联赛1（VPL1）</x:v>
      </x:c>
      <x:c r="D2334" t="str">
        <x:v>墨尔本胜利青年队（Melbourne Victory U21）</x:v>
      </x:c>
      <x:c r="E2334" t="str">
        <x:v>埃尔特姆红背蛛（Eltham Redbacks）</x:v>
      </x:c>
      <x:c r="F2334" t="str">
        <x:v>墨尔本胜利青年队 -0.5 @1.85（等同主胜）</x:v>
      </x:c>
      <x:c r="G2334" t="str">
        <x:v>小 3.5 @2.00</x:v>
      </x:c>
      <x:c r="H2334" t="str">
        <x:v>小注：平局 @2.80；走地：若前15-20分钟射正≥3且节奏明显快，可用走地大3.0/3.25（≥1.85）作对冲；若早早2球领先或红牌，放弃加仓。</x:v>
      </x:c>
      <x:c r="I2334" t="n">
        <x:v>46070.01831018519</x:v>
      </x:c>
      <x:c r="J2334" t="str">
        <x:v>已结算</x:v>
      </x:c>
      <x:c r="K2334" t="str">
        <x:v>2-1</x:v>
      </x:c>
      <x:c r="L2334" t="str">
        <x:v>赢</x:v>
      </x:c>
      <x:c r="M2334" t="str">
        <x:v>赢</x:v>
      </x:c>
      <x:c r="N2334" t="n">
        <x:v>1</x:v>
      </x:c>
      <x:c r="O2334" t="n">
        <x:v>1</x:v>
      </x:c>
      <x:c r="P2334" t="n">
        <x:f>IF(COUNT(N2334:O2334)=0,"",SUM(N2334:O2334))</x:f>
        <x:v>2</x:v>
      </x:c>
      <x:c r="Q2334"/>
      <x:c r="R2334" t="str">
        <x:v>FT 2-1；墨尔本胜利U21-0.5赢，小3.5赢</x:v>
      </x:c>
    </x:row>
    <x:row r="2335">
      <x:c r="A2335" t="str">
        <x:f>IF(B2335="","",TEXT(B2335,"yyyy-mm-dd")&amp;"|"&amp;D2335&amp;"|"&amp;E2335)</x:f>
        <x:v>2026-02-16|培斯塔坦格朗（Persita Tangerang）|PSBS巴克伦佛（PSBS Biak Numfor）</x:v>
      </x:c>
      <x:c r="B2335" t="n">
        <x:v>46069.6875</x:v>
      </x:c>
      <x:c r="C2335" t="str">
        <x:v>印度尼西亚超级联赛（印尼超/Liga 1 Indonesia）</x:v>
      </x:c>
      <x:c r="D2335" t="str">
        <x:v>培斯塔坦格朗（Persita Tangerang）</x:v>
      </x:c>
      <x:c r="E2335" t="str">
        <x:v>PSBS巴克伦佛（PSBS Biak Numfor）</x:v>
      </x:c>
      <x:c r="F2335" t="str">
        <x:v>培斯塔坦格朗 -1.0 @1.90</x:v>
      </x:c>
      <x:c r="G2335" t="str">
        <x:v>小 2.75 @1.825</x:v>
      </x:c>
      <x:c r="H2335" t="str">
        <x:v>小注：小 2.5 @1.95；或半场主胜 @1.98（赔率≥1.90再考虑）</x:v>
      </x:c>
      <x:c r="I2335" t="n">
        <x:v>46069.75828703704</x:v>
      </x:c>
      <x:c r="J2335" t="str">
        <x:v>已结算</x:v>
      </x:c>
      <x:c r="K2335" t="str">
        <x:v>2-1</x:v>
      </x:c>
      <x:c r="L2335" t="str">
        <x:v>走水</x:v>
      </x:c>
      <x:c r="M2335" t="str">
        <x:v>输半</x:v>
      </x:c>
      <x:c r="N2335" t="n">
        <x:v>0</x:v>
      </x:c>
      <x:c r="O2335" t="n">
        <x:v>-0.5</x:v>
      </x:c>
      <x:c r="P2335" t="n">
        <x:f>IF(COUNT(N2335:O2335)=0,"",SUM(N2335:O2335))</x:f>
        <x:v>-0.5</x:v>
      </x:c>
      <x:c r="Q2335"/>
      <x:c r="R2335" t="str">
        <x:v>FT 2-1；培斯塔坦格朗-1.0走水，小2.75输半</x:v>
      </x:c>
    </x:row>
    <x:row r="2336">
      <x:c r="A2336" t="str">
        <x:f>IF(B2336="","",TEXT(B2336,"yyyy-mm-dd")&amp;"|"&amp;D2336&amp;"|"&amp;E2336)</x:f>
        <x:v>2026-02-16|维多利亚（CD Victoria）|奥林匹亚（CD Olimpia）</x:v>
      </x:c>
      <x:c r="B2336" t="n">
        <x:v>46069.395833333336</x:v>
      </x:c>
      <x:c r="C2336" t="str">
        <x:v>洪都拉斯甲级联赛（Clausura）</x:v>
      </x:c>
      <x:c r="D2336" t="str">
        <x:v>维多利亚（CD Victoria）</x:v>
      </x:c>
      <x:c r="E2336" t="str">
        <x:v>奥林匹亚（CD Olimpia）</x:v>
      </x:c>
      <x:c r="F2336" t="str">
        <x:v>维多利亚 +0.5/+1.0（+0.75）@2.00</x:v>
      </x:c>
      <x:c r="G2336" t="str">
        <x:v>小 2.5 @1.95</x:v>
      </x:c>
      <x:c r="H2336" t="str">
        <x:v>小注：平局 @3.80。走地：前20-25分钟合计射正≤2、双方更多在中场纠缠→可补走地小2.0（≥1.85）；若15分钟内早球/红牌或攻防转换明显提速（连续高质量禁区触球）则不加小球，改观察走地维多利亚+1.0（≥1.85）对冲。</x:v>
      </x:c>
      <x:c r="I2336" t="n">
        <x:v>46069.40635416667</x:v>
      </x:c>
      <x:c r="J2336" t="str">
        <x:v>已结算</x:v>
      </x:c>
      <x:c r="K2336" t="str">
        <x:v>2-1</x:v>
      </x:c>
      <x:c r="L2336" t="str">
        <x:v>赢</x:v>
      </x:c>
      <x:c r="M2336" t="str">
        <x:v>输</x:v>
      </x:c>
      <x:c r="N2336" t="n">
        <x:v>1</x:v>
      </x:c>
      <x:c r="O2336" t="n">
        <x:v>-1</x:v>
      </x:c>
      <x:c r="P2336" t="n">
        <x:f>IF(COUNT(N2336:O2336)=0,"",SUM(N2336:O2336))</x:f>
        <x:v>0</x:v>
      </x:c>
      <x:c r="Q2336"/>
      <x:c r="R2336" t="str">
        <x:v>FT 2-1；维多利亚+0.75赢，小2.5输</x:v>
      </x:c>
    </x:row>
    <x:row r="2337">
      <x:c r="A2337" t="str">
        <x:f>IF(B2337="","",TEXT(B2337,"yyyy-mm-dd")&amp;"|"&amp;D2337&amp;"|"&amp;E2337)</x:f>
        <x:v>2026-02-16|福塔雷绍查（Fortaleza CEIF）|茨高（Boyacá Chicó）</x:v>
      </x:c>
      <x:c r="B2337" t="n">
        <x:v>46069.395833333336</x:v>
      </x:c>
      <x:c r="C2337" t="str">
        <x:v>哥伦比亚甲级联赛（Liga BetPlay DIMAYOR）</x:v>
      </x:c>
      <x:c r="D2337" t="str">
        <x:v>福塔雷绍查（Fortaleza CEIF）</x:v>
      </x:c>
      <x:c r="E2337" t="str">
        <x:v>茨高（Boyacá Chicó）</x:v>
      </x:c>
      <x:c r="F2337" t="str">
        <x:v>福塔雷绍查 -0.5/-1.0（-0.75）@1.80</x:v>
      </x:c>
      <x:c r="G2337" t="str">
        <x:v>小 2/2.5（2.25）@1.88</x:v>
      </x:c>
      <x:c r="H2337" t="str">
        <x:v>小注：福塔雷绍查 -1.0 @2.05（更激进，赢1球走水）；或 半场 福塔雷绍查 -0/0.5（-0.25）@1.90左右。走地：前20-25分钟合计射正≤2且更多在中场消耗→可补走地小2.0（≥1.85）；若20分钟内出现早球/红牌或两队持续高质量禁区触球（节奏明显偏快）则不加小球，转而等福塔雷绍查走地-0.25/-0.5（≥1.85）再介入。</x:v>
      </x:c>
      <x:c r="I2337" t="n">
        <x:v>46069.36938657407</x:v>
      </x:c>
      <x:c r="J2337" t="str">
        <x:v>已结算</x:v>
      </x:c>
      <x:c r="K2337" t="str">
        <x:v>2-1</x:v>
      </x:c>
      <x:c r="L2337" t="str">
        <x:v>赢</x:v>
      </x:c>
      <x:c r="M2337" t="str">
        <x:v>输</x:v>
      </x:c>
      <x:c r="N2337" t="n">
        <x:v>1</x:v>
      </x:c>
      <x:c r="O2337" t="n">
        <x:v>-1</x:v>
      </x:c>
      <x:c r="P2337" t="n">
        <x:f>IF(COUNT(N2337:O2337)=0,"",SUM(N2337:O2337))</x:f>
        <x:v>0</x:v>
      </x:c>
      <x:c r="Q2337"/>
      <x:c r="R2337" t="str">
        <x:v>FT 2-1；福塔雷绍查-0.75赢，小2.25输</x:v>
      </x:c>
    </x:row>
    <x:row r="2338">
      <x:c r="A2338" t="str">
        <x:f>IF(B2338="","",TEXT(B2338,"yyyy-mm-dd")&amp;"|"&amp;D2338&amp;"|"&amp;E2338)</x:f>
        <x:v>2026-02-16|罗萨里奥中央（Rosario Central）|巴拉卡斯中央（Barracas Central）</x:v>
      </x:c>
      <x:c r="B2338" t="n">
        <x:v>46069.375</x:v>
      </x:c>
      <x:c r="C2338" t="str">
        <x:v>阿根廷职业联赛（Liga Profesional·Apertura）</x:v>
      </x:c>
      <x:c r="D2338" t="str">
        <x:v>罗萨里奥中央（Rosario Central）</x:v>
      </x:c>
      <x:c r="E2338" t="str">
        <x:v>巴拉卡斯中央（Barracas Central）</x:v>
      </x:c>
      <x:c r="F2338" t="str">
        <x:v>巴拉卡斯中央 +0.5/+1.0（+0.75）@2.02</x:v>
      </x:c>
      <x:c r="G2338" t="str">
        <x:v>小 2.5 @1.84</x:v>
      </x:c>
      <x:c r="H2338" t="str">
        <x:v>小注：客队不败（X2）@2.30；或 平局 @3.50。走地：前20-25分钟合计射正≤2、两队更多在中场拉扯→可补走地小2.0/2.25（≥1.85）；若15分钟内早球/红牌或比赛进入高转换（连续高质量禁区触球）则不加小球，改观察走地巴拉卡斯+1.0（≥1.85）或大1.5/2.0（≥1.85）小额对冲。</x:v>
      </x:c>
      <x:c r="I2338" t="n">
        <x:v>46069.3725462963</x:v>
      </x:c>
      <x:c r="J2338" t="str">
        <x:v>已结算</x:v>
      </x:c>
      <x:c r="K2338" t="str">
        <x:v>2-0</x:v>
      </x:c>
      <x:c r="L2338" t="str">
        <x:v>输</x:v>
      </x:c>
      <x:c r="M2338" t="str">
        <x:v>赢</x:v>
      </x:c>
      <x:c r="N2338" t="n">
        <x:v>-1</x:v>
      </x:c>
      <x:c r="O2338" t="n">
        <x:v>1</x:v>
      </x:c>
      <x:c r="P2338" t="n">
        <x:f>IF(COUNT(N2338:O2338)=0,"",SUM(N2338:O2338))</x:f>
        <x:v>0</x:v>
      </x:c>
      <x:c r="Q2338"/>
      <x:c r="R2338" t="str">
        <x:v>FT 2-0；巴拉卡斯+0.75输，小2.5赢</x:v>
      </x:c>
    </x:row>
    <x:row r="2339">
      <x:c r="A2339" t="str">
        <x:f>IF(B2339="","",TEXT(B2339,"yyyy-mm-dd")&amp;"|"&amp;D2339&amp;"|"&amp;E2339)</x:f>
        <x:v>2026-02-16|卡利体育会（Deportivo Cali）|国民竞技（Atlético Nacional）</x:v>
      </x:c>
      <x:c r="B2339" t="n">
        <x:v>46069.3125</x:v>
      </x:c>
      <x:c r="C2339" t="str">
        <x:v>哥伦比亚甲级联赛（Liga BetPlay DIMAYOR）</x:v>
      </x:c>
      <x:c r="D2339" t="str">
        <x:v>卡利体育会（Deportivo Cali）</x:v>
      </x:c>
      <x:c r="E2339" t="str">
        <x:v>国民竞技（Atlético Nacional）</x:v>
      </x:c>
      <x:c r="F2339" t="str">
        <x:v>卡利体育会 +0/0.5（+0.25）@1.88</x:v>
      </x:c>
      <x:c r="G2339" t="str">
        <x:v>小 2/2.5（2.25）@2.00</x:v>
      </x:c>
      <x:c r="H2339" t="str">
        <x:v>小注：平局 @3.30左右；或 卡利体育会 DNB（平手）@2.40左右。备选：BTTS 否 @1.85。走地：前20-25分钟合计射正≤2、更多中场纠缠→可补走地小2.0（≥1.85）；若早球/红牌或两队转换明显提速（连续高质量禁区触球）则不加小球，改观察走地卡利+0.5/0.25（≥1.85）对冲。</x:v>
      </x:c>
      <x:c r="I2339" t="n">
        <x:v>46069.309537037036</x:v>
      </x:c>
      <x:c r="J2339" t="str">
        <x:v>已结算</x:v>
      </x:c>
      <x:c r="K2339" t="str">
        <x:v>1-1</x:v>
      </x:c>
      <x:c r="L2339" t="str">
        <x:v>赢</x:v>
      </x:c>
      <x:c r="M2339" t="str">
        <x:v>赢</x:v>
      </x:c>
      <x:c r="N2339" t="n">
        <x:v>1</x:v>
      </x:c>
      <x:c r="O2339" t="n">
        <x:v>1</x:v>
      </x:c>
      <x:c r="P2339" t="n">
        <x:f>IF(COUNT(N2339:O2339)=0,"",SUM(N2339:O2339))</x:f>
        <x:v>2</x:v>
      </x:c>
      <x:c r="Q2339"/>
      <x:c r="R2339" t="str">
        <x:v>FT 1-1；卡利+0.25赢，小2.25赢</x:v>
      </x:c>
    </x:row>
    <x:row r="2340">
      <x:c r="A2340" t="str">
        <x:f>IF(B2340="","",TEXT(B2340,"yyyy-mm-dd")&amp;"|"&amp;D2340&amp;"|"&amp;E2340)</x:f>
        <x:v>2026-02-16|桑托斯拉古纳（Santos Laguna）|马萨特兰（Mazatlán FC）</x:v>
      </x:c>
      <x:c r="B2340" t="n">
        <x:v>46069.291666666664</x:v>
      </x:c>
      <x:c r="C2340" t="str">
        <x:v>墨西哥超（Liga MX，Clausura）</x:v>
      </x:c>
      <x:c r="D2340" t="str">
        <x:v>桑托斯拉古纳（Santos Laguna）</x:v>
      </x:c>
      <x:c r="E2340" t="str">
        <x:v>马萨特兰（Mazatlán FC）</x:v>
      </x:c>
      <x:c r="F2340" t="str">
        <x:v>马萨特兰 +0.5 @1.95</x:v>
      </x:c>
      <x:c r="G2340" t="str">
        <x:v>小 2.5 @2.17</x:v>
      </x:c>
      <x:c r="H2340" t="str">
        <x:v>小注：BTTS 否 @2.25；或 马萨特兰 DNB（平局退款）@2.85。走地：前20-25分钟合计射正≤2且双方更多在中场拉扯→可补走地小2.0/2.25（≥1.85）；若15分钟内早球/红牌或两队转换极快（连续高质量禁区触球）则不加小球，改观察走地马萨特兰+0.25（≥1.85）或大2.0（≥1.85）对冲。</x:v>
      </x:c>
      <x:c r="I2340" t="n">
        <x:v>46069.30269675926</x:v>
      </x:c>
      <x:c r="J2340" t="str">
        <x:v>已结算</x:v>
      </x:c>
      <x:c r="K2340" t="str">
        <x:v>2-2</x:v>
      </x:c>
      <x:c r="L2340" t="str">
        <x:v>赢</x:v>
      </x:c>
      <x:c r="M2340" t="str">
        <x:v>输</x:v>
      </x:c>
      <x:c r="N2340" t="n">
        <x:v>1</x:v>
      </x:c>
      <x:c r="O2340" t="n">
        <x:v>-1</x:v>
      </x:c>
      <x:c r="P2340" t="n">
        <x:f>IF(COUNT(N2340:O2340)=0,"",SUM(N2340:O2340))</x:f>
        <x:v>0</x:v>
      </x:c>
      <x:c r="Q2340"/>
      <x:c r="R2340" t="str">
        <x:v>FT 2-2；马萨特兰+0.5赢，小2.5输</x:v>
      </x:c>
    </x:row>
    <x:row r="2341">
      <x:c r="A2341" t="str">
        <x:f>IF(B2341="","",TEXT(B2341,"yyyy-mm-dd")&amp;"|"&amp;D2341&amp;"|"&amp;E2341)</x:f>
        <x:v>2026-02-16|蓝十字（Cruz Azul）|老虎大学（Tigres UANL）</x:v>
      </x:c>
      <x:c r="B2341" t="n">
        <x:v>46069.270833333336</x:v>
      </x:c>
      <x:c r="C2341" t="str">
        <x:v>墨西哥超（Liga MX，Clausura）</x:v>
      </x:c>
      <x:c r="D2341" t="str">
        <x:v>蓝十字（Cruz Azul）</x:v>
      </x:c>
      <x:c r="E2341" t="str">
        <x:v>老虎大学（Tigres UANL）</x:v>
      </x:c>
      <x:c r="F2341" t="str">
        <x:v>蓝十字 -0/0.5（-0.25）@2.02</x:v>
      </x:c>
      <x:c r="G2341" t="str">
        <x:v>小 2.5 @1.85</x:v>
      </x:c>
      <x:c r="H2341" t="str">
        <x:v>小注：平局 @3.25；或 蓝十字 独赢(ML) @2.45。走地：前20-25分钟合计射正≤2、双方更多在中场拉扯→可补走地小2.0（≥1.85）；若15分钟内早球/红牌或节奏极快（连续高质量禁区触球、转换频繁）则不加小球，转而观察走地大2.0/2.25（≥1.85）对冲。</x:v>
      </x:c>
      <x:c r="I2341" t="n">
        <x:v>46069.25554398148</x:v>
      </x:c>
      <x:c r="J2341" t="str">
        <x:v>已结算</x:v>
      </x:c>
      <x:c r="K2341" t="str">
        <x:v>2-1</x:v>
      </x:c>
      <x:c r="L2341" t="str">
        <x:v>赢</x:v>
      </x:c>
      <x:c r="M2341" t="str">
        <x:v>输</x:v>
      </x:c>
      <x:c r="N2341" t="n">
        <x:v>1</x:v>
      </x:c>
      <x:c r="O2341" t="n">
        <x:v>-1</x:v>
      </x:c>
      <x:c r="P2341" t="n">
        <x:f>IF(COUNT(N2341:O2341)=0,"",SUM(N2341:O2341))</x:f>
        <x:v>0</x:v>
      </x:c>
      <x:c r="Q2341"/>
      <x:c r="R2341" t="str">
        <x:v>FT 2-1；蓝十字-0.25赢，小2.5输</x:v>
      </x:c>
    </x:row>
    <x:row r="2342">
      <x:c r="A2342" t="str">
        <x:f>IF(B2342="","",TEXT(B2342,"yyyy-mm-dd")&amp;"|"&amp;D2342&amp;"|"&amp;E2342)</x:f>
        <x:v>2026-02-16|托利马（Deportes Tolima）|云斯卡尔达斯（Once Caldas）</x:v>
      </x:c>
      <x:c r="B2342" t="n">
        <x:v>46069.22222222222</x:v>
      </x:c>
      <x:c r="C2342" t="str">
        <x:v>哥伦比亚甲级联赛（Liga BetPlay DIMAYOR）</x:v>
      </x:c>
      <x:c r="D2342" t="str">
        <x:v>托利马（Deportes Tolima）</x:v>
      </x:c>
      <x:c r="E2342" t="str">
        <x:v>云斯卡尔达斯（Once Caldas）</x:v>
      </x:c>
      <x:c r="F2342" t="str">
        <x:v>托利马 -0/0.5（-0.25）@1.99</x:v>
      </x:c>
      <x:c r="G2342" t="str">
        <x:v>小 2/2.5（2.25）@1.95</x:v>
      </x:c>
      <x:c r="H2342" t="str">
        <x:v>小注：托利马 胜（ML）@2.15；更激进：托利马 -0.5 @2.35（仅当临场主队首发进攻线齐整/水位不降破1.85再考虑）。走地：前20-25分钟合计射正≤2且双方推进质量一般→可补走地小2.0（≥1.85）；若早球/红牌或出现连续高质量禁区触球则不加小球，改观察走地托利马-0.25（≥1.85）。</x:v>
      </x:c>
      <x:c r="I2342" t="n">
        <x:v>46069.24065972222</x:v>
      </x:c>
      <x:c r="J2342" t="str">
        <x:v>已结算</x:v>
      </x:c>
      <x:c r="K2342" t="str">
        <x:v>2-1</x:v>
      </x:c>
      <x:c r="L2342" t="str">
        <x:v>赢</x:v>
      </x:c>
      <x:c r="M2342" t="str">
        <x:v>输</x:v>
      </x:c>
      <x:c r="N2342" t="n">
        <x:v>1</x:v>
      </x:c>
      <x:c r="O2342" t="n">
        <x:v>-1</x:v>
      </x:c>
      <x:c r="P2342" t="n">
        <x:f>IF(COUNT(N2342:O2342)=0,"",SUM(N2342:O2342))</x:f>
        <x:v>0</x:v>
      </x:c>
      <x:c r="Q2342" t="str">
        <x:v>SofaScore</x:v>
      </x:c>
      <x:c r="R2342" t="str">
        <x:v>校正赛果：托利马（Deportes Tolima） 2-1 云斯卡尔达斯（Once Caldas）；让球：托利马 -0.25 -&gt; 赢（1）；大小：小2.25 -&gt; 输（-1）；来源：SofaScore。</x:v>
      </x:c>
    </x:row>
    <x:row r="2343">
      <x:c r="A2343" t="str">
        <x:f>IF(B2343="","",TEXT(B2343,"yyyy-mm-dd")&amp;"|"&amp;D2343&amp;"|"&amp;E2343)</x:f>
        <x:v>2026-02-16|慕尼斯帕尔利比亚（Municipal Liberia）|萨普里萨（Deportivo Saprissa）</x:v>
      </x:c>
      <x:c r="B2343" t="n">
        <x:v>46069.208333333336</x:v>
      </x:c>
      <x:c r="C2343" t="str">
        <x:v>哥斯达黎加甲（Primera Division）</x:v>
      </x:c>
      <x:c r="D2343" t="str">
        <x:v>慕尼斯帕尔利比亚（Municipal Liberia）</x:v>
      </x:c>
      <x:c r="E2343" t="str">
        <x:v>萨普里萨（Deportivo Saprissa）</x:v>
      </x:c>
      <x:c r="F2343" t="str">
        <x:v>萨普里萨 -0.5 @2.05</x:v>
      </x:c>
      <x:c r="G2343" t="str">
        <x:v>大 2.5 @1.80</x:v>
      </x:c>
      <x:c r="H2343" t="str">
        <x:v>小注：BTTS 是 @1.83；或 萨普里萨 胜（ML）@2.05。走地：前20-25分钟合计射正≥3且双方禁区触球频繁→可补走地大2.0/2.25（≥1.85）；若节奏慢（射正≤1、更多中场纠缠）则不加大球，反而等小2.5/2.25回到≥1.90再考虑对冲。若早红牌/点球导致比赛节奏异常，则停止追加。</x:v>
      </x:c>
      <x:c r="I2343" t="n">
        <x:v>46069.17586805556</x:v>
      </x:c>
      <x:c r="J2343" t="str">
        <x:v>已结算</x:v>
      </x:c>
      <x:c r="K2343" t="str">
        <x:v>0-1</x:v>
      </x:c>
      <x:c r="L2343" t="str">
        <x:v>赢</x:v>
      </x:c>
      <x:c r="M2343" t="str">
        <x:v>输</x:v>
      </x:c>
      <x:c r="N2343" t="n">
        <x:v>1</x:v>
      </x:c>
      <x:c r="O2343" t="n">
        <x:v>-1</x:v>
      </x:c>
      <x:c r="P2343" t="n">
        <x:f>IF(COUNT(N2343:O2343)=0,"",SUM(N2343:O2343))</x:f>
        <x:v>0</x:v>
      </x:c>
      <x:c r="Q2343"/>
      <x:c r="R2343" t="str">
        <x:v>FT 0-1；萨普里萨-0.5赢，大2.5输</x:v>
      </x:c>
    </x:row>
    <x:row r="2344">
      <x:c r="A2344" t="str">
        <x:f>IF(B2344="","",TEXT(B2344,"yyyy-mm-dd")&amp;"|"&amp;D2344&amp;"|"&amp;E2344)</x:f>
        <x:v>2026-02-16|拉普拉塔体操（Gimnasia La Plata）|拉普拉塔大学生（Estudiantes de La Plata）</x:v>
      </x:c>
      <x:c r="B2344" t="n">
        <x:v>46069.166666666664</x:v>
      </x:c>
      <x:c r="C2344" t="str">
        <x:v>阿根廷职业联赛（Liga Profesional·Apertura）</x:v>
      </x:c>
      <x:c r="D2344" t="str">
        <x:v>拉普拉塔体操（Gimnasia La Plata）</x:v>
      </x:c>
      <x:c r="E2344" t="str">
        <x:v>拉普拉塔大学生（Estudiantes de La Plata）</x:v>
      </x:c>
      <x:c r="F2344" t="str">
        <x:v>拉普拉塔体操 +0/0.5（+0.25）@1.86</x:v>
      </x:c>
      <x:c r="G2344" t="str">
        <x:v>小 1.5 @2.25</x:v>
      </x:c>
      <x:c r="H2344" t="str">
        <x:v>小注：平局 @2.90；搏冷：0-0 @5.00。走地：前20-25分钟合计射正≤2且犯规多/节奏断，可补走地小2.0（≥1.85）；若早球/红牌/点球则不加小球。</x:v>
      </x:c>
      <x:c r="I2344" t="n">
        <x:v>46069.1859375</x:v>
      </x:c>
      <x:c r="J2344" t="str">
        <x:v>已结算</x:v>
      </x:c>
      <x:c r="K2344" t="str">
        <x:v>0-0</x:v>
      </x:c>
      <x:c r="L2344" t="str">
        <x:v>赢半</x:v>
      </x:c>
      <x:c r="M2344" t="str">
        <x:v>赢</x:v>
      </x:c>
      <x:c r="N2344" t="n">
        <x:v>0.5</x:v>
      </x:c>
      <x:c r="O2344" t="n">
        <x:v>1</x:v>
      </x:c>
      <x:c r="P2344" t="n">
        <x:f>IF(COUNT(N2344:O2344)=0,"",SUM(N2344:O2344))</x:f>
        <x:v>1.5</x:v>
      </x:c>
      <x:c r="Q2344"/>
      <x:c r="R2344" t="str">
        <x:v>FT 0-0；体操+0.25赢半，小1.5赢</x:v>
      </x:c>
    </x:row>
    <x:row r="2345">
      <x:c r="A2345" t="str">
        <x:f>IF(B2345="","",TEXT(B2345,"yyyy-mm-dd")&amp;"|"&amp;D2345&amp;"|"&amp;E2345)</x:f>
        <x:v>2026-02-16|马洛卡（RCD Mallorca）|皇家贝蒂斯（Real Betis）</x:v>
      </x:c>
      <x:c r="B2345" t="n">
        <x:v>46069.166666666664</x:v>
      </x:c>
      <x:c r="C2345" t="str">
        <x:v>西甲（LaLiga）</x:v>
      </x:c>
      <x:c r="D2345" t="str">
        <x:v>马洛卡（RCD Mallorca）</x:v>
      </x:c>
      <x:c r="E2345" t="str">
        <x:v>皇家贝蒂斯（Real Betis）</x:v>
      </x:c>
      <x:c r="F2345" t="str">
        <x:v>马洛卡 +0/0.5（+0.25）@1.84</x:v>
      </x:c>
      <x:c r="G2345" t="str">
        <x:v>小 2.0 @2.05</x:v>
      </x:c>
      <x:c r="H2345" t="str">
        <x:v>小注：BTTS 否 @1.95；或 马洛卡 0（平手/DNB）@2.05。走地：前20-25分钟合计射正≤2且双方推进偏慢→可补走地小1.5/1.75（≥1.85）；若早球/红牌或节奏极快（连续高质量禁区触球）则不加小球，避免追反向。</x:v>
      </x:c>
      <x:c r="I2345" t="n">
        <x:v>46069.18168981482</x:v>
      </x:c>
      <x:c r="J2345" t="str">
        <x:v>已结算</x:v>
      </x:c>
      <x:c r="K2345" t="str">
        <x:v>1-2</x:v>
      </x:c>
      <x:c r="L2345" t="str">
        <x:v>输</x:v>
      </x:c>
      <x:c r="M2345" t="str">
        <x:v>输</x:v>
      </x:c>
      <x:c r="N2345" t="n">
        <x:v>-1</x:v>
      </x:c>
      <x:c r="O2345" t="n">
        <x:v>-1</x:v>
      </x:c>
      <x:c r="P2345" t="n">
        <x:f>IF(COUNT(N2345:O2345)=0,"",SUM(N2345:O2345))</x:f>
        <x:v>-2</x:v>
      </x:c>
      <x:c r="Q2345"/>
      <x:c r="R2345" t="str">
        <x:v>FT 1-2；马洛卡+0.25输，小2.0输</x:v>
      </x:c>
    </x:row>
    <x:row r="2346">
      <x:c r="A2346" t="str">
        <x:f>IF(B2346="","",TEXT(B2346,"yyyy-mm-dd")&amp;"|"&amp;D2346&amp;"|"&amp;E2346)</x:f>
        <x:v>2026-02-16|那不勒斯（Napoli）|罗马（AS Roma）</x:v>
      </x:c>
      <x:c r="B2346" t="n">
        <x:v>46069.15625</x:v>
      </x:c>
      <x:c r="C2346" t="str">
        <x:v>意大利甲级联赛（Serie A）</x:v>
      </x:c>
      <x:c r="D2346" t="str">
        <x:v>那不勒斯（Napoli）</x:v>
      </x:c>
      <x:c r="E2346" t="str">
        <x:v>罗马（AS Roma）</x:v>
      </x:c>
      <x:c r="F2346" t="str">
        <x:v>那不勒斯 -0/0.5（-0.25）@1.97</x:v>
      </x:c>
      <x:c r="G2346" t="str">
        <x:v>小 2/2.5（2.25）@2.14</x:v>
      </x:c>
      <x:c r="H2346" t="str">
        <x:v>小注：平局 @2.65-2.80；或 BTTS 是 @1.95。走地：前20-25分钟合计射正≤2且双方节奏偏慢，可补走地小2.0（≥1.85）；若早球/红牌则不加小球</x:v>
      </x:c>
      <x:c r="I2346" t="n">
        <x:v>46069.172268518516</x:v>
      </x:c>
      <x:c r="J2346" t="str">
        <x:v>已结算</x:v>
      </x:c>
      <x:c r="K2346" t="str">
        <x:v>2-2</x:v>
      </x:c>
      <x:c r="L2346" t="str">
        <x:v>输半</x:v>
      </x:c>
      <x:c r="M2346" t="str">
        <x:v>输</x:v>
      </x:c>
      <x:c r="N2346" t="n">
        <x:v>-0.5</x:v>
      </x:c>
      <x:c r="O2346" t="n">
        <x:v>-1</x:v>
      </x:c>
      <x:c r="P2346" t="n">
        <x:f>IF(COUNT(N2346:O2346)=0,"",SUM(N2346:O2346))</x:f>
        <x:v>-1.5</x:v>
      </x:c>
      <x:c r="Q2346"/>
      <x:c r="R2346" t="str">
        <x:v>FT 2-2；那不勒斯-0.25输半，小2.25输</x:v>
      </x:c>
    </x:row>
    <x:row r="2347">
      <x:c r="A2347" t="str">
        <x:f>IF(B2347="","",TEXT(B2347,"yyyy-mm-dd")&amp;"|"&amp;D2347&amp;"|"&amp;E2347)</x:f>
        <x:v>2026-02-15|克雷莫纳（Cremonese）|热那亚（Genoa）</x:v>
      </x:c>
      <x:c r="B2347" t="n">
        <x:v>46068.916666666664</x:v>
      </x:c>
      <x:c r="C2347" t="str">
        <x:v>意大利甲级联赛（Serie A）</x:v>
      </x:c>
      <x:c r="D2347" t="str">
        <x:v>克雷莫纳（Cremonese）</x:v>
      </x:c>
      <x:c r="E2347" t="str">
        <x:v>热那亚（Genoa）</x:v>
      </x:c>
      <x:c r="F2347" t="str">
        <x:v>热那亚 -0/0.5（-0.25）@2.05</x:v>
      </x:c>
      <x:c r="G2347" t="str">
        <x:v>小 2.0 @1.95</x:v>
      </x:c>
      <x:c r="H2347" t="str">
        <x:v>小注：BTTS 否 @1.82；或 平局 @2.75。走地：前20-25分钟合计射正≤2、且双方推进质量一般（更多在中场纠缠）→ 可补走地小1.75（≥1.85）；若15分钟内早球/红牌则不加小球，改观察热那亚走地-0.25（≥1.85）机会。</x:v>
      </x:c>
      <x:c r="I2347" t="n">
        <x:v>46068.92332175926</x:v>
      </x:c>
      <x:c r="J2347" t="str">
        <x:v>已结算</x:v>
      </x:c>
      <x:c r="K2347" t="str">
        <x:v>0-0</x:v>
      </x:c>
      <x:c r="L2347" t="str">
        <x:v>输半</x:v>
      </x:c>
      <x:c r="M2347" t="str">
        <x:v>赢</x:v>
      </x:c>
      <x:c r="N2347" t="n">
        <x:v>-0.5</x:v>
      </x:c>
      <x:c r="O2347" t="n">
        <x:v>1</x:v>
      </x:c>
      <x:c r="P2347" t="n">
        <x:f>IF(COUNT(N2347:O2347)=0,"",SUM(N2347:O2347))</x:f>
        <x:v>0.5</x:v>
      </x:c>
      <x:c r="Q2347" t="str">
        <x:v>SofaScore</x:v>
      </x:c>
      <x:c r="R2347" t="str">
        <x:v>校正赛果：克雷莫纳（Cremonese） 0-0 热那亚（Genoa）；让球：热那亚 -0.25 -&gt; 输半（-0.5）；大小：小2.0 -&gt; 赢（1）；来源：SofaScore。</x:v>
      </x:c>
    </x:row>
    <x:row r="2348">
      <x:c r="A2348" t="str">
        <x:f>IF(B2348="","",TEXT(B2348,"yyyy-mm-dd")&amp;"|"&amp;D2348&amp;"|"&amp;E2348)</x:f>
        <x:v>2026-02-15|斯托克城（Stoke City）|富勒姆（Fulham）</x:v>
      </x:c>
      <x:c r="B2348" t="n">
        <x:v>46068.916666666664</x:v>
      </x:c>
      <x:c r="C2348" t="str">
        <x:v>英格兰足总杯（FA Cup）</x:v>
      </x:c>
      <x:c r="D2348" t="str">
        <x:v>斯托克城（Stoke City）</x:v>
      </x:c>
      <x:c r="E2348" t="str">
        <x:v>富勒姆（Fulham）</x:v>
      </x:c>
      <x:c r="F2348" t="str">
        <x:v>富勒姆 -0.75（-3/4）@1.85</x:v>
      </x:c>
      <x:c r="G2348" t="str">
        <x:v>小 2.75（2 3/4）@1.90</x:v>
      </x:c>
      <x:c r="H2348" t="str">
        <x:v>小注：BTTS 否 @1.85。走地：前20-25分钟合计射正≤2且斯托克城反击质量一般，可补走地小2.25/2.0（≥1.85）；若10分钟内早球/红牌或节奏极快（持续高压+多次禁区触球）则不加小球，改观察是否走地补富勒姆-0.25/-0.5。</x:v>
      </x:c>
      <x:c r="I2348" t="n">
        <x:v>46068.91824074074</x:v>
      </x:c>
      <x:c r="J2348" t="str">
        <x:v>已结算</x:v>
      </x:c>
      <x:c r="K2348" t="str">
        <x:v>1-2</x:v>
      </x:c>
      <x:c r="L2348" t="str">
        <x:v>赢半</x:v>
      </x:c>
      <x:c r="M2348" t="str">
        <x:v>输半</x:v>
      </x:c>
      <x:c r="N2348" t="n">
        <x:v>0.5</x:v>
      </x:c>
      <x:c r="O2348" t="n">
        <x:v>-0.5</x:v>
      </x:c>
      <x:c r="P2348" t="n">
        <x:f>IF(COUNT(N2348:O2348)=0,"",SUM(N2348:O2348))</x:f>
        <x:v>0</x:v>
      </x:c>
      <x:c r="Q2348"/>
      <x:c r="R2348" t="str">
        <x:v>FT 1-2；富勒姆-0.75赢半，小2.75输半</x:v>
      </x:c>
    </x:row>
    <x:row r="2349">
      <x:c r="A2349" t="str">
        <x:f>IF(B2349="","",TEXT(B2349,"yyyy-mm-dd")&amp;"|"&amp;D2349&amp;"|"&amp;E2349)</x:f>
        <x:v>2026-02-15|皇家奥维耶多（Real Oviedo）|毕尔巴鄂竞技（Athletic Club Bilbao）</x:v>
      </x:c>
      <x:c r="B2349" t="n">
        <x:v>46068.875</x:v>
      </x:c>
      <x:c r="C2349" t="str">
        <x:v>西甲（LaLiga）</x:v>
      </x:c>
      <x:c r="D2349" t="str">
        <x:v>皇家奥维耶多（Real Oviedo）</x:v>
      </x:c>
      <x:c r="E2349" t="str">
        <x:v>毕尔巴鄂竞技（Athletic Club Bilbao）</x:v>
      </x:c>
      <x:c r="F2349" t="str">
        <x:v>皇家奥维耶多 +0/0.5（+0.25）@1.92</x:v>
      </x:c>
      <x:c r="G2349" t="str">
        <x:v>大 2.5 @2.30</x:v>
      </x:c>
      <x:c r="H2349" t="str">
        <x:v>小注：皇家奥维耶多 0（平手/DNB）@2.40左右；或 平局 @2.85。走地：前20-25分钟合计射正≥3且推进速度快，可补走地大2.0/2.25（≥1.85）；若节奏慢/久攻不入则不加大球，避免追高。</x:v>
      </x:c>
      <x:c r="I2349" t="n">
        <x:v>46068.87642361111</x:v>
      </x:c>
      <x:c r="J2349" t="str">
        <x:v>已结算</x:v>
      </x:c>
      <x:c r="K2349" t="str">
        <x:v>1-2</x:v>
      </x:c>
      <x:c r="L2349" t="str">
        <x:v>输</x:v>
      </x:c>
      <x:c r="M2349" t="str">
        <x:v>赢</x:v>
      </x:c>
      <x:c r="N2349" t="n">
        <x:v>-1</x:v>
      </x:c>
      <x:c r="O2349" t="n">
        <x:v>1</x:v>
      </x:c>
      <x:c r="P2349" t="n">
        <x:f>IF(COUNT(N2349:O2349)=0,"",SUM(N2349:O2349))</x:f>
        <x:v>0</x:v>
      </x:c>
      <x:c r="Q2349" t="str">
        <x:v>SofaScore</x:v>
      </x:c>
      <x:c r="R2349" t="str">
        <x:v>校正赛果：皇家奥维耶多（Real Oviedo） 1-2 毕尔巴鄂竞技（Athletic Club Bilbao）；让球：皇家奥维耶多 +0.25 -&gt; 输（-1）；大小：大2.5 -&gt; 赢（1）；来源：SofaScore。</x:v>
      </x:c>
    </x:row>
    <x:row r="2350">
      <x:c r="A2350" t="str">
        <x:f>IF(B2350="","",TEXT(B2350,"yyyy-mm-dd")&amp;"|"&amp;D2350&amp;"|"&amp;E2350)</x:f>
        <x:v>2026-02-15|马德格堡（1. FC Magdeburg）|比勒菲尔德（Arminia Bielefeld）</x:v>
      </x:c>
      <x:c r="B2350" t="n">
        <x:v>46068.854166666664</x:v>
      </x:c>
      <x:c r="C2350" t="str">
        <x:v>德国乙级联赛（2. Bundesliga）</x:v>
      </x:c>
      <x:c r="D2350" t="str">
        <x:v>马德格堡（1. FC Magdeburg）</x:v>
      </x:c>
      <x:c r="E2350" t="str">
        <x:v>比勒菲尔德（Arminia Bielefeld）</x:v>
      </x:c>
      <x:c r="F2350" t="str">
        <x:v>马德格堡 -0.5 @1.96左右</x:v>
      </x:c>
      <x:c r="G2350" t="str">
        <x:v>小 2.5 @2.30</x:v>
      </x:c>
      <x:c r="H2350" t="str">
        <x:v>小注：平局 @3.70；或 马德格堡 独赢(ML) @2.10。走地：前20-25分钟合计射正≤2且双方推进质量一般，可补走地小2.0（≥1.85）；若早球/红牌则不加小球</x:v>
      </x:c>
      <x:c r="I2350" t="n">
        <x:v>46068.86980324074</x:v>
      </x:c>
      <x:c r="J2350" t="str">
        <x:v>已结算</x:v>
      </x:c>
      <x:c r="K2350" t="str">
        <x:v>0-1</x:v>
      </x:c>
      <x:c r="L2350" t="str">
        <x:v>输</x:v>
      </x:c>
      <x:c r="M2350" t="str">
        <x:v>赢</x:v>
      </x:c>
      <x:c r="N2350" t="n">
        <x:v>-1</x:v>
      </x:c>
      <x:c r="O2350" t="n">
        <x:v>1</x:v>
      </x:c>
      <x:c r="P2350" t="n">
        <x:f>IF(COUNT(N2350:O2350)=0,"",SUM(N2350:O2350))</x:f>
        <x:v>0</x:v>
      </x:c>
      <x:c r="Q2350"/>
      <x:c r="R2350" t="str">
        <x:v>FT 0-1；马德格堡-0.5输，小2.5赢</x:v>
      </x:c>
    </x:row>
    <x:row r="2351">
      <x:c r="A2351" t="str">
        <x:f>IF(B2351="","",TEXT(B2351,"yyyy-mm-dd")&amp;"|"&amp;D2351&amp;"|"&amp;E2351)</x:f>
        <x:v>2026-02-15|波鸿（VfL Bochum）|帕德博恩（SC Paderborn 07）</x:v>
      </x:c>
      <x:c r="B2351" t="n">
        <x:v>46068.854166666664</x:v>
      </x:c>
      <x:c r="C2351" t="str">
        <x:v>德国乙级联赛（2. Bundesliga）</x:v>
      </x:c>
      <x:c r="D2351" t="str">
        <x:v>波鸿（VfL Bochum）</x:v>
      </x:c>
      <x:c r="E2351" t="str">
        <x:v>帕德博恩（SC Paderborn 07）</x:v>
      </x:c>
      <x:c r="F2351" t="str">
        <x:v>帕德博恩 0（平手）@1.80（亚指）</x:v>
      </x:c>
      <x:c r="G2351" t="str">
        <x:v>小 2.75（2 3/4）@1.95~1.98</x:v>
      </x:c>
      <x:c r="H2351" t="str">
        <x:v>小注：平局 @3.40；走地：前20-25分钟合计射正≤2且节奏偏慢，可补走地小2.25（≥1.85）；若早球/红牌则不加小球</x:v>
      </x:c>
      <x:c r="I2351" t="n">
        <x:v>46068.866944444446</x:v>
      </x:c>
      <x:c r="J2351" t="str">
        <x:v>已结算</x:v>
      </x:c>
      <x:c r="K2351" t="str">
        <x:v>0-0</x:v>
      </x:c>
      <x:c r="L2351" t="str">
        <x:v>走水</x:v>
      </x:c>
      <x:c r="M2351" t="str">
        <x:v>赢</x:v>
      </x:c>
      <x:c r="N2351" t="n">
        <x:v>0</x:v>
      </x:c>
      <x:c r="O2351" t="n">
        <x:v>1</x:v>
      </x:c>
      <x:c r="P2351" t="n">
        <x:f>IF(COUNT(N2351:O2351)=0,"",SUM(N2351:O2351))</x:f>
        <x:v>1</x:v>
      </x:c>
      <x:c r="Q2351"/>
      <x:c r="R2351" t="str">
        <x:v>FT 0-0；帕德博恩0走水，小2.75赢</x:v>
      </x:c>
    </x:row>
    <x:row r="2352">
      <x:c r="A2352" t="str">
        <x:f>IF(B2352="","",TEXT(B2352,"yyyy-mm-dd")&amp;"|"&amp;D2352&amp;"|"&amp;E2352)</x:f>
        <x:v>2026-02-15|荷尔施泰因基尔（Holstein Kiel）|沙尔克04（Schalke 04）</x:v>
      </x:c>
      <x:c r="B2352" t="n">
        <x:v>46068.854166666664</x:v>
      </x:c>
      <x:c r="C2352" t="str">
        <x:v>德国乙级联赛（2. Bundesliga）</x:v>
      </x:c>
      <x:c r="D2352" t="str">
        <x:v>荷尔施泰因基尔（Holstein Kiel）</x:v>
      </x:c>
      <x:c r="E2352" t="str">
        <x:v>沙尔克04（Schalke 04）</x:v>
      </x:c>
      <x:c r="F2352" t="str">
        <x:v>荷尔施泰因基尔 +0/0.5（+0.25）@1.80（主流）</x:v>
      </x:c>
      <x:c r="G2352" t="str">
        <x:v>小 2/2.5（2.25）@1.95（主流）</x:v>
      </x:c>
      <x:c r="H2352" t="str">
        <x:v>小注：荷尔施泰因基尔 0（平手/DNB）@2.02左右；或 平局 @3.23。走地：前20分钟合计射正≤2且双方节奏偏慢，可补走地小2.0/1.75（≥1.85）；若早球/红牌则不加小球</x:v>
      </x:c>
      <x:c r="I2352" t="n">
        <x:v>46068.817708333336</x:v>
      </x:c>
      <x:c r="J2352" t="str">
        <x:v>已结算</x:v>
      </x:c>
      <x:c r="K2352" t="str">
        <x:v>1-2</x:v>
      </x:c>
      <x:c r="L2352" t="str">
        <x:v>输</x:v>
      </x:c>
      <x:c r="M2352" t="str">
        <x:v>输</x:v>
      </x:c>
      <x:c r="N2352" t="n">
        <x:v>-1</x:v>
      </x:c>
      <x:c r="O2352" t="n">
        <x:v>-1</x:v>
      </x:c>
      <x:c r="P2352" t="n">
        <x:f>IF(COUNT(N2352:O2352)=0,"",SUM(N2352:O2352))</x:f>
        <x:v>-2</x:v>
      </x:c>
      <x:c r="Q2352" t="str">
        <x:v>SofaScore</x:v>
      </x:c>
      <x:c r="R2352" t="str">
        <x:v>校正赛果：荷尔施泰因基尔（Holstein Kiel） 1-2 沙尔克04（Schalke 04）；让球：荷尔施泰因基尔 +0.25 -&gt; 输（-1）；大小：小2.25 -&gt; 输（-1）；来源：SofaScore。</x:v>
      </x:c>
    </x:row>
    <x:row r="2353">
      <x:c r="A2353" t="str">
        <x:f>IF(B2353="","",TEXT(B2353,"yyyy-mm-dd")&amp;"|"&amp;D2353&amp;"|"&amp;E2353)</x:f>
        <x:v>2026-02-15|伯明翰城（Birmingham City）|利兹联（Leeds United）</x:v>
      </x:c>
      <x:c r="B2353" t="n">
        <x:v>46068.833333333336</x:v>
      </x:c>
      <x:c r="C2353" t="str">
        <x:v>英格兰足总杯（FA Cup）</x:v>
      </x:c>
      <x:c r="D2353" t="str">
        <x:v>伯明翰城（Birmingham City）</x:v>
      </x:c>
      <x:c r="E2353" t="str">
        <x:v>利兹联（Leeds United）</x:v>
      </x:c>
      <x:c r="F2353" t="str">
        <x:v>伯明翰城 +0.5 @1.82（90分钟）</x:v>
      </x:c>
      <x:c r="G2353" t="str">
        <x:v>小 2.5 @1.97（90分钟）</x:v>
      </x:c>
      <x:c r="H2353" t="str">
        <x:v>小注：伯明翰城 +0/0.5（+0.25）@1.94左右；或 BTTS 否 @2.15~2.33。走地：前20-25分钟合计射正≤2且节奏偏慢，可补走地小2.0/2.25（≥1.85）；若早球/红牌则不加小球。</x:v>
      </x:c>
      <x:c r="I2353" t="n">
        <x:v>46068.8230787037</x:v>
      </x:c>
      <x:c r="J2353" t="str">
        <x:v>已结算</x:v>
      </x:c>
      <x:c r="K2353" t="str">
        <x:v>1-1</x:v>
      </x:c>
      <x:c r="L2353" t="str">
        <x:v>赢</x:v>
      </x:c>
      <x:c r="M2353" t="str">
        <x:v>赢</x:v>
      </x:c>
      <x:c r="N2353" t="n">
        <x:v>1</x:v>
      </x:c>
      <x:c r="O2353" t="n">
        <x:v>1</x:v>
      </x:c>
      <x:c r="P2353" t="n">
        <x:f>IF(COUNT(N2353:O2353)=0,"",SUM(N2353:O2353))</x:f>
        <x:v>2</x:v>
      </x:c>
      <x:c r="Q2353"/>
      <x:c r="R2353" t="str">
        <x:v>FT 1-1；伯明翰+0.5赢，小2.5赢</x:v>
      </x:c>
    </x:row>
    <x:row r="2354">
      <x:c r="A2354" t="str">
        <x:f>IF(B2354="","",TEXT(B2354,"yyyy-mm-dd")&amp;"|"&amp;D2354&amp;"|"&amp;E2354)</x:f>
        <x:v>2026-02-15|巴厘联（Bali United FC）|佩西加雅加达（Persija Jakarta）</x:v>
      </x:c>
      <x:c r="B2354" t="n">
        <x:v>46068.833333333336</x:v>
      </x:c>
      <x:c r="C2354" t="str">
        <x:v>印度尼西亚超级联赛（印尼超/Liga 1 Indonesia）</x:v>
      </x:c>
      <x:c r="D2354" t="str">
        <x:v>巴厘联（Bali United FC）</x:v>
      </x:c>
      <x:c r="E2354" t="str">
        <x:v>佩西加雅加达（Persija Jakarta）</x:v>
      </x:c>
      <x:c r="F2354" t="str">
        <x:v>巴厘联 +0/0.5（+0.25）@1.95</x:v>
      </x:c>
      <x:c r="G2354" t="str">
        <x:v>小 2.5 @1.85</x:v>
      </x:c>
      <x:c r="H2354" t="str">
        <x:v>小注：平局 @3.15；走地：前20分钟合计射正≤2且节奏慢，可补走地小2.0（≥1.85），早球/红牌则不加</x:v>
      </x:c>
      <x:c r="I2354" t="n">
        <x:v>46068.77175925926</x:v>
      </x:c>
      <x:c r="J2354" t="str">
        <x:v>已结算</x:v>
      </x:c>
      <x:c r="K2354" t="str">
        <x:v>0-1</x:v>
      </x:c>
      <x:c r="L2354" t="str">
        <x:v>输</x:v>
      </x:c>
      <x:c r="M2354" t="str">
        <x:v>赢</x:v>
      </x:c>
      <x:c r="N2354" t="n">
        <x:v>-1</x:v>
      </x:c>
      <x:c r="O2354" t="n">
        <x:v>1</x:v>
      </x:c>
      <x:c r="P2354" t="n">
        <x:f>IF(COUNT(N2354:O2354)=0,"",SUM(N2354:O2354))</x:f>
        <x:v>0</x:v>
      </x:c>
      <x:c r="Q2354"/>
      <x:c r="R2354" t="str">
        <x:v>FT 0-1；巴厘联+0.25输，小2.5赢</x:v>
      </x:c>
    </x:row>
    <x:row r="2355">
      <x:c r="A2355" t="str">
        <x:f>IF(B2355="","",TEXT(B2355,"yyyy-mm-dd")&amp;"|"&amp;D2355&amp;"|"&amp;E2355)</x:f>
        <x:v>2026-02-15|乌迪内斯（Udinese）|萨索洛（Sassuolo）</x:v>
      </x:c>
      <x:c r="B2355" t="n">
        <x:v>46068.8125</x:v>
      </x:c>
      <x:c r="C2355" t="str">
        <x:v>意大利甲级联赛（Serie A）</x:v>
      </x:c>
      <x:c r="D2355" t="str">
        <x:v>乌迪内斯（Udinese）</x:v>
      </x:c>
      <x:c r="E2355" t="str">
        <x:v>萨索洛（Sassuolo）</x:v>
      </x:c>
      <x:c r="F2355" t="str">
        <x:v>乌迪内斯 -0/0.5（-0.25）@2.08</x:v>
      </x:c>
      <x:c r="G2355" t="str">
        <x:v>小 2/2.5（2.25）@1.88</x:v>
      </x:c>
      <x:c r="H2355" t="str">
        <x:v>小注：小2.0 @2.20（2球走水）；或乌迪内斯 独赢(ML) @2.25。走地：前20-25分钟合计射正≤2且节奏慢，可补走地小2.0（≥1.85）；若早球/红牌则不加小球</x:v>
      </x:c>
      <x:c r="I2355" t="n">
        <x:v>46068.79944444444</x:v>
      </x:c>
      <x:c r="J2355" t="str">
        <x:v>已结算</x:v>
      </x:c>
      <x:c r="K2355" t="str">
        <x:v>1-2</x:v>
      </x:c>
      <x:c r="L2355" t="str">
        <x:v>输</x:v>
      </x:c>
      <x:c r="M2355" t="str">
        <x:v>输</x:v>
      </x:c>
      <x:c r="N2355" t="n">
        <x:v>-1</x:v>
      </x:c>
      <x:c r="O2355" t="n">
        <x:v>-1</x:v>
      </x:c>
      <x:c r="P2355" t="n">
        <x:f>IF(COUNT(N2355:O2355)=0,"",SUM(N2355:O2355))</x:f>
        <x:v>-2</x:v>
      </x:c>
      <x:c r="Q2355"/>
      <x:c r="R2355" t="str">
        <x:v>FT 1-2；乌迪内斯-0.25输，小2.25输</x:v>
      </x:c>
    </x:row>
    <x:row r="2356">
      <x:c r="A2356" t="str">
        <x:f>IF(B2356="","",TEXT(B2356,"yyyy-mm-dd")&amp;"|"&amp;D2356&amp;"|"&amp;E2356)</x:f>
        <x:v>2026-02-15|费耶诺德（Feyenoord）|前进之鹰（Go Ahead Eagles）</x:v>
      </x:c>
      <x:c r="B2356" t="n">
        <x:v>46068.802083333336</x:v>
      </x:c>
      <x:c r="C2356" t="str">
        <x:v>荷兰甲级联赛（Eredivisie）</x:v>
      </x:c>
      <x:c r="D2356" t="str">
        <x:v>费耶诺德（Feyenoord）</x:v>
      </x:c>
      <x:c r="E2356" t="str">
        <x:v>前进之鹰（Go Ahead Eagles）</x:v>
      </x:c>
      <x:c r="F2356" t="str">
        <x:v>费耶诺德 -1.25 @1.84</x:v>
      </x:c>
      <x:c r="G2356" t="str">
        <x:v>小 3.25 @1.87</x:v>
      </x:c>
      <x:c r="H2356" t="str">
        <x:v>小注：角球 大10.5 @1.92；走地：前15-20分钟射正≤2且节奏偏慢，可补走地小3.0（≥1.85）；若早球/红牌则不加小球。若费耶诺德开局压制但迟迟不进（15分钟≥3次威胁+角球≥3），可考虑走地费耶诺德 -1.0（≥1.85）替代加仓。</x:v>
      </x:c>
      <x:c r="I2356" t="n">
        <x:v>46068.80868055556</x:v>
      </x:c>
      <x:c r="J2356" t="str">
        <x:v>已结算</x:v>
      </x:c>
      <x:c r="K2356" t="str">
        <x:v>1-0</x:v>
      </x:c>
      <x:c r="L2356" t="str">
        <x:v>输半</x:v>
      </x:c>
      <x:c r="M2356" t="str">
        <x:v>赢</x:v>
      </x:c>
      <x:c r="N2356" t="n">
        <x:v>-0.5</x:v>
      </x:c>
      <x:c r="O2356" t="n">
        <x:v>1</x:v>
      </x:c>
      <x:c r="P2356" t="n">
        <x:f>IF(COUNT(N2356:O2356)=0,"",SUM(N2356:O2356))</x:f>
        <x:v>0.5</x:v>
      </x:c>
      <x:c r="Q2356"/>
      <x:c r="R2356" t="str">
        <x:v>FT 1-0；费耶诺德-1.25输半，小3.25赢</x:v>
      </x:c>
    </x:row>
    <x:row r="2357">
      <x:c r="A2357" t="str">
        <x:f>IF(B2357="","",TEXT(B2357,"yyyy-mm-dd")&amp;"|"&amp;D2357&amp;"|"&amp;E2357)</x:f>
        <x:v>2026-02-15|阿雷马（Arema FC）|赛曼巴东（Semen Padang）</x:v>
      </x:c>
      <x:c r="B2357" t="n">
        <x:v>46068.6875</x:v>
      </x:c>
      <x:c r="C2357" t="str">
        <x:v>印度尼西亚超级联赛（印尼超/Liga 1 Indonesia）</x:v>
      </x:c>
      <x:c r="D2357" t="str">
        <x:v>阿雷马（Arema FC）</x:v>
      </x:c>
      <x:c r="E2357" t="str">
        <x:v>赛曼巴东（Semen Padang）</x:v>
      </x:c>
      <x:c r="F2357" t="str">
        <x:v>阿雷马 -0.5 @1.90左右</x:v>
      </x:c>
      <x:c r="G2357" t="str">
        <x:v>小 2.5 @2.03（Pinnacle）</x:v>
      </x:c>
      <x:c r="H2357" t="str">
        <x:v>小注：阿雷马 -0.75 @2.15左右；更激进：阿雷马 -1.0 @2.60左右（仅当临场主队首发进攻线齐整/赔率不降破1.80再考虑）</x:v>
      </x:c>
      <x:c r="I2357" t="n">
        <x:v>46068.56450231482</x:v>
      </x:c>
      <x:c r="J2357" t="str">
        <x:v>已结算</x:v>
      </x:c>
      <x:c r="K2357" t="str">
        <x:v>3-0</x:v>
      </x:c>
      <x:c r="L2357" t="str">
        <x:v>赢</x:v>
      </x:c>
      <x:c r="M2357" t="str">
        <x:v>输</x:v>
      </x:c>
      <x:c r="N2357" t="n">
        <x:v>1</x:v>
      </x:c>
      <x:c r="O2357" t="n">
        <x:v>-1</x:v>
      </x:c>
      <x:c r="P2357" t="n">
        <x:f>IF(COUNT(N2357:O2357)=0,"",SUM(N2357:O2357))</x:f>
        <x:v>0</x:v>
      </x:c>
      <x:c r="Q2357"/>
      <x:c r="R2357" t="str">
        <x:v>赛果：阿雷马 3-0 赛曼巴东。-0.5赢；小2.5输（总进球3）。</x:v>
      </x:c>
    </x:row>
    <x:row r="2358">
      <x:c r="A2358" t="str">
        <x:f>IF(B2358="","",TEXT(B2358,"yyyy-mm-dd")&amp;"|"&amp;D2358&amp;"|"&amp;E2358)</x:f>
        <x:v>2026-02-15|大阪钢巴（Gamba Osaka）|名古屋鲸鱼（Nagoya Grampus）</x:v>
      </x:c>
      <x:c r="B2358" t="n">
        <x:v>46068.625</x:v>
      </x:c>
      <x:c r="C2358" t="str">
        <x:v>日职联（J1 League）</x:v>
      </x:c>
      <x:c r="D2358" t="str">
        <x:v>大阪钢巴（Gamba Osaka）</x:v>
      </x:c>
      <x:c r="E2358" t="str">
        <x:v>名古屋鲸鱼（Nagoya Grampus）</x:v>
      </x:c>
      <x:c r="F2358" t="str">
        <x:v>大阪钢巴 -0/0.5（-0.25）@1.84</x:v>
      </x:c>
      <x:c r="G2358" t="str">
        <x:v>小 2.5 @1.85</x:v>
      </x:c>
      <x:c r="H2358" t="str">
        <x:v>小注：大阪钢巴 独赢(ML) @2.17；或 BTTS 否 @1.92。走地：前20-25分钟合计射正≤2且双方节奏偏慢，可补走地小2.0（≥1.85）；若早球/红牌则不加小球</x:v>
      </x:c>
      <x:c r="I2358" t="n">
        <x:v>46068.56091435185</x:v>
      </x:c>
      <x:c r="J2358" t="str">
        <x:v>已结算</x:v>
      </x:c>
      <x:c r="K2358" t="str">
        <x:v>0-0</x:v>
      </x:c>
      <x:c r="L2358" t="str">
        <x:v>输半</x:v>
      </x:c>
      <x:c r="M2358" t="str">
        <x:v>赢</x:v>
      </x:c>
      <x:c r="N2358" t="n">
        <x:v>-0.5</x:v>
      </x:c>
      <x:c r="O2358" t="n">
        <x:v>1</x:v>
      </x:c>
      <x:c r="P2358" t="n">
        <x:f>IF(COUNT(N2358:O2358)=0,"",SUM(N2358:O2358))</x:f>
        <x:v>0.5</x:v>
      </x:c>
      <x:c r="Q2358"/>
      <x:c r="R2358" t="str">
        <x:v>赛果(90分钟)：0-0（点球不计入盘口）；让球 大阪钢巴-0/0.5(-0.25) 输半；小2.5 赢。可选：主胜ML未中；BTTS 否 命中。</x:v>
      </x:c>
    </x:row>
    <x:row r="2359">
      <x:c r="A2359" t="str">
        <x:f>IF(B2359="","",TEXT(B2359,"yyyy-mm-dd")&amp;"|"&amp;D2359&amp;"|"&amp;E2359)</x:f>
        <x:v>2026-02-15|福冈黄蜂（Avispa Fukuoka）|大阪樱花（Cerezo Osaka）</x:v>
      </x:c>
      <x:c r="B2359" t="n">
        <x:v>46068.583333333336</x:v>
      </x:c>
      <x:c r="C2359" t="str">
        <x:v>日职联（J1 League）</x:v>
      </x:c>
      <x:c r="D2359" t="str">
        <x:v>福冈黄蜂（Avispa Fukuoka）</x:v>
      </x:c>
      <x:c r="E2359" t="str">
        <x:v>大阪樱花（Cerezo Osaka）</x:v>
      </x:c>
      <x:c r="F2359" t="str">
        <x:v>大阪樱花 0（平手盘/DNB）@1.94</x:v>
      </x:c>
      <x:c r="G2359" t="str">
        <x:v>小 2.75（2.5/3）@1.80</x:v>
      </x:c>
      <x:c r="H2359" t="str">
        <x:v>小注：大阪樱花 独赢(ML) @2.69；走地：前20-25分钟合计射正≤2且两队都不提速，可补走地小2.25（≥1.85）；若早球/红牌则不加小球</x:v>
      </x:c>
      <x:c r="I2359" t="n">
        <x:v>46068.55840277778</x:v>
      </x:c>
      <x:c r="J2359" t="str">
        <x:v>已结算</x:v>
      </x:c>
      <x:c r="K2359"/>
      <x:c r="L2359" t="str">
        <x:v>赢</x:v>
      </x:c>
      <x:c r="M2359" t="str">
        <x:v>赢</x:v>
      </x:c>
      <x:c r="N2359" t="n">
        <x:v>1</x:v>
      </x:c>
      <x:c r="O2359" t="n">
        <x:v>1</x:v>
      </x:c>
      <x:c r="P2359" t="n">
        <x:f>IF(COUNT(N2359:O2359)=0,"",SUM(N2359:O2359))</x:f>
        <x:v>2</x:v>
      </x:c>
      <x:c r="Q2359"/>
      <x:c r="R2359" t="str">
        <x:v>全场 0-2（大阪樱花胜）。主推：大阪樱花0（DNB）赢；小2.75 赢（总进球2）。可选：大阪樱花独赢 赢。</x:v>
      </x:c>
    </x:row>
    <x:row r="2360">
      <x:c r="A2360" t="str">
        <x:f>IF(B2360="","",TEXT(B2360,"yyyy-mm-dd")&amp;"|"&amp;D2360&amp;"|"&amp;E2360)</x:f>
        <x:v>2026-02-15|洛克达尔伊林登（Rockdale Ilinden）|马可尼（Marconi Stallions）</x:v>
      </x:c>
      <x:c r="B2360" t="n">
        <x:v>46068.541666666664</x:v>
      </x:c>
      <x:c r="C2360" t="str">
        <x:v>澳大利亚 维多利亚州超级联赛1（VPL1）</x:v>
      </x:c>
      <x:c r="D2360" t="str">
        <x:v>洛克达尔伊林登（Rockdale Ilinden）</x:v>
      </x:c>
      <x:c r="E2360" t="str">
        <x:v>马可尼（Marconi Stallions）</x:v>
      </x:c>
      <x:c r="F2360" t="str">
        <x:v>马可尼 +0/0.5（+0.25）@1.80</x:v>
      </x:c>
      <x:c r="G2360" t="str">
        <x:v>大 3.0（亚洲盘）@2.00</x:v>
      </x:c>
      <x:c r="H2360" t="str">
        <x:v>小注：马可尼 0（平手盘/DNB）@1.95；进球玩法：BTTS 是 @1.70-1.80（仅小注）。走地：前15-25分钟双方合计射正≥3且转换快，可补走地大2.5（≥1.80）；若节奏慢/射正≤1则不追大</x:v>
      </x:c>
      <x:c r="I2360" t="n">
        <x:v>46068.55667824074</x:v>
      </x:c>
      <x:c r="J2360" t="str">
        <x:v>已结算</x:v>
      </x:c>
      <x:c r="K2360"/>
      <x:c r="L2360" t="str">
        <x:v>赢</x:v>
      </x:c>
      <x:c r="M2360" t="str">
        <x:v>赢</x:v>
      </x:c>
      <x:c r="N2360" t="n">
        <x:v>1</x:v>
      </x:c>
      <x:c r="O2360" t="n">
        <x:v>1</x:v>
      </x:c>
      <x:c r="P2360" t="n">
        <x:f>IF(COUNT(N2360:O2360)=0,"",SUM(N2360:O2360))</x:f>
        <x:v>2</x:v>
      </x:c>
      <x:c r="Q2360"/>
      <x:c r="R2360" t="str">
        <x:v>全场 1-4（马可尼胜）。主推：马可尼+0.25 赢；大3.0 赢（总进球5）。可选：马可尼0（DNB）赢；BTTS 是 赢。</x:v>
      </x:c>
    </x:row>
    <x:row r="2361">
      <x:c r="A2361" t="str">
        <x:f>IF(B2361="","",TEXT(B2361,"yyyy-mm-dd")&amp;"|"&amp;D2361&amp;"|"&amp;E2361)</x:f>
        <x:v>2026-02-15|山口雷法（Renofa Yamaguchi）|滋贺湖王（Reilac Shiga FC）</x:v>
      </x:c>
      <x:c r="B2361" t="n">
        <x:v>46068.541666666664</x:v>
      </x:c>
      <x:c r="C2361" t="str">
        <x:v>日职 明治安田J2·J3百年构想联赛</x:v>
      </x:c>
      <x:c r="D2361" t="str">
        <x:v>山口雷法（Renofa Yamaguchi）</x:v>
      </x:c>
      <x:c r="E2361" t="str">
        <x:v>滋贺湖王（Reilac Shiga FC）</x:v>
      </x:c>
      <x:c r="F2361" t="str">
        <x:v>山口雷法 -1.5 @2.32</x:v>
      </x:c>
      <x:c r="G2361" t="str">
        <x:v>小 2.5 @1.98</x:v>
      </x:c>
      <x:c r="H2361" t="str">
        <x:v>小注：半场和局 @2.31；若临场总进球升到2.75且小2.75≥1.85，可补小2.75（更抗2球）；若临场让球退到山口-1且山口-1≥1.85，可改主推山口-1（赢1走水）降低波动</x:v>
      </x:c>
      <x:c r="I2361" t="n">
        <x:v>46068.55355324074</x:v>
      </x:c>
      <x:c r="J2361" t="str">
        <x:v>已结算</x:v>
      </x:c>
      <x:c r="K2361" t="str">
        <x:v>2-1</x:v>
      </x:c>
      <x:c r="L2361" t="str">
        <x:v>输</x:v>
      </x:c>
      <x:c r="M2361" t="str">
        <x:v>输</x:v>
      </x:c>
      <x:c r="N2361" t="n">
        <x:v>-1</x:v>
      </x:c>
      <x:c r="O2361" t="n">
        <x:v>-1</x:v>
      </x:c>
      <x:c r="P2361" t="n">
        <x:f>IF(COUNT(N2361:O2361)=0,"",SUM(N2361:O2361))</x:f>
        <x:v>-2</x:v>
      </x:c>
      <x:c r="Q2361" t="str">
        <x:v>SofaScore</x:v>
      </x:c>
      <x:c r="R2361" t="str">
        <x:v>校正赛果：山口雷法（Renofa Yamaguchi） 2-1 滋贺湖王（Reilac Shiga FC）；让球：山口雷法 -1.5 -&gt; 输（-1）；大小：小2.5 -&gt; 输（-1）；来源：SofaScore。</x:v>
      </x:c>
    </x:row>
    <x:row r="2362">
      <x:c r="A2362" t="str">
        <x:f>IF(B2362="","",TEXT(B2362,"yyyy-mm-dd")&amp;"|"&amp;D2362&amp;"|"&amp;E2362)</x:f>
        <x:v>2026-02-15|栃木市（栃木C，Tochigi City FC）|秋田蓝色闪电（Blaublitz Akita）</x:v>
      </x:c>
      <x:c r="B2362" t="n">
        <x:v>46068.541666666664</x:v>
      </x:c>
      <x:c r="C2362" t="str">
        <x:v>日职 明治安田J2·J3百年构想联赛</x:v>
      </x:c>
      <x:c r="D2362" t="str">
        <x:v>栃木市（栃木C，Tochigi City FC）</x:v>
      </x:c>
      <x:c r="E2362" t="str">
        <x:v>秋田蓝色闪电（Blaublitz Akita）</x:v>
      </x:c>
      <x:c r="F2362" t="str">
        <x:v>秋田蓝色闪电 +0/0.5（+0.25）@1.98</x:v>
      </x:c>
      <x:c r="G2362" t="str">
        <x:v>小 2.5 @1.95</x:v>
      </x:c>
      <x:c r="H2362" t="str">
        <x:v>小注：秋田蓝色闪电 0（平手盘/DNB）@2.10-2.15；走地：前20-25分钟合计射正≤2且节奏慢，可补走地小2.0（≥1.85），若早球/红牌则不加</x:v>
      </x:c>
      <x:c r="I2362" t="n">
        <x:v>46068.548159722224</x:v>
      </x:c>
      <x:c r="J2362" t="str">
        <x:v>已结算</x:v>
      </x:c>
      <x:c r="K2362" t="str">
        <x:v>0-1</x:v>
      </x:c>
      <x:c r="L2362" t="str">
        <x:v>赢</x:v>
      </x:c>
      <x:c r="M2362" t="str">
        <x:v>赢</x:v>
      </x:c>
      <x:c r="N2362" t="n">
        <x:v>1</x:v>
      </x:c>
      <x:c r="O2362" t="n">
        <x:v>1</x:v>
      </x:c>
      <x:c r="P2362" t="n">
        <x:f>IF(COUNT(N2362:O2362)=0,"",SUM(N2362:O2362))</x:f>
        <x:v>2</x:v>
      </x:c>
      <x:c r="Q2362"/>
      <x:c r="R2362" t="str">
        <x:v>更正赛果：全场 0-1（秋田蓝色闪电胜）。主推：秋田+0.25 赢；小2.5 赢。可选：秋田0（DNB）赢。</x:v>
      </x:c>
    </x:row>
    <x:row r="2363">
      <x:c r="A2363" t="str">
        <x:f>IF(B2363="","",TEXT(B2363,"yyyy-mm-dd")&amp;"|"&amp;D2363&amp;"|"&amp;E2363)</x:f>
        <x:v>2026-02-15|柏太阳神（Kashiwa Reysol）|东京绿茵（Tokyo Verdy）</x:v>
      </x:c>
      <x:c r="B2363" t="n">
        <x:v>46068.541666666664</x:v>
      </x:c>
      <x:c r="C2363" t="str">
        <x:v>日职联（J1 League）</x:v>
      </x:c>
      <x:c r="D2363" t="str">
        <x:v>柏太阳神（Kashiwa Reysol）</x:v>
      </x:c>
      <x:c r="E2363" t="str">
        <x:v>东京绿茵（Tokyo Verdy）</x:v>
      </x:c>
      <x:c r="F2363" t="str">
        <x:v>柏太阳神 -1.0（赢1走水）@1.90</x:v>
      </x:c>
      <x:c r="G2363" t="str">
        <x:v>小 2/2.5（2.25）@2.03</x:v>
      </x:c>
      <x:c r="H2363" t="str">
        <x:v>小注：柏太阳神 -1.25 @1.98；走地：前20-25分钟合计射正≤2且节奏慢，可补走地小2.0（≥1.85），早球/红牌则不加</x:v>
      </x:c>
      <x:c r="I2363" t="n">
        <x:v>46068.52701388889</x:v>
      </x:c>
      <x:c r="J2363" t="str">
        <x:v>已结算</x:v>
      </x:c>
      <x:c r="K2363"/>
      <x:c r="L2363" t="str">
        <x:v>输</x:v>
      </x:c>
      <x:c r="M2363" t="str">
        <x:v>输</x:v>
      </x:c>
      <x:c r="N2363" t="n">
        <x:v>-1</x:v>
      </x:c>
      <x:c r="O2363" t="n">
        <x:v>-1</x:v>
      </x:c>
      <x:c r="P2363" t="n">
        <x:f>IF(COUNT(N2363:O2363)=0,"",SUM(N2363:O2363))</x:f>
        <x:v>-2</x:v>
      </x:c>
      <x:c r="Q2363"/>
      <x:c r="R2363" t="str">
        <x:v>全场 1-2（东京绿茵胜）。主推：柏太阳神-1 输；小2.25 输。可选：柏太阳神-1.25 输。</x:v>
      </x:c>
    </x:row>
    <x:row r="2364">
      <x:c r="A2364" t="str">
        <x:f>IF(B2364="","",TEXT(B2364,"yyyy-mm-dd")&amp;"|"&amp;D2364&amp;"|"&amp;E2364)</x:f>
        <x:v>2026-02-15|瓜达拉哈拉（瓜达拉哈拉芝华士/Chivas Guadalajara）|墨西哥美洲（Club América）</x:v>
      </x:c>
      <x:c r="B2364" t="n">
        <x:v>46068.46319444444</x:v>
      </x:c>
      <x:c r="C2364" t="str">
        <x:v>墨西哥超（Liga MX，Clausura）</x:v>
      </x:c>
      <x:c r="D2364" t="str">
        <x:v>瓜达拉哈拉（瓜达拉哈拉芝华士/Chivas Guadalajara）</x:v>
      </x:c>
      <x:c r="E2364" t="str">
        <x:v>墨西哥美洲（Club América）</x:v>
      </x:c>
      <x:c r="F2364" t="str">
        <x:v>墨西哥美洲 +0/0.5（+0.25）@1.97左右</x:v>
      </x:c>
      <x:c r="G2364" t="str">
        <x:v>小 2/2.5（2.25）@1.94左右</x:v>
      </x:c>
      <x:c r="H2364" t="str">
        <x:v>小注：墨西哥美洲 0（平手/DNB）@2.30左右；或 平局 @3.3-3.5（二选一）</x:v>
      </x:c>
      <x:c r="I2364" t="n">
        <x:v>46068.46675925926</x:v>
      </x:c>
      <x:c r="J2364" t="str">
        <x:v>已结算</x:v>
      </x:c>
      <x:c r="K2364"/>
      <x:c r="L2364" t="str">
        <x:v>输</x:v>
      </x:c>
      <x:c r="M2364" t="str">
        <x:v>赢</x:v>
      </x:c>
      <x:c r="N2364" t="n">
        <x:v>-1</x:v>
      </x:c>
      <x:c r="O2364" t="n">
        <x:v>1</x:v>
      </x:c>
      <x:c r="P2364" t="n">
        <x:f>IF(COUNT(N2364:O2364)=0,"",SUM(N2364:O2364))</x:f>
        <x:v>0</x:v>
      </x:c>
      <x:c r="Q2364"/>
      <x:c r="R2364" t="str">
        <x:v>全场 1-0（瓜达拉哈拉胜）。主推：墨西哥美洲+0.25 输；小2.25 赢。可选：美洲0（DNB）输；平局 输。</x:v>
      </x:c>
    </x:row>
    <x:row r="2365">
      <x:c r="A2365" t="str">
        <x:f>IF(B2365="","",TEXT(B2365,"yyyy-mm-dd")&amp;"|"&amp;D2365&amp;"|"&amp;E2365)</x:f>
        <x:v>2026-02-15|帕斯托（Deportivo Pasto）|国际波哥大（Internacional de Bogotá）</x:v>
      </x:c>
      <x:c r="B2365" t="n">
        <x:v>46068.395833333336</x:v>
      </x:c>
      <x:c r="C2365" t="str">
        <x:v>哥伦比亚甲级联赛（Liga BetPlay DIMAYOR）</x:v>
      </x:c>
      <x:c r="D2365" t="str">
        <x:v>帕斯托（Deportivo Pasto）</x:v>
      </x:c>
      <x:c r="E2365" t="str">
        <x:v>国际波哥大（Internacional de Bogotá）</x:v>
      </x:c>
      <x:c r="F2365" t="str">
        <x:v>国际波哥大 +0/0.5（+0.25）@1.93左右</x:v>
      </x:c>
      <x:c r="G2365" t="str">
        <x:v>大 2.0（亚洲盘）@2.03左右</x:v>
      </x:c>
      <x:c r="H2365" t="str">
        <x:v>若临场盘从帕斯托-0.25升到-0.5且国际波哥大+0.5≥1.80，可改拿国际波哥大+0.5更稳；若退盘到平手（0）且国际波哥大0盘≥2.10，可小注换0盘。大小若升到2/2.5（2.25）且大2.25≥1.90，可补大2.25；走地15-25分钟若双方合计射正≤2且节奏慢，不加任何大球，改等60分钟后走地大0.5/1.0（早球则不执行）。</x:v>
      </x:c>
      <x:c r="I2365" t="n">
        <x:v>46068.39765046296</x:v>
      </x:c>
      <x:c r="J2365" t="str">
        <x:v>已结算</x:v>
      </x:c>
      <x:c r="K2365"/>
      <x:c r="L2365" t="str">
        <x:v>赢半</x:v>
      </x:c>
      <x:c r="M2365" t="str">
        <x:v>走水</x:v>
      </x:c>
      <x:c r="N2365" t="n">
        <x:v>0.5</x:v>
      </x:c>
      <x:c r="O2365" t="n">
        <x:v>0</x:v>
      </x:c>
      <x:c r="P2365" t="n">
        <x:f>IF(COUNT(N2365:O2365)=0,"",SUM(N2365:O2365))</x:f>
        <x:v>0.5</x:v>
      </x:c>
      <x:c r="Q2365"/>
      <x:c r="R2365" t="str">
        <x:v>全场 1-1。主推：国际波哥大+0.25 赢半；大2.0 走水。</x:v>
      </x:c>
    </x:row>
    <x:row r="2366">
      <x:c r="A2366" t="str">
        <x:f>IF(B2366="","",TEXT(B2366,"yyyy-mm-dd")&amp;"|"&amp;D2366&amp;"|"&amp;E2366)</x:f>
        <x:v>2026-02-15|华雷斯（FC Juárez）|内卡萨（Necaxa）</x:v>
      </x:c>
      <x:c r="B2366" t="n">
        <x:v>46068.379166666666</x:v>
      </x:c>
      <x:c r="C2366" t="str">
        <x:v>墨西哥超（Liga MX，Clausura）</x:v>
      </x:c>
      <x:c r="D2366" t="str">
        <x:v>华雷斯（FC Juárez）</x:v>
      </x:c>
      <x:c r="E2366" t="str">
        <x:v>内卡萨（Necaxa）</x:v>
      </x:c>
      <x:c r="F2366" t="str">
        <x:v>内卡萨 +0.25 @1.97</x:v>
      </x:c>
      <x:c r="G2366" t="str">
        <x:v>大 2.5 @1.99</x:v>
      </x:c>
      <x:c r="H2366" t="str">
        <x:v>小注：内卡萨 独赢(ML) @3.20；保守对冲：平局 @3.30</x:v>
      </x:c>
      <x:c r="I2366" t="n">
        <x:v>46068.38300925926</x:v>
      </x:c>
      <x:c r="J2366" t="str">
        <x:v>已结算</x:v>
      </x:c>
      <x:c r="K2366"/>
      <x:c r="L2366" t="str">
        <x:v>赢</x:v>
      </x:c>
      <x:c r="M2366" t="str">
        <x:v>赢</x:v>
      </x:c>
      <x:c r="N2366" t="n">
        <x:v>1</x:v>
      </x:c>
      <x:c r="O2366" t="n">
        <x:v>1</x:v>
      </x:c>
      <x:c r="P2366" t="n">
        <x:f>IF(COUNT(N2366:O2366)=0,"",SUM(N2366:O2366))</x:f>
        <x:v>2</x:v>
      </x:c>
      <x:c r="Q2366"/>
      <x:c r="R2366" t="str">
        <x:v>全场 1-2（内卡萨胜）。主推：内卡萨+0.25 赢；大2.5 赢。可选：内卡萨独赢 赢；平局 输。</x:v>
      </x:c>
    </x:row>
    <x:row r="2367">
      <x:c r="A2367" t="str">
        <x:f>IF(B2367="","",TEXT(B2367,"yyyy-mm-dd")&amp;"|"&amp;D2367&amp;"|"&amp;E2367)</x:f>
        <x:v>2026-02-15|坎昆FC（Cancún FC）|萨卡特卡斯矿工（Mineros de Zacatecas）</x:v>
      </x:c>
      <x:c r="B2367" t="n">
        <x:v>46068.375</x:v>
      </x:c>
      <x:c r="C2367" t="str">
        <x:v>墨西哥甲级扩展联赛（Liga de Expansión MX）</x:v>
      </x:c>
      <x:c r="D2367" t="str">
        <x:v>坎昆FC（Cancún FC）</x:v>
      </x:c>
      <x:c r="E2367" t="str">
        <x:v>萨卡特卡斯矿工（Mineros de Zacatecas）</x:v>
      </x:c>
      <x:c r="F2367" t="str">
        <x:v>萨卡特卡斯矿工 +0/0.5（+0.25）@1.92左右</x:v>
      </x:c>
      <x:c r="G2367" t="str">
        <x:v>小2.5 @1.80左右</x:v>
      </x:c>
      <x:c r="H2367" t="str">
        <x:v>小注：平局 @3.30左右；若临场升到坎昆-0.5且矿工+0.5≥1.80可加矿工+0.5；若总进球降到2.25且小2.25≥1.88可加小2.25；走地前15-25分钟合计射正≤2且节奏慢，可加走地小2.0（早球/红牌则不加）</x:v>
      </x:c>
      <x:c r="I2367" t="n">
        <x:v>46068.38136574074</x:v>
      </x:c>
      <x:c r="J2367" t="str">
        <x:v>已结算</x:v>
      </x:c>
      <x:c r="K2367"/>
      <x:c r="L2367" t="str">
        <x:v>输</x:v>
      </x:c>
      <x:c r="M2367" t="str">
        <x:v>输</x:v>
      </x:c>
      <x:c r="N2367" t="n">
        <x:v>-1</x:v>
      </x:c>
      <x:c r="O2367" t="n">
        <x:v>-1</x:v>
      </x:c>
      <x:c r="P2367" t="n">
        <x:f>IF(COUNT(N2367:O2367)=0,"",SUM(N2367:O2367))</x:f>
        <x:v>-2</x:v>
      </x:c>
      <x:c r="Q2367"/>
      <x:c r="R2367" t="str">
        <x:v>全场 4-1（坎昆胜）。主推：矿工+0.25 输；小2.5 输。可选：平局 输。</x:v>
      </x:c>
    </x:row>
    <x:row r="2368">
      <x:c r="A2368" t="str">
        <x:f>IF(B2368="","",TEXT(B2368,"yyyy-mm-dd")&amp;"|"&amp;D2368&amp;"|"&amp;E2368)</x:f>
        <x:v>2026-02-15|莫雷利亚（Club Atlético Morelia）|梅里达维纳多斯（Venados FC）</x:v>
      </x:c>
      <x:c r="B2368" t="n">
        <x:v>46068.375</x:v>
      </x:c>
      <x:c r="C2368" t="str">
        <x:v>墨西哥甲级扩展联赛（Liga de Expansión MX）</x:v>
      </x:c>
      <x:c r="D2368" t="str">
        <x:v>莫雷利亚（Club Atlético Morelia）</x:v>
      </x:c>
      <x:c r="E2368" t="str">
        <x:v>梅里达维纳多斯（Venados FC）</x:v>
      </x:c>
      <x:c r="F2368" t="str">
        <x:v>莫雷利亚 -0.75（-0.5/-1）@1.85左右</x:v>
      </x:c>
      <x:c r="G2368" t="str">
        <x:v>小 2.5 @2.30左右</x:v>
      </x:c>
      <x:c r="H2368" t="str">
        <x:v>小注：BTTS 否 @2.25；若临场升到莫雷利亚-1且-1≥1.95，可小注补-1（赢1走水）。若临场O/U抬到2.75且小2.75≥1.85，可改拿小2.75更稳。</x:v>
      </x:c>
      <x:c r="I2368" t="n">
        <x:v>46068.37861111111</x:v>
      </x:c>
      <x:c r="J2368" t="str">
        <x:v>已结算</x:v>
      </x:c>
      <x:c r="K2368"/>
      <x:c r="L2368" t="str">
        <x:v>赢半</x:v>
      </x:c>
      <x:c r="M2368" t="str">
        <x:v>输</x:v>
      </x:c>
      <x:c r="N2368" t="n">
        <x:v>0.5</x:v>
      </x:c>
      <x:c r="O2368" t="n">
        <x:v>-1</x:v>
      </x:c>
      <x:c r="P2368" t="n">
        <x:f>IF(COUNT(N2368:O2368)=0,"",SUM(N2368:O2368))</x:f>
        <x:v>-0.5</x:v>
      </x:c>
      <x:c r="Q2368"/>
      <x:c r="R2368" t="str">
        <x:v>全场 2-1（莫雷利亚胜）。主推：莫雷利亚-0.75 赢半；小2.5 输。可选：BTTS 否 输。</x:v>
      </x:c>
    </x:row>
    <x:row r="2369">
      <x:c r="A2369" t="str">
        <x:f>IF(B2369="","",TEXT(B2369,"yyyy-mm-dd")&amp;"|"&amp;D2369&amp;"|"&amp;E2369)</x:f>
        <x:v>2026-02-15|蒙特雷（CF Monterrey）|莱昂（Club León）</x:v>
      </x:c>
      <x:c r="B2369" t="n">
        <x:v>46068.375</x:v>
      </x:c>
      <x:c r="C2369" t="str">
        <x:v>墨西哥超（Liga MX，Clausura）</x:v>
      </x:c>
      <x:c r="D2369" t="str">
        <x:v>蒙特雷（CF Monterrey）</x:v>
      </x:c>
      <x:c r="E2369" t="str">
        <x:v>莱昂（Club León）</x:v>
      </x:c>
      <x:c r="F2369" t="str">
        <x:v>蒙特雷 -1.0（赢1走水）@1.84</x:v>
      </x:c>
      <x:c r="G2369" t="str">
        <x:v>小 3.0（亚洲盘）@1.91</x:v>
      </x:c>
      <x:c r="H2369" t="str">
        <x:v>小注：蒙特雷 -1.5 @2.43</x:v>
      </x:c>
      <x:c r="I2369" t="n">
        <x:v>46068.37533564815</x:v>
      </x:c>
      <x:c r="J2369" t="str">
        <x:v>已结算</x:v>
      </x:c>
      <x:c r="K2369"/>
      <x:c r="L2369" t="str">
        <x:v>走水</x:v>
      </x:c>
      <x:c r="M2369" t="str">
        <x:v>赢</x:v>
      </x:c>
      <x:c r="N2369" t="n">
        <x:v>0</x:v>
      </x:c>
      <x:c r="O2369" t="n">
        <x:v>1</x:v>
      </x:c>
      <x:c r="P2369" t="n">
        <x:f>IF(COUNT(N2369:O2369)=0,"",SUM(N2369:O2369))</x:f>
        <x:v>1</x:v>
      </x:c>
      <x:c r="Q2369"/>
      <x:c r="R2369" t="str">
        <x:v>全场 1-0（蒙特雷胜）。主推：蒙特雷-1走水；小3赢。可选：蒙特雷-1.5 输。</x:v>
      </x:c>
    </x:row>
    <x:row r="2370">
      <x:c r="A2370" t="str">
        <x:f>IF(B2370="","",TEXT(B2370,"yyyy-mm-dd")&amp;"|"&amp;D2370&amp;"|"&amp;E2370)</x:f>
        <x:v>2026-02-15|麦德林独立（Independiente Medellín）|佩雷拉（Deportivo Pereira）</x:v>
      </x:c>
      <x:c r="B2370" t="n">
        <x:v>46068.3125</x:v>
      </x:c>
      <x:c r="C2370" t="str">
        <x:v>哥伦比亚甲级联赛（Liga BetPlay DIMAYOR）</x:v>
      </x:c>
      <x:c r="D2370" t="str">
        <x:v>麦德林独立（Independiente Medellín）</x:v>
      </x:c>
      <x:c r="E2370" t="str">
        <x:v>佩雷拉（Deportivo Pereira）</x:v>
      </x:c>
      <x:c r="F2370" t="str">
        <x:v>麦德林独立 -1.5 @2.45</x:v>
      </x:c>
      <x:c r="G2370" t="str">
        <x:v>大 2.5 @1.95</x:v>
      </x:c>
      <x:c r="H2370" t="str">
        <x:v>保守替代：麦德林独立 -1.0（赢1走水）若≥1.80可改；小注：麦德林独立胜 &amp; 大2.5 @3.60</x:v>
      </x:c>
      <x:c r="I2370" t="n">
        <x:v>46068.31994212963</x:v>
      </x:c>
      <x:c r="J2370" t="str">
        <x:v>已结算</x:v>
      </x:c>
      <x:c r="K2370" t="str">
        <x:v>1-1</x:v>
      </x:c>
      <x:c r="L2370" t="str">
        <x:v>输</x:v>
      </x:c>
      <x:c r="M2370" t="str">
        <x:v>输</x:v>
      </x:c>
      <x:c r="N2370" t="n">
        <x:v>-1</x:v>
      </x:c>
      <x:c r="O2370" t="n">
        <x:v>-1</x:v>
      </x:c>
      <x:c r="P2370" t="n">
        <x:f>IF(COUNT(N2370:O2370)=0,"",SUM(N2370:O2370))</x:f>
        <x:v>-2</x:v>
      </x:c>
      <x:c r="Q2370"/>
      <x:c r="R2370" t="str">
        <x:v>赛果更正：麦德林独立 1-1 佩雷拉；让球麦德林独立-1.5输；大2.5输。可选：若改-1.0则输；胜&amp;大2.5输。</x:v>
      </x:c>
    </x:row>
    <x:row r="2371">
      <x:c r="A2371" t="str">
        <x:f>IF(B2371="","",TEXT(B2371,"yyyy-mm-dd")&amp;"|"&amp;D2371&amp;"|"&amp;E2371)</x:f>
        <x:v>2026-02-15|圣路易斯竞技（Atlético de San Luis）|克雷塔罗（Querétaro）</x:v>
      </x:c>
      <x:c r="B2371" t="n">
        <x:v>46068.291666666664</x:v>
      </x:c>
      <x:c r="C2371" t="str">
        <x:v>墨西哥超（Liga MX，Clausura）</x:v>
      </x:c>
      <x:c r="D2371" t="str">
        <x:v>圣路易斯竞技（Atlético de San Luis）</x:v>
      </x:c>
      <x:c r="E2371" t="str">
        <x:v>克雷塔罗（Querétaro）</x:v>
      </x:c>
      <x:c r="F2371" t="str">
        <x:v>克雷塔罗 +0.5 @2.00</x:v>
      </x:c>
      <x:c r="G2371" t="str">
        <x:v>小 2.5 @1.90</x:v>
      </x:c>
      <x:c r="H2371" t="str">
        <x:v>小注：平局 @3.55；或 BTTS 否 @2.00（二选一）</x:v>
      </x:c>
      <x:c r="I2371" t="n">
        <x:v>46068.31570601852</x:v>
      </x:c>
      <x:c r="J2371" t="str">
        <x:v>已结算</x:v>
      </x:c>
      <x:c r="K2371" t="str">
        <x:v>3-0</x:v>
      </x:c>
      <x:c r="L2371" t="str">
        <x:v>输</x:v>
      </x:c>
      <x:c r="M2371" t="str">
        <x:v>输</x:v>
      </x:c>
      <x:c r="N2371" t="n">
        <x:v>-1</x:v>
      </x:c>
      <x:c r="O2371" t="n">
        <x:v>-1</x:v>
      </x:c>
      <x:c r="P2371" t="n">
        <x:f>IF(COUNT(N2371:O2371)=0,"",SUM(N2371:O2371))</x:f>
        <x:v>-2</x:v>
      </x:c>
      <x:c r="Q2371"/>
      <x:c r="R2371" t="str">
        <x:v>赛果更正：圣路易斯竞技 3-0 克雷塔罗；让球克雷塔罗+0.5输；小2.5输。可选：平局输；BTTS否赢（若当时选此项）。</x:v>
      </x:c>
    </x:row>
    <x:row r="2372">
      <x:c r="A2372" t="str">
        <x:f>IF(B2372="","",TEXT(B2372,"yyyy-mm-dd")&amp;"|"&amp;D2372&amp;"|"&amp;E2372)</x:f>
        <x:v>2026-02-14|女王公园巡游者（QPR/Queens Park Rangers）|布莱克本（Blackburn Rovers）</x:v>
      </x:c>
      <x:c r="B2372" t="n">
        <x:v>46067.958333333336</x:v>
      </x:c>
      <x:c r="C2372" t="str">
        <x:v>英格兰冠军联赛（英冠）</x:v>
      </x:c>
      <x:c r="D2372" t="str">
        <x:v>女王公园巡游者（QPR/Queens Park Rangers）</x:v>
      </x:c>
      <x:c r="E2372" t="str">
        <x:v>布莱克本（Blackburn Rovers）</x:v>
      </x:c>
      <x:c r="F2372" t="str">
        <x:v>女王公园巡游者 -0.25 @1.91</x:v>
      </x:c>
      <x:c r="G2372" t="str">
        <x:v>大 2.5 @2.20</x:v>
      </x:c>
      <x:c r="H2372" t="str">
        <x:v>小注：BTTS 是 @1.90；进阶：女王公园巡游者 独赢 @2.10</x:v>
      </x:c>
      <x:c r="I2372" t="n">
        <x:v>46067.95077546296</x:v>
      </x:c>
      <x:c r="J2372" t="str">
        <x:v>已结算</x:v>
      </x:c>
      <x:c r="K2372" t="str">
        <x:v>1-3</x:v>
      </x:c>
      <x:c r="L2372" t="str">
        <x:v>输</x:v>
      </x:c>
      <x:c r="M2372" t="str">
        <x:v>赢</x:v>
      </x:c>
      <x:c r="N2372" t="n">
        <x:v>-1</x:v>
      </x:c>
      <x:c r="O2372" t="n">
        <x:v>1</x:v>
      </x:c>
      <x:c r="P2372" t="n">
        <x:f>IF(COUNT(N2372:O2372)=0,"",SUM(N2372:O2372))</x:f>
        <x:v>0</x:v>
      </x:c>
      <x:c r="Q2372"/>
      <x:c r="R2372" t="str">
        <x:v>更正赛果：女王公园巡游者（QPR） 1-3 布莱克本；让球QPR-0.25输；大2.5赢；可选BTTS是赢；QPR独赢输。</x:v>
      </x:c>
    </x:row>
    <x:row r="2373">
      <x:c r="A2373" t="str">
        <x:f>IF(B2373="","",TEXT(B2373,"yyyy-mm-dd")&amp;"|"&amp;D2373&amp;"|"&amp;E2373)</x:f>
        <x:v>2026-02-14|朴次茅斯（Portsmouth）|谢菲尔德联（Sheffield United）</x:v>
      </x:c>
      <x:c r="B2373" t="n">
        <x:v>46067.958333333336</x:v>
      </x:c>
      <x:c r="C2373" t="str">
        <x:v>英格兰冠军联赛（英冠）</x:v>
      </x:c>
      <x:c r="D2373" t="str">
        <x:v>朴次茅斯（Portsmouth）</x:v>
      </x:c>
      <x:c r="E2373" t="str">
        <x:v>谢菲尔德联（Sheffield United）</x:v>
      </x:c>
      <x:c r="F2373" t="str">
        <x:v>朴次茅斯 +0.25 @1.85</x:v>
      </x:c>
      <x:c r="G2373" t="str">
        <x:v>大 2.5 @1.93</x:v>
      </x:c>
      <x:c r="H2373" t="str">
        <x:v>小注对冲：BTTS 否 @1.95；或比分 1-1 @5.20（超小）</x:v>
      </x:c>
      <x:c r="I2373" t="n">
        <x:v>46067.94546296296</x:v>
      </x:c>
      <x:c r="J2373" t="str">
        <x:v>已结算</x:v>
      </x:c>
      <x:c r="K2373"/>
      <x:c r="L2373" t="str">
        <x:v>输</x:v>
      </x:c>
      <x:c r="M2373" t="str">
        <x:v>输</x:v>
      </x:c>
      <x:c r="N2373" t="n">
        <x:v>-1</x:v>
      </x:c>
      <x:c r="O2373" t="n">
        <x:v>-1</x:v>
      </x:c>
      <x:c r="P2373" t="n">
        <x:f>IF(COUNT(N2373:O2373)=0,"",SUM(N2373:O2373))</x:f>
        <x:v>-2</x:v>
      </x:c>
      <x:c r="Q2373"/>
      <x:c r="R2373" t="str">
        <x:v>全场：朴次茅斯 0-1 谢菲尔德联；让球朴次茅斯+0.25输；大2.5输。</x:v>
      </x:c>
    </x:row>
    <x:row r="2374">
      <x:c r="A2374" t="str">
        <x:f>IF(B2374="","",TEXT(B2374,"yyyy-mm-dd")&amp;"|"&amp;D2374&amp;"|"&amp;E2374)</x:f>
        <x:v>2026-02-14|霍芬海姆（TSG Hoffenheim）|弗赖堡（SC Freiburg）</x:v>
      </x:c>
      <x:c r="B2374" t="n">
        <x:v>46067.9375</x:v>
      </x:c>
      <x:c r="C2374" t="str">
        <x:v>德国甲级联赛（德甲/Bundesliga）</x:v>
      </x:c>
      <x:c r="D2374" t="str">
        <x:v>霍芬海姆（TSG Hoffenheim）</x:v>
      </x:c>
      <x:c r="E2374" t="str">
        <x:v>弗赖堡（SC Freiburg）</x:v>
      </x:c>
      <x:c r="F2374" t="str">
        <x:v>弗赖堡 +0.75（受让3/4）@1.94</x:v>
      </x:c>
      <x:c r="G2374" t="str">
        <x:v>小 2.75（2.5/3）@2.01</x:v>
      </x:c>
      <x:c r="H2374" t="str">
        <x:v>小注：平局 @4.14；若临场退盘到霍芬海姆-0.5且弗赖堡+0.5≥1.80，可改拿+0.5更稳</x:v>
      </x:c>
      <x:c r="I2374" t="n">
        <x:v>46067.95247685185</x:v>
      </x:c>
      <x:c r="J2374" t="str">
        <x:v>已结算</x:v>
      </x:c>
      <x:c r="K2374" t="str">
        <x:v>3-0</x:v>
      </x:c>
      <x:c r="L2374" t="str">
        <x:v>输</x:v>
      </x:c>
      <x:c r="M2374" t="str">
        <x:v>输半</x:v>
      </x:c>
      <x:c r="N2374" t="n">
        <x:v>-1</x:v>
      </x:c>
      <x:c r="O2374" t="n">
        <x:v>-0.5</x:v>
      </x:c>
      <x:c r="P2374" t="n">
        <x:f>IF(COUNT(N2374:O2374)=0,"",SUM(N2374:O2374))</x:f>
        <x:v>-1.5</x:v>
      </x:c>
      <x:c r="Q2374" t="str">
        <x:v>SofaScore</x:v>
      </x:c>
      <x:c r="R2374" t="str">
        <x:v>校正赛果：霍芬海姆（TSG Hoffenheim） 3-0 弗赖堡（SC Freiburg）；让球：弗赖堡 +0.75 -&gt; 输（-1）；大小：小2.75 -&gt; 输半（-0.5）；来源：SofaScore。</x:v>
      </x:c>
    </x:row>
    <x:row r="2375">
      <x:c r="A2375" t="str">
        <x:f>IF(B2375="","",TEXT(B2375,"yyyy-mm-dd")&amp;"|"&amp;D2375&amp;"|"&amp;E2375)</x:f>
        <x:v>2026-02-14|云达不莱梅（Werder Bremen）|拜仁慕尼黑（Bayern Munich）</x:v>
      </x:c>
      <x:c r="B2375" t="n">
        <x:v>46067.9375</x:v>
      </x:c>
      <x:c r="C2375" t="str">
        <x:v>德国甲级联赛（德甲/Bundesliga）</x:v>
      </x:c>
      <x:c r="D2375" t="str">
        <x:v>云达不莱梅（Werder Bremen）</x:v>
      </x:c>
      <x:c r="E2375" t="str">
        <x:v>拜仁慕尼黑（Bayern Munich）</x:v>
      </x:c>
      <x:c r="F2375" t="str">
        <x:v>拜仁慕尼黑 -1.5（亚洲盘）@1.87</x:v>
      </x:c>
      <x:c r="G2375" t="str">
        <x:v>大 3.5 @1.83</x:v>
      </x:c>
      <x:c r="H2375" t="str">
        <x:v>小注：BTTS 否 @2.25；激进：拜仁 -2.0 @2.75（超小）</x:v>
      </x:c>
      <x:c r="I2375" t="n">
        <x:v>46067.943773148145</x:v>
      </x:c>
      <x:c r="J2375" t="str">
        <x:v>已结算</x:v>
      </x:c>
      <x:c r="K2375"/>
      <x:c r="L2375" t="str">
        <x:v>赢</x:v>
      </x:c>
      <x:c r="M2375" t="str">
        <x:v>输</x:v>
      </x:c>
      <x:c r="N2375" t="n">
        <x:v>1</x:v>
      </x:c>
      <x:c r="O2375" t="n">
        <x:v>-1</x:v>
      </x:c>
      <x:c r="P2375" t="n">
        <x:f>IF(COUNT(N2375:O2375)=0,"",SUM(N2375:O2375))</x:f>
        <x:v>0</x:v>
      </x:c>
      <x:c r="Q2375"/>
      <x:c r="R2375" t="str">
        <x:v>全场：云达不莱梅 0-3 拜仁慕尼黑；让球拜仁-1.5赢；大3.5输。</x:v>
      </x:c>
    </x:row>
    <x:row r="2376">
      <x:c r="A2376" t="str">
        <x:f>IF(B2376="","",TEXT(B2376,"yyyy-mm-dd")&amp;"|"&amp;D2376&amp;"|"&amp;E2376)</x:f>
        <x:v>2026-02-14|科莫（Como）|佛罗伦萨（Fiorentina）</x:v>
      </x:c>
      <x:c r="B2376" t="n">
        <x:v>46067.916666666664</x:v>
      </x:c>
      <x:c r="C2376" t="str">
        <x:v>意大利甲级联赛（Serie A）</x:v>
      </x:c>
      <x:c r="D2376" t="str">
        <x:v>科莫（Como）</x:v>
      </x:c>
      <x:c r="E2376" t="str">
        <x:v>佛罗伦萨（Fiorentina）</x:v>
      </x:c>
      <x:c r="F2376" t="str">
        <x:v>科莫 -0.75 @1.93</x:v>
      </x:c>
      <x:c r="G2376" t="str">
        <x:v>小 2.5 @1.97</x:v>
      </x:c>
      <x:c r="H2376" t="str">
        <x:v>小注：BTTS 否 @2.00；激进：科莫 -1.5 @3.05（超小）</x:v>
      </x:c>
      <x:c r="I2376" t="n">
        <x:v>46067.864803240744</x:v>
      </x:c>
      <x:c r="J2376" t="str">
        <x:v>已结算</x:v>
      </x:c>
      <x:c r="K2376"/>
      <x:c r="L2376" t="str">
        <x:v>输</x:v>
      </x:c>
      <x:c r="M2376" t="str">
        <x:v>输</x:v>
      </x:c>
      <x:c r="N2376" t="n">
        <x:v>-1</x:v>
      </x:c>
      <x:c r="O2376" t="n">
        <x:v>-1</x:v>
      </x:c>
      <x:c r="P2376" t="n">
        <x:f>IF(COUNT(N2376:O2376)=0,"",SUM(N2376:O2376))</x:f>
        <x:v>-2</x:v>
      </x:c>
      <x:c r="Q2376"/>
      <x:c r="R2376" t="str">
        <x:v>全场：科莫 1-2佛罗伦萨；让球科莫-0.75输；小2.5输。</x:v>
      </x:c>
    </x:row>
    <x:row r="2377">
      <x:c r="A2377" t="str">
        <x:f>IF(B2377="","",TEXT(B2377,"yyyy-mm-dd")&amp;"|"&amp;D2377&amp;"|"&amp;E2377)</x:f>
        <x:v>2026-02-14|西班牙人（RCD Espanyol）|维戈塞尔塔（Celta Vigo）</x:v>
      </x:c>
      <x:c r="B2377" t="n">
        <x:v>46067.875</x:v>
      </x:c>
      <x:c r="C2377" t="str">
        <x:v>西甲（LaLiga）</x:v>
      </x:c>
      <x:c r="D2377" t="str">
        <x:v>西班牙人（RCD Espanyol）</x:v>
      </x:c>
      <x:c r="E2377" t="str">
        <x:v>维戈塞尔塔（Celta Vigo）</x:v>
      </x:c>
      <x:c r="F2377" t="str">
        <x:v>维戈塞尔塔 0（平手/DNB）@2.03</x:v>
      </x:c>
      <x:c r="G2377" t="str">
        <x:v>大 2.5 @2.10</x:v>
      </x:c>
      <x:c r="H2377" t="str">
        <x:v>小注：维戈塞尔塔 独赢@2.70；或 BTTS 否@1.87（二选一）</x:v>
      </x:c>
      <x:c r="I2377" t="n">
        <x:v>46067.880208333336</x:v>
      </x:c>
      <x:c r="J2377" t="str">
        <x:v>已结算</x:v>
      </x:c>
      <x:c r="K2377"/>
      <x:c r="L2377" t="str">
        <x:v>走水</x:v>
      </x:c>
      <x:c r="M2377" t="str">
        <x:v>赢</x:v>
      </x:c>
      <x:c r="N2377" t="n">
        <x:v>0</x:v>
      </x:c>
      <x:c r="O2377" t="n">
        <x:v>1</x:v>
      </x:c>
      <x:c r="P2377" t="n">
        <x:f>IF(COUNT(N2377:O2377)=0,"",SUM(N2377:O2377))</x:f>
        <x:v>1</x:v>
      </x:c>
      <x:c r="Q2377"/>
      <x:c r="R2377" t="str">
        <x:v>全场：西班牙人 2-2 维戈塞尔塔；让球塞尔塔0（DNB）走水；大2.5赢。</x:v>
      </x:c>
    </x:row>
    <x:row r="2378">
      <x:c r="A2378" t="str">
        <x:f>IF(B2378="","",TEXT(B2378,"yyyy-mm-dd")&amp;"|"&amp;D2378&amp;"|"&amp;E2378)</x:f>
        <x:v>2026-02-14|帕尔斯巴亚（Persebaya Surabaya）|巴杨卡拉普雷西西兰普FC（Bhayangkara Presisi Lampung FC）</x:v>
      </x:c>
      <x:c r="B2378" t="n">
        <x:v>46067.833333333336</x:v>
      </x:c>
      <x:c r="C2378" t="str">
        <x:v>印度尼西亚超级联赛（印尼超/Liga 1 Indonesia）</x:v>
      </x:c>
      <x:c r="D2378" t="str">
        <x:v>帕尔斯巴亚（Persebaya Surabaya）</x:v>
      </x:c>
      <x:c r="E2378" t="str">
        <x:v>巴杨卡拉普雷西西兰普FC（Bhayangkara Presisi Lampung FC）</x:v>
      </x:c>
      <x:c r="F2378" t="str">
        <x:v>帕尔斯巴亚 -0.75（-0.5/-1）@1.95左右</x:v>
      </x:c>
      <x:c r="G2378" t="str">
        <x:v>小 2/2.5（2.25）@1.95左右</x:v>
      </x:c>
      <x:c r="H2378" t="str">
        <x:v>若临场退盘到帕尔斯巴亚-0.5且水位≥1.85，可改稳一点拿-0.5；若升盘到-1且帕尔斯巴亚-1≥1.95，可小注补-1。大小若升到2.5且小2.5≥1.90可加；走地15-25分钟双方合计射正≤2且禁区触球少，可加走地小2.0（≥1.80）；若早球（≤15’）则改小3.0/3.25不追小2.25。</x:v>
      </x:c>
      <x:c r="I2378" t="n">
        <x:v>46067.86017361111</x:v>
      </x:c>
      <x:c r="J2378" t="str">
        <x:v>已结算</x:v>
      </x:c>
      <x:c r="K2378"/>
      <x:c r="L2378" t="str">
        <x:v>输</x:v>
      </x:c>
      <x:c r="M2378" t="str">
        <x:v>输</x:v>
      </x:c>
      <x:c r="N2378" t="n">
        <x:v>-1</x:v>
      </x:c>
      <x:c r="O2378" t="n">
        <x:v>-1</x:v>
      </x:c>
      <x:c r="P2378" t="n">
        <x:f>IF(COUNT(N2378:O2378)=0,"",SUM(N2378:O2378))</x:f>
        <x:v>-2</x:v>
      </x:c>
      <x:c r="Q2378"/>
      <x:c r="R2378" t="str">
        <x:v>全场：帕尔斯巴亚 1-2 巴杨卡拉普雷西西兰普FC；让球帕尔斯巴亚-0.75输；小2.25输。</x:v>
      </x:c>
    </x:row>
    <x:row r="2379">
      <x:c r="A2379" t="str">
        <x:f>IF(B2379="","",TEXT(B2379,"yyyy-mm-dd")&amp;"|"&amp;D2379&amp;"|"&amp;E2379)</x:f>
        <x:v>2026-02-14|悉尼FC（Sydney FC）|阿德莱德联（Adelaide United）</x:v>
      </x:c>
      <x:c r="B2379" t="n">
        <x:v>46067.69097222222</x:v>
      </x:c>
      <x:c r="C2379" t="str">
        <x:v>澳大利亚A联赛（A-League Men）</x:v>
      </x:c>
      <x:c r="D2379" t="str">
        <x:v>悉尼FC（Sydney FC）</x:v>
      </x:c>
      <x:c r="E2379" t="str">
        <x:v>阿德莱德联（Adelaide United）</x:v>
      </x:c>
      <x:c r="F2379" t="str">
        <x:v>悉尼FC -0.75 @1.84左右</x:v>
      </x:c>
      <x:c r="G2379" t="str">
        <x:v>大3.5 @2.12左右</x:v>
      </x:c>
      <x:c r="H2379" t="str">
        <x:v>若临场让球退到-0.5且悉尼-0.5≥1.75，可换更稳；若升到-1且悉尼-1≥2.05，可小注补-1（赢1走水）。大小若降到3.25且大3.25≥1.90，可改/加大3.25；若升到3.75且大3.75≥2.00，仅小注追大。</x:v>
      </x:c>
      <x:c r="I2379" t="n">
        <x:v>46067.651412037034</x:v>
      </x:c>
      <x:c r="J2379" t="str">
        <x:v>已结算</x:v>
      </x:c>
      <x:c r="K2379"/>
      <x:c r="L2379" t="str">
        <x:v>输</x:v>
      </x:c>
      <x:c r="M2379" t="str">
        <x:v>输</x:v>
      </x:c>
      <x:c r="N2379" t="n">
        <x:v>-1</x:v>
      </x:c>
      <x:c r="O2379" t="n">
        <x:v>-1</x:v>
      </x:c>
      <x:c r="P2379" t="n">
        <x:f>IF(COUNT(N2379:O2379)=0,"",SUM(N2379:O2379))</x:f>
        <x:v>-2</x:v>
      </x:c>
      <x:c r="Q2379"/>
      <x:c r="R2379" t="str">
        <x:v>全场：悉尼FC 1-2 阿德莱德联；让球悉尼-0.75输；大3.5输。</x:v>
      </x:c>
    </x:row>
    <x:row r="2380">
      <x:c r="A2380" t="str">
        <x:f>IF(B2380="","",TEXT(B2380,"yyyy-mm-dd")&amp;"|"&amp;D2380&amp;"|"&amp;E2380)</x:f>
        <x:v>2026-02-14|PSM马卡萨（PSM Makassar）|德瓦联（Dewa United）</x:v>
      </x:c>
      <x:c r="B2380" t="n">
        <x:v>46067.6875</x:v>
      </x:c>
      <x:c r="C2380" t="str">
        <x:v>印度尼西亚超级联赛（印尼超/Liga 1 Indonesia）</x:v>
      </x:c>
      <x:c r="D2380" t="str">
        <x:v>PSM马卡萨（PSM Makassar）</x:v>
      </x:c>
      <x:c r="E2380" t="str">
        <x:v>德瓦联（Dewa United）</x:v>
      </x:c>
      <x:c r="F2380" t="str">
        <x:v>PSM马卡萨 -0.25 @1.98</x:v>
      </x:c>
      <x:c r="G2380" t="str">
        <x:v>大 2.5 @1.95</x:v>
      </x:c>
      <x:c r="H2380" t="str">
        <x:v>保守替代：PSM马卡萨 0（平手/DNB）@1.80；小注：平局@3.10</x:v>
      </x:c>
      <x:c r="I2380" t="n">
        <x:v>46067.624456018515</x:v>
      </x:c>
      <x:c r="J2380" t="str">
        <x:v>已结算</x:v>
      </x:c>
      <x:c r="K2380"/>
      <x:c r="L2380" t="str">
        <x:v>输</x:v>
      </x:c>
      <x:c r="M2380" t="str">
        <x:v>输</x:v>
      </x:c>
      <x:c r="N2380" t="n">
        <x:v>-1</x:v>
      </x:c>
      <x:c r="O2380" t="n">
        <x:v>-1</x:v>
      </x:c>
      <x:c r="P2380" t="n">
        <x:f>IF(COUNT(N2380:O2380)=0,"",SUM(N2380:O2380))</x:f>
        <x:v>-2</x:v>
      </x:c>
      <x:c r="Q2380"/>
      <x:c r="R2380" t="str">
        <x:v>全场：PSM马卡萨 0-2 德瓦联；让球PSM-0.25输；大2.5输。</x:v>
      </x:c>
    </x:row>
    <x:row r="2381">
      <x:c r="A2381" t="str">
        <x:f>IF(B2381="","",TEXT(B2381,"yyyy-mm-dd")&amp;"|"&amp;D2381&amp;"|"&amp;E2381)</x:f>
        <x:v>2026-02-14|FC东京（FC Tokyo）|浦和红钻（Urawa Reds）</x:v>
      </x:c>
      <x:c r="B2381" t="n">
        <x:v>46067.583333333336</x:v>
      </x:c>
      <x:c r="C2381" t="str">
        <x:v>日职联（J1 League）</x:v>
      </x:c>
      <x:c r="D2381" t="str">
        <x:v>FC东京（FC Tokyo）</x:v>
      </x:c>
      <x:c r="E2381" t="str">
        <x:v>浦和红钻（Urawa Reds）</x:v>
      </x:c>
      <x:c r="F2381" t="str">
        <x:v>浦和红钻 +0.25 @1.85</x:v>
      </x:c>
      <x:c r="G2381" t="str">
        <x:v>小 2.5 @1.90</x:v>
      </x:c>
      <x:c r="H2381" t="str">
        <x:v>小注：浦和红钻 独赢(ML) @2.85；或 BTTS 否 @2.05（二选一）</x:v>
      </x:c>
      <x:c r="I2381" t="n">
        <x:v>46067.56197916667</x:v>
      </x:c>
      <x:c r="J2381" t="str">
        <x:v>已结算</x:v>
      </x:c>
      <x:c r="K2381"/>
      <x:c r="L2381" t="str">
        <x:v>赢半</x:v>
      </x:c>
      <x:c r="M2381" t="str">
        <x:v>赢</x:v>
      </x:c>
      <x:c r="N2381" t="n">
        <x:v>0.5</x:v>
      </x:c>
      <x:c r="O2381" t="n">
        <x:v>1</x:v>
      </x:c>
      <x:c r="P2381" t="n">
        <x:f>IF(COUNT(N2381:O2381)=0,"",SUM(N2381:O2381))</x:f>
        <x:v>1.5</x:v>
      </x:c>
      <x:c r="Q2381"/>
      <x:c r="R2381" t="str">
        <x:v>全场：FC东京 1-1 浦和红钻；让球浦和+0.25赢半；小2.5赢；可选ML输/BTTS否输（二选一未默认结算）。</x:v>
      </x:c>
    </x:row>
    <x:row r="2382">
      <x:c r="A2382" t="str">
        <x:f>IF(B2382="","",TEXT(B2382,"yyyy-mm-dd")&amp;"|"&amp;D2382&amp;"|"&amp;E2382)</x:f>
        <x:v>2026-02-14|鹿岛鹿角（Kashima Antlers）|横滨水手（Yokohama F. Marinos）</x:v>
      </x:c>
      <x:c r="B2382" t="n">
        <x:v>46067.583333333336</x:v>
      </x:c>
      <x:c r="C2382" t="str">
        <x:v>日职联（J1 League）</x:v>
      </x:c>
      <x:c r="D2382" t="str">
        <x:v>鹿岛鹿角（Kashima Antlers）</x:v>
      </x:c>
      <x:c r="E2382" t="str">
        <x:v>横滨水手（Yokohama F. Marinos）</x:v>
      </x:c>
      <x:c r="F2382" t="str">
        <x:v>鹿岛鹿角 -1 @2.10</x:v>
      </x:c>
      <x:c r="G2382" t="str">
        <x:v>大 2.5 @1.80</x:v>
      </x:c>
      <x:c r="H2382" t="str">
        <x:v>比分倾向：2-1/3-1（超小）；保守替代：小2.5 @2.00（若你更担心节奏慢）</x:v>
      </x:c>
      <x:c r="I2382" t="n">
        <x:v>46067.55685185185</x:v>
      </x:c>
      <x:c r="J2382" t="str">
        <x:v>已结算</x:v>
      </x:c>
      <x:c r="K2382"/>
      <x:c r="L2382" t="str">
        <x:v>走水</x:v>
      </x:c>
      <x:c r="M2382" t="str">
        <x:v>输</x:v>
      </x:c>
      <x:c r="N2382" t="n">
        <x:v>0</x:v>
      </x:c>
      <x:c r="O2382" t="n">
        <x:v>-1</x:v>
      </x:c>
      <x:c r="P2382" t="n">
        <x:f>IF(COUNT(N2382:O2382)=0,"",SUM(N2382:O2382))</x:f>
        <x:v>-1</x:v>
      </x:c>
      <x:c r="Q2382"/>
      <x:c r="R2382" t="str">
        <x:v>更正：全场鹿岛鹿角 1-0 横滨水手；鹿岛-1走水；大2.5输。</x:v>
      </x:c>
    </x:row>
    <x:row r="2383">
      <x:c r="A2383" t="str">
        <x:f>IF(B2383="","",TEXT(B2383,"yyyy-mm-dd")&amp;"|"&amp;D2383&amp;"|"&amp;E2383)</x:f>
        <x:v>2026-02-14|墨尔本胜利（Melbourne Victory）|布里斯班狮吼（Brisbane Roar）</x:v>
      </x:c>
      <x:c r="B2383" t="n">
        <x:v>46067.583333333336</x:v>
      </x:c>
      <x:c r="C2383" t="str">
        <x:v>澳大利亚A联赛（A-League Men）</x:v>
      </x:c>
      <x:c r="D2383" t="str">
        <x:v>墨尔本胜利（Melbourne Victory）</x:v>
      </x:c>
      <x:c r="E2383" t="str">
        <x:v>布里斯班狮吼（Brisbane Roar）</x:v>
      </x:c>
      <x:c r="F2383" t="str">
        <x:v>墨尔本胜利 -0.75 @1.83</x:v>
      </x:c>
      <x:c r="G2383" t="str">
        <x:v>小 2.5 @2.20</x:v>
      </x:c>
      <x:c r="H2383" t="str">
        <x:v>小注：BTTS 否 @2.02；激进：正确比分 2-0 @7.00（超小）</x:v>
      </x:c>
      <x:c r="I2383" t="n">
        <x:v>46067.55306712963</x:v>
      </x:c>
      <x:c r="J2383" t="str">
        <x:v>已结算</x:v>
      </x:c>
      <x:c r="K2383"/>
      <x:c r="L2383" t="str">
        <x:v>输</x:v>
      </x:c>
      <x:c r="M2383" t="str">
        <x:v>赢</x:v>
      </x:c>
      <x:c r="N2383" t="n">
        <x:v>-1</x:v>
      </x:c>
      <x:c r="O2383" t="n">
        <x:v>1</x:v>
      </x:c>
      <x:c r="P2383" t="n">
        <x:f>IF(COUNT(N2383:O2383)=0,"",SUM(N2383:O2383))</x:f>
        <x:v>0</x:v>
      </x:c>
      <x:c r="Q2383"/>
      <x:c r="R2383" t="str">
        <x:v>全场：墨尔本胜利 1-1 布里斯班狮吼；让球胜利-0.75输；小2.5赢；可选BTTS否输。</x:v>
      </x:c>
    </x:row>
    <x:row r="2384">
      <x:c r="A2384" t="str">
        <x:f>IF(B2384="","",TEXT(B2384,"yyyy-mm-dd")&amp;"|"&amp;D2384&amp;"|"&amp;E2384)</x:f>
        <x:v>2026-02-14|广岛三箭|冈山绿雉</x:v>
      </x:c>
      <x:c r="B2384" t="n">
        <x:v>46067.54375</x:v>
      </x:c>
      <x:c r="C2384" t="str">
        <x:v>日职联（J1 League）</x:v>
      </x:c>
      <x:c r="D2384" t="str">
        <x:v>广岛三箭</x:v>
      </x:c>
      <x:c r="E2384" t="str">
        <x:v>冈山绿雉</x:v>
      </x:c>
      <x:c r="F2384" t="str">
        <x:v>广岛三箭 -1.25（亚盘）@2.05</x:v>
      </x:c>
      <x:c r="G2384" t="str">
        <x:v>小 2.5（亚盘）@1.88</x:v>
      </x:c>
      <x:c r="H2384" t="str">
        <x:v>小注：广岛三箭 -1.5（亚盘）@2.32</x:v>
      </x:c>
      <x:c r="I2384" t="n">
        <x:v>46067.53870370371</x:v>
      </x:c>
      <x:c r="J2384" t="str">
        <x:v>已结算</x:v>
      </x:c>
      <x:c r="K2384"/>
      <x:c r="L2384" t="str">
        <x:v>输</x:v>
      </x:c>
      <x:c r="M2384" t="str">
        <x:v>赢</x:v>
      </x:c>
      <x:c r="N2384" t="n">
        <x:v>-1</x:v>
      </x:c>
      <x:c r="O2384" t="n">
        <x:v>1</x:v>
      </x:c>
      <x:c r="P2384" t="n">
        <x:f>IF(COUNT(N2384:O2384)=0,"",SUM(N2384:O2384))</x:f>
        <x:v>0</x:v>
      </x:c>
      <x:c r="Q2384"/>
      <x:c r="R2384" t="str">
        <x:v>全场：广岛三箭 1-1 冈山绿雉（常规时间）；让球广岛-1.25输；小2.5赢；可选-1.5输。</x:v>
      </x:c>
    </x:row>
    <x:row r="2385">
      <x:c r="A2385" t="str">
        <x:f>IF(B2385="","",TEXT(B2385,"yyyy-mm-dd")&amp;"|"&amp;D2385&amp;"|"&amp;E2385)</x:f>
        <x:v>2026-02-14|清水心跳（Shimizu S-Pulse）|京都不死鸟（Kyoto Sanga）</x:v>
      </x:c>
      <x:c r="B2385" t="n">
        <x:v>46067.541666666664</x:v>
      </x:c>
      <x:c r="C2385" t="str">
        <x:v>日职联（J1 League）</x:v>
      </x:c>
      <x:c r="D2385" t="str">
        <x:v>清水心跳（Shimizu S-Pulse）</x:v>
      </x:c>
      <x:c r="E2385" t="str">
        <x:v>京都不死鸟（Kyoto Sanga）</x:v>
      </x:c>
      <x:c r="F2385" t="str">
        <x:v>清水心跳 +0.25 @2.00</x:v>
      </x:c>
      <x:c r="G2385" t="str">
        <x:v>小 2.5 @1.85</x:v>
      </x:c>
      <x:c r="H2385" t="str">
        <x:v>平局 @3.40（小注）</x:v>
      </x:c>
      <x:c r="I2385" t="n">
        <x:v>46067.53612268518</x:v>
      </x:c>
      <x:c r="J2385" t="str">
        <x:v>已结算</x:v>
      </x:c>
      <x:c r="K2385"/>
      <x:c r="L2385" t="str">
        <x:v>赢半</x:v>
      </x:c>
      <x:c r="M2385" t="str">
        <x:v>赢</x:v>
      </x:c>
      <x:c r="N2385" t="n">
        <x:v>0.5</x:v>
      </x:c>
      <x:c r="O2385" t="n">
        <x:v>1</x:v>
      </x:c>
      <x:c r="P2385" t="n">
        <x:f>IF(COUNT(N2385:O2385)=0,"",SUM(N2385:O2385))</x:f>
        <x:v>1.5</x:v>
      </x:c>
      <x:c r="Q2385"/>
      <x:c r="R2385" t="str">
        <x:v>全场：清水心跳 1-1 京都不死鸟（常规时间）；让球清水+0.25赢半；小2.5赢；可选平局赢。</x:v>
      </x:c>
    </x:row>
    <x:row r="2386">
      <x:c r="A2386" t="str">
        <x:f>IF(B2386="","",TEXT(B2386,"yyyy-mm-dd")&amp;"|"&amp;D2386&amp;"|"&amp;E2386)</x:f>
        <x:v>2026-02-14|町田泽维亚（FC町田泽维亚/Machida Zelvia）|水户蜀葵（Mito HollyHock）</x:v>
      </x:c>
      <x:c r="B2386" t="n">
        <x:v>46067.541666666664</x:v>
      </x:c>
      <x:c r="C2386" t="str">
        <x:v>日职联（J1 League）</x:v>
      </x:c>
      <x:c r="D2386" t="str">
        <x:v>町田泽维亚（FC町田泽维亚/Machida Zelvia）</x:v>
      </x:c>
      <x:c r="E2386" t="str">
        <x:v>水户蜀葵（Mito HollyHock）</x:v>
      </x:c>
      <x:c r="F2386" t="str">
        <x:v>町田泽维亚 -1.0 @1.80</x:v>
      </x:c>
      <x:c r="G2386" t="str">
        <x:v>小 2.5 @1.80</x:v>
      </x:c>
      <x:c r="H2386" t="str">
        <x:v>町田泽维亚 -1.5 @2.35（小注）</x:v>
      </x:c>
      <x:c r="I2386" t="n">
        <x:v>46067.532476851855</x:v>
      </x:c>
      <x:c r="J2386" t="str">
        <x:v>已结算</x:v>
      </x:c>
      <x:c r="K2386"/>
      <x:c r="L2386" t="str">
        <x:v>输</x:v>
      </x:c>
      <x:c r="M2386" t="str">
        <x:v>输</x:v>
      </x:c>
      <x:c r="N2386" t="n">
        <x:v>-1</x:v>
      </x:c>
      <x:c r="O2386" t="n">
        <x:v>-1</x:v>
      </x:c>
      <x:c r="P2386" t="n">
        <x:f>IF(COUNT(N2386:O2386)=0,"",SUM(N2386:O2386))</x:f>
        <x:v>-2</x:v>
      </x:c>
      <x:c r="Q2386"/>
      <x:c r="R2386" t="str">
        <x:v>全场：町田泽维亚 2-2 水户蜀葵（常规时间）；让球町田-1输；小2.5输；可选-1.5输。</x:v>
      </x:c>
    </x:row>
    <x:row r="2387">
      <x:c r="A2387" t="str">
        <x:f>IF(B2387="","",TEXT(B2387,"yyyy-mm-dd")&amp;"|"&amp;D2387&amp;"|"&amp;E2387)</x:f>
        <x:v>2026-02-14|曼宁厄联蓝调（Manningham United Blues）|布林狮子（Bulleen Lions）</x:v>
      </x:c>
      <x:c r="B2387" t="n">
        <x:v>46067.510416666664</x:v>
      </x:c>
      <x:c r="C2387" t="str">
        <x:v>澳大利亚 维多利亚州超级联赛1（VPL1）</x:v>
      </x:c>
      <x:c r="D2387" t="str">
        <x:v>曼宁厄联蓝调（Manningham United Blues）</x:v>
      </x:c>
      <x:c r="E2387" t="str">
        <x:v>布林狮子（Bulleen Lions）</x:v>
      </x:c>
      <x:c r="F2387" t="str">
        <x:v>布林狮子 +0.25 @1.97</x:v>
      </x:c>
      <x:c r="G2387" t="str">
        <x:v>小 3.5 @1.86</x:v>
      </x:c>
      <x:c r="H2387" t="str">
        <x:v>布林狮子 独赢(ML) @2.50（小注）</x:v>
      </x:c>
      <x:c r="I2387" t="n">
        <x:v>46067.491122685184</x:v>
      </x:c>
      <x:c r="J2387" t="str">
        <x:v>已结算</x:v>
      </x:c>
      <x:c r="K2387"/>
      <x:c r="L2387" t="str">
        <x:v>输</x:v>
      </x:c>
      <x:c r="M2387" t="str">
        <x:v>输</x:v>
      </x:c>
      <x:c r="N2387" t="n">
        <x:v>-1</x:v>
      </x:c>
      <x:c r="O2387" t="n">
        <x:v>-1</x:v>
      </x:c>
      <x:c r="P2387" t="n">
        <x:f>IF(COUNT(N2387:O2387)=0,"",SUM(N2387:O2387))</x:f>
        <x:v>-2</x:v>
      </x:c>
      <x:c r="Q2387"/>
      <x:c r="R2387" t="str">
        <x:v>全场：曼宁厄联蓝调 3-1 布林狮子；让球布林狮子+0.25输；小3.5输；可选独赢输。</x:v>
      </x:c>
    </x:row>
    <x:row r="2388">
      <x:c r="A2388" t="str">
        <x:f>IF(B2388="","",TEXT(B2388,"yyyy-mm-dd")&amp;"|"&amp;D2388&amp;"|"&amp;E2388)</x:f>
        <x:v>2026-02-14|艾云达尔（Avondale FC）|南墨尔本（South Melbourne）</x:v>
      </x:c>
      <x:c r="B2388" t="n">
        <x:v>46067.5</x:v>
      </x:c>
      <x:c r="C2388" t="str">
        <x:v>澳大利亚 维多利亚州超级联赛1（VPL1）</x:v>
      </x:c>
      <x:c r="D2388" t="str">
        <x:v>艾云达尔（Avondale FC）</x:v>
      </x:c>
      <x:c r="E2388" t="str">
        <x:v>南墨尔本（South Melbourne）</x:v>
      </x:c>
      <x:c r="F2388" t="str">
        <x:v>艾云达尔 -0.25 @2.00</x:v>
      </x:c>
      <x:c r="G2388" t="str">
        <x:v>小 2.5 @2.30</x:v>
      </x:c>
      <x:c r="H2388" t="str">
        <x:v>艾云达尔 -0.5 @2.30（小注）</x:v>
      </x:c>
      <x:c r="I2388" t="n">
        <x:v>46067.46946759259</x:v>
      </x:c>
      <x:c r="J2388" t="str">
        <x:v>已结算</x:v>
      </x:c>
      <x:c r="K2388"/>
      <x:c r="L2388" t="str">
        <x:v>输</x:v>
      </x:c>
      <x:c r="M2388" t="str">
        <x:v>赢</x:v>
      </x:c>
      <x:c r="N2388" t="n">
        <x:v>-1</x:v>
      </x:c>
      <x:c r="O2388" t="n">
        <x:v>1</x:v>
      </x:c>
      <x:c r="P2388" t="n">
        <x:f>IF(COUNT(N2388:O2388)=0,"",SUM(N2388:O2388))</x:f>
        <x:v>0</x:v>
      </x:c>
      <x:c r="Q2388"/>
      <x:c r="R2388" t="str">
        <x:v>全场：艾云达尔 0-2 南墨尔本；让球艾云达尔-0.25输；小2.5赢；可选-0.5输。</x:v>
      </x:c>
    </x:row>
    <x:row r="2389">
      <x:c r="A2389" t="str">
        <x:f>IF(B2389="","",TEXT(B2389,"yyyy-mm-dd")&amp;"|"&amp;D2389&amp;"|"&amp;E2389)</x:f>
        <x:v>2026-02-14|伊拉普阿托（Irapuato）|多拉多斯（Dorados de Sinaloa）</x:v>
      </x:c>
      <x:c r="B2389" t="n">
        <x:v>46067.458333333336</x:v>
      </x:c>
      <x:c r="C2389" t="str">
        <x:v>墨西哥甲级扩展联赛（Liga de Expansión MX）</x:v>
      </x:c>
      <x:c r="D2389" t="str">
        <x:v>伊拉普阿托（Irapuato）</x:v>
      </x:c>
      <x:c r="E2389" t="str">
        <x:v>多拉多斯（Dorados de Sinaloa）</x:v>
      </x:c>
      <x:c r="F2389" t="str">
        <x:v>伊拉普阿托 -1.25 @2.07</x:v>
      </x:c>
      <x:c r="G2389" t="str">
        <x:v>小2.5 @2.15</x:v>
      </x:c>
      <x:c r="H2389" t="str">
        <x:v>小注备选：多拉多斯 +1.25 @1.80（若临场主让升到-1.5则优先备选）</x:v>
      </x:c>
      <x:c r="I2389" t="n">
        <x:v>46067.46310185185</x:v>
      </x:c>
      <x:c r="J2389" t="str">
        <x:v>已结算</x:v>
      </x:c>
      <x:c r="K2389"/>
      <x:c r="L2389" t="str">
        <x:v>赢</x:v>
      </x:c>
      <x:c r="M2389" t="str">
        <x:v>输</x:v>
      </x:c>
      <x:c r="N2389" t="n">
        <x:v>1</x:v>
      </x:c>
      <x:c r="O2389" t="n">
        <x:v>-1</x:v>
      </x:c>
      <x:c r="P2389" t="n">
        <x:f>IF(COUNT(N2389:O2389)=0,"",SUM(N2389:O2389))</x:f>
        <x:v>0</x:v>
      </x:c>
      <x:c r="Q2389"/>
      <x:c r="R2389" t="str">
        <x:v>全场：伊拉普阿托 5-0 多拉多斯；伊拉普阿托-1.25赢；小2.5输。</x:v>
      </x:c>
    </x:row>
    <x:row r="2390">
      <x:c r="A2390" t="str">
        <x:f>IF(B2390="","",TEXT(B2390,"yyyy-mm-dd")&amp;"|"&amp;D2390&amp;"|"&amp;E2390)</x:f>
        <x:v>2026-02-14|圣塔菲联（Unión de Santa Fe）|圣洛伦索（San Lorenzo）</x:v>
      </x:c>
      <x:c r="B2390" t="n">
        <x:v>46067.385416666664</x:v>
      </x:c>
      <x:c r="C2390" t="str">
        <x:v>阿根廷职业联赛（Liga Profesional·Apertura）</x:v>
      </x:c>
      <x:c r="D2390" t="str">
        <x:v>圣塔菲联（Unión de Santa Fe）</x:v>
      </x:c>
      <x:c r="E2390" t="str">
        <x:v>圣洛伦索（San Lorenzo）</x:v>
      </x:c>
      <x:c r="F2390" t="str">
        <x:v>圣塔菲联 -0.25 @1.86</x:v>
      </x:c>
      <x:c r="G2390" t="str">
        <x:v>小 1.75（亚洲盘）@1.82</x:v>
      </x:c>
      <x:c r="H2390" t="str">
        <x:v>圣塔菲联 -0.5 @2.23（小注）</x:v>
      </x:c>
      <x:c r="I2390" t="n">
        <x:v>46067.40173611111</x:v>
      </x:c>
      <x:c r="J2390" t="str">
        <x:v>已结算</x:v>
      </x:c>
      <x:c r="K2390"/>
      <x:c r="L2390" t="str">
        <x:v>输半</x:v>
      </x:c>
      <x:c r="M2390" t="str">
        <x:v>赢</x:v>
      </x:c>
      <x:c r="N2390" t="n">
        <x:v>-0.5</x:v>
      </x:c>
      <x:c r="O2390" t="n">
        <x:v>1</x:v>
      </x:c>
      <x:c r="P2390" t="n">
        <x:f>IF(COUNT(N2390:O2390)=0,"",SUM(N2390:O2390))</x:f>
        <x:v>0.5</x:v>
      </x:c>
      <x:c r="Q2390"/>
      <x:c r="R2390" t="str">
        <x:v>全场：圣塔菲联 0-0 圣洛伦索；圣塔菲联-0.25输半；小1.75赢；可选-0.5输。</x:v>
      </x:c>
    </x:row>
    <x:row r="2391">
      <x:c r="A2391" t="str">
        <x:f>IF(B2391="","",TEXT(B2391,"yyyy-mm-dd")&amp;"|"&amp;D2391&amp;"|"&amp;E2391)</x:f>
        <x:v>2026-02-14|卡利美洲（América de Cali）|圣塔菲（Independiente Santa Fe）</x:v>
      </x:c>
      <x:c r="B2391" t="n">
        <x:v>46067.375</x:v>
      </x:c>
      <x:c r="C2391" t="str">
        <x:v>哥伦比亚甲级联赛（Liga BetPlay DIMAYOR）</x:v>
      </x:c>
      <x:c r="D2391" t="str">
        <x:v>卡利美洲（América de Cali）</x:v>
      </x:c>
      <x:c r="E2391" t="str">
        <x:v>圣塔菲（Independiente Santa Fe）</x:v>
      </x:c>
      <x:c r="F2391" t="str">
        <x:v>圣塔菲 +0.25 @1.95</x:v>
      </x:c>
      <x:c r="G2391" t="str">
        <x:v>小 2.0（亚洲盘） @2.03</x:v>
      </x:c>
      <x:c r="H2391" t="str">
        <x:v>圣塔菲 平手盘(DNB) @2.50（小注）</x:v>
      </x:c>
      <x:c r="I2391" t="n">
        <x:v>46067.3624537037</x:v>
      </x:c>
      <x:c r="J2391" t="str">
        <x:v>已结算</x:v>
      </x:c>
      <x:c r="K2391"/>
      <x:c r="L2391" t="str">
        <x:v>输</x:v>
      </x:c>
      <x:c r="M2391" t="str">
        <x:v>赢</x:v>
      </x:c>
      <x:c r="N2391" t="n">
        <x:v>-1</x:v>
      </x:c>
      <x:c r="O2391" t="n">
        <x:v>1</x:v>
      </x:c>
      <x:c r="P2391" t="n">
        <x:f>IF(COUNT(N2391:O2391)=0,"",SUM(N2391:O2391))</x:f>
        <x:v>0</x:v>
      </x:c>
      <x:c r="Q2391"/>
      <x:c r="R2391" t="str">
        <x:v>全场：卡利美洲 1-0 圣塔菲；圣塔菲+0.25输；小2.0赢；可选DNB输。</x:v>
      </x:c>
    </x:row>
    <x:row r="2392">
      <x:c r="A2392" t="str">
        <x:f>IF(B2392="","",TEXT(B2392,"yyyy-mm-dd")&amp;"|"&amp;D2392&amp;"|"&amp;E2392)</x:f>
        <x:v>2026-02-14|克雷卡米诺斯（Correcaminos UAT）|亚特兰特（Atlante）</x:v>
      </x:c>
      <x:c r="B2392" t="n">
        <x:v>46067.375</x:v>
      </x:c>
      <x:c r="C2392" t="str">
        <x:v>墨西哥甲级扩展联赛（Liga de Expansión MX）</x:v>
      </x:c>
      <x:c r="D2392" t="str">
        <x:v>克雷卡米诺斯（Correcaminos UAT）</x:v>
      </x:c>
      <x:c r="E2392" t="str">
        <x:v>亚特兰特（Atlante）</x:v>
      </x:c>
      <x:c r="F2392" t="str">
        <x:v>克雷卡米诺斯 +1.0（亚洲让球）@1.99左右</x:v>
      </x:c>
      <x:c r="G2392" t="str">
        <x:v>小2.5（进球数）@1.98左右</x:v>
      </x:c>
      <x:c r="H2392" t="str">
        <x:v>可选：亚特兰特 -1.0（亚洲让球）@1.90左右（更激进）</x:v>
      </x:c>
      <x:c r="I2392" t="n">
        <x:v>46067.36085648148</x:v>
      </x:c>
      <x:c r="J2392" t="str">
        <x:v>已结算</x:v>
      </x:c>
      <x:c r="K2392"/>
      <x:c r="L2392" t="str">
        <x:v>赢</x:v>
      </x:c>
      <x:c r="M2392" t="str">
        <x:v>赢</x:v>
      </x:c>
      <x:c r="N2392" t="n">
        <x:v>1</x:v>
      </x:c>
      <x:c r="O2392" t="n">
        <x:v>1</x:v>
      </x:c>
      <x:c r="P2392" t="n">
        <x:f>IF(COUNT(N2392:O2392)=0,"",SUM(N2392:O2392))</x:f>
        <x:v>2</x:v>
      </x:c>
      <x:c r="Q2392"/>
      <x:c r="R2392" t="str">
        <x:v>全场：克雷卡米诺斯 1-1 亚特兰特；让球克雷卡米诺斯+1赢；小2.5赢；可选亚特兰特-1输。</x:v>
      </x:c>
    </x:row>
    <x:row r="2393">
      <x:c r="A2393" t="str">
        <x:f>IF(B2393="","",TEXT(B2393,"yyyy-mm-dd")&amp;"|"&amp;D2393&amp;"|"&amp;E2393)</x:f>
        <x:v>2026-02-14|奥哈卡阿莱布里赫斯（Alebrijes de Oaxaca）|特拉卡拉（Coyotes de Tlaxcala）</x:v>
      </x:c>
      <x:c r="B2393" t="n">
        <x:v>46067.375</x:v>
      </x:c>
      <x:c r="C2393" t="str">
        <x:v>墨西哥甲级扩展联赛（Liga de Expansión MX）</x:v>
      </x:c>
      <x:c r="D2393" t="str">
        <x:v>奥哈卡阿莱布里赫斯（Alebrijes de Oaxaca）</x:v>
      </x:c>
      <x:c r="E2393" t="str">
        <x:v>特拉卡拉（Coyotes de Tlaxcala）</x:v>
      </x:c>
      <x:c r="F2393" t="str">
        <x:v>特拉卡拉 +0（平手盘/DNB）@1.93左右</x:v>
      </x:c>
      <x:c r="G2393" t="str">
        <x:v>大2.5 @1.82左右</x:v>
      </x:c>
      <x:c r="H2393" t="str">
        <x:v>小注：特拉卡拉 独赢 @2.65左右</x:v>
      </x:c>
      <x:c r="I2393" t="n">
        <x:v>46067.35799768518</x:v>
      </x:c>
      <x:c r="J2393" t="str">
        <x:v>已结算</x:v>
      </x:c>
      <x:c r="K2393"/>
      <x:c r="L2393" t="str">
        <x:v>走水</x:v>
      </x:c>
      <x:c r="M2393" t="str">
        <x:v>输</x:v>
      </x:c>
      <x:c r="N2393" t="n">
        <x:v>0</x:v>
      </x:c>
      <x:c r="O2393" t="n">
        <x:v>-1</x:v>
      </x:c>
      <x:c r="P2393" t="n">
        <x:f>IF(COUNT(N2393:O2393)=0,"",SUM(N2393:O2393))</x:f>
        <x:v>-1</x:v>
      </x:c>
      <x:c r="Q2393"/>
      <x:c r="R2393" t="str">
        <x:v>全场：奥哈卡阿莱布里赫斯 0-0 特拉卡拉；让球特拉卡拉+0（平手/DNB）走水；大2.5输；可选独赢输。</x:v>
      </x:c>
    </x:row>
    <x:row r="2394">
      <x:c r="A2394" t="str">
        <x:f>IF(B2394="","",TEXT(B2394,"yyyy-mm-dd")&amp;"|"&amp;D2394&amp;"|"&amp;E2394)</x:f>
        <x:v>2026-02-14|阿根廷独立（Independiente）|拉努斯（Lanús）</x:v>
      </x:c>
      <x:c r="B2394" t="n">
        <x:v>46067.291666666664</x:v>
      </x:c>
      <x:c r="C2394" t="str">
        <x:v>阿根廷职业联赛（Liga Profesional·Apertura）</x:v>
      </x:c>
      <x:c r="D2394" t="str">
        <x:v>阿根廷独立（Independiente）</x:v>
      </x:c>
      <x:c r="E2394" t="str">
        <x:v>拉努斯（Lanús）</x:v>
      </x:c>
      <x:c r="F2394" t="str">
        <x:v>拉努斯 +0/0.5（+0.25）@1.98左右</x:v>
      </x:c>
      <x:c r="G2394" t="str">
        <x:v>小2.0 @1.86左右</x:v>
      </x:c>
      <x:c r="H2394" t="str">
        <x:v>若临场从主让-0.25退到平手（0）且拉努斯0盘≥1.85，可小注换拉努斯0；若大小升到2/2.5且小2.25≥1.85可加小2.25；走地前20-25分钟合计射正≤2且犯规/黄牌多导致节奏碎，可加小1.75/2.0（若早球或红牌则不加）。</x:v>
      </x:c>
      <x:c r="I2394" t="n">
        <x:v>46067.25633101852</x:v>
      </x:c>
      <x:c r="J2394" t="str">
        <x:v>已结算</x:v>
      </x:c>
      <x:c r="K2394" t="str">
        <x:v>2-0</x:v>
      </x:c>
      <x:c r="L2394" t="str">
        <x:v>输</x:v>
      </x:c>
      <x:c r="M2394" t="str">
        <x:v>走水</x:v>
      </x:c>
      <x:c r="N2394" t="n">
        <x:v>-1</x:v>
      </x:c>
      <x:c r="O2394" t="n">
        <x:v>0</x:v>
      </x:c>
      <x:c r="P2394" t="n">
        <x:f>IF(COUNT(N2394:O2394)=0,"",SUM(N2394:O2394))</x:f>
        <x:v>-1</x:v>
      </x:c>
      <x:c r="Q2394"/>
      <x:c r="R2394" t="str">
        <x:v>更正赛果：阿根廷独立 2-0 拉努斯；让球拉努斯+0.25输；小2.0走水。</x:v>
      </x:c>
    </x:row>
    <x:row r="2395">
      <x:c r="A2395" t="str">
        <x:f>IF(B2395="","",TEXT(B2395,"yyyy-mm-dd")&amp;"|"&amp;D2395&amp;"|"&amp;E2395)</x:f>
        <x:v>2026-02-14|塔巴蒂奥（Tapatío）|哈依布拉瓦（Jaiba Brava，坦皮科马德罗）</x:v>
      </x:c>
      <x:c r="B2395" t="n">
        <x:v>46067.291666666664</x:v>
      </x:c>
      <x:c r="C2395" t="str">
        <x:v>墨西哥甲级扩展联赛（Liga de Expansión MX）</x:v>
      </x:c>
      <x:c r="D2395" t="str">
        <x:v>塔巴蒂奥（Tapatío）</x:v>
      </x:c>
      <x:c r="E2395" t="str">
        <x:v>哈依布拉瓦（Jaiba Brava，坦皮科马德罗）</x:v>
      </x:c>
      <x:c r="F2395" t="str">
        <x:v>哈依布拉瓦 0（平手）@1.98左右</x:v>
      </x:c>
      <x:c r="G2395" t="str">
        <x:v>大2.5 @1.95左右</x:v>
      </x:c>
      <x:c r="H2395" t="str">
        <x:v>若临场从平手升到塔巴蒂奥-0.25且哈依布拉瓦+0.25≥1.85（或≥0.85水），可小注换哈依布拉瓦+0.25；若总进球降到2.25且大2.25≥1.85，可顺势加大2.25；走地前20-25分钟若双方合计射正≤2且禁区触球很少，则放弃加大（避免被闷平小球）。</x:v>
      </x:c>
      <x:c r="I2395" t="n">
        <x:v>46067.23849537037</x:v>
      </x:c>
      <x:c r="J2395" t="str">
        <x:v>已结算</x:v>
      </x:c>
      <x:c r="K2395"/>
      <x:c r="L2395" t="str">
        <x:v>输</x:v>
      </x:c>
      <x:c r="M2395" t="str">
        <x:v>赢</x:v>
      </x:c>
      <x:c r="N2395" t="n">
        <x:v>-1</x:v>
      </x:c>
      <x:c r="O2395" t="n">
        <x:v>1</x:v>
      </x:c>
      <x:c r="P2395" t="n">
        <x:f>IF(COUNT(N2395:O2395)=0,"",SUM(N2395:O2395))</x:f>
        <x:v>0</x:v>
      </x:c>
      <x:c r="Q2395"/>
      <x:c r="R2395" t="str">
        <x:v>全场：塔巴蒂奥 3-1 哈依布拉瓦（坦皮科马德罗）；哈依布拉瓦0（平手/DNB）输；大2.5赢。</x:v>
      </x:c>
    </x:row>
    <x:row r="2396">
      <x:c r="A2396" t="str">
        <x:f>IF(B2396="","",TEXT(B2396,"yyyy-mm-dd")&amp;"|"&amp;D2396&amp;"|"&amp;E2396)</x:f>
        <x:v>2026-02-14|塞罗拉尔戈（Cerro Largo）|蒙德维的亚流浪者（Montevideo Wanderers）</x:v>
      </x:c>
      <x:c r="B2396" t="n">
        <x:v>46067.25</x:v>
      </x:c>
      <x:c r="C2396" t="str">
        <x:v>乌拉圭甲级联赛（Campeonato Uruguayo·Primera División）</x:v>
      </x:c>
      <x:c r="D2396" t="str">
        <x:v>塞罗拉尔戈（Cerro Largo）</x:v>
      </x:c>
      <x:c r="E2396" t="str">
        <x:v>蒙德维的亚流浪者（Montevideo Wanderers）</x:v>
      </x:c>
      <x:c r="F2396" t="str">
        <x:v>蒙德维的亚流浪者 0（平手）@2.07左右</x:v>
      </x:c>
      <x:c r="G2396" t="str">
        <x:v>小2.0 @1.90左右</x:v>
      </x:c>
      <x:c r="H2396" t="str">
        <x:v>若临场主队从平手升到让0/0.5（-0.25），且流浪者+0.25≥0.90（约1.90），可小注换流浪者+0.25；若大小从2.0升到2/2.5且小2.25≥0.88（约1.88），可加小2.25；走地前15-25分钟若双方合计射正≤2且节奏慢，可加小1.75/2.0（若早球/红牌则不加）。</x:v>
      </x:c>
      <x:c r="I2396" t="n">
        <x:v>46067.250925925924</x:v>
      </x:c>
      <x:c r="J2396" t="str">
        <x:v>已结算</x:v>
      </x:c>
      <x:c r="K2396"/>
      <x:c r="L2396" t="str">
        <x:v>赢</x:v>
      </x:c>
      <x:c r="M2396" t="str">
        <x:v>输</x:v>
      </x:c>
      <x:c r="N2396" t="n">
        <x:v>1</x:v>
      </x:c>
      <x:c r="O2396" t="n">
        <x:v>-1</x:v>
      </x:c>
      <x:c r="P2396" t="n">
        <x:f>IF(COUNT(N2396:O2396)=0,"",SUM(N2396:O2396))</x:f>
        <x:v>0</x:v>
      </x:c>
      <x:c r="Q2396"/>
      <x:c r="R2396" t="str">
        <x:v>全场：塞罗拉尔戈 1-2 蒙德维的亚流浪者；流浪者0（平手/DNB）赢；小2.0输。</x:v>
      </x:c>
    </x:row>
    <x:row r="2397">
      <x:c r="A2397" t="str">
        <x:f>IF(B2397="","",TEXT(B2397,"yyyy-mm-dd")&amp;"|"&amp;D2397&amp;"|"&amp;E2397)</x:f>
        <x:v>2026-02-14|唐迪拉（Tondela）|艾华卡（FC Alverca）</x:v>
      </x:c>
      <x:c r="B2397" t="n">
        <x:v>46067.197916666664</x:v>
      </x:c>
      <x:c r="C2397" t="str">
        <x:v>葡萄牙超级联赛（Liga Portugal Betclic）</x:v>
      </x:c>
      <x:c r="D2397" t="str">
        <x:v>唐迪拉（Tondela）</x:v>
      </x:c>
      <x:c r="E2397" t="str">
        <x:v>艾华卡（FC Alverca）</x:v>
      </x:c>
      <x:c r="F2397" t="str">
        <x:v>艾华卡 0（平手/DNB）@2.11左右</x:v>
      </x:c>
      <x:c r="G2397" t="str">
        <x:v>小2.0 @2.03左右</x:v>
      </x:c>
      <x:c r="H2397" t="str">
        <x:v>若临场主流盘从平手走到艾华卡-0.25且艾华卡-0.25≥1.85，可小注补-0.25；若退到唐迪拉-0.25且艾华卡+0.25≥1.90，改拿艾华卡+0.25更稳；大小若升到2/2.5且小2.25≥1.85可加小2.25；走地前20-25分钟双方合计射正≤2且节奏碎（犯规多/推进困难），可加走地小1.5/2.0（若早球则不加）。</x:v>
      </x:c>
      <x:c r="I2397" t="n">
        <x:v>46067.276921296296</x:v>
      </x:c>
      <x:c r="J2397" t="str">
        <x:v>已结算</x:v>
      </x:c>
      <x:c r="K2397" t="str">
        <x:v>1-1</x:v>
      </x:c>
      <x:c r="L2397" t="str">
        <x:v>走水</x:v>
      </x:c>
      <x:c r="M2397" t="str">
        <x:v>走水</x:v>
      </x:c>
      <x:c r="N2397" t="n">
        <x:v>0</x:v>
      </x:c>
      <x:c r="O2397" t="n">
        <x:v>0</x:v>
      </x:c>
      <x:c r="P2397" t="n">
        <x:f>IF(COUNT(N2397:O2397)=0,"",SUM(N2397:O2397))</x:f>
        <x:v>0</x:v>
      </x:c>
      <x:c r="Q2397" t="str">
        <x:v>SofaScore</x:v>
      </x:c>
      <x:c r="R2397" t="str">
        <x:v>校正赛果：唐迪拉（Tondela） 1-1 艾华卡（FC Alverca）；让球：艾华卡 0（DNB）-&gt; 走水（0）；大小：小2.0 -&gt; 走水（0）；来源：SofaScore。</x:v>
      </x:c>
    </x:row>
    <x:row r="2398">
      <x:c r="A2398" t="str">
        <x:f>IF(B2398="","",TEXT(B2398,"yyyy-mm-dd")&amp;"|"&amp;D2398&amp;"|"&amp;E2398)</x:f>
        <x:v>2026-02-14|赫尔城（Hull City）|切尔西（Chelsea）</x:v>
      </x:c>
      <x:c r="B2398" t="n">
        <x:v>46067.15625</x:v>
      </x:c>
      <x:c r="C2398" t="str">
        <x:v>英格兰足总杯（FA Cup）</x:v>
      </x:c>
      <x:c r="D2398" t="str">
        <x:v>赫尔城（Hull City）</x:v>
      </x:c>
      <x:c r="E2398" t="str">
        <x:v>切尔西（Chelsea）</x:v>
      </x:c>
      <x:c r="F2398" t="str">
        <x:v>赫尔城 +1.75（受让一球半/两球）@2.04左右</x:v>
      </x:c>
      <x:c r="G2398" t="str">
        <x:v>小3.25（3/3.5）@2.02左右</x:v>
      </x:c>
      <x:c r="H2398" t="str">
        <x:v>若临场升到切尔西-2且赫尔城+2≥1.85，可小注补赫尔城+2；若大小从3.25降到3.0且小3.0≥1.85，更优可换小3.0；走地前20-25分钟节奏慢/双方合计射正≤2，可加小3.0（若早球或点球/红牌等强变量则不加）。</x:v>
      </x:c>
      <x:c r="I2398" t="n">
        <x:v>46067.232256944444</x:v>
      </x:c>
      <x:c r="J2398" t="str">
        <x:v>已结算</x:v>
      </x:c>
      <x:c r="K2398" t="str">
        <x:v>0-4</x:v>
      </x:c>
      <x:c r="L2398" t="str">
        <x:v>输</x:v>
      </x:c>
      <x:c r="M2398" t="str">
        <x:v>输</x:v>
      </x:c>
      <x:c r="N2398" t="n">
        <x:v>-1</x:v>
      </x:c>
      <x:c r="O2398" t="n">
        <x:v>-1</x:v>
      </x:c>
      <x:c r="P2398" t="n">
        <x:f>IF(COUNT(N2398:O2398)=0,"",SUM(N2398:O2398))</x:f>
        <x:v>-2</x:v>
      </x:c>
      <x:c r="Q2398"/>
      <x:c r="R2398" t="str">
        <x:v>FT 0-4；让球：赫尔城+1.75 输；大小：小3.25 输</x:v>
      </x:c>
    </x:row>
    <x:row r="2399">
      <x:c r="A2399" t="str">
        <x:f>IF(B2399="","",TEXT(B2399,"yyyy-mm-dd")&amp;"|"&amp;D2399&amp;"|"&amp;E2399)</x:f>
        <x:v>2026-02-14|普布埃拉|美洲狮（普马斯UNAM）</x:v>
      </x:c>
      <x:c r="B2399" t="n">
        <x:v>46067.125</x:v>
      </x:c>
      <x:c r="C2399" t="str">
        <x:v>墨西哥超（Liga MX，Clausura）</x:v>
      </x:c>
      <x:c r="D2399" t="str">
        <x:v>普布埃拉</x:v>
      </x:c>
      <x:c r="E2399" t="str">
        <x:v>美洲狮（普马斯UNAM）</x:v>
      </x:c>
      <x:c r="F2399" t="str">
        <x:v>美洲狮（普马斯UNAM）-0/0.5（-0.25）@1.98左右</x:v>
      </x:c>
      <x:c r="G2399" t="str">
        <x:v>大2.5 @2.03左右</x:v>
      </x:c>
      <x:c r="H2399" t="str">
        <x:v>可选：美洲狮独赢 @2.62左右；或 BTTS 否 @1.92左右</x:v>
      </x:c>
      <x:c r="I2399" t="n">
        <x:v>46067.355</x:v>
      </x:c>
      <x:c r="J2399" t="str">
        <x:v>已结算</x:v>
      </x:c>
      <x:c r="K2399"/>
      <x:c r="L2399" t="str">
        <x:v>赢</x:v>
      </x:c>
      <x:c r="M2399" t="str">
        <x:v>赢</x:v>
      </x:c>
      <x:c r="N2399" t="n">
        <x:v>1</x:v>
      </x:c>
      <x:c r="O2399" t="n">
        <x:v>1</x:v>
      </x:c>
      <x:c r="P2399" t="n">
        <x:f>IF(COUNT(N2399:O2399)=0,"",SUM(N2399:O2399))</x:f>
        <x:v>2</x:v>
      </x:c>
      <x:c r="Q2399"/>
      <x:c r="R2399" t="str">
        <x:v>全场：普布埃拉 2-3 美洲狮（普马斯UNAM）；让球-0.25赢；大2.5赢；可选ML赢。</x:v>
      </x:c>
    </x:row>
    <x:row r="2400">
      <x:c r="A2400" t="str">
        <x:f>IF(B2400="","",TEXT(B2400,"yyyy-mm-dd")&amp;"|"&amp;D2400&amp;"|"&amp;E2400)</x:f>
        <x:v>2026-02-14|圣克拉拉（Santa Clara）|本菲卡（Benfica）</x:v>
      </x:c>
      <x:c r="B2400" t="n">
        <x:v>46067.104166666664</x:v>
      </x:c>
      <x:c r="C2400" t="str">
        <x:v>葡萄牙超级联赛（Liga Portugal Betclic）</x:v>
      </x:c>
      <x:c r="D2400" t="str">
        <x:v>圣克拉拉（Santa Clara）</x:v>
      </x:c>
      <x:c r="E2400" t="str">
        <x:v>本菲卡（Benfica）</x:v>
      </x:c>
      <x:c r="F2400" t="str">
        <x:v>圣克拉拉 +1（受让一球）@1.95左右</x:v>
      </x:c>
      <x:c r="G2400" t="str">
        <x:v>小2.25（2/2.5）@1.95左右</x:v>
      </x:c>
      <x:c r="H2400" t="str">
        <x:v>若临场升到本菲卡-1.25且圣克拉拉+1.25≥0.85（约1.85），可小注补圣克拉拉+1.25；若退盘到本菲卡-0.75且圣克拉拉+0.75≥1.95，同向更优；走地前20-25分钟本菲卡控球但射正≤2、节奏偏慢，可加小2.0/2.25（若早球则不加）。</x:v>
      </x:c>
      <x:c r="I2400" t="n">
        <x:v>46066.97373842593</x:v>
      </x:c>
      <x:c r="J2400" t="str">
        <x:v>已结算</x:v>
      </x:c>
      <x:c r="K2400" t="str">
        <x:v>1-2</x:v>
      </x:c>
      <x:c r="L2400" t="str">
        <x:v>走水</x:v>
      </x:c>
      <x:c r="M2400" t="str">
        <x:v>输</x:v>
      </x:c>
      <x:c r="N2400" t="n">
        <x:v>0</x:v>
      </x:c>
      <x:c r="O2400" t="n">
        <x:v>-1</x:v>
      </x:c>
      <x:c r="P2400" t="n">
        <x:f>IF(COUNT(N2400:O2400)=0,"",SUM(N2400:O2400))</x:f>
        <x:v>-1</x:v>
      </x:c>
      <x:c r="Q2400"/>
      <x:c r="R2400" t="str">
        <x:v>FT 1-2；让球：圣克拉拉+1 走水；大小：小2.25 输</x:v>
      </x:c>
    </x:row>
    <x:row r="2401">
      <x:c r="A2401" t="str">
        <x:f>IF(B2401="","",TEXT(B2401,"yyyy-mm-dd")&amp;"|"&amp;D2401&amp;"|"&amp;E2401)</x:f>
        <x:v>2026-02-14|伊蒂哈德（Al-Ittihad）|费哈（Al-Fayha）</x:v>
      </x:c>
      <x:c r="B2401" t="n">
        <x:v>46067.0625</x:v>
      </x:c>
      <x:c r="C2401" t="str">
        <x:v>沙特职业联赛（Saudi Pro League）</x:v>
      </x:c>
      <x:c r="D2401" t="str">
        <x:v>伊蒂哈德（Al-Ittihad）</x:v>
      </x:c>
      <x:c r="E2401" t="str">
        <x:v>费哈（Al-Fayha）</x:v>
      </x:c>
      <x:c r="F2401" t="str">
        <x:v>费哈 +1.25（受让一球/球半）@2.03左右</x:v>
      </x:c>
      <x:c r="G2401" t="str">
        <x:v>小2.75（2 3/4）@1.95左右</x:v>
      </x:c>
      <x:c r="H2401" t="str">
        <x:v>若临场升到主让-1.5且费哈+1.5≥1.85，可小注补费哈+1.5；若退盘到主让-1且费哈+1≥1.90，同向更稳；大小若升到3.0且小3.0≥1.85可加小3.0；走地前20-25分钟伊蒂哈德控球但射正≤2、费哈阵型收得很深，可加小2.5/2.75（若早球则不加）。</x:v>
      </x:c>
      <x:c r="I2401" t="n">
        <x:v>46066.96943287037</x:v>
      </x:c>
      <x:c r="J2401" t="str">
        <x:v>已结算</x:v>
      </x:c>
      <x:c r="K2401" t="str">
        <x:v>2-1</x:v>
      </x:c>
      <x:c r="L2401" t="str">
        <x:v>赢半</x:v>
      </x:c>
      <x:c r="M2401" t="str">
        <x:v>输半</x:v>
      </x:c>
      <x:c r="N2401" t="n">
        <x:v>0.5</x:v>
      </x:c>
      <x:c r="O2401" t="n">
        <x:v>-0.5</x:v>
      </x:c>
      <x:c r="P2401" t="n">
        <x:f>IF(COUNT(N2401:O2401)=0,"",SUM(N2401:O2401))</x:f>
        <x:v>0</x:v>
      </x:c>
      <x:c r="Q2401"/>
      <x:c r="R2401" t="str">
        <x:v>FT 2-1；让球：费哈+1.25 赢半；大小：小2.75 输半(3球)</x:v>
      </x:c>
    </x:row>
    <x:row r="2402">
      <x:c r="A2402" t="str">
        <x:f>IF(B2402="","",TEXT(B2402,"yyyy-mm-dd")&amp;"|"&amp;D2402&amp;"|"&amp;E2402)</x:f>
        <x:v>2026-02-14|杜塞尔多夫（Fortuna Düsseldorf）|普鲁士明斯特（Preußen Münster）</x:v>
      </x:c>
      <x:c r="B2402" t="n">
        <x:v>46067.0625</x:v>
      </x:c>
      <x:c r="C2402" t="str">
        <x:v>德国乙级联赛（2. Bundesliga）</x:v>
      </x:c>
      <x:c r="D2402" t="str">
        <x:v>杜塞尔多夫（Fortuna Düsseldorf）</x:v>
      </x:c>
      <x:c r="E2402" t="str">
        <x:v>普鲁士明斯特（Preußen Münster）</x:v>
      </x:c>
      <x:c r="F2402" t="str">
        <x:v>杜塞尔多夫 -0.5（让半球）@1.97左右</x:v>
      </x:c>
      <x:c r="G2402" t="str">
        <x:v>小2.75（2.5/3）@1.88左右</x:v>
      </x:c>
      <x:c r="H2402" t="str">
        <x:v>若临场退到杜塞尔多夫-0.25且主队≥1.90，可小注换到-0.25（更稳）；若大小升到3.0且小3.0≥1.85，可加小3.0；走地前20-25分钟双方合计射正≤2且节奏偏慢，可加小2.5/2.75（若早球则不加）。</x:v>
      </x:c>
      <x:c r="I2402" t="n">
        <x:v>46066.96225694445</x:v>
      </x:c>
      <x:c r="J2402" t="str">
        <x:v>已结算</x:v>
      </x:c>
      <x:c r="K2402" t="str">
        <x:v>0-0</x:v>
      </x:c>
      <x:c r="L2402" t="str">
        <x:v>输</x:v>
      </x:c>
      <x:c r="M2402" t="str">
        <x:v>赢</x:v>
      </x:c>
      <x:c r="N2402" t="n">
        <x:v>-1</x:v>
      </x:c>
      <x:c r="O2402" t="n">
        <x:v>1</x:v>
      </x:c>
      <x:c r="P2402" t="n">
        <x:f>IF(COUNT(N2402:O2402)=0,"",SUM(N2402:O2402))</x:f>
        <x:v>0</x:v>
      </x:c>
      <x:c r="Q2402"/>
      <x:c r="R2402" t="str">
        <x:v>FT 0-0；让球：杜塞尔多夫-0.5 输；大小：小2.75 赢</x:v>
      </x:c>
    </x:row>
    <x:row r="2403">
      <x:c r="A2403" t="str">
        <x:f>IF(B2403="","",TEXT(B2403,"yyyy-mm-dd")&amp;"|"&amp;D2403&amp;"|"&amp;E2403)</x:f>
        <x:v>2026-02-13|利雅得青年（Al Shabab）|吉达国民（Al Ahli）</x:v>
      </x:c>
      <x:c r="B2403" t="n">
        <x:v>46066.913194444445</x:v>
      </x:c>
      <x:c r="C2403" t="str">
        <x:v>沙特职业联赛（Saudi Pro League）</x:v>
      </x:c>
      <x:c r="D2403" t="str">
        <x:v>利雅得青年（Al Shabab）</x:v>
      </x:c>
      <x:c r="E2403" t="str">
        <x:v>吉达国民（Al Ahli）</x:v>
      </x:c>
      <x:c r="F2403" t="str">
        <x:v>利雅得青年 +0.75（受让半一）@1.85左右</x:v>
      </x:c>
      <x:c r="G2403" t="str">
        <x:v>小2.5 @1.80左右</x:v>
      </x:c>
      <x:c r="H2403" t="str">
        <x:v>若临场客让从-0.75升到-1且利雅得青年+1≥1.85，可小注补利雅得青年+1；若退盘到-0.5且利雅得青年+0.5≥0.90（约1.90），同向更佳；走地前20-25分钟双方合计射正≤2、节奏偏慢，可加小2.25/2.0（若早球则不加）。</x:v>
      </x:c>
      <x:c r="I2403" t="n">
        <x:v>46066.91960648148</x:v>
      </x:c>
      <x:c r="J2403" t="str">
        <x:v>已结算</x:v>
      </x:c>
      <x:c r="K2403" t="str">
        <x:v>2-5</x:v>
      </x:c>
      <x:c r="L2403" t="str">
        <x:v>输</x:v>
      </x:c>
      <x:c r="M2403" t="str">
        <x:v>输</x:v>
      </x:c>
      <x:c r="N2403" t="n">
        <x:v>-1</x:v>
      </x:c>
      <x:c r="O2403" t="n">
        <x:v>-1</x:v>
      </x:c>
      <x:c r="P2403" t="n">
        <x:f>IF(COUNT(N2403:O2403)=0,"",SUM(N2403:O2403))</x:f>
        <x:v>-2</x:v>
      </x:c>
      <x:c r="Q2403"/>
      <x:c r="R2403" t="str">
        <x:v>FT 2-5；让球：利雅得青年+0.75 输；大小：小2.5 输</x:v>
      </x:c>
    </x:row>
    <x:row r="2404">
      <x:c r="A2404" t="str">
        <x:f>IF(B2404="","",TEXT(B2404,"yyyy-mm-dd")&amp;"|"&amp;D2404&amp;"|"&amp;E2404)</x:f>
        <x:v>2026-02-13|马鲁特联（Malut United）|杰帕拉（Persijap Jepara）</x:v>
      </x:c>
      <x:c r="B2404" t="n">
        <x:v>46066.833333333336</x:v>
      </x:c>
      <x:c r="C2404" t="str">
        <x:v>印度尼西亚超级联赛（印尼超/Liga 1 Indonesia）</x:v>
      </x:c>
      <x:c r="D2404" t="str">
        <x:v>马鲁特联（Malut United）</x:v>
      </x:c>
      <x:c r="E2404" t="str">
        <x:v>杰帕拉（Persijap Jepara）</x:v>
      </x:c>
      <x:c r="F2404" t="str">
        <x:v>马鲁特联 -1.25（让一球/球半）@1.84左右</x:v>
      </x:c>
      <x:c r="G2404" t="str">
        <x:v>小2.5 @1.98左右</x:v>
      </x:c>
      <x:c r="H2404" t="str">
        <x:v>若临场升到马鲁特联-1.5且主队≥2.05（或回落到-1.25主队≥1.90），再考虑加主让；若先丢球或早段节奏很快（前20分钟xG/射正明显偏高），小2.5不加仓，改等走地小3.0/3.25；若0-0进入25分钟且杰帕拉进攻端基本无威胁，可小注补马鲁特联-1（更稳兑现）。</x:v>
      </x:c>
      <x:c r="I2404" t="n">
        <x:v>46066.85548611111</x:v>
      </x:c>
      <x:c r="J2404" t="str">
        <x:v>已结算</x:v>
      </x:c>
      <x:c r="K2404" t="str">
        <x:v>4-0</x:v>
      </x:c>
      <x:c r="L2404" t="str">
        <x:v>赢</x:v>
      </x:c>
      <x:c r="M2404" t="str">
        <x:v>输</x:v>
      </x:c>
      <x:c r="N2404" t="n">
        <x:v>1</x:v>
      </x:c>
      <x:c r="O2404" t="n">
        <x:v>-1</x:v>
      </x:c>
      <x:c r="P2404" t="n">
        <x:f>IF(COUNT(N2404:O2404)=0,"",SUM(N2404:O2404))</x:f>
        <x:v>0</x:v>
      </x:c>
      <x:c r="Q2404"/>
      <x:c r="R2404" t="str">
        <x:v>FT 4-0；让球：马鲁特联-1.25 赢；大小：小2.5 输</x:v>
      </x:c>
    </x:row>
    <x:row r="2405">
      <x:c r="A2405" t="str">
        <x:f>IF(B2405="","",TEXT(B2405,"yyyy-mm-dd")&amp;"|"&amp;D2405&amp;"|"&amp;E2405)</x:f>
        <x:v>2026-02-13|珀斯光荣（Perth Glory）|纽卡斯尔喷气机（Newcastle Jets）</x:v>
      </x:c>
      <x:c r="B2405" t="n">
        <x:v>46066.78125</x:v>
      </x:c>
      <x:c r="C2405" t="str">
        <x:v>澳大利亚A联赛（A-League Men）</x:v>
      </x:c>
      <x:c r="D2405" t="str">
        <x:v>珀斯光荣（Perth Glory）</x:v>
      </x:c>
      <x:c r="E2405" t="str">
        <x:v>纽卡斯尔喷气机（Newcastle Jets）</x:v>
      </x:c>
      <x:c r="F2405" t="str">
        <x:v>珀斯光荣 +0/0.5（+0.25）@2.03左右</x:v>
      </x:c>
      <x:c r="G2405" t="str">
        <x:v>小3.5 @1.87左右</x:v>
      </x:c>
      <x:c r="H2405" t="str">
        <x:v>可选：若临场升到珀斯+0.5且≥1.85，可补珀斯+0.5；若大小球升到3.75且小球≥1.85，可加小3.75；走地前20-25分钟双方合计射正≤2且节奏偏慢，可加小3.0/3.25（若早球则不加）。</x:v>
      </x:c>
      <x:c r="I2405" t="n">
        <x:v>46066.79549768518</x:v>
      </x:c>
      <x:c r="J2405" t="str">
        <x:v>已结算</x:v>
      </x:c>
      <x:c r="K2405" t="str">
        <x:v>1-3</x:v>
      </x:c>
      <x:c r="L2405" t="str">
        <x:v>输</x:v>
      </x:c>
      <x:c r="M2405" t="str">
        <x:v>输</x:v>
      </x:c>
      <x:c r="N2405" t="n">
        <x:v>-1</x:v>
      </x:c>
      <x:c r="O2405" t="n">
        <x:v>-1</x:v>
      </x:c>
      <x:c r="P2405" t="n">
        <x:f>IF(COUNT(N2405:O2405)=0,"",SUM(N2405:O2405))</x:f>
        <x:v>-2</x:v>
      </x:c>
      <x:c r="Q2405" t="str">
        <x:v>SofaScore</x:v>
      </x:c>
      <x:c r="R2405" t="str">
        <x:v>校正赛果：珀斯光荣（Perth Glory） 1-3 纽卡斯尔喷气机（Newcastle Jets）；让球：珀斯光荣 +0.25 -&gt; 输（-1）；大小：小3.5 -&gt; 输（-1）；来源：SofaScore。</x:v>
      </x:c>
    </x:row>
    <x:row r="2406">
      <x:c r="A2406" t="str">
        <x:f>IF(B2406="","",TEXT(B2406,"yyyy-mm-dd")&amp;"|"&amp;D2406&amp;"|"&amp;E2406)</x:f>
        <x:v>2026-02-13|神户胜利船（Vissel Kobe）|长崎成功丸（V-Varen Nagasaki）</x:v>
      </x:c>
      <x:c r="B2406" t="n">
        <x:v>46066.75</x:v>
      </x:c>
      <x:c r="C2406" t="str">
        <x:v>日职联（J1 League）</x:v>
      </x:c>
      <x:c r="D2406" t="str">
        <x:v>神户胜利船（Vissel Kobe）</x:v>
      </x:c>
      <x:c r="E2406" t="str">
        <x:v>长崎成功丸（V-Varen Nagasaki）</x:v>
      </x:c>
      <x:c r="F2406" t="str">
        <x:v>长崎成功丸 +0.75（受让三/四球）@1.98左右</x:v>
      </x:c>
      <x:c r="G2406" t="str">
        <x:v>小2.25（2/2.5）@1.98左右</x:v>
      </x:c>
      <x:c r="H2406" t="str">
        <x:v>若临场升盘到神户-1且长崎+1≥0.88（约1.88），可小注补长崎+1；若大小升到2.5且小2.5≥1.85可加小；走地前20-25分钟双方射正≤2且节奏偏慢，可加小2.0/2.25（避免早球则不加）。</x:v>
      </x:c>
      <x:c r="I2406" t="n">
        <x:v>46066.76310185185</x:v>
      </x:c>
      <x:c r="J2406" t="str">
        <x:v>已结算</x:v>
      </x:c>
      <x:c r="K2406" t="str">
        <x:v>2-0</x:v>
      </x:c>
      <x:c r="L2406" t="str">
        <x:v>输</x:v>
      </x:c>
      <x:c r="M2406" t="str">
        <x:v>赢半</x:v>
      </x:c>
      <x:c r="N2406" t="n">
        <x:v>-1</x:v>
      </x:c>
      <x:c r="O2406" t="n">
        <x:v>0.5</x:v>
      </x:c>
      <x:c r="P2406" t="n">
        <x:f>IF(COUNT(N2406:O2406)=0,"",SUM(N2406:O2406))</x:f>
        <x:v>-0.5</x:v>
      </x:c>
      <x:c r="Q2406" t="str">
        <x:v>SofaScore</x:v>
      </x:c>
      <x:c r="R2406" t="str">
        <x:v>校正赛果：神户胜利船（Vissel Kobe） 2-0 长崎成功丸（V-Varen Nagasaki）；让球：长崎成功丸 +0.75 -&gt; 输（-1）；大小：小2.25 -&gt; 赢半（0.5）；来源：SofaScore。</x:v>
      </x:c>
    </x:row>
    <x:row r="2407">
      <x:c r="A2407" t="str">
        <x:f>IF(B2407="","",TEXT(B2407,"yyyy-mm-dd")&amp;"|"&amp;D2407&amp;"|"&amp;E2407)</x:f>
        <x:v>2026-02-13|半岛电力（Peninsula Power）|布里斯班城（Brisbane City）</x:v>
      </x:c>
      <x:c r="B2407" t="n">
        <x:v>46066.708333333336</x:v>
      </x:c>
      <x:c r="C2407" t="str">
        <x:v>澳大利亚 维多利亚州超级联赛1（VPL1）</x:v>
      </x:c>
      <x:c r="D2407" t="str">
        <x:v>半岛电力（Peninsula Power）</x:v>
      </x:c>
      <x:c r="E2407" t="str">
        <x:v>布里斯班城（Brisbane City）</x:v>
      </x:c>
      <x:c r="F2407" t="str">
        <x:v>布里斯班城 +0.25（1.98）</x:v>
      </x:c>
      <x:c r="G2407" t="str">
        <x:v>大3.5（2.00）</x:v>
      </x:c>
      <x:c r="H2407" t="str">
        <x:v>小注：平局（3.80）</x:v>
      </x:c>
      <x:c r="I2407" t="n">
        <x:v>46065.74320601852</x:v>
      </x:c>
      <x:c r="J2407" t="str">
        <x:v>已结算</x:v>
      </x:c>
      <x:c r="K2407"/>
      <x:c r="L2407" t="str">
        <x:v>赢半</x:v>
      </x:c>
      <x:c r="M2407" t="str">
        <x:v>输</x:v>
      </x:c>
      <x:c r="N2407" t="n">
        <x:v>0.5</x:v>
      </x:c>
      <x:c r="O2407" t="n">
        <x:v>-1</x:v>
      </x:c>
      <x:c r="P2407" t="n">
        <x:f>IF(COUNT(N2407:O2407)=0,"",SUM(N2407:O2407))</x:f>
        <x:v>-0.5</x:v>
      </x:c>
      <x:c r="Q2407"/>
      <x:c r="R2407" t="str">
        <x:v>常规时间 1-1（点球 3-5）</x:v>
      </x:c>
    </x:row>
    <x:row r="2408">
      <x:c r="A2408" t="str">
        <x:f>IF(B2408="","",TEXT(B2408,"yyyy-mm-dd")&amp;"|"&amp;D2408&amp;"|"&amp;E2408)</x:f>
        <x:v>2026-02-13|西悉尼流浪者（Western Sydney Wanderers）|惠灵顿凤凰（Wellington Phoenix）</x:v>
      </x:c>
      <x:c r="B2408" t="n">
        <x:v>46066.69097222222</x:v>
      </x:c>
      <x:c r="C2408" t="str">
        <x:v>澳大利亚A联赛（A-League Men）</x:v>
      </x:c>
      <x:c r="D2408" t="str">
        <x:v>西悉尼流浪者（Western Sydney Wanderers）</x:v>
      </x:c>
      <x:c r="E2408" t="str">
        <x:v>惠灵顿凤凰（Wellington Phoenix）</x:v>
      </x:c>
      <x:c r="F2408" t="str">
        <x:v>惠灵顿凤凰 +0.75（受让三/四球）@1.95左右</x:v>
      </x:c>
      <x:c r="G2408" t="str">
        <x:v>小3.0 @1.94左右</x:v>
      </x:c>
      <x:c r="H2408" t="str">
        <x:v>若临场主让从-0.75退到-0.5，且惠灵顿凤凰+0.5≥0.88，可小注补同向；若临场升盘到3/3.25且小球≥0.90可加小3/3.25；走地前20-25分钟射门质量低/节奏慢，可加小2.75/小3.0。</x:v>
      </x:c>
      <x:c r="I2408" t="n">
        <x:v>46066.66034722222</x:v>
      </x:c>
      <x:c r="J2408" t="str">
        <x:v>已结算</x:v>
      </x:c>
      <x:c r="K2408" t="str">
        <x:v>2-2</x:v>
      </x:c>
      <x:c r="L2408" t="str">
        <x:v>赢</x:v>
      </x:c>
      <x:c r="M2408" t="str">
        <x:v>输</x:v>
      </x:c>
      <x:c r="N2408" t="n">
        <x:v>1</x:v>
      </x:c>
      <x:c r="O2408" t="n">
        <x:v>-1</x:v>
      </x:c>
      <x:c r="P2408" t="n">
        <x:f>IF(COUNT(N2408:O2408)=0,"",SUM(N2408:O2408))</x:f>
        <x:v>0</x:v>
      </x:c>
      <x:c r="Q2408"/>
      <x:c r="R2408" t="str">
        <x:v>FT 2-2；让球：惠灵顿凤凰+0.75 赢；大小：小3.0 输</x:v>
      </x:c>
    </x:row>
    <x:row r="2409">
      <x:c r="A2409" t="str">
        <x:f>IF(B2409="","",TEXT(B2409,"yyyy-mm-dd")&amp;"|"&amp;D2409&amp;"|"&amp;E2409)</x:f>
        <x:v>2026-02-13|休城（Hume City）|阿尔托纳魔法（Altona Magic）</x:v>
      </x:c>
      <x:c r="B2409" t="n">
        <x:v>46066.6875</x:v>
      </x:c>
      <x:c r="C2409" t="str">
        <x:v>澳大利亚 维多利亚州超级联赛1（VPL1）</x:v>
      </x:c>
      <x:c r="D2409" t="str">
        <x:v>休城（Hume City）</x:v>
      </x:c>
      <x:c r="E2409" t="str">
        <x:v>阿尔托纳魔法（Altona Magic）</x:v>
      </x:c>
      <x:c r="F2409" t="str">
        <x:v>休城 -0.5（让半球）@1.90左右</x:v>
      </x:c>
      <x:c r="G2409" t="str">
        <x:v>小2.75 @1.87左右</x:v>
      </x:c>
      <x:c r="H2409" t="str">
        <x:v>若临场退盘到休城-0.25且休城方向≥0.90，可补休城-0.25（更稳）；若大小盘降到2.5且小球≥0.90，可加小2.5；走地20-25分钟两队合计射正≤2且定位球不多，可加小2.25/2.5。</x:v>
      </x:c>
      <x:c r="I2409" t="n">
        <x:v>46066.66386574074</x:v>
      </x:c>
      <x:c r="J2409" t="str">
        <x:v>已结算</x:v>
      </x:c>
      <x:c r="K2409" t="str">
        <x:v>1-3</x:v>
      </x:c>
      <x:c r="L2409" t="str">
        <x:v>输</x:v>
      </x:c>
      <x:c r="M2409" t="str">
        <x:v>输</x:v>
      </x:c>
      <x:c r="N2409" t="n">
        <x:v>-1</x:v>
      </x:c>
      <x:c r="O2409" t="n">
        <x:v>-1</x:v>
      </x:c>
      <x:c r="P2409" t="n">
        <x:f>IF(COUNT(N2409:O2409)=0,"",SUM(N2409:O2409))</x:f>
        <x:v>-2</x:v>
      </x:c>
      <x:c r="Q2409"/>
      <x:c r="R2409" t="str">
        <x:v>FT 1-3；让球：休城-0.5 输；大小：小2.75 输</x:v>
      </x:c>
    </x:row>
    <x:row r="2410">
      <x:c r="A2410" t="str">
        <x:f>IF(B2410="","",TEXT(B2410,"yyyy-mm-dd")&amp;"|"&amp;D2410&amp;"|"&amp;E2410)</x:f>
        <x:v>2026-02-13|黑德堡（Heidelberg United）|格林古利（Green Gully）</x:v>
      </x:c>
      <x:c r="B2410" t="n">
        <x:v>46066.6875</x:v>
      </x:c>
      <x:c r="C2410" t="str">
        <x:v>澳大利亚 维多利亚州超级联赛1（VPL1）</x:v>
      </x:c>
      <x:c r="D2410" t="str">
        <x:v>黑德堡（Heidelberg United）</x:v>
      </x:c>
      <x:c r="E2410" t="str">
        <x:v>格林古利（Green Gully）</x:v>
      </x:c>
      <x:c r="F2410" t="str">
        <x:v>黑德堡 -0.75（-0.5/-1）@1.95左右</x:v>
      </x:c>
      <x:c r="G2410" t="str">
        <x:v>小3.0 @1.85左右</x:v>
      </x:c>
      <x:c r="H2410" t="str">
        <x:v>若临场升到黑德堡-1且主队≥1.90，可小注补黑德堡-1；若大小盘抬到3/3.5且小球≥1.90，可加小3/3.5；走地前20-25分钟格林古利射正≤1且黑德堡压制明显，可补黑德堡-0.5（更稳兑现）。</x:v>
      </x:c>
      <x:c r="I2410" t="n">
        <x:v>46066.66373842592</x:v>
      </x:c>
      <x:c r="J2410" t="str">
        <x:v>已结算</x:v>
      </x:c>
      <x:c r="K2410" t="str">
        <x:v>2-1</x:v>
      </x:c>
      <x:c r="L2410" t="str">
        <x:v>赢半</x:v>
      </x:c>
      <x:c r="M2410" t="str">
        <x:v>走水</x:v>
      </x:c>
      <x:c r="N2410" t="n">
        <x:v>0.5</x:v>
      </x:c>
      <x:c r="O2410" t="n">
        <x:v>0</x:v>
      </x:c>
      <x:c r="P2410" t="n">
        <x:f>IF(COUNT(N2410:O2410)=0,"",SUM(N2410:O2410))</x:f>
        <x:v>0.5</x:v>
      </x:c>
      <x:c r="Q2410" t="str">
        <x:v>SofaScore</x:v>
      </x:c>
      <x:c r="R2410" t="str">
        <x:v>校正赛果：黑德堡（Heidelberg United） 2-1 格林古利（Green Gully）；让球：黑德堡 -0.75 -&gt; 赢半（0.5）；大小：小3.0 -&gt; 走水（0）；来源：SofaScore。</x:v>
      </x:c>
    </x:row>
    <x:row r="2411">
      <x:c r="A2411" t="str">
        <x:f>IF(B2411="","",TEXT(B2411,"yyyy-mm-dd")&amp;"|"&amp;D2411&amp;"|"&amp;E2411)</x:f>
        <x:v>2026-02-13|佩斯克谏义里(Persik Kediri)|永亚卡达(PSIM Yogyakarta)</x:v>
      </x:c>
      <x:c r="B2411" t="n">
        <x:v>46066.6875</x:v>
      </x:c>
      <x:c r="C2411" t="str">
        <x:v>印度尼西亚超级联赛（印尼超/Liga 1 Indonesia）</x:v>
      </x:c>
      <x:c r="D2411" t="str">
        <x:v>佩斯克谏义里(Persik Kediri)</x:v>
      </x:c>
      <x:c r="E2411" t="str">
        <x:v>永亚卡达(PSIM Yogyakarta)</x:v>
      </x:c>
      <x:c r="F2411" t="str">
        <x:v>主让0/0.5（-0.25） 佩斯克谏义里 @1.84</x:v>
      </x:c>
      <x:c r="G2411" t="str">
        <x:v>小2.5 @1.82</x:v>
      </x:c>
      <x:c r="H2411" t="str">
        <x:v>可选：主胜 @2.25（偏加仓条件：临场≥2.30再上）</x:v>
      </x:c>
      <x:c r="I2411" t="n">
        <x:v>46066.653865740744</x:v>
      </x:c>
      <x:c r="J2411" t="str">
        <x:v>已结算</x:v>
      </x:c>
      <x:c r="K2411" t="str">
        <x:v>2-2</x:v>
      </x:c>
      <x:c r="L2411" t="str">
        <x:v>输半</x:v>
      </x:c>
      <x:c r="M2411" t="str">
        <x:v>输</x:v>
      </x:c>
      <x:c r="N2411" t="n">
        <x:v>-0.5</x:v>
      </x:c>
      <x:c r="O2411" t="n">
        <x:v>-1</x:v>
      </x:c>
      <x:c r="P2411" t="n">
        <x:f>IF(COUNT(N2411:O2411)=0,"",SUM(N2411:O2411))</x:f>
        <x:v>-1.5</x:v>
      </x:c>
      <x:c r="Q2411"/>
      <x:c r="R2411" t="str">
        <x:v>复核赛果：佩斯克谏义里(Persik Kediri) 2-2 永亚卡达(PSIM Yogyakarta)。按冻结盘口结算：佩斯克谏义里 -0.25 输半；小2.5 输。修正原因：平局下主让0.25应为输半，不是赢半。</x:v>
      </x:c>
    </x:row>
    <x:row r="2412">
      <x:c r="A2412" t="str">
        <x:f>IF(B2412="","",TEXT(B2412,"yyyy-mm-dd")&amp;"|"&amp;D2412&amp;"|"&amp;E2412)</x:f>
        <x:v>2026-02-13|伯希索罗（Persis Solo）|马都拉联（Madura United）</x:v>
      </x:c>
      <x:c r="B2412" t="n">
        <x:v>46066.6875</x:v>
      </x:c>
      <x:c r="C2412" t="str">
        <x:v>印度尼西亚超级联赛（印尼超/Liga 1 Indonesia）</x:v>
      </x:c>
      <x:c r="D2412" t="str">
        <x:v>伯希索罗（Persis Solo）</x:v>
      </x:c>
      <x:c r="E2412" t="str">
        <x:v>马都拉联（Madura United）</x:v>
      </x:c>
      <x:c r="F2412" t="str">
        <x:v>马都拉联 +0.5（受让半球）@1.84左右</x:v>
      </x:c>
      <x:c r="G2412" t="str">
        <x:v>小2.5 @1.88左右</x:v>
      </x:c>
      <x:c r="H2412" t="str">
        <x:v>若临场退盘到主让-0.25且马都拉+0.25≥0.88，可小注补马都拉+0.25；走地前20-25分钟节奏慢可加小2.0/2.25</x:v>
      </x:c>
      <x:c r="I2412" t="n">
        <x:v>46066.59465277778</x:v>
      </x:c>
      <x:c r="J2412" t="str">
        <x:v>已结算</x:v>
      </x:c>
      <x:c r="K2412" t="str">
        <x:v>2-2</x:v>
      </x:c>
      <x:c r="L2412" t="str">
        <x:v>赢</x:v>
      </x:c>
      <x:c r="M2412" t="str">
        <x:v>输</x:v>
      </x:c>
      <x:c r="N2412" t="n">
        <x:v>1</x:v>
      </x:c>
      <x:c r="O2412" t="n">
        <x:v>-1</x:v>
      </x:c>
      <x:c r="P2412" t="n">
        <x:f>IF(COUNT(N2412:O2412)=0,"",SUM(N2412:O2412))</x:f>
        <x:v>0</x:v>
      </x:c>
      <x:c r="Q2412"/>
      <x:c r="R2412" t="str">
        <x:v>FT 2-2；让球：马都拉联+0.5 赢；大小：小2.5 输</x:v>
      </x:c>
    </x:row>
    <x:row r="2413">
      <x:c r="A2413" t="str">
        <x:f>IF(B2413="","",TEXT(B2413,"yyyy-mm-dd")&amp;"|"&amp;D2413&amp;"|"&amp;E2413)</x:f>
        <x:v>2026-02-13|CD马拉松（Marathón）|普拉腾斯（Platense FC）</x:v>
      </x:c>
      <x:c r="B2413" t="n">
        <x:v>46066.395833333336</x:v>
      </x:c>
      <x:c r="C2413" t="str">
        <x:v>洪都拉斯甲级联赛（Clausura）</x:v>
      </x:c>
      <x:c r="D2413" t="str">
        <x:v>CD马拉松（Marathón）</x:v>
      </x:c>
      <x:c r="E2413" t="str">
        <x:v>普拉腾斯（Platense FC）</x:v>
      </x:c>
      <x:c r="F2413" t="str">
        <x:v>CD马拉松 -1</x:v>
      </x:c>
      <x:c r="G2413" t="str">
        <x:v>大 2.5</x:v>
      </x:c>
      <x:c r="H2413" t="str">
        <x:v>CD马拉松 -1.25（更激进） / CD马拉松 -1.5（博穿盘，水位更高）</x:v>
      </x:c>
      <x:c r="I2413" t="n">
        <x:v>46066.398506944446</x:v>
      </x:c>
      <x:c r="J2413" t="str">
        <x:v>已结算</x:v>
      </x:c>
      <x:c r="K2413"/>
      <x:c r="L2413" t="str">
        <x:v>输</x:v>
      </x:c>
      <x:c r="M2413" t="str">
        <x:v>赢</x:v>
      </x:c>
      <x:c r="N2413" t="n">
        <x:v>-1</x:v>
      </x:c>
      <x:c r="O2413" t="n">
        <x:v>1</x:v>
      </x:c>
      <x:c r="P2413" t="n">
        <x:f>IF(COUNT(N2413:O2413)=0,"",SUM(N2413:O2413))</x:f>
        <x:v>0</x:v>
      </x:c>
      <x:c r="Q2413"/>
      <x:c r="R2413" t="str">
        <x:v>CD马拉松 2-2 普拉腾斯（总进球4）</x:v>
      </x:c>
    </x:row>
    <x:row r="2414">
      <x:c r="A2414" t="str">
        <x:f>IF(B2414="","",TEXT(B2414,"yyyy-mm-dd")&amp;"|"&amp;D2414&amp;"|"&amp;E2414)</x:f>
        <x:v>2026-02-13|巴西国际（Internacional）|帕尔梅拉斯（Palmeiras）</x:v>
      </x:c>
      <x:c r="B2414" t="n">
        <x:v>46066.354166666664</x:v>
      </x:c>
      <x:c r="C2414" t="str">
        <x:v>巴西甲（Serie A）</x:v>
      </x:c>
      <x:c r="D2414" t="str">
        <x:v>巴西国际（Internacional）</x:v>
      </x:c>
      <x:c r="E2414" t="str">
        <x:v>帕尔梅拉斯（Palmeiras）</x:v>
      </x:c>
      <x:c r="F2414" t="str">
        <x:v>帕尔梅拉斯 -0.25</x:v>
      </x:c>
      <x:c r="G2414" t="str">
        <x:v>小 2.5</x:v>
      </x:c>
      <x:c r="H2414" t="str">
        <x:v>小 2.25（更高回报） / 帕尔梅拉斯 胜（高水）</x:v>
      </x:c>
      <x:c r="I2414" t="n">
        <x:v>46066.337916666664</x:v>
      </x:c>
      <x:c r="J2414" t="str">
        <x:v>已结算</x:v>
      </x:c>
      <x:c r="K2414"/>
      <x:c r="L2414" t="str">
        <x:v>赢</x:v>
      </x:c>
      <x:c r="M2414" t="str">
        <x:v>输</x:v>
      </x:c>
      <x:c r="N2414" t="n">
        <x:v>1</x:v>
      </x:c>
      <x:c r="O2414" t="n">
        <x:v>-1</x:v>
      </x:c>
      <x:c r="P2414" t="n">
        <x:f>IF(COUNT(N2414:O2414)=0,"",SUM(N2414:O2414))</x:f>
        <x:v>0</x:v>
      </x:c>
      <x:c r="Q2414"/>
      <x:c r="R2414" t="str">
        <x:v>巴西国际 1-3 帕尔梅拉斯</x:v>
      </x:c>
    </x:row>
    <x:row r="2415">
      <x:c r="A2415" t="str">
        <x:f>IF(B2415="","",TEXT(B2415,"yyyy-mm-dd")&amp;"|"&amp;D2415&amp;"|"&amp;E2415)</x:f>
        <x:v>2026-02-13|云斯卡尔达斯（Once Caldas）|巴兰基亚青年（Junior Barranquilla）</x:v>
      </x:c>
      <x:c r="B2415" t="n">
        <x:v>46066.305555555555</x:v>
      </x:c>
      <x:c r="C2415" t="str">
        <x:v>哥伦比亚甲级联赛（Liga BetPlay DIMAYOR）</x:v>
      </x:c>
      <x:c r="D2415" t="str">
        <x:v>云斯卡尔达斯（Once Caldas）</x:v>
      </x:c>
      <x:c r="E2415" t="str">
        <x:v>巴兰基亚青年（Junior Barranquilla）</x:v>
      </x:c>
      <x:c r="F2415" t="str">
        <x:v>巴兰基亚青年 +0.25</x:v>
      </x:c>
      <x:c r="G2415" t="str">
        <x:v>小 2.25</x:v>
      </x:c>
      <x:c r="H2415" t="str">
        <x:v>巴兰基亚青年 0（平局退款，更稳） / BTTS 否（若≥1.85可加）</x:v>
      </x:c>
      <x:c r="I2415" t="n">
        <x:v>46066.29765046296</x:v>
      </x:c>
      <x:c r="J2415" t="str">
        <x:v>已结算</x:v>
      </x:c>
      <x:c r="K2415"/>
      <x:c r="L2415" t="str">
        <x:v>输</x:v>
      </x:c>
      <x:c r="M2415" t="str">
        <x:v>输</x:v>
      </x:c>
      <x:c r="N2415" t="n">
        <x:v>-1</x:v>
      </x:c>
      <x:c r="O2415" t="n">
        <x:v>-1</x:v>
      </x:c>
      <x:c r="P2415" t="n">
        <x:f>IF(COUNT(N2415:O2415)=0,"",SUM(N2415:O2415))</x:f>
        <x:v>-2</x:v>
      </x:c>
      <x:c r="Q2415"/>
      <x:c r="R2415" t="str">
        <x:v>云斯卡尔达斯 2-1 巴兰基亚青年</x:v>
      </x:c>
    </x:row>
    <x:row r="2416">
      <x:c r="A2416" t="str">
        <x:f>IF(B2416="","",TEXT(B2416,"yyyy-mm-dd")&amp;"|"&amp;D2416&amp;"|"&amp;E2416)</x:f>
        <x:v>2026-02-13|科林蒂安（Corinthians）|红牛布拉甘蒂诺（Red Bull Bragantino）</x:v>
      </x:c>
      <x:c r="B2416" t="n">
        <x:v>46066.291666666664</x:v>
      </x:c>
      <x:c r="C2416" t="str">
        <x:v>巴西甲（Serie A）</x:v>
      </x:c>
      <x:c r="D2416" t="str">
        <x:v>科林蒂安（Corinthians）</x:v>
      </x:c>
      <x:c r="E2416" t="str">
        <x:v>红牛布拉甘蒂诺（Red Bull Bragantino）</x:v>
      </x:c>
      <x:c r="F2416" t="str">
        <x:v>红牛布拉甘蒂诺 +0.5</x:v>
      </x:c>
      <x:c r="G2416" t="str">
        <x:v>小 2.25</x:v>
      </x:c>
      <x:c r="H2416" t="str">
        <x:v>红牛布拉甘蒂诺 +0.25（更激进） / BTTS 否（若≥1.80可加）</x:v>
      </x:c>
      <x:c r="I2416" t="n">
        <x:v>46066.28890046296</x:v>
      </x:c>
      <x:c r="J2416" t="str">
        <x:v>已结算</x:v>
      </x:c>
      <x:c r="K2416"/>
      <x:c r="L2416" t="str">
        <x:v>输</x:v>
      </x:c>
      <x:c r="M2416" t="str">
        <x:v>赢半</x:v>
      </x:c>
      <x:c r="N2416" t="n">
        <x:v>-1</x:v>
      </x:c>
      <x:c r="O2416" t="n">
        <x:v>0.5</x:v>
      </x:c>
      <x:c r="P2416" t="n">
        <x:f>IF(COUNT(N2416:O2416)=0,"",SUM(N2416:O2416))</x:f>
        <x:v>-0.5</x:v>
      </x:c>
      <x:c r="Q2416"/>
      <x:c r="R2416" t="str">
        <x:v>科林蒂安 2-0 红牛布拉甘蒂诺（总进球2，小2.25赢半）</x:v>
      </x:c>
    </x:row>
    <x:row r="2417">
      <x:c r="A2417" t="str">
        <x:f>IF(B2417="","",TEXT(B2417,"yyyy-mm-dd")&amp;"|"&amp;D2417&amp;"|"&amp;E2417)</x:f>
        <x:v>2026-02-13|弗鲁米嫩塞（Fluminense）|博塔弗戈（Botafogo）</x:v>
      </x:c>
      <x:c r="B2417" t="n">
        <x:v>46066.270833333336</x:v>
      </x:c>
      <x:c r="C2417" t="str">
        <x:v>巴西甲（Serie A）</x:v>
      </x:c>
      <x:c r="D2417" t="str">
        <x:v>弗鲁米嫩塞（Fluminense）</x:v>
      </x:c>
      <x:c r="E2417" t="str">
        <x:v>博塔弗戈（Botafogo）</x:v>
      </x:c>
      <x:c r="F2417" t="str">
        <x:v>博塔弗戈 +0.5</x:v>
      </x:c>
      <x:c r="G2417" t="str">
        <x:v>小 2.25</x:v>
      </x:c>
      <x:c r="H2417" t="str">
        <x:v>平局（高水博冷） / 博塔弗戈 0（平局退款，博大回报）</x:v>
      </x:c>
      <x:c r="I2417" t="n">
        <x:v>46066.265914351854</x:v>
      </x:c>
      <x:c r="J2417" t="str">
        <x:v>已结算</x:v>
      </x:c>
      <x:c r="K2417"/>
      <x:c r="L2417" t="str">
        <x:v>输</x:v>
      </x:c>
      <x:c r="M2417" t="str">
        <x:v>赢</x:v>
      </x:c>
      <x:c r="N2417" t="n">
        <x:v>-1</x:v>
      </x:c>
      <x:c r="O2417" t="n">
        <x:v>1</x:v>
      </x:c>
      <x:c r="P2417" t="n">
        <x:f>IF(COUNT(N2417:O2417)=0,"",SUM(N2417:O2417))</x:f>
        <x:v>0</x:v>
      </x:c>
      <x:c r="Q2417"/>
      <x:c r="R2417" t="str">
        <x:v>弗鲁米嫩塞 1-0 博塔弗戈</x:v>
      </x:c>
    </x:row>
    <x:row r="2418">
      <x:c r="A2418" t="str">
        <x:f>IF(B2418="","",TEXT(B2418,"yyyy-mm-dd")&amp;"|"&amp;D2418&amp;"|"&amp;E2418)</x:f>
        <x:v>2026-02-13|布伦特福德（Brentford）|阿森纳（Arsenal）</x:v>
      </x:c>
      <x:c r="B2418" t="n">
        <x:v>46066.166666666664</x:v>
      </x:c>
      <x:c r="C2418" t="str">
        <x:v>英格兰超级联赛（Premier League）</x:v>
      </x:c>
      <x:c r="D2418" t="str">
        <x:v>布伦特福德（Brentford）</x:v>
      </x:c>
      <x:c r="E2418" t="str">
        <x:v>阿森纳（Arsenal）</x:v>
      </x:c>
      <x:c r="F2418" t="str">
        <x:v>布伦特福德 +0.75</x:v>
      </x:c>
      <x:c r="G2418" t="str">
        <x:v>小 2.5</x:v>
      </x:c>
      <x:c r="H2418" t="str">
        <x:v>BTTS 否（若给到1.85+可加） / 小 3.0（走水保护）</x:v>
      </x:c>
      <x:c r="I2418" t="n">
        <x:v>46066.00085648148</x:v>
      </x:c>
      <x:c r="J2418" t="str">
        <x:v>已结算</x:v>
      </x:c>
      <x:c r="K2418" t="str">
        <x:v>1-1</x:v>
      </x:c>
      <x:c r="L2418" t="str">
        <x:v>赢</x:v>
      </x:c>
      <x:c r="M2418" t="str">
        <x:v>赢</x:v>
      </x:c>
      <x:c r="N2418" t="n">
        <x:v>1</x:v>
      </x:c>
      <x:c r="O2418" t="n">
        <x:v>1</x:v>
      </x:c>
      <x:c r="P2418" t="n">
        <x:f>IF(COUNT(N2418:O2418)=0,"",SUM(N2418:O2418))</x:f>
        <x:v>2</x:v>
      </x:c>
      <x:c r="Q2418"/>
      <x:c r="R2418" t="str">
        <x:v>1-1</x:v>
      </x:c>
    </x:row>
    <x:row r="2419">
      <x:c r="A2419" t="str">
        <x:f>IF(B2419="","",TEXT(B2419,"yyyy-mm-dd")&amp;"|"&amp;D2419&amp;"|"&amp;E2419)</x:f>
        <x:v>2026-02-13|达马克（Damac FC）|塔亚文（布赖代合作，Al Taawoun）</x:v>
      </x:c>
      <x:c r="B2419" t="n">
        <x:v>46066.03125</x:v>
      </x:c>
      <x:c r="C2419" t="str">
        <x:v>沙特职业联赛（Saudi Pro League）</x:v>
      </x:c>
      <x:c r="D2419" t="str">
        <x:v>达马克（Damac FC）</x:v>
      </x:c>
      <x:c r="E2419" t="str">
        <x:v>塔亚文（布赖代合作，Al Taawoun）</x:v>
      </x:c>
      <x:c r="F2419" t="str">
        <x:v>塔亚文 -0.5</x:v>
      </x:c>
      <x:c r="G2419" t="str">
        <x:v>大 2.5</x:v>
      </x:c>
      <x:c r="H2419" t="str">
        <x:v>塔亚文 -0.25（更稳） / 塔亚文 胜（高水）</x:v>
      </x:c>
      <x:c r="I2419" t="n">
        <x:v>46065.89662037037</x:v>
      </x:c>
      <x:c r="J2419" t="str">
        <x:v>已结算</x:v>
      </x:c>
      <x:c r="K2419"/>
      <x:c r="L2419" t="str">
        <x:v>输</x:v>
      </x:c>
      <x:c r="M2419" t="str">
        <x:v>赢</x:v>
      </x:c>
      <x:c r="N2419" t="n">
        <x:v>-1</x:v>
      </x:c>
      <x:c r="O2419" t="n">
        <x:v>1</x:v>
      </x:c>
      <x:c r="P2419" t="n">
        <x:f>IF(COUNT(N2419:O2419)=0,"",SUM(N2419:O2419))</x:f>
        <x:v>0</x:v>
      </x:c>
      <x:c r="Q2419"/>
      <x:c r="R2419" t="str">
        <x:v>达马克 2-1 塔亚文</x:v>
      </x:c>
    </x:row>
    <x:row r="2420">
      <x:c r="A2420" t="str">
        <x:f>IF(B2420="","",TEXT(B2420,"yyyy-mm-dd")&amp;"|"&amp;D2420&amp;"|"&amp;E2420)</x:f>
        <x:v>2026-02-12|爱尔利（阿赫利安曼，Al Ahli Jordan）|艾沙尔特（Al Salt）</x:v>
      </x:c>
      <x:c r="B2420" t="n">
        <x:v>46065.916666666664</x:v>
      </x:c>
      <x:c r="C2420" t="str">
        <x:v>约旦联赛</x:v>
      </x:c>
      <x:c r="D2420" t="str">
        <x:v>爱尔利（阿赫利安曼，Al Ahli Jordan）</x:v>
      </x:c>
      <x:c r="E2420" t="str">
        <x:v>艾沙尔特（Al Salt）</x:v>
      </x:c>
      <x:c r="F2420" t="str">
        <x:v>爱尔利 +0.25</x:v>
      </x:c>
      <x:c r="G2420" t="str">
        <x:v>大 2.5</x:v>
      </x:c>
      <x:c r="H2420" t="str">
        <x:v>可选：爱尔利 +0.5（更稳）；若临场降到2/2.25再考虑分档做大</x:v>
      </x:c>
      <x:c r="I2420" t="n">
        <x:v>46065.89640046296</x:v>
      </x:c>
      <x:c r="J2420" t="str">
        <x:v>已结算</x:v>
      </x:c>
      <x:c r="K2420" t="str">
        <x:v>1-1</x:v>
      </x:c>
      <x:c r="L2420" t="str">
        <x:v>赢半</x:v>
      </x:c>
      <x:c r="M2420" t="str">
        <x:v>输</x:v>
      </x:c>
      <x:c r="N2420" t="n">
        <x:v>0.5</x:v>
      </x:c>
      <x:c r="O2420" t="n">
        <x:v>-1</x:v>
      </x:c>
      <x:c r="P2420" t="n">
        <x:f>IF(COUNT(N2420:O2420)=0,"",SUM(N2420:O2420))</x:f>
        <x:v>-0.5</x:v>
      </x:c>
      <x:c r="Q2420"/>
      <x:c r="R2420" t="str">
        <x:v>1-1</x:v>
      </x:c>
    </x:row>
    <x:row r="2421">
      <x:c r="A2421" t="str">
        <x:f>IF(B2421="","",TEXT(B2421,"yyyy-mm-dd")&amp;"|"&amp;D2421&amp;"|"&amp;E2421)</x:f>
        <x:v>2026-02-12|浦项制铁（Pohang Steelers）|大阪钢巴（Gamba Osaka）</x:v>
      </x:c>
      <x:c r="B2421" t="n">
        <x:v>46065.833333333336</x:v>
      </x:c>
      <x:c r="C2421" t="str">
        <x:v>亚冠二级联赛（AFC Champions League Two）</x:v>
      </x:c>
      <x:c r="D2421" t="str">
        <x:v>浦项制铁（Pohang Steelers）</x:v>
      </x:c>
      <x:c r="E2421" t="str">
        <x:v>大阪钢巴（Gamba Osaka）</x:v>
      </x:c>
      <x:c r="F2421" t="str">
        <x:v>大阪钢巴 -0.25（亚洲让球）@2.01</x:v>
      </x:c>
      <x:c r="G2421" t="str">
        <x:v>小2.5球（Under 2.5）@1.86</x:v>
      </x:c>
      <x:c r="H2421" t="str">
        <x:v>大阪钢巴 0（平手盘/DNB）@1.80-1.90 区间（择高水）；或 BTTS 否 @1.80</x:v>
      </x:c>
      <x:c r="I2421" t="n">
        <x:v>46065.74376157407</x:v>
      </x:c>
      <x:c r="J2421" t="str">
        <x:v>已结算</x:v>
      </x:c>
      <x:c r="K2421" t="str">
        <x:v>1-1</x:v>
      </x:c>
      <x:c r="L2421" t="str">
        <x:v>输半</x:v>
      </x:c>
      <x:c r="M2421" t="str">
        <x:v>赢</x:v>
      </x:c>
      <x:c r="N2421" t="n">
        <x:v>-0.5</x:v>
      </x:c>
      <x:c r="O2421" t="n">
        <x:v>1</x:v>
      </x:c>
      <x:c r="P2421" t="n">
        <x:f>IF(COUNT(N2421:O2421)=0,"",SUM(N2421:O2421))</x:f>
        <x:v>0.5</x:v>
      </x:c>
      <x:c r="Q2421"/>
      <x:c r="R2421" t="str">
        <x:v>1-1</x:v>
      </x:c>
    </x:row>
    <x:row r="2422">
      <x:c r="A2422" t="str">
        <x:f>IF(B2422="","",TEXT(B2422,"yyyy-mm-dd")&amp;"|"&amp;D2422&amp;"|"&amp;E2422)</x:f>
        <x:v>2026-02-12|曼谷联队（True Bangkok United）|麦克阿瑟（Macarthur FC）</x:v>
      </x:c>
      <x:c r="B2422" t="n">
        <x:v>46065.791666666664</x:v>
      </x:c>
      <x:c r="C2422" t="str">
        <x:v>亚冠二级联赛（AFC Champions League Two）</x:v>
      </x:c>
      <x:c r="D2422" t="str">
        <x:v>曼谷联队（True Bangkok United）</x:v>
      </x:c>
      <x:c r="E2422" t="str">
        <x:v>麦克阿瑟（Macarthur FC）</x:v>
      </x:c>
      <x:c r="F2422" t="str">
        <x:v>麦克阿瑟 0（平局退款）</x:v>
      </x:c>
      <x:c r="G2422" t="str">
        <x:v>大2.5</x:v>
      </x:c>
      <x:c r="H2422" t="str">
        <x:v>可选：大3.0（走水保护）/ 麦克阿瑟 +0.25</x:v>
      </x:c>
      <x:c r="I2422" t="n">
        <x:v>46065.745162037034</x:v>
      </x:c>
      <x:c r="J2422" t="str">
        <x:v>已结算</x:v>
      </x:c>
      <x:c r="K2422"/>
      <x:c r="L2422" t="str">
        <x:v>输</x:v>
      </x:c>
      <x:c r="M2422" t="str">
        <x:v>输</x:v>
      </x:c>
      <x:c r="N2422" t="n">
        <x:v>-1</x:v>
      </x:c>
      <x:c r="O2422" t="n">
        <x:v>-1</x:v>
      </x:c>
      <x:c r="P2422" t="n">
        <x:f>IF(COUNT(N2422:O2422)=0,"",SUM(N2422:O2422))</x:f>
        <x:v>-2</x:v>
      </x:c>
      <x:c r="Q2422"/>
      <x:c r="R2422" t="str">
        <x:v>曼谷联 2-0 麦克阿瑟</x:v>
      </x:c>
    </x:row>
    <x:row r="2423">
      <x:c r="A2423" t="str">
        <x:f>IF(B2423="","",TEXT(B2423,"yyyy-mm-dd")&amp;"|"&amp;D2423&amp;"|"&amp;E2423)</x:f>
        <x:v>2026-02-12|波哥大国际（Internacional de Bogotá）|卡利体育会（Deportivo Cali）</x:v>
      </x:c>
      <x:c r="B2423" t="n">
        <x:v>46065.395833333336</x:v>
      </x:c>
      <x:c r="C2423" t="str">
        <x:v>哥伦比亚甲级联赛（Liga BetPlay DIMAYOR）</x:v>
      </x:c>
      <x:c r="D2423" t="str">
        <x:v>波哥大国际（Internacional de Bogotá）</x:v>
      </x:c>
      <x:c r="E2423" t="str">
        <x:v>卡利体育会（Deportivo Cali）</x:v>
      </x:c>
      <x:c r="F2423" t="str">
        <x:v>卡利体育会 0（平手DNB，平局走水）@1.03</x:v>
      </x:c>
      <x:c r="G2423" t="str">
        <x:v>小 2.0（2球走水）@0.85</x:v>
      </x:c>
      <x:c r="H2423" t="str">
        <x:v>可选：①若临场退到波哥大国际-0.25且卡利体育会+0.25仍≥0.85→改卡利+0.25更稳；②若总进球升到2.25且小2.25≥0.85→改小2.25；③若开场15-20分钟对抗强、射正少→上半场小0.75（≥0.85）可加仓。</x:v>
      </x:c>
      <x:c r="I2423" t="n">
        <x:v>46065.39710648148</x:v>
      </x:c>
      <x:c r="J2423" t="str">
        <x:v>已结算</x:v>
      </x:c>
      <x:c r="K2423" t="str">
        <x:v>3-2</x:v>
      </x:c>
      <x:c r="L2423" t="str">
        <x:v>输</x:v>
      </x:c>
      <x:c r="M2423" t="str">
        <x:v>输</x:v>
      </x:c>
      <x:c r="N2423" t="n">
        <x:v>-1</x:v>
      </x:c>
      <x:c r="O2423" t="n">
        <x:v>-1</x:v>
      </x:c>
      <x:c r="P2423" t="n">
        <x:f>IF(COUNT(N2423:O2423)=0,"",SUM(N2423:O2423))</x:f>
        <x:v>-2</x:v>
      </x:c>
      <x:c r="Q2423"/>
      <x:c r="R2423" t="str">
        <x:v>全场比分：波哥大国际 3-2 卡利体育会（总进球5）。卡利0输；小2.0输。</x:v>
      </x:c>
    </x:row>
    <x:row r="2424">
      <x:c r="A2424" t="str">
        <x:f>IF(B2424="","",TEXT(B2424,"yyyy-mm-dd")&amp;"|"&amp;D2424&amp;"|"&amp;E2424)</x:f>
        <x:v>2026-02-12|瓦斯达伽马（Vasco da Gama）|巴伊亚（Bahia）</x:v>
      </x:c>
      <x:c r="B2424" t="n">
        <x:v>46065.354166666664</x:v>
      </x:c>
      <x:c r="C2424" t="str">
        <x:v>巴西甲（Serie A）</x:v>
      </x:c>
      <x:c r="D2424" t="str">
        <x:v>瓦斯达伽马（Vasco da Gama）</x:v>
      </x:c>
      <x:c r="E2424" t="str">
        <x:v>巴伊亚（Bahia）</x:v>
      </x:c>
      <x:c r="F2424" t="str">
        <x:v>巴伊亚 +0.25（受让平/半）@0.90</x:v>
      </x:c>
      <x:c r="G2424" t="str">
        <x:v>小 2.5 @0.91</x:v>
      </x:c>
      <x:c r="H2424" t="str">
        <x:v>可选：巴伊亚 +0.5（若临场≥0.85更稳）；或小2.25（若临场降盘且≥0.85）；对冲小注：平局@3.20+（若能拿到更高回报）</x:v>
      </x:c>
      <x:c r="I2424" t="n">
        <x:v>46065.34753472222</x:v>
      </x:c>
      <x:c r="J2424" t="str">
        <x:v>已结算</x:v>
      </x:c>
      <x:c r="K2424" t="str">
        <x:v>0-1</x:v>
      </x:c>
      <x:c r="L2424" t="str">
        <x:v>赢</x:v>
      </x:c>
      <x:c r="M2424" t="str">
        <x:v>赢</x:v>
      </x:c>
      <x:c r="N2424" t="n">
        <x:v>1</x:v>
      </x:c>
      <x:c r="O2424" t="n">
        <x:v>1</x:v>
      </x:c>
      <x:c r="P2424" t="n">
        <x:f>IF(COUNT(N2424:O2424)=0,"",SUM(N2424:O2424))</x:f>
        <x:v>2</x:v>
      </x:c>
      <x:c r="Q2424"/>
      <x:c r="R2424" t="str">
        <x:v>全场比分：瓦斯达伽马 0-1 巴伊亚（总进球1）。巴伊亚+0.25赢；小2.5赢。</x:v>
      </x:c>
    </x:row>
    <x:row r="2425">
      <x:c r="A2425" t="str">
        <x:f>IF(B2425="","",TEXT(B2425,"yyyy-mm-dd")&amp;"|"&amp;D2425&amp;"|"&amp;E2425)</x:f>
        <x:v>2026-02-12|圣保罗（São Paulo）|格雷米奥（Grêmio）</x:v>
      </x:c>
      <x:c r="B2425" t="n">
        <x:v>46065.354166666664</x:v>
      </x:c>
      <x:c r="C2425" t="str">
        <x:v>巴西甲（Serie A）</x:v>
      </x:c>
      <x:c r="D2425" t="str">
        <x:v>圣保罗（São Paulo）</x:v>
      </x:c>
      <x:c r="E2425" t="str">
        <x:v>格雷米奥（Grêmio）</x:v>
      </x:c>
      <x:c r="F2425" t="str">
        <x:v>圣保罗 -0.5（半球）@0.98</x:v>
      </x:c>
      <x:c r="G2425" t="str">
        <x:v>小 2.25（2/2.5）@1.00</x:v>
      </x:c>
      <x:c r="H2425" t="str">
        <x:v>可选：圣保罗 -0.75（若临场≥0.85再加，防赢1球只赢半）；或小2.0（若临场降盘且≥0.85更稳）</x:v>
      </x:c>
      <x:c r="I2425" t="n">
        <x:v>46065.34744212963</x:v>
      </x:c>
      <x:c r="J2425" t="str">
        <x:v>已结算</x:v>
      </x:c>
      <x:c r="K2425" t="str">
        <x:v>2-0</x:v>
      </x:c>
      <x:c r="L2425" t="str">
        <x:v>赢</x:v>
      </x:c>
      <x:c r="M2425" t="str">
        <x:v>赢半</x:v>
      </x:c>
      <x:c r="N2425" t="n">
        <x:v>1</x:v>
      </x:c>
      <x:c r="O2425" t="n">
        <x:v>0.5</x:v>
      </x:c>
      <x:c r="P2425" t="n">
        <x:f>IF(COUNT(N2425:O2425)=0,"",SUM(N2425:O2425))</x:f>
        <x:v>1.5</x:v>
      </x:c>
      <x:c r="Q2425" t="str">
        <x:v>SofaScore</x:v>
      </x:c>
      <x:c r="R2425" t="str">
        <x:v>校正赛果：圣保罗（São Paulo） 2-0 格雷米奥（Grêmio）；让球：圣保罗 -0.5 -&gt; 赢（1）；大小：小2.25 -&gt; 赢半（0.5）；来源：SofaScore。</x:v>
      </x:c>
    </x:row>
    <x:row r="2426">
      <x:c r="A2426" t="str">
        <x:f>IF(B2426="","",TEXT(B2426,"yyyy-mm-dd")&amp;"|"&amp;D2426&amp;"|"&amp;E2426)</x:f>
        <x:v>2026-02-12|肯梅利塔（AD Carmelita）|萨普里萨（Deportivo Saprissa）</x:v>
      </x:c>
      <x:c r="B2426" t="n">
        <x:v>46065.333333333336</x:v>
      </x:c>
      <x:c r="C2426" t="str">
        <x:v>哥斯达黎加杯（Copa Costa Rica）</x:v>
      </x:c>
      <x:c r="D2426" t="str">
        <x:v>肯梅利塔（AD Carmelita）</x:v>
      </x:c>
      <x:c r="E2426" t="str">
        <x:v>萨普里萨（Deportivo Saprissa）</x:v>
      </x:c>
      <x:c r="F2426" t="str">
        <x:v>肯梅利塔 +1/1.5（+1.25）@1.00</x:v>
      </x:c>
      <x:c r="G2426" t="str">
        <x:v>小 2.5/3（2.75）@1.00</x:v>
      </x:c>
      <x:c r="H2426" t="str">
        <x:v>可选：肯梅利塔 +1.5（受让球半）若临场≥0.85更稳；或萨普里萨 -1（若确认强阵且≥0.85才考虑换边）</x:v>
      </x:c>
      <x:c r="I2426" t="n">
        <x:v>46065.34391203704</x:v>
      </x:c>
      <x:c r="J2426" t="str">
        <x:v>已结算</x:v>
      </x:c>
      <x:c r="K2426" t="str">
        <x:v>2-4</x:v>
      </x:c>
      <x:c r="L2426" t="str">
        <x:v>输</x:v>
      </x:c>
      <x:c r="M2426" t="str">
        <x:v>输</x:v>
      </x:c>
      <x:c r="N2426" t="n">
        <x:v>-1</x:v>
      </x:c>
      <x:c r="O2426" t="n">
        <x:v>-1</x:v>
      </x:c>
      <x:c r="P2426" t="n">
        <x:f>IF(COUNT(N2426:O2426)=0,"",SUM(N2426:O2426))</x:f>
        <x:v>-2</x:v>
      </x:c>
      <x:c r="Q2426"/>
      <x:c r="R2426" t="str">
        <x:v>全场比分：肯梅利塔 2-4 萨普里萨（总进球6）。肯梅利塔+1.25输；小2.75输。</x:v>
      </x:c>
    </x:row>
    <x:row r="2427">
      <x:c r="A2427" t="str">
        <x:f>IF(B2427="","",TEXT(B2427,"yyyy-mm-dd")&amp;"|"&amp;D2427&amp;"|"&amp;E2427)</x:f>
        <x:v>2026-02-12|百万富翁（Millonarios）|里奥内格罗老鹰（Águilas Doradas Rionegro）</x:v>
      </x:c>
      <x:c r="B2427" t="n">
        <x:v>46065.3125</x:v>
      </x:c>
      <x:c r="C2427" t="str">
        <x:v>哥伦比亚甲级联赛（Liga BetPlay DIMAYOR）</x:v>
      </x:c>
      <x:c r="D2427" t="str">
        <x:v>百万富翁（Millonarios）</x:v>
      </x:c>
      <x:c r="E2427" t="str">
        <x:v>里奥内格罗老鹰（Águilas Doradas Rionegro）</x:v>
      </x:c>
      <x:c r="F2427" t="str">
        <x:v>里奥内格罗老鹰 +0.75（受让半/一）@0.90</x:v>
      </x:c>
      <x:c r="G2427" t="str">
        <x:v>小 2.25（2/2.5）@0.98</x:v>
      </x:c>
      <x:c r="H2427" t="str">
        <x:v>可选：里奥内格罗老鹰 +1（受让一球）若临场≥0.85更稳；或小2.0（2球走水）若临场≥0.85且前20分钟节奏慢/射正少再加。</x:v>
      </x:c>
      <x:c r="I2427" t="n">
        <x:v>46065.331342592595</x:v>
      </x:c>
      <x:c r="J2427" t="str">
        <x:v>已结算</x:v>
      </x:c>
      <x:c r="K2427" t="str">
        <x:v>1-0</x:v>
      </x:c>
      <x:c r="L2427" t="str">
        <x:v>输半</x:v>
      </x:c>
      <x:c r="M2427" t="str">
        <x:v>赢</x:v>
      </x:c>
      <x:c r="N2427" t="n">
        <x:v>-0.5</x:v>
      </x:c>
      <x:c r="O2427" t="n">
        <x:v>1</x:v>
      </x:c>
      <x:c r="P2427" t="n">
        <x:f>IF(COUNT(N2427:O2427)=0,"",SUM(N2427:O2427))</x:f>
        <x:v>0.5</x:v>
      </x:c>
      <x:c r="Q2427" t="str">
        <x:v>SofaScore</x:v>
      </x:c>
      <x:c r="R2427" t="str">
        <x:v>校正赛果：百万富翁（Millonarios） 1-0 里奥内格罗老鹰（Águilas Doradas Rionegro）；让球：里奥内格罗老鹰 +0.75 -&gt; 输半（-0.5）；大小：小2.25 -&gt; 赢（1）；来源：SofaScore。</x:v>
      </x:c>
    </x:row>
    <x:row r="2428">
      <x:c r="A2428" t="str">
        <x:f>IF(B2428="","",TEXT(B2428,"yyyy-mm-dd")&amp;"|"&amp;D2428&amp;"|"&amp;E2428)</x:f>
        <x:v>2026-02-12|沙佩科恩斯（Chapecoense）|科里蒂巴（Coritiba）</x:v>
      </x:c>
      <x:c r="B2428" t="n">
        <x:v>46065.25</x:v>
      </x:c>
      <x:c r="C2428" t="str">
        <x:v>巴西甲（Serie A）</x:v>
      </x:c>
      <x:c r="D2428" t="str">
        <x:v>沙佩科恩斯（Chapecoense）</x:v>
      </x:c>
      <x:c r="E2428" t="str">
        <x:v>科里蒂巴（Coritiba）</x:v>
      </x:c>
      <x:c r="F2428" t="str">
        <x:v>科里蒂巴 +0.25（受让平/半）@1.09</x:v>
      </x:c>
      <x:c r="G2428" t="str">
        <x:v>小 2.0（2球走水）@0.93</x:v>
      </x:c>
      <x:c r="H2428" t="str">
        <x:v>可选：①科里蒂巴 +0.5（受让半球）若临场仍≥0.85→更稳；②上半场小0.75（若≥0.85且前15分钟节奏慢/射正少再加）；③若盘面走到沙佩科恩斯-0.5但主队赔付被压到&lt;0.80→反向只保留科里蒂巴受让/或改科里蒂巴0（DNB）且≥0.85。</x:v>
      </x:c>
      <x:c r="I2428" t="n">
        <x:v>46065.2918287037</x:v>
      </x:c>
      <x:c r="J2428" t="str">
        <x:v>已结算</x:v>
      </x:c>
      <x:c r="K2428" t="str">
        <x:v>3-3</x:v>
      </x:c>
      <x:c r="L2428" t="str">
        <x:v>赢半</x:v>
      </x:c>
      <x:c r="M2428" t="str">
        <x:v>输</x:v>
      </x:c>
      <x:c r="N2428" t="n">
        <x:v>0.5</x:v>
      </x:c>
      <x:c r="O2428" t="n">
        <x:v>-1</x:v>
      </x:c>
      <x:c r="P2428" t="n">
        <x:f>IF(COUNT(N2428:O2428)=0,"",SUM(N2428:O2428))</x:f>
        <x:v>-0.5</x:v>
      </x:c>
      <x:c r="Q2428"/>
      <x:c r="R2428" t="str">
        <x:v>全场比分：沙佩科恩斯 3-3 科里蒂巴（总进球6）。科里蒂巴+0.25赢半；小2.0输。</x:v>
      </x:c>
    </x:row>
    <x:row r="2429">
      <x:c r="A2429" t="str">
        <x:f>IF(B2429="","",TEXT(B2429,"yyyy-mm-dd")&amp;"|"&amp;D2429&amp;"|"&amp;E2429)</x:f>
        <x:v>2026-02-12|米拉索尔（Mirassol）|克鲁塞罗（Cruzeiro）</x:v>
      </x:c>
      <x:c r="B2429" t="n">
        <x:v>46065.25</x:v>
      </x:c>
      <x:c r="C2429" t="str">
        <x:v>巴西甲（Serie A）</x:v>
      </x:c>
      <x:c r="D2429" t="str">
        <x:v>米拉索尔（Mirassol）</x:v>
      </x:c>
      <x:c r="E2429" t="str">
        <x:v>克鲁塞罗（Cruzeiro）</x:v>
      </x:c>
      <x:c r="F2429" t="str">
        <x:v>米拉索尔 0（平手DNB）@0.89</x:v>
      </x:c>
      <x:c r="G2429" t="str">
        <x:v>小 2.5 @0.80</x:v>
      </x:c>
      <x:c r="H2429" t="str">
        <x:v>可选：米拉索尔 -0/0.5（-0.25）若临场能拿到≥0.85再加；或小2.25（若主线降到2.25且≥0.85）；对冲小注：平局@2.00（3.00）</x:v>
      </x:c>
      <x:c r="I2429" t="n">
        <x:v>46065.25498842593</x:v>
      </x:c>
      <x:c r="J2429" t="str">
        <x:v>已结算</x:v>
      </x:c>
      <x:c r="K2429" t="str">
        <x:v>2-2</x:v>
      </x:c>
      <x:c r="L2429" t="str">
        <x:v>走水</x:v>
      </x:c>
      <x:c r="M2429" t="str">
        <x:v>输</x:v>
      </x:c>
      <x:c r="N2429" t="n">
        <x:v>0</x:v>
      </x:c>
      <x:c r="O2429" t="n">
        <x:v>-1</x:v>
      </x:c>
      <x:c r="P2429" t="n">
        <x:f>IF(COUNT(N2429:O2429)=0,"",SUM(N2429:O2429))</x:f>
        <x:v>-1</x:v>
      </x:c>
      <x:c r="Q2429"/>
      <x:c r="R2429" t="str">
        <x:v>全场比分：米拉索尔 2-2 克鲁塞罗（总进球4）。米拉索尔0走水；小2.5输。</x:v>
      </x:c>
    </x:row>
    <x:row r="2430">
      <x:c r="A2430" t="str">
        <x:f>IF(B2430="","",TEXT(B2430,"yyyy-mm-dd")&amp;"|"&amp;D2430&amp;"|"&amp;E2430)</x:f>
        <x:v>2026-02-12|桑德兰（Sunderland）|利物浦（Liverpool）</x:v>
      </x:c>
      <x:c r="B2430" t="n">
        <x:v>46065.177083333336</x:v>
      </x:c>
      <x:c r="C2430" t="str">
        <x:v>英格兰超级联赛（Premier League）</x:v>
      </x:c>
      <x:c r="D2430" t="str">
        <x:v>桑德兰（Sunderland）</x:v>
      </x:c>
      <x:c r="E2430" t="str">
        <x:v>利物浦（Liverpool）</x:v>
      </x:c>
      <x:c r="F2430" t="str">
        <x:v>桑德兰 +0.75（受让半/一）@0.91</x:v>
      </x:c>
      <x:c r="G2430" t="str">
        <x:v>小 3.0 @0.87</x:v>
      </x:c>
      <x:c r="H2430" t="str">
        <x:v>可选：桑德兰 +1（受让一球）@0.82（更稳但回报低）；或利物浦 -0.5 @0.80（若临场桑德兰+0.75跌到&lt;0.85且利物浦首发全主力）</x:v>
      </x:c>
      <x:c r="I2430" t="n">
        <x:v>46065.143958333334</x:v>
      </x:c>
      <x:c r="J2430" t="str">
        <x:v>已结算</x:v>
      </x:c>
      <x:c r="K2430" t="str">
        <x:v>0-1</x:v>
      </x:c>
      <x:c r="L2430" t="str">
        <x:v>输半</x:v>
      </x:c>
      <x:c r="M2430" t="str">
        <x:v>赢</x:v>
      </x:c>
      <x:c r="N2430" t="n">
        <x:v>-0.5</x:v>
      </x:c>
      <x:c r="O2430" t="n">
        <x:v>1</x:v>
      </x:c>
      <x:c r="P2430" t="n">
        <x:f>IF(COUNT(N2430:O2430)=0,"",SUM(N2430:O2430))</x:f>
        <x:v>0.5</x:v>
      </x:c>
      <x:c r="Q2430" t="str">
        <x:v>SofaScore</x:v>
      </x:c>
      <x:c r="R2430" t="str">
        <x:v>校正赛果：桑德兰（Sunderland） 0-1 利物浦（Liverpool）；让球：桑德兰 +0.75 -&gt; 输半（-0.5）；大小：小3.0 -&gt; 赢（1）；来源：SofaScore。</x:v>
      </x:c>
    </x:row>
    <x:row r="2431">
      <x:c r="A2431" t="str">
        <x:f>IF(B2431="","",TEXT(B2431,"yyyy-mm-dd")&amp;"|"&amp;D2431&amp;"|"&amp;E2431)</x:f>
        <x:v>2026-02-12|查尔顿（Charlton Athletic）|斯托克城（Stoke City）</x:v>
      </x:c>
      <x:c r="B2431" t="n">
        <x:v>46065.15625</x:v>
      </x:c>
      <x:c r="C2431" t="str">
        <x:v>英格兰冠军联赛（英冠）</x:v>
      </x:c>
      <x:c r="D2431" t="str">
        <x:v>查尔顿（Charlton Athletic）</x:v>
      </x:c>
      <x:c r="E2431" t="str">
        <x:v>斯托克城（Stoke City）</x:v>
      </x:c>
      <x:c r="F2431" t="str">
        <x:v>查尔顿 0（平手DNB）@0.93</x:v>
      </x:c>
      <x:c r="G2431" t="str">
        <x:v>小 2/2.5（2.25）@0.85</x:v>
      </x:c>
      <x:c r="H2431" t="str">
        <x:v>可选：BTTS 否@0.80（若你更担心0-0/1-0）；或若临场退到查尔顿+0.25且水位≥0.85→改+0.25更稳</x:v>
      </x:c>
      <x:c r="I2431" t="n">
        <x:v>46065.13974537037</x:v>
      </x:c>
      <x:c r="J2431" t="str">
        <x:v>已结算</x:v>
      </x:c>
      <x:c r="K2431" t="str">
        <x:v>1-0</x:v>
      </x:c>
      <x:c r="L2431" t="str">
        <x:v>赢</x:v>
      </x:c>
      <x:c r="M2431" t="str">
        <x:v>赢</x:v>
      </x:c>
      <x:c r="N2431" t="n">
        <x:v>1</x:v>
      </x:c>
      <x:c r="O2431" t="n">
        <x:v>1</x:v>
      </x:c>
      <x:c r="P2431" t="n">
        <x:f>IF(COUNT(N2431:O2431)=0,"",SUM(N2431:O2431))</x:f>
        <x:v>2</x:v>
      </x:c>
      <x:c r="Q2431"/>
      <x:c r="R2431" t="str">
        <x:v>全场比分：查尔顿 1-0 斯托克城（总进球1）。查尔顿0赢；小2.25赢。</x:v>
      </x:c>
    </x:row>
    <x:row r="2432">
      <x:c r="A2432" t="str">
        <x:f>IF(B2432="","",TEXT(B2432,"yyyy-mm-dd")&amp;"|"&amp;D2432&amp;"|"&amp;E2432)</x:f>
        <x:v>2026-02-12|阿斯顿维拉（Aston Villa）|布莱顿（Brighton &amp; Hove Albion）</x:v>
      </x:c>
      <x:c r="B2432" t="n">
        <x:v>46065.145833333336</x:v>
      </x:c>
      <x:c r="C2432" t="str">
        <x:v>英格兰超级联赛（Premier League）</x:v>
      </x:c>
      <x:c r="D2432" t="str">
        <x:v>阿斯顿维拉（Aston Villa）</x:v>
      </x:c>
      <x:c r="E2432" t="str">
        <x:v>布莱顿（Brighton &amp; Hove Albion）</x:v>
      </x:c>
      <x:c r="F2432" t="str">
        <x:v>布莱顿 +0.5（受让半球）@0.82</x:v>
      </x:c>
      <x:c r="G2432" t="str">
        <x:v>小 2.5 @0.95</x:v>
      </x:c>
      <x:c r="H2432" t="str">
        <x:v>可选：布莱顿 +0.25（受让平/半）@0.95（更激进更高回报）；或大2.5 @0.97（若双方首发前场齐整且开局节奏快）</x:v>
      </x:c>
      <x:c r="I2432" t="n">
        <x:v>46065.14381944444</x:v>
      </x:c>
      <x:c r="J2432" t="str">
        <x:v>已结算</x:v>
      </x:c>
      <x:c r="K2432" t="str">
        <x:v>1-0</x:v>
      </x:c>
      <x:c r="L2432" t="str">
        <x:v>输</x:v>
      </x:c>
      <x:c r="M2432" t="str">
        <x:v>赢</x:v>
      </x:c>
      <x:c r="N2432" t="n">
        <x:v>-1</x:v>
      </x:c>
      <x:c r="O2432" t="n">
        <x:v>1</x:v>
      </x:c>
      <x:c r="P2432" t="n">
        <x:f>IF(COUNT(N2432:O2432)=0,"",SUM(N2432:O2432))</x:f>
        <x:v>0</x:v>
      </x:c>
      <x:c r="Q2432"/>
      <x:c r="R2432" t="str">
        <x:v>全场比分：阿斯顿维拉 1-0 布莱顿（总进球1）。布莱顿+0.5输；小2.5赢。</x:v>
      </x:c>
    </x:row>
    <x:row r="2433">
      <x:c r="A2433" t="str">
        <x:f>IF(B2433="","",TEXT(B2433,"yyyy-mm-dd")&amp;"|"&amp;D2433&amp;"|"&amp;E2433)</x:f>
        <x:v>2026-02-12|水晶宫（Crystal Palace）|伯恩利（Burnley）</x:v>
      </x:c>
      <x:c r="B2433" t="n">
        <x:v>46065.145833333336</x:v>
      </x:c>
      <x:c r="C2433" t="str">
        <x:v>英格兰超级联赛（Premier League）</x:v>
      </x:c>
      <x:c r="D2433" t="str">
        <x:v>水晶宫（Crystal Palace）</x:v>
      </x:c>
      <x:c r="E2433" t="str">
        <x:v>伯恩利（Burnley）</x:v>
      </x:c>
      <x:c r="F2433" t="str">
        <x:v>伯恩利 +1（受让一球）@0.97</x:v>
      </x:c>
      <x:c r="G2433" t="str">
        <x:v>小 2.5 @0.95</x:v>
      </x:c>
      <x:c r="H2433" t="str">
        <x:v>可选：双方进球 否（BTTS No）@0.84（若伯恩利首发更偏防守/前场轮换）；或水晶宫 -1 @0.86（若临场伯恩利+1降到&lt;0.85才考虑换边）</x:v>
      </x:c>
      <x:c r="I2433" t="n">
        <x:v>46065.14366898148</x:v>
      </x:c>
      <x:c r="J2433" t="str">
        <x:v>已结算</x:v>
      </x:c>
      <x:c r="K2433" t="str">
        <x:v>2-3</x:v>
      </x:c>
      <x:c r="L2433" t="str">
        <x:v>赢</x:v>
      </x:c>
      <x:c r="M2433" t="str">
        <x:v>输</x:v>
      </x:c>
      <x:c r="N2433" t="n">
        <x:v>1</x:v>
      </x:c>
      <x:c r="O2433" t="n">
        <x:v>-1</x:v>
      </x:c>
      <x:c r="P2433" t="n">
        <x:f>IF(COUNT(N2433:O2433)=0,"",SUM(N2433:O2433))</x:f>
        <x:v>0</x:v>
      </x:c>
      <x:c r="Q2433"/>
      <x:c r="R2433" t="str">
        <x:v>全场比分：水晶宫 2-3 伯恩利（总进球5）。伯恩利+1赢；小2.5输。</x:v>
      </x:c>
    </x:row>
    <x:row r="2434">
      <x:c r="A2434" t="str">
        <x:f>IF(B2434="","",TEXT(B2434,"yyyy-mm-dd")&amp;"|"&amp;D2434&amp;"|"&amp;E2434)</x:f>
        <x:v>2026-02-11|河内公安（Công An Hà Nội）|淡滨尼流浪者（Tampines Rovers）</x:v>
      </x:c>
      <x:c r="B2434" t="n">
        <x:v>46064.84375</x:v>
      </x:c>
      <x:c r="C2434" t="str">
        <x:v>亚冠二级联赛（AFC Champions League Two）</x:v>
      </x:c>
      <x:c r="D2434" t="str">
        <x:v>河内公安（Công An Hà Nội）</x:v>
      </x:c>
      <x:c r="E2434" t="str">
        <x:v>淡滨尼流浪者（Tampines Rovers）</x:v>
      </x:c>
      <x:c r="F2434" t="str">
        <x:v>河内公安 -1.5（让球半）@0.92</x:v>
      </x:c>
      <x:c r="G2434" t="str">
        <x:v>小 3.5 @1.00</x:v>
      </x:c>
      <x:c r="H2434" t="str">
        <x:v>可选：河内公安 -1.75（若临场≥0.85再加，防赢2球只赢半）；或大 2.5 @0.82（若你更倾向河内公安早早破门、节奏偏快时）</x:v>
      </x:c>
      <x:c r="I2434" t="n">
        <x:v>46064.7725</x:v>
      </x:c>
      <x:c r="J2434" t="str">
        <x:v>已结算</x:v>
      </x:c>
      <x:c r="K2434" t="str">
        <x:v>0-3</x:v>
      </x:c>
      <x:c r="L2434" t="str">
        <x:v>输</x:v>
      </x:c>
      <x:c r="M2434" t="str">
        <x:v>赢</x:v>
      </x:c>
      <x:c r="N2434" t="n">
        <x:v>-1</x:v>
      </x:c>
      <x:c r="O2434" t="n">
        <x:v>1</x:v>
      </x:c>
      <x:c r="P2434" t="n">
        <x:f>IF(COUNT(N2434:O2434)=0,"",SUM(N2434:O2434))</x:f>
        <x:v>0</x:v>
      </x:c>
      <x:c r="Q2434" t="str">
        <x:v>SofaScore</x:v>
      </x:c>
      <x:c r="R2434" t="str">
        <x:v>校正赛果：河内公安（Công An Hà Nội） 0-3 淡滨尼流浪者（Tampines Rovers）；让球：河内公安 -1.5 -&gt; 输（-1）；大小：小3.5 -&gt; 赢（1）；来源：SofaScore。</x:v>
      </x:c>
    </x:row>
    <x:row r="2435">
      <x:c r="A2435" t="str">
        <x:f>IF(B2435="","",TEXT(B2435,"yyyy-mm-dd")&amp;"|"&amp;D2435&amp;"|"&amp;E2435)</x:f>
        <x:v>2026-02-11|拉查布里府（Ratchaburi）|万隆（Persib Bandung）</x:v>
      </x:c>
      <x:c r="B2435" t="n">
        <x:v>46064.84375</x:v>
      </x:c>
      <x:c r="C2435" t="str">
        <x:v>亚冠二级联赛（AFC Champions League Two）</x:v>
      </x:c>
      <x:c r="D2435" t="str">
        <x:v>拉查布里府（Ratchaburi）</x:v>
      </x:c>
      <x:c r="E2435" t="str">
        <x:v>万隆（Persib Bandung）</x:v>
      </x:c>
      <x:c r="F2435" t="str">
        <x:v>拉查布里府 +0.25（受让平/半）@0.86</x:v>
      </x:c>
      <x:c r="G2435" t="str">
        <x:v>小 2.5 @0.91</x:v>
      </x:c>
      <x:c r="H2435" t="str">
        <x:v>可选：拉查布里府 0（平手DNB）@1.23（更激进）；或若临场升到2.75且小2.75≥0.85→改小2.75</x:v>
      </x:c>
      <x:c r="I2435" t="n">
        <x:v>46064.772361111114</x:v>
      </x:c>
      <x:c r="J2435" t="str">
        <x:v>已结算</x:v>
      </x:c>
      <x:c r="K2435" t="str">
        <x:v>3-0</x:v>
      </x:c>
      <x:c r="L2435" t="str">
        <x:v>赢</x:v>
      </x:c>
      <x:c r="M2435" t="str">
        <x:v>输</x:v>
      </x:c>
      <x:c r="N2435" t="n">
        <x:v>1</x:v>
      </x:c>
      <x:c r="O2435" t="n">
        <x:v>-1</x:v>
      </x:c>
      <x:c r="P2435" t="n">
        <x:f>IF(COUNT(N2435:O2435)=0,"",SUM(N2435:O2435))</x:f>
        <x:v>0</x:v>
      </x:c>
      <x:c r="Q2435"/>
      <x:c r="R2435" t="str">
        <x:v>全场比分：拉查布里府 3-0 万隆（总进球3）。拉查布里+0.25赢；小2.5输。</x:v>
      </x:c>
    </x:row>
    <x:row r="2436">
      <x:c r="A2436" t="str">
        <x:f>IF(B2436="","",TEXT(B2436,"yyyy-mm-dd")&amp;"|"&amp;D2436&amp;"|"&amp;E2436)</x:f>
        <x:v>2026-02-11|蔚山HD（蔚山现代）（Ulsan HD）|墨尔本城（Melbourne City）</x:v>
      </x:c>
      <x:c r="B2436" t="n">
        <x:v>46064.75</x:v>
      </x:c>
      <x:c r="C2436" t="str">
        <x:v>亚冠精英</x:v>
      </x:c>
      <x:c r="D2436" t="str">
        <x:v>蔚山HD（蔚山现代）（Ulsan HD）</x:v>
      </x:c>
      <x:c r="E2436" t="str">
        <x:v>墨尔本城（Melbourne City）</x:v>
      </x:c>
      <x:c r="F2436" t="str">
        <x:v>蔚山 -0.5（让半球）@0.94</x:v>
      </x:c>
      <x:c r="G2436" t="str">
        <x:v>大 2.5 @1.00</x:v>
      </x:c>
      <x:c r="H2436" t="str">
        <x:v>可选：蔚山 -0.75（若临场≥0.85再加，防止赢球只赢半）；或双方进球 是（BTTS Yes）@0.80+（若墨尔本城首发前场齐整）</x:v>
      </x:c>
      <x:c r="I2436" t="n">
        <x:v>46064.7033912037</x:v>
      </x:c>
      <x:c r="J2436" t="str">
        <x:v>已结算</x:v>
      </x:c>
      <x:c r="K2436" t="str">
        <x:v>1-2</x:v>
      </x:c>
      <x:c r="L2436" t="str">
        <x:v>输</x:v>
      </x:c>
      <x:c r="M2436" t="str">
        <x:v>赢</x:v>
      </x:c>
      <x:c r="N2436" t="n">
        <x:v>-1</x:v>
      </x:c>
      <x:c r="O2436" t="n">
        <x:v>1</x:v>
      </x:c>
      <x:c r="P2436" t="n">
        <x:f>IF(COUNT(N2436:O2436)=0,"",SUM(N2436:O2436))</x:f>
        <x:v>0</x:v>
      </x:c>
      <x:c r="Q2436"/>
      <x:c r="R2436" t="str">
        <x:v>全场比分：蔚山HD 1-2 墨尔本城（总进球3）。蔚山-0.5输；大2.5赢。</x:v>
      </x:c>
    </x:row>
    <x:row r="2437">
      <x:c r="A2437" t="str">
        <x:f>IF(B2437="","",TEXT(B2437,"yyyy-mm-dd")&amp;"|"&amp;D2437&amp;"|"&amp;E2437)</x:f>
        <x:v>2026-02-11|江原FC（Gangwon FC）|上海海港（Shanghai Port）</x:v>
      </x:c>
      <x:c r="B2437" t="n">
        <x:v>46064.75</x:v>
      </x:c>
      <x:c r="C2437" t="str">
        <x:v>亚冠精英</x:v>
      </x:c>
      <x:c r="D2437" t="str">
        <x:v>江原FC（Gangwon FC）</x:v>
      </x:c>
      <x:c r="E2437" t="str">
        <x:v>上海海港（Shanghai Port）</x:v>
      </x:c>
      <x:c r="F2437" t="str">
        <x:v>江原FC -1（让一球；赢1走水）@0.90</x:v>
      </x:c>
      <x:c r="G2437" t="str">
        <x:v>小 2.5 @0.94</x:v>
      </x:c>
      <x:c r="H2437" t="str">
        <x:v>可选：江原FC -1.25（若临场≥0.85再加）；或上海海港 +1（若能拿到≥0.85则降风险改受让一球）</x:v>
      </x:c>
      <x:c r="I2437" t="n">
        <x:v>46064.70328703704</x:v>
      </x:c>
      <x:c r="J2437" t="str">
        <x:v>已结算</x:v>
      </x:c>
      <x:c r="K2437" t="str">
        <x:v>0-0</x:v>
      </x:c>
      <x:c r="L2437" t="str">
        <x:v>输</x:v>
      </x:c>
      <x:c r="M2437" t="str">
        <x:v>赢</x:v>
      </x:c>
      <x:c r="N2437" t="n">
        <x:v>-1</x:v>
      </x:c>
      <x:c r="O2437" t="n">
        <x:v>1</x:v>
      </x:c>
      <x:c r="P2437" t="n">
        <x:f>IF(COUNT(N2437:O2437)=0,"",SUM(N2437:O2437))</x:f>
        <x:v>0</x:v>
      </x:c>
      <x:c r="Q2437"/>
      <x:c r="R2437" t="str">
        <x:v>全场比分：江原FC 0-0 上海海港（总进球0）。江原-1输；小2.5赢。</x:v>
      </x:c>
    </x:row>
    <x:row r="2438">
      <x:c r="A2438" t="str">
        <x:f>IF(B2438="","",TEXT(B2438,"yyyy-mm-dd")&amp;"|"&amp;D2438&amp;"|"&amp;E2438)</x:f>
        <x:v>2026-02-11|老虎大学（Tigres UANL）|弗尔戈FC（Forge FC）</x:v>
      </x:c>
      <x:c r="B2438" t="n">
        <x:v>46064.458333333336</x:v>
      </x:c>
      <x:c r="C2438" t="str">
        <x:v>中北美冠军杯（CONCACAF Champions Cup）</x:v>
      </x:c>
      <x:c r="D2438" t="str">
        <x:v>老虎大学（Tigres UANL）</x:v>
      </x:c>
      <x:c r="E2438" t="str">
        <x:v>弗尔戈FC（Forge FC）</x:v>
      </x:c>
      <x:c r="F2438" t="str">
        <x:v>弗尔戈FC +2.5（受让两球半）@0.83</x:v>
      </x:c>
      <x:c r="G2438" t="str">
        <x:v>小 3/3.5（3.25）@0.83</x:v>
      </x:c>
      <x:c r="H2438" t="str">
        <x:v>可选：弗尔戈FC +2/2.5（+2.25）@1.00（回报更高）；或小 3 @1.10（若你更确定弗尔戈反击乏力/以守为主）</x:v>
      </x:c>
      <x:c r="I2438" t="n">
        <x:v>46064.459710648145</x:v>
      </x:c>
      <x:c r="J2438" t="str">
        <x:v>已结算</x:v>
      </x:c>
      <x:c r="K2438" t="str">
        <x:v>4-1</x:v>
      </x:c>
      <x:c r="L2438" t="str">
        <x:v>输</x:v>
      </x:c>
      <x:c r="M2438" t="str">
        <x:v>输</x:v>
      </x:c>
      <x:c r="N2438" t="n">
        <x:v>-1</x:v>
      </x:c>
      <x:c r="O2438" t="n">
        <x:v>-1</x:v>
      </x:c>
      <x:c r="P2438" t="n">
        <x:f>IF(COUNT(N2438:O2438)=0,"",SUM(N2438:O2438))</x:f>
        <x:v>-2</x:v>
      </x:c>
      <x:c r="Q2438"/>
      <x:c r="R2438" t="str">
        <x:v>全场比分：老虎大学 4-1弗尔戈FC（总进球1）。弗尔戈+2.5输；小3.25输。</x:v>
      </x:c>
    </x:row>
    <x:row r="2439">
      <x:c r="A2439" t="str">
        <x:f>IF(B2439="","",TEXT(B2439,"yyyy-mm-dd")&amp;"|"&amp;D2439&amp;"|"&amp;E2439)</x:f>
        <x:v>2026-02-11|蓬塔雷纳斯（Puntarenas FC）|埃雷蒂亚诺（CS Herediano）</x:v>
      </x:c>
      <x:c r="B2439" t="n">
        <x:v>46064.416666666664</x:v>
      </x:c>
      <x:c r="C2439" t="str">
        <x:v>哥斯达黎加杯（Copa Costa Rica）</x:v>
      </x:c>
      <x:c r="D2439" t="str">
        <x:v>蓬塔雷纳斯（Puntarenas FC）</x:v>
      </x:c>
      <x:c r="E2439" t="str">
        <x:v>埃雷蒂亚诺（CS Herediano）</x:v>
      </x:c>
      <x:c r="F2439" t="str">
        <x:v>埃雷蒂亚诺 -0.25（客让平/半）@1.00</x:v>
      </x:c>
      <x:c r="G2439" t="str">
        <x:v>小 2.25（2/2.5）@0.90</x:v>
      </x:c>
      <x:c r="H2439" t="str">
        <x:v>可选：埃雷蒂亚诺 0（平手DNB）若临场≥0.85再降风险；或小2.0@0.95+（若临场降盘到2.0且双方前场首发偏轮换）</x:v>
      </x:c>
      <x:c r="I2439" t="n">
        <x:v>46064.42768518518</x:v>
      </x:c>
      <x:c r="J2439" t="str">
        <x:v>已结算</x:v>
      </x:c>
      <x:c r="K2439" t="str">
        <x:v>3-0</x:v>
      </x:c>
      <x:c r="L2439" t="str">
        <x:v>输</x:v>
      </x:c>
      <x:c r="M2439" t="str">
        <x:v>输</x:v>
      </x:c>
      <x:c r="N2439" t="n">
        <x:v>-1</x:v>
      </x:c>
      <x:c r="O2439" t="n">
        <x:v>-1</x:v>
      </x:c>
      <x:c r="P2439" t="n">
        <x:f>IF(COUNT(N2439:O2439)=0,"",SUM(N2439:O2439))</x:f>
        <x:v>-2</x:v>
      </x:c>
      <x:c r="Q2439"/>
      <x:c r="R2439" t="str">
        <x:v>全场比分：蓬塔雷纳斯 3-0 埃雷蒂亚诺（总进球3）。埃雷蒂亚诺-0.25输；小2.25输。</x:v>
      </x:c>
    </x:row>
    <x:row r="2440">
      <x:c r="A2440" t="str">
        <x:f>IF(B2440="","",TEXT(B2440,"yyyy-mm-dd")&amp;"|"&amp;D2440&amp;"|"&amp;E2440)</x:f>
        <x:v>2026-02-11|布卡拉曼加（Atlético Bucaramanga）|托利马体育（Deportes Tolima）</x:v>
      </x:c>
      <x:c r="B2440" t="n">
        <x:v>46064.395833333336</x:v>
      </x:c>
      <x:c r="C2440" t="str">
        <x:v>哥伦比亚甲级联赛（Liga BetPlay DIMAYOR）</x:v>
      </x:c>
      <x:c r="D2440" t="str">
        <x:v>布卡拉曼加（Atlético Bucaramanga）</x:v>
      </x:c>
      <x:c r="E2440" t="str">
        <x:v>托利马体育（Deportes Tolima）</x:v>
      </x:c>
      <x:c r="F2440" t="str">
        <x:v>布卡拉曼加 -0.25（平/半）@1.00</x:v>
      </x:c>
      <x:c r="G2440" t="str">
        <x:v>小 2.0（2球走水）@0.98</x:v>
      </x:c>
      <x:c r="H2440" t="str">
        <x:v>可选：布卡拉曼加 0（平手DNB）@0.85+（若临场退盘）；或小2.25@0.85+（若升盘且两边首发偏保守）</x:v>
      </x:c>
      <x:c r="I2440" t="n">
        <x:v>46064.396898148145</x:v>
      </x:c>
      <x:c r="J2440" t="str">
        <x:v>已结算</x:v>
      </x:c>
      <x:c r="K2440" t="str">
        <x:v>0-0</x:v>
      </x:c>
      <x:c r="L2440" t="str">
        <x:v>输半</x:v>
      </x:c>
      <x:c r="M2440" t="str">
        <x:v>赢</x:v>
      </x:c>
      <x:c r="N2440" t="n">
        <x:v>-0.5</x:v>
      </x:c>
      <x:c r="O2440" t="n">
        <x:v>1</x:v>
      </x:c>
      <x:c r="P2440" t="n">
        <x:f>IF(COUNT(N2440:O2440)=0,"",SUM(N2440:O2440))</x:f>
        <x:v>0.5</x:v>
      </x:c>
      <x:c r="Q2440"/>
      <x:c r="R2440" t="str">
        <x:v>全场比分：布卡拉曼加 0-0 托利马体育（总进球0）。布卡拉曼加-0.25输半；小2.0赢。</x:v>
      </x:c>
    </x:row>
    <x:row r="2441">
      <x:c r="A2441" t="str">
        <x:f>IF(B2441="","",TEXT(B2441,"yyyy-mm-dd")&amp;"|"&amp;D2441&amp;"|"&amp;E2441)</x:f>
        <x:v>2026-02-11|美洲狮（Pumas UNAM）|圣地亚哥FC（San Diego FC）</x:v>
      </x:c>
      <x:c r="B2441" t="n">
        <x:v>46064.375</x:v>
      </x:c>
      <x:c r="C2441" t="str">
        <x:v>中北美冠军杯（CONCACAF Champions Cup）</x:v>
      </x:c>
      <x:c r="D2441" t="str">
        <x:v>美洲狮（Pumas UNAM）</x:v>
      </x:c>
      <x:c r="E2441" t="str">
        <x:v>圣地亚哥FC（San Diego FC）</x:v>
      </x:c>
      <x:c r="F2441" t="str">
        <x:v>美洲狮（Pumas UNAM）-0.75（半/一）@1.95</x:v>
      </x:c>
      <x:c r="G2441" t="str">
        <x:v>小 3.0 @1.88</x:v>
      </x:c>
      <x:c r="H2441" t="str">
        <x:v>小注加仓：美洲狮 -1.25 @2.50；更激进大小：小2.5 @2.35</x:v>
      </x:c>
      <x:c r="I2441" t="n">
        <x:v>46064.37819444444</x:v>
      </x:c>
      <x:c r="J2441" t="str">
        <x:v>已结算</x:v>
      </x:c>
      <x:c r="K2441" t="str">
        <x:v>1-0</x:v>
      </x:c>
      <x:c r="L2441" t="str">
        <x:v>赢半</x:v>
      </x:c>
      <x:c r="M2441" t="str">
        <x:v>赢</x:v>
      </x:c>
      <x:c r="N2441" t="n">
        <x:v>0.5</x:v>
      </x:c>
      <x:c r="O2441" t="n">
        <x:v>1</x:v>
      </x:c>
      <x:c r="P2441" t="n">
        <x:f>IF(COUNT(N2441:O2441)=0,"",SUM(N2441:O2441))</x:f>
        <x:v>1.5</x:v>
      </x:c>
      <x:c r="Q2441"/>
      <x:c r="R2441" t="str">
        <x:v>全场比分：美洲狮 1-0 圣地亚哥FC（总进球1）。美洲狮-0.75赢半；小3.0赢。</x:v>
      </x:c>
    </x:row>
    <x:row r="2442">
      <x:c r="A2442" t="str">
        <x:f>IF(B2442="","",TEXT(B2442,"yyyy-mm-dd")&amp;"|"&amp;D2442&amp;"|"&amp;E2442)</x:f>
        <x:v>2026-02-11|维多利亚（EC Vitória）|弗拉门戈（CR Flamengo）</x:v>
      </x:c>
      <x:c r="B2442" t="n">
        <x:v>46064.354166666664</x:v>
      </x:c>
      <x:c r="C2442" t="str">
        <x:v>巴西甲（Serie A）</x:v>
      </x:c>
      <x:c r="D2442" t="str">
        <x:v>维多利亚（EC Vitória）</x:v>
      </x:c>
      <x:c r="E2442" t="str">
        <x:v>弗拉门戈（CR Flamengo）</x:v>
      </x:c>
      <x:c r="F2442" t="str">
        <x:v>维多利亚 +0.75（受让半/一）@1.92</x:v>
      </x:c>
      <x:c r="G2442" t="str">
        <x:v>小 2.5 @2.03</x:v>
      </x:c>
      <x:c r="H2442" t="str">
        <x:v>小注：平局 @3.80。临场分歧：若+0.75被压到&lt;1.80→优先找维多利亚+1.0且≥1.80降风险；若退到+0.5但给到≥2.05→可小跟（不加仓）。大小球：若小2.5跌到&lt;1.80→改小2.75（能拿到≥1.85更佳）；若升盘到3.0且小3.0≥1.85→改小3.0。</x:v>
      </x:c>
      <x:c r="I2442" t="n">
        <x:v>46064.33987268519</x:v>
      </x:c>
      <x:c r="J2442" t="str">
        <x:v>已结算</x:v>
      </x:c>
      <x:c r="K2442" t="str">
        <x:v>1-2</x:v>
      </x:c>
      <x:c r="L2442" t="str">
        <x:v>输半</x:v>
      </x:c>
      <x:c r="M2442" t="str">
        <x:v>输</x:v>
      </x:c>
      <x:c r="N2442" t="n">
        <x:v>-0.5</x:v>
      </x:c>
      <x:c r="O2442" t="n">
        <x:v>-1</x:v>
      </x:c>
      <x:c r="P2442" t="n">
        <x:f>IF(COUNT(N2442:O2442)=0,"",SUM(N2442:O2442))</x:f>
        <x:v>-1.5</x:v>
      </x:c>
      <x:c r="Q2442"/>
      <x:c r="R2442" t="str">
        <x:v>全场比分：维多利亚 1-2 弗拉门戈（总进球3）。维多利亚+0.75输半；小2.5输。</x:v>
      </x:c>
    </x:row>
    <x:row r="2443">
      <x:c r="A2443" t="str">
        <x:f>IF(B2443="","",TEXT(B2443,"yyyy-mm-dd")&amp;"|"&amp;D2443&amp;"|"&amp;E2443)</x:f>
        <x:v>2026-02-11|梅里达（Venados FC）|坎昆FC（Cancún FC）</x:v>
      </x:c>
      <x:c r="B2443" t="n">
        <x:v>46064.333333333336</x:v>
      </x:c>
      <x:c r="C2443" t="str">
        <x:v>墨西哥甲级扩展联赛（Liga de Expansión MX）</x:v>
      </x:c>
      <x:c r="D2443" t="str">
        <x:v>梅里达（Venados FC）</x:v>
      </x:c>
      <x:c r="E2443" t="str">
        <x:v>坎昆FC（Cancún FC）</x:v>
      </x:c>
      <x:c r="F2443" t="str">
        <x:v>梅里达 -0.25（平/半）@2.05（Bet365）</x:v>
      </x:c>
      <x:c r="G2443" t="str">
        <x:v>小 2.5 @2.06</x:v>
      </x:c>
      <x:c r="H2443" t="str">
        <x:v>可选：双方进球 否（BTTS No）@2.15（小注对冲）</x:v>
      </x:c>
      <x:c r="I2443" t="n">
        <x:v>46064.35071759259</x:v>
      </x:c>
      <x:c r="J2443" t="str">
        <x:v>已结算</x:v>
      </x:c>
      <x:c r="K2443" t="str">
        <x:v>2-0</x:v>
      </x:c>
      <x:c r="L2443" t="str">
        <x:v>赢</x:v>
      </x:c>
      <x:c r="M2443" t="str">
        <x:v>赢</x:v>
      </x:c>
      <x:c r="N2443" t="n">
        <x:v>1</x:v>
      </x:c>
      <x:c r="O2443" t="n">
        <x:v>1</x:v>
      </x:c>
      <x:c r="P2443" t="n">
        <x:f>IF(COUNT(N2443:O2443)=0,"",SUM(N2443:O2443))</x:f>
        <x:v>2</x:v>
      </x:c>
      <x:c r="Q2443"/>
      <x:c r="R2443" t="str">
        <x:v>全场比分：梅里达 2-0 坎昆FC（总进球2）。梅里达-0.25输半；小2.5赢</x:v>
      </x:c>
    </x:row>
    <x:row r="2444">
      <x:c r="A2444" t="str">
        <x:f>IF(B2444="","",TEXT(B2444,"yyyy-mm-dd")&amp;"|"&amp;D2444&amp;"|"&amp;E2444)</x:f>
        <x:v>2026-02-11|拉尼罗斯（Llaneros FC）|帕斯度（Deportivo Pasto）</x:v>
      </x:c>
      <x:c r="B2444" t="n">
        <x:v>46064.305555555555</x:v>
      </x:c>
      <x:c r="C2444" t="str">
        <x:v>哥伦比亚甲级联赛（Liga BetPlay DIMAYOR）</x:v>
      </x:c>
      <x:c r="D2444" t="str">
        <x:v>拉尼罗斯（Llaneros FC）</x:v>
      </x:c>
      <x:c r="E2444" t="str">
        <x:v>帕斯度（Deportivo Pasto）</x:v>
      </x:c>
      <x:c r="F2444" t="str">
        <x:v>帕斯度 +0.25（受让平/半） @2.07</x:v>
      </x:c>
      <x:c r="G2444" t="str">
        <x:v>小 2.0（2球） @1.90</x:v>
      </x:c>
      <x:c r="H2444" t="str">
        <x:v>水位目标≥0.80的临场处理：①若主让稳定在拉尼罗斯-0.5，且帕斯度+0.5仍≥1.85→可改+0.5更稳（主胜1球也赢）；②若盘口退到平手0且帕斯度DNB(0)≥1.95→改帕斯度0；③若反向升到拉尼罗斯-0.75且拉尼罗斯-0.75≥1.90→小注对冲主-0.75。大小球：若主线升到2.25且小2.25≥1.85→改小2.25；若降到1.75且小1.75&lt;1.80→减仓或只留让球。比分带：0-0/1-0/1-1。</x:v>
      </x:c>
      <x:c r="I2444" t="n">
        <x:v>46064.30019675926</x:v>
      </x:c>
      <x:c r="J2444" t="str">
        <x:v>已结算</x:v>
      </x:c>
      <x:c r="K2444" t="str">
        <x:v>0-1</x:v>
      </x:c>
      <x:c r="L2444" t="str">
        <x:v>赢</x:v>
      </x:c>
      <x:c r="M2444" t="str">
        <x:v>赢</x:v>
      </x:c>
      <x:c r="N2444" t="n">
        <x:v>1</x:v>
      </x:c>
      <x:c r="O2444" t="n">
        <x:v>1</x:v>
      </x:c>
      <x:c r="P2444" t="n">
        <x:f>IF(COUNT(N2444:O2444)=0,"",SUM(N2444:O2444))</x:f>
        <x:v>2</x:v>
      </x:c>
      <x:c r="Q2444"/>
      <x:c r="R2444" t="str">
        <x:v>全场比分：拉尼罗斯 0-1 帕斯度（总进球1）。帕斯度+0.25赢；小2.0赢。</x:v>
      </x:c>
    </x:row>
    <x:row r="2445">
      <x:c r="A2445" t="str">
        <x:f>IF(B2445="","",TEXT(B2445,"yyyy-mm-dd")&amp;"|"&amp;D2445&amp;"|"&amp;E2445)</x:f>
        <x:v>2026-02-11|伯明翰城（Birmingham City）|西布罗姆维奇（West Bromwich Albion）</x:v>
      </x:c>
      <x:c r="B2445" t="n">
        <x:v>46064.166666666664</x:v>
      </x:c>
      <x:c r="C2445" t="str">
        <x:v>英格兰冠军联赛（英冠）</x:v>
      </x:c>
      <x:c r="D2445" t="str">
        <x:v>伯明翰城（Birmingham City）</x:v>
      </x:c>
      <x:c r="E2445" t="str">
        <x:v>西布罗姆维奇（West Bromwich Albion）</x:v>
      </x:c>
      <x:c r="F2445" t="str">
        <x:v>西布罗姆维奇 +0.5（受让半球）@0.98</x:v>
      </x:c>
      <x:c r="G2445" t="str">
        <x:v>小 2.5 @0.85</x:v>
      </x:c>
      <x:c r="H2445" t="str">
        <x:v>可选：西布罗姆维奇 +0.75（受让半/一）若临场≥0.85；或“双方进球：否”@0.85（若两队中锋/边锋有轮换）</x:v>
      </x:c>
      <x:c r="I2445" t="n">
        <x:v>46063.989386574074</x:v>
      </x:c>
      <x:c r="J2445" t="str">
        <x:v>已结算</x:v>
      </x:c>
      <x:c r="K2445" t="str">
        <x:v>0-0</x:v>
      </x:c>
      <x:c r="L2445" t="str">
        <x:v>赢</x:v>
      </x:c>
      <x:c r="M2445" t="str">
        <x:v>赢</x:v>
      </x:c>
      <x:c r="N2445" t="n">
        <x:v>1</x:v>
      </x:c>
      <x:c r="O2445" t="n">
        <x:v>1</x:v>
      </x:c>
      <x:c r="P2445" t="n">
        <x:f>IF(COUNT(N2445:O2445)=0,"",SUM(N2445:O2445))</x:f>
        <x:v>2</x:v>
      </x:c>
      <x:c r="Q2445"/>
      <x:c r="R2445" t="str">
        <x:v>全场比分：伯明翰城 0-0 西布罗姆维奇（总进球0）。西布罗姆+0.5赢；小2.5赢。</x:v>
      </x:c>
    </x:row>
    <x:row r="2446">
      <x:c r="A2446" t="str">
        <x:f>IF(B2446="","",TEXT(B2446,"yyyy-mm-dd")&amp;"|"&amp;D2446&amp;"|"&amp;E2446)</x:f>
        <x:v>2026-02-11|牛津联（Oxford United）|诺维奇城（Norwich City）</x:v>
      </x:c>
      <x:c r="B2446" t="n">
        <x:v>46064.15625</x:v>
      </x:c>
      <x:c r="C2446" t="str">
        <x:v>英格兰冠军联赛（英冠）</x:v>
      </x:c>
      <x:c r="D2446" t="str">
        <x:v>牛津联（Oxford United）</x:v>
      </x:c>
      <x:c r="E2446" t="str">
        <x:v>诺维奇城（Norwich City）</x:v>
      </x:c>
      <x:c r="F2446" t="str">
        <x:v>诺维奇城 -0.25（让平/半）@0.98</x:v>
      </x:c>
      <x:c r="G2446" t="str">
        <x:v>小 2.5 @0.85</x:v>
      </x:c>
      <x:c r="H2446" t="str">
        <x:v>可选：诺维奇城 -0.5（若临场≥0.85再考虑）；或上半场小1（若≥0.85且前15分钟射正少/节奏慢）</x:v>
      </x:c>
      <x:c r="I2446" t="n">
        <x:v>46063.98923611111</x:v>
      </x:c>
      <x:c r="J2446" t="str">
        <x:v>已结算</x:v>
      </x:c>
      <x:c r="K2446" t="str">
        <x:v>0-3</x:v>
      </x:c>
      <x:c r="L2446" t="str">
        <x:v>赢</x:v>
      </x:c>
      <x:c r="M2446" t="str">
        <x:v>输</x:v>
      </x:c>
      <x:c r="N2446" t="n">
        <x:v>1</x:v>
      </x:c>
      <x:c r="O2446" t="n">
        <x:v>-1</x:v>
      </x:c>
      <x:c r="P2446" t="n">
        <x:f>IF(COUNT(N2446:O2446)=0,"",SUM(N2446:O2446))</x:f>
        <x:v>0</x:v>
      </x:c>
      <x:c r="Q2446"/>
      <x:c r="R2446" t="str">
        <x:v>全场比分：牛津联 0-3 诺维奇城（总进球3）。诺维奇-0.25赢；小2.5失利。</x:v>
      </x:c>
    </x:row>
    <x:row r="2447">
      <x:c r="A2447" t="str">
        <x:f>IF(B2447="","",TEXT(B2447,"yyyy-mm-dd")&amp;"|"&amp;D2447&amp;"|"&amp;E2447)</x:f>
        <x:v>2026-02-11|莱斯特城（Leicester City）|南安普顿（Southampton）</x:v>
      </x:c>
      <x:c r="B2447" t="n">
        <x:v>46064.15625</x:v>
      </x:c>
      <x:c r="C2447" t="str">
        <x:v>英格兰冠军联赛（英冠）</x:v>
      </x:c>
      <x:c r="D2447" t="str">
        <x:v>莱斯特城（Leicester City）</x:v>
      </x:c>
      <x:c r="E2447" t="str">
        <x:v>南安普顿（Southampton）</x:v>
      </x:c>
      <x:c r="F2447" t="str">
        <x:v>莱斯特城 +0.25（受让平/半）@0.84</x:v>
      </x:c>
      <x:c r="G2447" t="str">
        <x:v>小 2.5 @0.98</x:v>
      </x:c>
      <x:c r="H2447" t="str">
        <x:v>可选：莱斯特城 0（平手DNB）@1.15（更稳但收益降）</x:v>
      </x:c>
      <x:c r="I2447" t="n">
        <x:v>46063.98908564815</x:v>
      </x:c>
      <x:c r="J2447" t="str">
        <x:v>已结算</x:v>
      </x:c>
      <x:c r="K2447" t="str">
        <x:v>3-4</x:v>
      </x:c>
      <x:c r="L2447" t="str">
        <x:v>输</x:v>
      </x:c>
      <x:c r="M2447" t="str">
        <x:v>输</x:v>
      </x:c>
      <x:c r="N2447" t="n">
        <x:v>-1</x:v>
      </x:c>
      <x:c r="O2447" t="n">
        <x:v>-1</x:v>
      </x:c>
      <x:c r="P2447" t="n">
        <x:f>IF(COUNT(N2447:O2447)=0,"",SUM(N2447:O2447))</x:f>
        <x:v>-2</x:v>
      </x:c>
      <x:c r="Q2447"/>
      <x:c r="R2447" t="str">
        <x:v>全场比分：莱斯特城 3-4 南安普顿（总进球7）。莱斯特+0.25失利；小2.5失利。</x:v>
      </x:c>
    </x:row>
    <x:row r="2448">
      <x:c r="A2448" t="str">
        <x:f>IF(B2448="","",TEXT(B2448,"yyyy-mm-dd")&amp;"|"&amp;D2448&amp;"|"&amp;E2448)</x:f>
        <x:v>2026-02-11|西汉姆联（West Ham United）|曼联（Manchester United）</x:v>
      </x:c>
      <x:c r="B2448" t="n">
        <x:v>46064.145833333336</x:v>
      </x:c>
      <x:c r="C2448" t="str">
        <x:v>英格兰超级联赛（Premier League）</x:v>
      </x:c>
      <x:c r="D2448" t="str">
        <x:v>西汉姆联（West Ham United）</x:v>
      </x:c>
      <x:c r="E2448" t="str">
        <x:v>曼联（Manchester United）</x:v>
      </x:c>
      <x:c r="F2448" t="str">
        <x:v>西汉姆联 +0.5（受让半球）@0.92</x:v>
      </x:c>
      <x:c r="G2448" t="str">
        <x:v>小 2.5 @2.45</x:v>
      </x:c>
      <x:c r="H2448" t="str">
        <x:v>可选：西汉姆联 +0.75（受让半/一）若临场≥0.85；或“曼联进球数小于1.5”@1.05（若曼联锋线轮换）</x:v>
      </x:c>
      <x:c r="I2448" t="n">
        <x:v>46063.96465277778</x:v>
      </x:c>
      <x:c r="J2448" t="str">
        <x:v>已结算</x:v>
      </x:c>
      <x:c r="K2448" t="str">
        <x:v>1-1</x:v>
      </x:c>
      <x:c r="L2448" t="str">
        <x:v>赢</x:v>
      </x:c>
      <x:c r="M2448" t="str">
        <x:v>赢</x:v>
      </x:c>
      <x:c r="N2448" t="n">
        <x:v>1</x:v>
      </x:c>
      <x:c r="O2448" t="n">
        <x:v>1</x:v>
      </x:c>
      <x:c r="P2448" t="n">
        <x:f>IF(COUNT(N2448:O2448)=0,"",SUM(N2448:O2448))</x:f>
        <x:v>2</x:v>
      </x:c>
      <x:c r="Q2448"/>
      <x:c r="R2448" t="str">
        <x:v>全场比分：西汉姆联 1-1 曼联（总进球2）。西汉姆+0.5赢；小2.5赢。</x:v>
      </x:c>
    </x:row>
    <x:row r="2449">
      <x:c r="A2449" t="str">
        <x:f>IF(B2449="","",TEXT(B2449,"yyyy-mm-dd")&amp;"|"&amp;D2449&amp;"|"&amp;E2449)</x:f>
        <x:v>2026-02-11|切尔西（Chelsea）|利兹联（Leeds United）</x:v>
      </x:c>
      <x:c r="B2449" t="n">
        <x:v>46064.145833333336</x:v>
      </x:c>
      <x:c r="C2449" t="str">
        <x:v>英格兰超级联赛（Premier League）</x:v>
      </x:c>
      <x:c r="D2449" t="str">
        <x:v>切尔西（Chelsea）</x:v>
      </x:c>
      <x:c r="E2449" t="str">
        <x:v>利兹联（Leeds United）</x:v>
      </x:c>
      <x:c r="F2449" t="str">
        <x:v>利兹联 +1.0（受让一球）@0.88</x:v>
      </x:c>
      <x:c r="G2449" t="str">
        <x:v>大 2.75（2.5/3）@0.84</x:v>
      </x:c>
      <x:c r="H2449" t="str">
        <x:v>可选：利兹联 +1/1.5（+1.25）若临场≥0.85；或“双方进球：是”@0.95（首发两边边锋/中锋都在时）</x:v>
      </x:c>
      <x:c r="I2449" t="n">
        <x:v>46063.964479166665</x:v>
      </x:c>
      <x:c r="J2449" t="str">
        <x:v>已结算</x:v>
      </x:c>
      <x:c r="K2449" t="str">
        <x:v>2-2</x:v>
      </x:c>
      <x:c r="L2449" t="str">
        <x:v>赢</x:v>
      </x:c>
      <x:c r="M2449" t="str">
        <x:v>赢</x:v>
      </x:c>
      <x:c r="N2449" t="n">
        <x:v>1</x:v>
      </x:c>
      <x:c r="O2449" t="n">
        <x:v>1</x:v>
      </x:c>
      <x:c r="P2449" t="n">
        <x:f>IF(COUNT(N2449:O2449)=0,"",SUM(N2449:O2449))</x:f>
        <x:v>2</x:v>
      </x:c>
      <x:c r="Q2449" t="str">
        <x:v>SofaScore</x:v>
      </x:c>
      <x:c r="R2449" t="str">
        <x:v>校正赛果：切尔西（Chelsea） 2-2 利兹联（Leeds United）；让球：利兹联 +1.0 -&gt; 赢（1）；大小：大2.75 -&gt; 赢（1）；来源：SofaScore。</x:v>
      </x:c>
    </x:row>
    <x:row r="2450">
      <x:c r="A2450" t="str">
        <x:f>IF(B2450="","",TEXT(B2450,"yyyy-mm-dd")&amp;"|"&amp;D2450&amp;"|"&amp;E2450)</x:f>
        <x:v>2026-02-11|托特纳姆热刺（Tottenham Hotspur）|纽卡斯尔联（Newcastle United）</x:v>
      </x:c>
      <x:c r="B2450" t="n">
        <x:v>46064.145833333336</x:v>
      </x:c>
      <x:c r="C2450" t="str">
        <x:v>英格兰超级联赛（Premier League）</x:v>
      </x:c>
      <x:c r="D2450" t="str">
        <x:v>托特纳姆热刺（Tottenham Hotspur）</x:v>
      </x:c>
      <x:c r="E2450" t="str">
        <x:v>纽卡斯尔联（Newcastle United）</x:v>
      </x:c>
      <x:c r="F2450" t="str">
        <x:v>热刺 +0.25（受让平/半）@0.90</x:v>
      </x:c>
      <x:c r="G2450" t="str">
        <x:v>小 2.5 @1.00</x:v>
      </x:c>
      <x:c r="H2450" t="str">
        <x:v>可选：热刺 0（平手）若临场≥0.85；或下半场小1.25（若上半场对抗强、射正少时交易）</x:v>
      </x:c>
      <x:c r="I2450" t="n">
        <x:v>46063.96431712963</x:v>
      </x:c>
      <x:c r="J2450" t="str">
        <x:v>已结算</x:v>
      </x:c>
      <x:c r="K2450" t="str">
        <x:v>1-2</x:v>
      </x:c>
      <x:c r="L2450" t="str">
        <x:v>输</x:v>
      </x:c>
      <x:c r="M2450" t="str">
        <x:v>输</x:v>
      </x:c>
      <x:c r="N2450" t="n">
        <x:v>-1</x:v>
      </x:c>
      <x:c r="O2450" t="n">
        <x:v>-1</x:v>
      </x:c>
      <x:c r="P2450" t="n">
        <x:f>IF(COUNT(N2450:O2450)=0,"",SUM(N2450:O2450))</x:f>
        <x:v>-2</x:v>
      </x:c>
      <x:c r="Q2450"/>
      <x:c r="R2450" t="str">
        <x:v>全场比分：热刺 1-2 纽卡斯尔联（总进球3）。热刺+0.25失利；小2.5失利。</x:v>
      </x:c>
    </x:row>
    <x:row r="2451">
      <x:c r="A2451" t="str">
        <x:f>IF(B2451="","",TEXT(B2451,"yyyy-mm-dd")&amp;"|"&amp;D2451&amp;"|"&amp;E2451)</x:f>
        <x:v>2026-02-11|埃弗顿（Everton）|伯恩茅斯（AFC Bournemouth）</x:v>
      </x:c>
      <x:c r="B2451" t="n">
        <x:v>46064.145833333336</x:v>
      </x:c>
      <x:c r="C2451" t="str">
        <x:v>英格兰超级联赛（Premier League）</x:v>
      </x:c>
      <x:c r="D2451" t="str">
        <x:v>埃弗顿（Everton）</x:v>
      </x:c>
      <x:c r="E2451" t="str">
        <x:v>伯恩茅斯（AFC Bournemouth）</x:v>
      </x:c>
      <x:c r="F2451" t="str">
        <x:v>伯恩茅斯 0（平手，平局走水）@1.00</x:v>
      </x:c>
      <x:c r="G2451" t="str">
        <x:v>小 2.5 @0.90</x:v>
      </x:c>
      <x:c r="H2451" t="str">
        <x:v>可选：伯恩茅斯 +0/0.5（+0.25）若临场水位≥0.85再补；或“双方进球：否”@1.15（若首发偏保守/中前场主力缺席）</x:v>
      </x:c>
      <x:c r="I2451" t="n">
        <x:v>46063.96418981482</x:v>
      </x:c>
      <x:c r="J2451" t="str">
        <x:v>已结算</x:v>
      </x:c>
      <x:c r="K2451" t="str">
        <x:v>1-2</x:v>
      </x:c>
      <x:c r="L2451" t="str">
        <x:v>赢</x:v>
      </x:c>
      <x:c r="M2451" t="str">
        <x:v>输</x:v>
      </x:c>
      <x:c r="N2451" t="n">
        <x:v>1</x:v>
      </x:c>
      <x:c r="O2451" t="n">
        <x:v>-1</x:v>
      </x:c>
      <x:c r="P2451" t="n">
        <x:f>IF(COUNT(N2451:O2451)=0,"",SUM(N2451:O2451))</x:f>
        <x:v>0</x:v>
      </x:c>
      <x:c r="Q2451"/>
      <x:c r="R2451" t="str">
        <x:v>全场比分：埃弗顿 1-2 伯恩茅斯（总进球3）。伯恩茅斯0赢；小2.5失利。</x:v>
      </x:c>
    </x:row>
    <x:row r="2452">
      <x:c r="A2452" t="str">
        <x:f>IF(B2452="","",TEXT(B2452,"yyyy-mm-dd")&amp;"|"&amp;D2452&amp;"|"&amp;E2452)</x:f>
        <x:v>2026-02-10|成都蓉城（Chengdu Rongcheng）|武里南联（Buriram United）</x:v>
      </x:c>
      <x:c r="B2452" t="n">
        <x:v>46063.84375</x:v>
      </x:c>
      <x:c r="C2452" t="str">
        <x:v>亚冠精英</x:v>
      </x:c>
      <x:c r="D2452" t="str">
        <x:v>成都蓉城（Chengdu Rongcheng）</x:v>
      </x:c>
      <x:c r="E2452" t="str">
        <x:v>武里南联（Buriram United）</x:v>
      </x:c>
      <x:c r="F2452" t="str">
        <x:v>武里南联 0（平手，平局走水）@0.88</x:v>
      </x:c>
      <x:c r="G2452" t="str">
        <x:v>小 2.5 @0.95</x:v>
      </x:c>
      <x:c r="H2452" t="str">
        <x:v>可选：上半场 小1.0 @0.98（前15分钟节奏慢/对抗多、禁区内高质量机会少时加仓）；或武里南联 -0.25（若临场≥0.85）</x:v>
      </x:c>
      <x:c r="I2452" t="n">
        <x:v>46063.84914351852</x:v>
      </x:c>
      <x:c r="J2452" t="str">
        <x:v>已结算</x:v>
      </x:c>
      <x:c r="K2452" t="str">
        <x:v>0-1</x:v>
      </x:c>
      <x:c r="L2452" t="str">
        <x:v>赢</x:v>
      </x:c>
      <x:c r="M2452" t="str">
        <x:v>赢</x:v>
      </x:c>
      <x:c r="N2452" t="n">
        <x:v>1</x:v>
      </x:c>
      <x:c r="O2452" t="n">
        <x:v>1</x:v>
      </x:c>
      <x:c r="P2452" t="n">
        <x:f>IF(COUNT(N2452:O2452)=0,"",SUM(N2452:O2452))</x:f>
        <x:v>2</x:v>
      </x:c>
      <x:c r="Q2452"/>
      <x:c r="R2452" t="str">
        <x:v>全场比分：成都蓉城 0-1 武里南联（总进球1）。武里南0赢；小2.5赢。</x:v>
      </x:c>
    </x:row>
    <x:row r="2453">
      <x:c r="A2453" t="str">
        <x:f>IF(B2453="","",TEXT(B2453,"yyyy-mm-dd")&amp;"|"&amp;D2453&amp;"|"&amp;E2453)</x:f>
        <x:v>2026-02-10|上海申花（Shanghai Shenhua）|町田泽维亚（FC Machida Zelvia）</x:v>
      </x:c>
      <x:c r="B2453" t="n">
        <x:v>46063.84375</x:v>
      </x:c>
      <x:c r="C2453" t="str">
        <x:v>亚冠精英</x:v>
      </x:c>
      <x:c r="D2453" t="str">
        <x:v>上海申花（Shanghai Shenhua）</x:v>
      </x:c>
      <x:c r="E2453" t="str">
        <x:v>町田泽维亚（FC Machida Zelvia）</x:v>
      </x:c>
      <x:c r="F2453" t="str">
        <x:v>町田泽维亚 -0.5（客让半球）@0.90</x:v>
      </x:c>
      <x:c r="G2453" t="str">
        <x:v>小 2.75（2.5/3）@0.91</x:v>
      </x:c>
      <x:c r="H2453" t="str">
        <x:v>可选：町田 0（平手，若临场水位≥0.85）；或上半场小1（若≥0.85，且前15分钟节奏偏慢/无高质量机会时加仓）</x:v>
      </x:c>
      <x:c r="I2453" t="n">
        <x:v>46063.84008101852</x:v>
      </x:c>
      <x:c r="J2453" t="str">
        <x:v>已结算</x:v>
      </x:c>
      <x:c r="K2453" t="str">
        <x:v>0-2</x:v>
      </x:c>
      <x:c r="L2453" t="str">
        <x:v>赢</x:v>
      </x:c>
      <x:c r="M2453" t="str">
        <x:v>赢</x:v>
      </x:c>
      <x:c r="N2453" t="n">
        <x:v>1</x:v>
      </x:c>
      <x:c r="O2453" t="n">
        <x:v>1</x:v>
      </x:c>
      <x:c r="P2453" t="n">
        <x:f>IF(COUNT(N2453:O2453)=0,"",SUM(N2453:O2453))</x:f>
        <x:v>2</x:v>
      </x:c>
      <x:c r="Q2453"/>
      <x:c r="R2453" t="str">
        <x:v>全场比分：上海申花 0-2 町田泽维亚（总进球2）。町田-0.5赢；小2.75赢。</x:v>
      </x:c>
    </x:row>
    <x:row r="2454">
      <x:c r="A2454" t="str">
        <x:f>IF(B2454="","",TEXT(B2454,"yyyy-mm-dd")&amp;"|"&amp;D2454&amp;"|"&amp;E2454)</x:f>
        <x:v>2026-02-10|广岛三箭（Sanfrecce Hiroshima）|柔佛新山（Johor Darul Ta'zim）</x:v>
      </x:c>
      <x:c r="B2454" t="n">
        <x:v>46063.75</x:v>
      </x:c>
      <x:c r="C2454" t="str">
        <x:v>亚冠精英</x:v>
      </x:c>
      <x:c r="D2454" t="str">
        <x:v>广岛三箭（Sanfrecce Hiroshima）</x:v>
      </x:c>
      <x:c r="E2454" t="str">
        <x:v>柔佛新山（Johor Darul Ta'zim）</x:v>
      </x:c>
      <x:c r="F2454" t="str">
        <x:v>广岛三箭 -0.75（半/一）@0.83</x:v>
      </x:c>
      <x:c r="G2454" t="str">
        <x:v>小 2.5 @0.90</x:v>
      </x:c>
      <x:c r="H2454" t="str">
        <x:v>可选：广岛三箭 -1（赢1走水，若临场≥0.85）；或小2.75（若≥0.85）</x:v>
      </x:c>
      <x:c r="I2454" t="n">
        <x:v>46063.68715277778</x:v>
      </x:c>
      <x:c r="J2454" t="str">
        <x:v>已结算</x:v>
      </x:c>
      <x:c r="K2454" t="str">
        <x:v>2-1</x:v>
      </x:c>
      <x:c r="L2454" t="str">
        <x:v>赢半</x:v>
      </x:c>
      <x:c r="M2454" t="str">
        <x:v>输</x:v>
      </x:c>
      <x:c r="N2454" t="n">
        <x:v>0.5</x:v>
      </x:c>
      <x:c r="O2454" t="n">
        <x:v>-1</x:v>
      </x:c>
      <x:c r="P2454" t="n">
        <x:f>IF(COUNT(N2454:O2454)=0,"",SUM(N2454:O2454))</x:f>
        <x:v>-0.5</x:v>
      </x:c>
      <x:c r="Q2454" t="str">
        <x:v>SofaScore</x:v>
      </x:c>
      <x:c r="R2454" t="str">
        <x:v>校正赛果：广岛三箭（Sanfrecce Hiroshima） 2-1 柔佛新山（Johor Darul Ta'zim）；让球：广岛三箭 -0.75 -&gt; 赢半（0.5）；大小：小2.5 -&gt; 输（-1）；来源：SofaScore。</x:v>
      </x:c>
    </x:row>
    <x:row r="2455">
      <x:c r="A2455" t="str">
        <x:f>IF(B2455="","",TEXT(B2455,"yyyy-mm-dd")&amp;"|"&amp;D2455&amp;"|"&amp;E2455)</x:f>
        <x:v>2026-02-10|里奥夸尔托学生队（Estudiantes de Río Cuarto）|门多萨独立（Independiente Rivadavia）</x:v>
      </x:c>
      <x:c r="B2455" t="n">
        <x:v>46063.270833333336</x:v>
      </x:c>
      <x:c r="C2455" t="str">
        <x:v>阿根廷职业联赛（Liga Profesional·Apertura）</x:v>
      </x:c>
      <x:c r="D2455" t="str">
        <x:v>里奥夸尔托学生队（Estudiantes de Río Cuarto）</x:v>
      </x:c>
      <x:c r="E2455" t="str">
        <x:v>门多萨独立（Independiente Rivadavia）</x:v>
      </x:c>
      <x:c r="F2455" t="str">
        <x:v>门多萨独立 -0.25（客让平/半；参考≈1.90，水位≈0.90）</x:v>
      </x:c>
      <x:c r="G2455" t="str">
        <x:v>小 1.75（1.5/2；参考≈1.82-1.90，水位≥0.82）</x:v>
      </x:c>
      <x:c r="H2455" t="str">
        <x:v>客胜 门多萨独立（参考≈2.45，水位≈1.45）</x:v>
      </x:c>
      <x:c r="I2455" t="n">
        <x:v>46063.362175925926</x:v>
      </x:c>
      <x:c r="J2455" t="str">
        <x:v>已结算</x:v>
      </x:c>
      <x:c r="K2455"/>
      <x:c r="L2455" t="str">
        <x:v>赢</x:v>
      </x:c>
      <x:c r="M2455" t="str">
        <x:v>赢</x:v>
      </x:c>
      <x:c r="N2455" t="n">
        <x:v>1</x:v>
      </x:c>
      <x:c r="O2455" t="n">
        <x:v>1</x:v>
      </x:c>
      <x:c r="P2455" t="n">
        <x:f>IF(COUNT(N2455:O2455)=0,"",SUM(N2455:O2455))</x:f>
        <x:v>2</x:v>
      </x:c>
      <x:c r="Q2455"/>
      <x:c r="R2455" t="str">
        <x:v>完赛：里奥夸尔托学生队0-1门多萨独立（总进球1；69'乌龙）。让球：门多萨独立-0.25赢；大小：小1.75赢；可选客胜命中。</x:v>
      </x:c>
    </x:row>
    <x:row r="2456">
      <x:c r="A2456" t="str">
        <x:f>IF(B2456="","",TEXT(B2456,"yyyy-mm-dd")&amp;"|"&amp;D2456&amp;"|"&amp;E2456)</x:f>
        <x:v>2026-02-10|谢菲尔德联（Sheffield United）|米德尔斯堡（Middlesbrough）</x:v>
      </x:c>
      <x:c r="B2456" t="n">
        <x:v>46063.16736111111</x:v>
      </x:c>
      <x:c r="C2456" t="str">
        <x:v>英格兰冠军联赛（英冠）</x:v>
      </x:c>
      <x:c r="D2456" t="str">
        <x:v>谢菲尔德联（Sheffield United）</x:v>
      </x:c>
      <x:c r="E2456" t="str">
        <x:v>米德尔斯堡（Middlesbrough）</x:v>
      </x:c>
      <x:c r="F2456" t="str">
        <x:v>米德尔斯堡 +0.25（受让平/半，参考欧赔≈1.80；水位≈0.80）</x:v>
      </x:c>
      <x:c r="G2456" t="str">
        <x:v>小 2.5（参考欧赔≈1.93；水位≈0.93）</x:v>
      </x:c>
      <x:c r="H2456" t="str">
        <x:v>客胜 米德尔斯堡（参考欧赔≈2.75-2.95；水位≈1.75-1.95）</x:v>
      </x:c>
      <x:c r="I2456" t="n">
        <x:v>46063.14934027778</x:v>
      </x:c>
      <x:c r="J2456" t="str">
        <x:v>已结算</x:v>
      </x:c>
      <x:c r="K2456" t="str">
        <x:v>1-2</x:v>
      </x:c>
      <x:c r="L2456" t="str">
        <x:v>赢</x:v>
      </x:c>
      <x:c r="M2456" t="str">
        <x:v>输</x:v>
      </x:c>
      <x:c r="N2456" t="n">
        <x:v>1</x:v>
      </x:c>
      <x:c r="O2456" t="n">
        <x:v>-1</x:v>
      </x:c>
      <x:c r="P2456" t="n">
        <x:f>IF(COUNT(N2456:O2456)=0,"",SUM(N2456:O2456))</x:f>
        <x:v>0</x:v>
      </x:c>
      <x:c r="Q2456"/>
      <x:c r="R2456" t="str">
        <x:v>FT 1-2。让球：米德尔斯堡+0.25赢；大小：小2.5输；可选客胜=命中。</x:v>
      </x:c>
    </x:row>
    <x:row r="2457">
      <x:c r="A2457" t="str">
        <x:f>IF(B2457="","",TEXT(B2457,"yyyy-mm-dd")&amp;"|"&amp;D2457&amp;"|"&amp;E2457)</x:f>
        <x:v>2026-02-10|比利亚雷亚尔（Villarreal）|西班牙人（Espanyol）</x:v>
      </x:c>
      <x:c r="B2457" t="n">
        <x:v>46063.166666666664</x:v>
      </x:c>
      <x:c r="C2457" t="str">
        <x:v>西甲（LaLiga）</x:v>
      </x:c>
      <x:c r="D2457" t="str">
        <x:v>比利亚雷亚尔（Villarreal）</x:v>
      </x:c>
      <x:c r="E2457" t="str">
        <x:v>西班牙人（Espanyol）</x:v>
      </x:c>
      <x:c r="F2457" t="str">
        <x:v>比利亚雷亚尔 -0.75（让半一，参考1.93-1.97/水位≥0.93）</x:v>
      </x:c>
      <x:c r="G2457" t="str">
        <x:v>小 2.75（参考1.91/水位≈0.91）</x:v>
      </x:c>
      <x:c r="H2457" t="str">
        <x:v>双方进球：否（BTTS No，参考2.11/水位≈1.11）</x:v>
      </x:c>
      <x:c r="I2457" t="n">
        <x:v>46063.155023148145</x:v>
      </x:c>
      <x:c r="J2457" t="str">
        <x:v>已结算</x:v>
      </x:c>
      <x:c r="K2457" t="str">
        <x:v>4-1</x:v>
      </x:c>
      <x:c r="L2457" t="str">
        <x:v>赢</x:v>
      </x:c>
      <x:c r="M2457" t="str">
        <x:v>输</x:v>
      </x:c>
      <x:c r="N2457" t="n">
        <x:v>1</x:v>
      </x:c>
      <x:c r="O2457" t="n">
        <x:v>-1</x:v>
      </x:c>
      <x:c r="P2457" t="n">
        <x:f>IF(COUNT(N2457:O2457)=0,"",SUM(N2457:O2457))</x:f>
        <x:v>0</x:v>
      </x:c>
      <x:c r="Q2457"/>
      <x:c r="R2457" t="str">
        <x:v>FT 4-1。让球：比利亚雷亚尔-0.75赢；大小：小2.75输；可选BTTS-否输。</x:v>
      </x:c>
    </x:row>
    <x:row r="2458">
      <x:c r="A2458" t="str">
        <x:f>IF(B2458="","",TEXT(B2458,"yyyy-mm-dd")&amp;"|"&amp;D2458&amp;"|"&amp;E2458)</x:f>
        <x:v>2026-02-10|罗马（AS Roma）|卡利亚里（Cagliari）</x:v>
      </x:c>
      <x:c r="B2458" t="n">
        <x:v>46063.15625</x:v>
      </x:c>
      <x:c r="C2458" t="str">
        <x:v>意大利甲级联赛（Serie A）</x:v>
      </x:c>
      <x:c r="D2458" t="str">
        <x:v>罗马（AS Roma）</x:v>
      </x:c>
      <x:c r="E2458" t="str">
        <x:v>卡利亚里（Cagliari）</x:v>
      </x:c>
      <x:c r="F2458" t="str">
        <x:v>卡利亚里 +1.0（受让一球，参考赔率≈1.98-2.02/水位≥0.98）</x:v>
      </x:c>
      <x:c r="G2458" t="str">
        <x:v>大 2.5（参考赔率≈2.00/水位≈1.00）</x:v>
      </x:c>
      <x:c r="H2458" t="str">
        <x:v>双方进球：是（参考赔率≈2.20/水位≈1.20）</x:v>
      </x:c>
      <x:c r="I2458" t="n">
        <x:v>46063.14571759259</x:v>
      </x:c>
      <x:c r="J2458" t="str">
        <x:v>已结算</x:v>
      </x:c>
      <x:c r="K2458" t="str">
        <x:v>2-0</x:v>
      </x:c>
      <x:c r="L2458" t="str">
        <x:v>输</x:v>
      </x:c>
      <x:c r="M2458" t="str">
        <x:v>输</x:v>
      </x:c>
      <x:c r="N2458" t="n">
        <x:v>-1</x:v>
      </x:c>
      <x:c r="O2458" t="n">
        <x:v>-1</x:v>
      </x:c>
      <x:c r="P2458" t="n">
        <x:f>IF(COUNT(N2458:O2458)=0,"",SUM(N2458:O2458))</x:f>
        <x:v>-2</x:v>
      </x:c>
      <x:c r="Q2458"/>
      <x:c r="R2458" t="str">
        <x:v>FT 2-0。让球：卡利亚里+1.0输；大小：大2.5输；可选BTTS-是输。</x:v>
      </x:c>
    </x:row>
    <x:row r="2459">
      <x:c r="A2459" t="str">
        <x:f>IF(B2459="","",TEXT(B2459,"yyyy-mm-dd")&amp;"|"&amp;D2459&amp;"|"&amp;E2459)</x:f>
        <x:v>2026-02-10|杜海勒（Al Duhail SC）|沙迦（Sharjah FC）</x:v>
      </x:c>
      <x:c r="B2459" t="n">
        <x:v>46063</x:v>
      </x:c>
      <x:c r="C2459" t="str">
        <x:v>亚冠精英</x:v>
      </x:c>
      <x:c r="D2459" t="str">
        <x:v>杜海勒（Al Duhail SC）</x:v>
      </x:c>
      <x:c r="E2459" t="str">
        <x:v>沙迦（Sharjah FC）</x:v>
      </x:c>
      <x:c r="F2459" t="str">
        <x:v>杜海勒 -0.75（半球/一球）</x:v>
      </x:c>
      <x:c r="G2459" t="str">
        <x:v>大 2.75（2.5/3）</x:v>
      </x:c>
      <x:c r="H2459" t="str">
        <x:v>可选：大 3.0（3球走水，水位≈1.04）；激进加仓：杜海勒 -1（赢1球走水，水位≈1.20）</x:v>
      </x:c>
      <x:c r="I2459" t="n">
        <x:v>46062.962800925925</x:v>
      </x:c>
      <x:c r="J2459" t="str">
        <x:v>已结算</x:v>
      </x:c>
      <x:c r="K2459" t="str">
        <x:v>1-1</x:v>
      </x:c>
      <x:c r="L2459" t="str">
        <x:v>输</x:v>
      </x:c>
      <x:c r="M2459" t="str">
        <x:v>输</x:v>
      </x:c>
      <x:c r="N2459" t="n">
        <x:v>-1</x:v>
      </x:c>
      <x:c r="O2459" t="n">
        <x:v>-1</x:v>
      </x:c>
      <x:c r="P2459" t="n">
        <x:f>IF(COUNT(N2459:O2459)=0,"",SUM(N2459:O2459))</x:f>
        <x:v>-2</x:v>
      </x:c>
      <x:c r="Q2459"/>
      <x:c r="R2459" t="str">
        <x:v>FT 1-1。让球：杜海勒-0.75输；大小：大2.75输；可选大3.0/激进-1均未命中。</x:v>
      </x:c>
    </x:row>
    <x:row r="2460">
      <x:c r="A2460" t="str">
        <x:f>IF(B2460="","",TEXT(B2460,"yyyy-mm-dd")&amp;"|"&amp;D2460&amp;"|"&amp;E2460)</x:f>
        <x:v>2026-02-09|南奔战士（Lamphun Warriors）|北碧巴吞旺龙（北碧府电力/Kanchanaburi Power）</x:v>
      </x:c>
      <x:c r="B2460" t="n">
        <x:v>46062.8125</x:v>
      </x:c>
      <x:c r="C2460" t="str">
        <x:v>泰国联赛1</x:v>
      </x:c>
      <x:c r="D2460" t="str">
        <x:v>南奔战士（Lamphun Warriors）</x:v>
      </x:c>
      <x:c r="E2460" t="str">
        <x:v>北碧巴吞旺龙（北碧府电力/Kanchanaburi Power）</x:v>
      </x:c>
      <x:c r="F2460" t="str">
        <x:v>北碧巴吞旺龙 +0.5（客队受让半球，参考价1.88≈亚水0.88）</x:v>
      </x:c>
      <x:c r="G2460" t="str">
        <x:v>小 2.75（2¾，小球参考价1.81≈亚水0.81）</x:v>
      </x:c>
      <x:c r="H2460" t="str">
        <x:v>可选：北碧巴吞旺龙 +0.5 走高水再补；或小2.5（若临场≥0.85）</x:v>
      </x:c>
      <x:c r="I2460" t="n">
        <x:v>46062.787777777776</x:v>
      </x:c>
      <x:c r="J2460" t="str">
        <x:v>已结算</x:v>
      </x:c>
      <x:c r="K2460" t="str">
        <x:v>1-1</x:v>
      </x:c>
      <x:c r="L2460" t="str">
        <x:v>赢</x:v>
      </x:c>
      <x:c r="M2460" t="str">
        <x:v>赢</x:v>
      </x:c>
      <x:c r="N2460" t="n">
        <x:v>1</x:v>
      </x:c>
      <x:c r="O2460" t="n">
        <x:v>1</x:v>
      </x:c>
      <x:c r="P2460" t="n">
        <x:f>IF(COUNT(N2460:O2460)=0,"",SUM(N2460:O2460))</x:f>
        <x:v>2</x:v>
      </x:c>
      <x:c r="Q2460"/>
      <x:c r="R2460" t="str">
        <x:v>FT 1-1。让球：北碧巴吞旺龙+0.5赢；大小：小2.75赢。</x:v>
      </x:c>
    </x:row>
    <x:row r="2461">
      <x:c r="A2461" t="str">
        <x:f>IF(B2461="","",TEXT(B2461,"yyyy-mm-dd")&amp;"|"&amp;D2461&amp;"|"&amp;E2461)</x:f>
        <x:v>2026-02-09|南定（Thép Xanh Nam Định）|河静鸿岭（Hồng Lĩnh Hà Tĩnh）</x:v>
      </x:c>
      <x:c r="B2461" t="n">
        <x:v>46062.75</x:v>
      </x:c>
      <x:c r="C2461" t="str">
        <x:v>越南V联赛1</x:v>
      </x:c>
      <x:c r="D2461" t="str">
        <x:v>南定（Thép Xanh Nam Định）</x:v>
      </x:c>
      <x:c r="E2461" t="str">
        <x:v>河静鸿岭（Hồng Lĩnh Hà Tĩnh）</x:v>
      </x:c>
      <x:c r="F2461" t="str">
        <x:v>河静鸿岭 +1/1.5（+1.25）@0.84</x:v>
      </x:c>
      <x:c r="G2461" t="str">
        <x:v>小2.5 @0.88</x:v>
      </x:c>
      <x:c r="H2461" t="str">
        <x:v>可选：上半场 小1 @0.95（节奏慢/前15分钟无高质量机会时加仓）</x:v>
      </x:c>
      <x:c r="I2461" t="n">
        <x:v>46062.718310185184</x:v>
      </x:c>
      <x:c r="J2461" t="str">
        <x:v>已结算</x:v>
      </x:c>
      <x:c r="K2461" t="str">
        <x:v>1-1</x:v>
      </x:c>
      <x:c r="L2461" t="str">
        <x:v>赢</x:v>
      </x:c>
      <x:c r="M2461" t="str">
        <x:v>赢</x:v>
      </x:c>
      <x:c r="N2461" t="n">
        <x:v>1</x:v>
      </x:c>
      <x:c r="O2461" t="n">
        <x:v>1</x:v>
      </x:c>
      <x:c r="P2461" t="n">
        <x:f>IF(COUNT(N2461:O2461)=0,"",SUM(N2461:O2461))</x:f>
        <x:v>2</x:v>
      </x:c>
      <x:c r="Q2461"/>
      <x:c r="R2461" t="str">
        <x:v>FT 1-1（HT 1-0）。让球：河静鸿岭+1.25赢；大小：小2.5赢；可选上半场小1=走水。</x:v>
      </x:c>
    </x:row>
    <x:row r="2462">
      <x:c r="A2462" t="str">
        <x:f>IF(B2462="","",TEXT(B2462,"yyyy-mm-dd")&amp;"|"&amp;D2462&amp;"|"&amp;E2462)</x:f>
        <x:v>2026-02-09|甘拿斯亚门多萨（Gimnasia Mendoza）|科尔多瓦学院（Instituto ACC）</x:v>
      </x:c>
      <x:c r="B2462" t="n">
        <x:v>46062.385416666664</x:v>
      </x:c>
      <x:c r="C2462" t="str">
        <x:v>阿根廷职业联赛（Liga Profesional·Apertura）</x:v>
      </x:c>
      <x:c r="D2462" t="str">
        <x:v>甘拿斯亚门多萨（Gimnasia Mendoza）</x:v>
      </x:c>
      <x:c r="E2462" t="str">
        <x:v>科尔多瓦学院（Instituto ACC）</x:v>
      </x:c>
      <x:c r="F2462" t="str">
        <x:v>甘拿斯亚门多萨 0（平手/DNB） @2.125</x:v>
      </x:c>
      <x:c r="G2462" t="str">
        <x:v>小 1.75（1 3/4） @1.925</x:v>
      </x:c>
      <x:c r="H2462" t="str">
        <x:v>小注：平局（X）@2.76；若临场总进球升到2.0且小2.0≥1.80→可替换更稳</x:v>
      </x:c>
      <x:c r="I2462" t="n">
        <x:v>46062.38447916666</x:v>
      </x:c>
      <x:c r="J2462" t="str">
        <x:v>已结算</x:v>
      </x:c>
      <x:c r="K2462" t="str">
        <x:v>1-0</x:v>
      </x:c>
      <x:c r="L2462" t="str">
        <x:v>赢</x:v>
      </x:c>
      <x:c r="M2462" t="str">
        <x:v>赢</x:v>
      </x:c>
      <x:c r="N2462" t="n">
        <x:v>1</x:v>
      </x:c>
      <x:c r="O2462" t="n">
        <x:v>1</x:v>
      </x:c>
      <x:c r="P2462" t="n">
        <x:f>IF(COUNT(N2462:O2462)=0,"",SUM(N2462:O2462))</x:f>
        <x:v>2</x:v>
      </x:c>
      <x:c r="Q2462"/>
      <x:c r="R2462" t="str">
        <x:v>FT 甘拿斯亚门多萨 1-0 科尔多瓦学院；DNB命中，小1.75命中</x:v>
      </x:c>
    </x:row>
    <x:row r="2463">
      <x:c r="A2463" t="str">
        <x:f>IF(B2463="","",TEXT(B2463,"yyyy-mm-dd")&amp;"|"&amp;D2463&amp;"|"&amp;E2463)</x:f>
        <x:v>2026-02-09|萨斯菲尔德（Vélez Sarsfield）|博卡青年（Boca Juniors）</x:v>
      </x:c>
      <x:c r="B2463" t="n">
        <x:v>46062.385416666664</x:v>
      </x:c>
      <x:c r="C2463" t="str">
        <x:v>阿根廷职业联赛（Liga Profesional·Apertura）</x:v>
      </x:c>
      <x:c r="D2463" t="str">
        <x:v>萨斯菲尔德（Vélez Sarsfield）</x:v>
      </x:c>
      <x:c r="E2463" t="str">
        <x:v>博卡青年（Boca Juniors）</x:v>
      </x:c>
      <x:c r="F2463" t="str">
        <x:v>萨斯菲尔德 +0.25（受让平/半）@1.80（目标≥1.80）</x:v>
      </x:c>
      <x:c r="G2463" t="str">
        <x:v>小 1.75（1.5/2）@2.05（目标≥1.90）</x:v>
      </x:c>
      <x:c r="H2463" t="str">
        <x:v>小注：半场 平局 @1.89；若临场+0.25被压到&lt;1.75→改萨斯菲尔德 0（DNB）且≥2.00；若临场反转到博卡 -0.25且≥1.85→小注对冲。</x:v>
      </x:c>
      <x:c r="I2463" t="n">
        <x:v>46062.35391203704</x:v>
      </x:c>
      <x:c r="J2463" t="str">
        <x:v>已结算</x:v>
      </x:c>
      <x:c r="K2463" t="str">
        <x:v>2-1</x:v>
      </x:c>
      <x:c r="L2463" t="str">
        <x:v>赢</x:v>
      </x:c>
      <x:c r="M2463" t="str">
        <x:v>输</x:v>
      </x:c>
      <x:c r="N2463" t="n">
        <x:v>1</x:v>
      </x:c>
      <x:c r="O2463" t="n">
        <x:v>-1</x:v>
      </x:c>
      <x:c r="P2463" t="n">
        <x:f>IF(COUNT(N2463:O2463)=0,"",SUM(N2463:O2463))</x:f>
        <x:v>0</x:v>
      </x:c>
      <x:c r="Q2463"/>
      <x:c r="R2463" t="str">
        <x:v>FT 维莱斯萨斯菲尔德 2-1 博卡青年；让球+0.25命中，小1.75未命中</x:v>
      </x:c>
    </x:row>
    <x:row r="2464">
      <x:c r="A2464" t="str">
        <x:f>IF(B2464="","",TEXT(B2464,"yyyy-mm-dd")&amp;"|"&amp;D2464&amp;"|"&amp;E2464)</x:f>
        <x:v>2026-02-09|卡利体育会（Deportivo Cali）|百万富翁（Millonarios）</x:v>
      </x:c>
      <x:c r="B2464" t="n">
        <x:v>46062.305555555555</x:v>
      </x:c>
      <x:c r="C2464" t="str">
        <x:v>哥伦比亚甲级联赛（Liga BetPlay DIMAYOR）</x:v>
      </x:c>
      <x:c r="D2464" t="str">
        <x:v>卡利体育会（Deportivo Cali）</x:v>
      </x:c>
      <x:c r="E2464" t="str">
        <x:v>百万富翁（Millonarios）</x:v>
      </x:c>
      <x:c r="F2464" t="str">
        <x:v>卡利体育会 0（平手/DNB）@1.98</x:v>
      </x:c>
      <x:c r="G2464" t="str">
        <x:v>小 2.0（2球）@2.03</x:v>
      </x:c>
      <x:c r="H2464" t="str">
        <x:v>水位目标≈0.80+：若临场主队从0升到-0.25且水位仍≥1.80（≈0.80+）→可小加仓卡利-0.25；若主队0位被压到&lt;1.80或盘口反转到客队0→只保留小2.0或直接观望。大小球：若小2.0下调到&lt;1.85→改小2/2.5（2.25）找≥1.80；若临场升到2.5且小2.5≥1.80→可转小2.5更稳。</x:v>
      </x:c>
      <x:c r="I2464" t="n">
        <x:v>46062.30777777778</x:v>
      </x:c>
      <x:c r="J2464" t="str">
        <x:v>已结算</x:v>
      </x:c>
      <x:c r="K2464" t="str">
        <x:v>0-0</x:v>
      </x:c>
      <x:c r="L2464" t="str">
        <x:v>走水</x:v>
      </x:c>
      <x:c r="M2464" t="str">
        <x:v>赢</x:v>
      </x:c>
      <x:c r="N2464" t="n">
        <x:v>0</x:v>
      </x:c>
      <x:c r="O2464" t="n">
        <x:v>1</x:v>
      </x:c>
      <x:c r="P2464" t="n">
        <x:f>IF(COUNT(N2464:O2464)=0,"",SUM(N2464:O2464))</x:f>
        <x:v>1</x:v>
      </x:c>
      <x:c r="Q2464"/>
      <x:c r="R2464" t="str">
        <x:v>FT 0-0（DNB走水）</x:v>
      </x:c>
    </x:row>
    <x:row r="2465">
      <x:c r="A2465" t="str">
        <x:f>IF(B2465="","",TEXT(B2465,"yyyy-mm-dd")&amp;"|"&amp;D2465&amp;"|"&amp;E2465)</x:f>
        <x:v>2026-02-09|萨普里萨（Deportivo Saprissa）|森卡洛斯（AD San Carlos）</x:v>
      </x:c>
      <x:c r="B2465" t="n">
        <x:v>46062.208333333336</x:v>
      </x:c>
      <x:c r="C2465" t="str">
        <x:v>哥斯达黎加甲（Primera Division）</x:v>
      </x:c>
      <x:c r="D2465" t="str">
        <x:v>萨普里萨（Deportivo Saprissa）</x:v>
      </x:c>
      <x:c r="E2465" t="str">
        <x:v>森卡洛斯（AD San Carlos）</x:v>
      </x:c>
      <x:c r="F2465" t="str">
        <x:v>森卡洛斯 +1.25（受让一球/球半） @1.80</x:v>
      </x:c>
      <x:c r="G2465" t="str">
        <x:v>小 2.5 @1.95</x:v>
      </x:c>
      <x:c r="H2465" t="str">
        <x:v>水位目标≥0.80的临场分歧处理：①若受让升到+1.5且水位≥1.75→优先改+1.5（更稳）；若退到+1.0但给到≥2.00高水→可改+1.0（更激进）。②若大小球主线升到2.75且小2.75≥1.80→改小2.75更稳；若小2.5被压到&lt;1.80→宁可上小2.75保价值。比分对照：1-0/2-0/1-1更贴合此组合。</x:v>
      </x:c>
      <x:c r="I2465" t="n">
        <x:v>46062.1909375</x:v>
      </x:c>
      <x:c r="J2465" t="str">
        <x:v>已结算</x:v>
      </x:c>
      <x:c r="K2465" t="str">
        <x:v>2-1</x:v>
      </x:c>
      <x:c r="L2465" t="str">
        <x:v>赢半</x:v>
      </x:c>
      <x:c r="M2465" t="str">
        <x:v>输</x:v>
      </x:c>
      <x:c r="N2465" t="n">
        <x:v>0.5</x:v>
      </x:c>
      <x:c r="O2465" t="n">
        <x:v>-1</x:v>
      </x:c>
      <x:c r="P2465" t="n">
        <x:f>IF(COUNT(N2465:O2465)=0,"",SUM(N2465:O2465))</x:f>
        <x:v>-0.5</x:v>
      </x:c>
      <x:c r="Q2465"/>
      <x:c r="R2465" t="str">
        <x:v>FT 2-1（受让+1.25赢半）</x:v>
      </x:c>
    </x:row>
    <x:row r="2466">
      <x:c r="A2466" t="str">
        <x:f>IF(B2466="","",TEXT(B2466,"yyyy-mm-dd")&amp;"|"&amp;D2466&amp;"|"&amp;E2466)</x:f>
        <x:v>2026-02-09|普拉腾斯（Platense）|阿根廷独立（Independiente）</x:v>
      </x:c>
      <x:c r="B2466" t="n">
        <x:v>46062.166666666664</x:v>
      </x:c>
      <x:c r="C2466" t="str">
        <x:v>阿根廷职业联赛（Liga Profesional·Apertura）</x:v>
      </x:c>
      <x:c r="D2466" t="str">
        <x:v>普拉腾斯（Platense）</x:v>
      </x:c>
      <x:c r="E2466" t="str">
        <x:v>阿根廷独立（Independiente）</x:v>
      </x:c>
      <x:c r="F2466" t="str">
        <x:v>普拉腾斯 0（平手/DNB）@≈2.05（目标水位≥0.80）</x:v>
      </x:c>
      <x:c r="G2466" t="str">
        <x:v>小 1.75（1.5/2）@≈1.83（目标水位≥0.80）</x:v>
      </x:c>
      <x:c r="H2466" t="str">
        <x:v>小注：平局 @≈2.85~2.90；若临场退到阿根廷独立 -0.25 且≈1.90→可少量对冲客-0.25</x:v>
      </x:c>
      <x:c r="I2466" t="n">
        <x:v>46062.202314814815</x:v>
      </x:c>
      <x:c r="J2466" t="str">
        <x:v>已结算</x:v>
      </x:c>
      <x:c r="K2466" t="str">
        <x:v>0-1</x:v>
      </x:c>
      <x:c r="L2466" t="str">
        <x:v>输</x:v>
      </x:c>
      <x:c r="M2466" t="str">
        <x:v>赢</x:v>
      </x:c>
      <x:c r="N2466" t="n">
        <x:v>-1</x:v>
      </x:c>
      <x:c r="O2466" t="n">
        <x:v>1</x:v>
      </x:c>
      <x:c r="P2466" t="n">
        <x:f>IF(COUNT(N2466:O2466)=0,"",SUM(N2466:O2466))</x:f>
        <x:v>0</x:v>
      </x:c>
      <x:c r="Q2466"/>
      <x:c r="R2466" t="str">
        <x:v>FT 0-1</x:v>
      </x:c>
    </x:row>
    <x:row r="2467">
      <x:c r="A2467" t="str">
        <x:f>IF(B2467="","",TEXT(B2467,"yyyy-mm-dd")&amp;"|"&amp;D2467&amp;"|"&amp;E2467)</x:f>
        <x:v>2026-02-09|利物浦（Liverpool）|曼城（Manchester City）</x:v>
      </x:c>
      <x:c r="B2467" t="n">
        <x:v>46062.020833333336</x:v>
      </x:c>
      <x:c r="C2467" t="str">
        <x:v>英格兰超级联赛（Premier League）</x:v>
      </x:c>
      <x:c r="D2467" t="str">
        <x:v>利物浦（Liverpool）</x:v>
      </x:c>
      <x:c r="E2467" t="str">
        <x:v>曼城（Manchester City）</x:v>
      </x:c>
      <x:c r="F2467" t="str">
        <x:v>曼城 -0.25（平/半）</x:v>
      </x:c>
      <x:c r="G2467" t="str">
        <x:v>大 3.0（3球）</x:v>
      </x:c>
      <x:c r="H2467" t="str">
        <x:v>备选/风控：若临场退到曼城0（DNB）且水位≥0.85→改DNB更稳；若升到曼城-0.5且≥0.85→小注加仓-0.5。大小球：若大3.0被压到&lt;0.75→转大2.75；若升到3.25且大3.25≥0.85→只小注或仍守大3.0。对冲：BTTS 是（双方进球-是）若≥1.80可小注。</x:v>
      </x:c>
      <x:c r="I2467" t="n">
        <x:v>46062.1874537037</x:v>
      </x:c>
      <x:c r="J2467" t="str">
        <x:v>已结算</x:v>
      </x:c>
      <x:c r="K2467" t="str">
        <x:v>1-2</x:v>
      </x:c>
      <x:c r="L2467" t="str">
        <x:v>赢</x:v>
      </x:c>
      <x:c r="M2467" t="str">
        <x:v>走水</x:v>
      </x:c>
      <x:c r="N2467" t="n">
        <x:v>1</x:v>
      </x:c>
      <x:c r="O2467" t="n">
        <x:v>0</x:v>
      </x:c>
      <x:c r="P2467" t="n">
        <x:f>IF(COUNT(N2467:O2467)=0,"",SUM(N2467:O2467))</x:f>
        <x:v>1</x:v>
      </x:c>
      <x:c r="Q2467"/>
      <x:c r="R2467" t="str">
        <x:v>FT 1-2（大3.0走水）</x:v>
      </x:c>
    </x:row>
    <x:row r="2468">
      <x:c r="A2468" t="str">
        <x:f>IF(B2468="","",TEXT(B2468,"yyyy-mm-dd")&amp;"|"&amp;D2468&amp;"|"&amp;E2468)</x:f>
        <x:v>2026-02-09|勒阿弗尔（Le Havre）|斯特拉斯堡（RC Strasbourg）</x:v>
      </x:c>
      <x:c r="B2468" t="n">
        <x:v>46062.010416666664</x:v>
      </x:c>
      <x:c r="C2468" t="str">
        <x:v>法甲（Ligue 1）</x:v>
      </x:c>
      <x:c r="D2468" t="str">
        <x:v>勒阿弗尔（Le Havre）</x:v>
      </x:c>
      <x:c r="E2468" t="str">
        <x:v>斯特拉斯堡（RC Strasbourg）</x:v>
      </x:c>
      <x:c r="F2468" t="str">
        <x:v>勒阿弗尔 +0.5（受让半球） @1.85~1.95</x:v>
      </x:c>
      <x:c r="G2468" t="str">
        <x:v>小 2.5 @1.84~1.90</x:v>
      </x:c>
      <x:c r="H2468" t="str">
        <x:v>临场分歧处理（目标水位≥0.80）：①若客让从-0.5退到-0.25且斯堡-0.25≥1.85→可改斯堡-0.25（更顺盘）；若斯堡-0.25被压到&lt;1.75→维持勒阿弗尔+0.5。②若大小球降到2.25且小2.25≥1.80→改小2.25更稳；若升到2.75且小2.75≥1.85→改小2.75。③小注对冲：斯特拉斯堡 DNB（0）若≥1.95 或 HT 小1.0/1.25（看水位贴近0.8）。</x:v>
      </x:c>
      <x:c r="I2468" t="n">
        <x:v>46062.01924768519</x:v>
      </x:c>
      <x:c r="J2468" t="str">
        <x:v>已结算</x:v>
      </x:c>
      <x:c r="K2468" t="str">
        <x:v>2-1</x:v>
      </x:c>
      <x:c r="L2468" t="str">
        <x:v>赢</x:v>
      </x:c>
      <x:c r="M2468" t="str">
        <x:v>输</x:v>
      </x:c>
      <x:c r="N2468" t="n">
        <x:v>1</x:v>
      </x:c>
      <x:c r="O2468" t="n">
        <x:v>-1</x:v>
      </x:c>
      <x:c r="P2468" t="n">
        <x:f>IF(COUNT(N2468:O2468)=0,"",SUM(N2468:O2468))</x:f>
        <x:v>0</x:v>
      </x:c>
      <x:c r="Q2468"/>
      <x:c r="R2468" t="str">
        <x:v>FT 2-1</x:v>
      </x:c>
    </x:row>
    <x:row r="2469">
      <x:c r="A2469" t="str">
        <x:f>IF(B2469="","",TEXT(B2469,"yyyy-mm-dd")&amp;"|"&amp;D2469&amp;"|"&amp;E2469)</x:f>
        <x:v>2026-02-08|毕尔巴鄂竞技（Athletic Club）|莱万特（Levante UD）</x:v>
      </x:c>
      <x:c r="B2469" t="n">
        <x:v>46061.96875</x:v>
      </x:c>
      <x:c r="C2469" t="str">
        <x:v>西甲（LaLiga）</x:v>
      </x:c>
      <x:c r="D2469" t="str">
        <x:v>毕尔巴鄂竞技（Athletic Club）</x:v>
      </x:c>
      <x:c r="E2469" t="str">
        <x:v>莱万特（Levante UD）</x:v>
      </x:c>
      <x:c r="F2469" t="str">
        <x:v>毕尔巴鄂竞技 -0.75（半/一） @1.82</x:v>
      </x:c>
      <x:c r="G2469" t="str">
        <x:v>小 2.5 @1.85左右</x:v>
      </x:c>
      <x:c r="H2469" t="str">
        <x:v>临场策略（以水位≥0.80为准）：①若-0.75主水被压到&lt;1.75→降到毕尔巴鄂-0.5（需≥1.80）更稳；②若市场升到毕尔巴鄂-1且给到≥1.95高水→可小加仓-1；③大小球若小2.5降到&lt;1.80→改小2.75（需≥1.80）；若反向升盘到2.75且小2.75仍≥1.85→优先小2.75。可选对冲：莱万特 +0.75 @1.95（更偏防平局）。</x:v>
      </x:c>
      <x:c r="I2469" t="n">
        <x:v>46061.96196759259</x:v>
      </x:c>
      <x:c r="J2469" t="str">
        <x:v>已结算</x:v>
      </x:c>
      <x:c r="K2469" t="str">
        <x:v>4-2</x:v>
      </x:c>
      <x:c r="L2469" t="str">
        <x:v>赢</x:v>
      </x:c>
      <x:c r="M2469" t="str">
        <x:v>输</x:v>
      </x:c>
      <x:c r="N2469" t="n">
        <x:v>1</x:v>
      </x:c>
      <x:c r="O2469" t="n">
        <x:v>-1</x:v>
      </x:c>
      <x:c r="P2469" t="n">
        <x:f>IF(COUNT(N2469:O2469)=0,"",SUM(N2469:O2469))</x:f>
        <x:v>0</x:v>
      </x:c>
      <x:c r="Q2469"/>
      <x:c r="R2469" t="str">
        <x:v>FT 4-2</x:v>
      </x:c>
    </x:row>
    <x:row r="2470">
      <x:c r="A2470" t="str">
        <x:f>IF(B2470="","",TEXT(B2470,"yyyy-mm-dd")&amp;"|"&amp;D2470&amp;"|"&amp;E2470)</x:f>
        <x:v>2026-02-08|中日德兰（FC Midtjylland）|哥本哈根（FC Copenhagen）</x:v>
      </x:c>
      <x:c r="B2470" t="n">
        <x:v>46061.958333333336</x:v>
      </x:c>
      <x:c r="C2470" t="str">
        <x:v>丹麦超级联赛（Danish Superliga）</x:v>
      </x:c>
      <x:c r="D2470" t="str">
        <x:v>中日德兰（FC Midtjylland）</x:v>
      </x:c>
      <x:c r="E2470" t="str">
        <x:v>哥本哈根（FC Copenhagen）</x:v>
      </x:c>
      <x:c r="F2470" t="str">
        <x:v>中日德兰 -0.25（平/半） @1.80左右</x:v>
      </x:c>
      <x:c r="G2470" t="str">
        <x:v>小 2.75（2.5/3） @1.95左右</x:v>
      </x:c>
      <x:c r="H2470" t="str">
        <x:v>临场加减仓（以水位≥0.80为准）：①若升盘到中日德兰-0.5且仍能拿到≥2.00（约2.02）→可加仓-0.5；②若退到平手0且主队水位被压到&lt;1.75→只留小球或放弃让球。大小球：若主线变成2.5且小2.5≥1.85→改小2.5；若升到3.0且小3.0≥1.80→改小3.0。</x:v>
      </x:c>
      <x:c r="I2470" t="n">
        <x:v>46061.956192129626</x:v>
      </x:c>
      <x:c r="J2470" t="str">
        <x:v>已结算</x:v>
      </x:c>
      <x:c r="K2470" t="str">
        <x:v>2-1</x:v>
      </x:c>
      <x:c r="L2470" t="str">
        <x:v>赢</x:v>
      </x:c>
      <x:c r="M2470" t="str">
        <x:v>输半</x:v>
      </x:c>
      <x:c r="N2470" t="n">
        <x:v>1</x:v>
      </x:c>
      <x:c r="O2470" t="n">
        <x:v>-0.5</x:v>
      </x:c>
      <x:c r="P2470" t="n">
        <x:f>IF(COUNT(N2470:O2470)=0,"",SUM(N2470:O2470))</x:f>
        <x:v>0.5</x:v>
      </x:c>
      <x:c r="Q2470"/>
      <x:c r="R2470" t="str">
        <x:v>FT 2-1</x:v>
      </x:c>
    </x:row>
    <x:row r="2471">
      <x:c r="A2471" t="str">
        <x:f>IF(B2471="","",TEXT(B2471,"yyyy-mm-dd")&amp;"|"&amp;D2471&amp;"|"&amp;E2471)</x:f>
        <x:v>2026-02-08|佩西加雅加达（Persija Jakarta）|阿雷马（Arema FC）</x:v>
      </x:c>
      <x:c r="B2471" t="n">
        <x:v>46061.833333333336</x:v>
      </x:c>
      <x:c r="C2471" t="str">
        <x:v>印度尼西亚超级联赛（印尼超/Liga 1 Indonesia）</x:v>
      </x:c>
      <x:c r="D2471" t="str">
        <x:v>佩西加雅加达（Persija Jakarta）</x:v>
      </x:c>
      <x:c r="E2471" t="str">
        <x:v>阿雷马（Arema FC）</x:v>
      </x:c>
      <x:c r="F2471" t="str">
        <x:v>佩西加雅加达 -0.5（半球） @1.90左右（目标水位≥0.80）</x:v>
      </x:c>
      <x:c r="G2471" t="str">
        <x:v>小 2.5 @1.97左右（目标水位≥0.80）</x:v>
      </x:c>
      <x:c r="H2471" t="str">
        <x:v>临场策略：若主让升到-0.75且主队水位≥1.80→可加仓-0.75；若退回-0.25且主队水位&lt;1.75→降盘改-0.25保守。大小球：若小2.5被压到&lt;1.80→改小2.75（若≥1.80）；若升盘到3.0且小3.0≥1.80→改小3.0。对冲可选：双方进球 否（BTTS-否）若≥2.05可小注。</x:v>
      </x:c>
      <x:c r="I2471" t="n">
        <x:v>46061.836643518516</x:v>
      </x:c>
      <x:c r="J2471" t="str">
        <x:v>已结算</x:v>
      </x:c>
      <x:c r="K2471" t="str">
        <x:v>0-2</x:v>
      </x:c>
      <x:c r="L2471" t="str">
        <x:v>输</x:v>
      </x:c>
      <x:c r="M2471" t="str">
        <x:v>赢</x:v>
      </x:c>
      <x:c r="N2471" t="n">
        <x:v>-1</x:v>
      </x:c>
      <x:c r="O2471" t="n">
        <x:v>1</x:v>
      </x:c>
      <x:c r="P2471" t="n">
        <x:f>IF(COUNT(N2471:O2471)=0,"",SUM(N2471:O2471))</x:f>
        <x:v>0</x:v>
      </x:c>
      <x:c r="Q2471"/>
      <x:c r="R2471" t="str">
        <x:v>FT 0-2</x:v>
      </x:c>
    </x:row>
    <x:row r="2472">
      <x:c r="A2472" t="str">
        <x:f>IF(B2472="","",TEXT(B2472,"yyyy-mm-dd")&amp;"|"&amp;D2472&amp;"|"&amp;E2472)</x:f>
        <x:v>2026-02-08|塞曼巴东（Semen Padang）|培斯塔坦格朗（Persita Tangerang）</x:v>
      </x:c>
      <x:c r="B2472" t="n">
        <x:v>46061.6875</x:v>
      </x:c>
      <x:c r="C2472" t="str">
        <x:v>印度尼西亚超级联赛（印尼超/Liga 1 Indonesia）</x:v>
      </x:c>
      <x:c r="D2472" t="str">
        <x:v>塞曼巴东（Semen Padang）</x:v>
      </x:c>
      <x:c r="E2472" t="str">
        <x:v>培斯塔坦格朗（Persita Tangerang）</x:v>
      </x:c>
      <x:c r="F2472" t="str">
        <x:v>培斯塔坦格朗 0（平手/DNB）@1.90</x:v>
      </x:c>
      <x:c r="G2472" t="str">
        <x:v>小 2.5 @1.85</x:v>
      </x:c>
      <x:c r="H2472" t="str">
        <x:v>可选：BTTS 否 @1.82；若临场回到培斯塔坦格朗 -0.25 且水位≈0.80~0.90→可加仓-0.25</x:v>
      </x:c>
      <x:c r="I2472" t="n">
        <x:v>46061.65557870371</x:v>
      </x:c>
      <x:c r="J2472" t="str">
        <x:v>已结算</x:v>
      </x:c>
      <x:c r="K2472" t="str">
        <x:v>1-0</x:v>
      </x:c>
      <x:c r="L2472" t="str">
        <x:v>输</x:v>
      </x:c>
      <x:c r="M2472" t="str">
        <x:v>赢</x:v>
      </x:c>
      <x:c r="N2472" t="n">
        <x:v>-1</x:v>
      </x:c>
      <x:c r="O2472" t="n">
        <x:v>1</x:v>
      </x:c>
      <x:c r="P2472" t="n">
        <x:f>IF(COUNT(N2472:O2472)=0,"",SUM(N2472:O2472))</x:f>
        <x:v>0</x:v>
      </x:c>
      <x:c r="Q2472"/>
      <x:c r="R2472" t="str">
        <x:v>用户提供赛果：塞曼巴东 1-0 培斯塔坦格朗；让球：培斯塔坦格朗 0（DNB）输；大小：小2.5 赢（总进球1）。</x:v>
      </x:c>
    </x:row>
    <x:row r="2473">
      <x:c r="A2473" t="str">
        <x:f>IF(B2473="","",TEXT(B2473,"yyyy-mm-dd")&amp;"|"&amp;D2473&amp;"|"&amp;E2473)</x:f>
        <x:v>2026-02-08|PSBS巴克伦佛（PSBS Biak Numfor）|PSM马卡萨（PSM Makassar）</x:v>
      </x:c>
      <x:c r="B2473" t="n">
        <x:v>46061.6875</x:v>
      </x:c>
      <x:c r="C2473" t="str">
        <x:v>印度尼西亚超级联赛（印尼超/Liga 1 Indonesia）</x:v>
      </x:c>
      <x:c r="D2473" t="str">
        <x:v>PSBS巴克伦佛（PSBS Biak Numfor）</x:v>
      </x:c>
      <x:c r="E2473" t="str">
        <x:v>PSM马卡萨（PSM Makassar）</x:v>
      </x:c>
      <x:c r="F2473" t="str">
        <x:v>PSM马卡萨 -0.25（平/半）@2.03</x:v>
      </x:c>
      <x:c r="G2473" t="str">
        <x:v>大 2.5 @1.90</x:v>
      </x:c>
      <x:c r="H2473" t="str">
        <x:v>可选：PSM马卡萨 0（DNB）@1.90（保守）；BTTS 是 @1.85。临场：若升到PSM-0.5且水位≈0.80~0.90→可加仓-0.5；若-0.25水位被压到&lt;0.75→降为DNB。大小：若大2.5被压到&lt;0.75→改大2.75；若升到3.0且大3.0≈0.80→改大3.0。</x:v>
      </x:c>
      <x:c r="I2473" t="n">
        <x:v>46061.64693287037</x:v>
      </x:c>
      <x:c r="J2473" t="str">
        <x:v>已结算</x:v>
      </x:c>
      <x:c r="K2473" t="str">
        <x:v>1-2</x:v>
      </x:c>
      <x:c r="L2473" t="str">
        <x:v>赢</x:v>
      </x:c>
      <x:c r="M2473" t="str">
        <x:v>赢</x:v>
      </x:c>
      <x:c r="N2473" t="n">
        <x:v>1</x:v>
      </x:c>
      <x:c r="O2473" t="n">
        <x:v>1</x:v>
      </x:c>
      <x:c r="P2473" t="n">
        <x:f>IF(COUNT(N2473:O2473)=0,"",SUM(N2473:O2473))</x:f>
        <x:v>2</x:v>
      </x:c>
      <x:c r="Q2473"/>
      <x:c r="R2473" t="str">
        <x:v>赛果：PSBS巴克伦佛1-2PSM马卡萨</x:v>
      </x:c>
    </x:row>
    <x:row r="2474">
      <x:c r="A2474" t="str">
        <x:f>IF(B2474="","",TEXT(B2474,"yyyy-mm-dd")&amp;"|"&amp;D2474&amp;"|"&amp;E2474)</x:f>
        <x:v>2026-02-08|阿德莱德联（Adelaide United）|纽卡斯尔喷气机（Newcastle Jets）</x:v>
      </x:c>
      <x:c r="B2474" t="n">
        <x:v>46061.583333333336</x:v>
      </x:c>
      <x:c r="C2474" t="str">
        <x:v>澳大利亚A联赛（A-League Men）</x:v>
      </x:c>
      <x:c r="D2474" t="str">
        <x:v>阿德莱德联（Adelaide United）</x:v>
      </x:c>
      <x:c r="E2474" t="str">
        <x:v>纽卡斯尔喷气机（Newcastle Jets）</x:v>
      </x:c>
      <x:c r="F2474" t="str">
        <x:v>纽卡斯尔喷气机 -0.25 @1.95</x:v>
      </x:c>
      <x:c r="G2474" t="str">
        <x:v>小 3.5 @2.30</x:v>
      </x:c>
      <x:c r="H2474" t="str">
        <x:v>可选：半场 平局 @2.65（小注）；若临场升到喷气机-0.5且水位≈0.80~0.90→可加仓-0.5；若退回喷气机0（DNB）但水位偏低(&lt;0.75)→仅保留-0.25或转小球</x:v>
      </x:c>
      <x:c r="I2474" t="n">
        <x:v>46061.54347222222</x:v>
      </x:c>
      <x:c r="J2474" t="str">
        <x:v>已结算</x:v>
      </x:c>
      <x:c r="K2474" t="str">
        <x:v>2-3</x:v>
      </x:c>
      <x:c r="L2474" t="str">
        <x:v>赢</x:v>
      </x:c>
      <x:c r="M2474" t="str">
        <x:v>输</x:v>
      </x:c>
      <x:c r="N2474" t="n">
        <x:v>1</x:v>
      </x:c>
      <x:c r="O2474" t="n">
        <x:v>-1</x:v>
      </x:c>
      <x:c r="P2474" t="n">
        <x:f>IF(COUNT(N2474:O2474)=0,"",SUM(N2474:O2474))</x:f>
        <x:v>0</x:v>
      </x:c>
      <x:c r="Q2474"/>
      <x:c r="R2474" t="str">
        <x:v>赛果：阿德莱德联 2-3 纽卡斯尔喷气机；让球：喷气机 -0.25 赢；大小：小3.5 输（总进球5）。</x:v>
      </x:c>
    </x:row>
    <x:row r="2475">
      <x:c r="A2475" t="str">
        <x:f>IF(B2475="","",TEXT(B2475,"yyyy-mm-dd")&amp;"|"&amp;D2475&amp;"|"&amp;E2475)</x:f>
        <x:v>2026-02-08|名古屋鲸鱼（Nagoya Grampus）|清水心跳（Shimizu S-Pulse）</x:v>
      </x:c>
      <x:c r="B2475" t="n">
        <x:v>46061.541666666664</x:v>
      </x:c>
      <x:c r="C2475" t="str">
        <x:v>日职联（J1 League）</x:v>
      </x:c>
      <x:c r="D2475" t="str">
        <x:v>名古屋鲸鱼（Nagoya Grampus）</x:v>
      </x:c>
      <x:c r="E2475" t="str">
        <x:v>清水心跳（Shimizu S-Pulse）</x:v>
      </x:c>
      <x:c r="F2475" t="str">
        <x:v>名古屋鲸鱼 -0.5 @1.87</x:v>
      </x:c>
      <x:c r="G2475" t="str">
        <x:v>大 2.5 @1.97</x:v>
      </x:c>
      <x:c r="H2475" t="str">
        <x:v>可选：BTTS 否 @1.86（与主胜同向）/ 名古屋胜 @1.93（串关用）</x:v>
      </x:c>
      <x:c r="I2475" t="n">
        <x:v>46061.545752314814</x:v>
      </x:c>
      <x:c r="J2475" t="str">
        <x:v>已结算</x:v>
      </x:c>
      <x:c r="K2475" t="str">
        <x:v>1-0</x:v>
      </x:c>
      <x:c r="L2475" t="str">
        <x:v>赢</x:v>
      </x:c>
      <x:c r="M2475" t="str">
        <x:v>输</x:v>
      </x:c>
      <x:c r="N2475" t="n">
        <x:v>1</x:v>
      </x:c>
      <x:c r="O2475" t="n">
        <x:v>-1</x:v>
      </x:c>
      <x:c r="P2475" t="n">
        <x:f>IF(COUNT(N2475:O2475)=0,"",SUM(N2475:O2475))</x:f>
        <x:v>0</x:v>
      </x:c>
      <x:c r="Q2475"/>
      <x:c r="R2475" t="str">
        <x:v>赛果：名古屋鲸鱼 1-0 清水心跳；让球：名古屋 -0.5 赢；大小：大2.5 输（总进球1）。</x:v>
      </x:c>
    </x:row>
    <x:row r="2476">
      <x:c r="A2476" t="str">
        <x:f>IF(B2476="","",TEXT(B2476,"yyyy-mm-dd")&amp;"|"&amp;D2476&amp;"|"&amp;E2476)</x:f>
        <x:v>2026-02-08|福冈黄蜂（Avispa Fukuoka）|冈山绿雉（Fagiano Okayama）</x:v>
      </x:c>
      <x:c r="B2476" t="n">
        <x:v>46061.50347222222</x:v>
      </x:c>
      <x:c r="C2476" t="str">
        <x:v>日职联（J1 League）</x:v>
      </x:c>
      <x:c r="D2476" t="str">
        <x:v>福冈黄蜂（Avispa Fukuoka）</x:v>
      </x:c>
      <x:c r="E2476" t="str">
        <x:v>冈山绿雉（Fagiano Okayama）</x:v>
      </x:c>
      <x:c r="F2476" t="str">
        <x:v>福冈黄蜂 -0.5（半球）｜目标水位≈0.90~1.00（如主水0.96≈1.96）</x:v>
      </x:c>
      <x:c r="G2476" t="str">
        <x:v>小 1.75（1.5/2）｜目标水位≈0.90（如小水0.92≈1.92）</x:v>
      </x:c>
      <x:c r="H2476" t="str">
        <x:v>小注：半场平 @1.82；若临场让球回落到-0.25且主水≥0.85→降风险改-0.25；若升到-0.75且主水仍≥0.85→再考虑加仓-0.75</x:v>
      </x:c>
      <x:c r="I2476" t="n">
        <x:v>46061.49686342593</x:v>
      </x:c>
      <x:c r="J2476" t="str">
        <x:v>已结算</x:v>
      </x:c>
      <x:c r="K2476" t="str">
        <x:v>1-1</x:v>
      </x:c>
      <x:c r="L2476" t="str">
        <x:v>输</x:v>
      </x:c>
      <x:c r="M2476" t="str">
        <x:v>输半</x:v>
      </x:c>
      <x:c r="N2476" t="n">
        <x:v>-1</x:v>
      </x:c>
      <x:c r="O2476" t="n">
        <x:v>-0.5</x:v>
      </x:c>
      <x:c r="P2476" t="n">
        <x:f>IF(COUNT(N2476:O2476)=0,"",SUM(N2476:O2476))</x:f>
        <x:v>-1.5</x:v>
      </x:c>
      <x:c r="Q2476" t="str">
        <x:v>SofaScore</x:v>
      </x:c>
      <x:c r="R2476" t="str">
        <x:v>校正赛果：福冈黄蜂（Avispa Fukuoka） 1-1 冈山绿雉（Fagiano Okayama）；让球：福冈黄蜂 -0.5 -&gt; 输（-1）；大小：小1.75 -&gt; 输半（-0.5）；来源：SofaScore。</x:v>
      </x:c>
    </x:row>
    <x:row r="2477">
      <x:c r="A2477" t="str">
        <x:f>IF(B2477="","",TEXT(B2477,"yyyy-mm-dd")&amp;"|"&amp;D2477&amp;"|"&amp;E2477)</x:f>
        <x:v>2026-02-08|墨西哥美洲（Club América）|蒙特雷（Monterrey）</x:v>
      </x:c>
      <x:c r="B2477" t="n">
        <x:v>46061.46527777778</x:v>
      </x:c>
      <x:c r="C2477" t="str">
        <x:v>墨西哥超（Liga MX，Clausura）</x:v>
      </x:c>
      <x:c r="D2477" t="str">
        <x:v>墨西哥美洲（Club América）</x:v>
      </x:c>
      <x:c r="E2477" t="str">
        <x:v>蒙特雷（Monterrey）</x:v>
      </x:c>
      <x:c r="F2477" t="str">
        <x:v>墨西哥美洲 -0.5 @1.85</x:v>
      </x:c>
      <x:c r="G2477" t="str">
        <x:v>小 2.5 @1.97</x:v>
      </x:c>
      <x:c r="H2477" t="str">
        <x:v>可选：半场 平局 @2.25（小注）/ 蒙特雷 +0.5 @1.91（对冲）</x:v>
      </x:c>
      <x:c r="I2477" t="n">
        <x:v>46061.46702546296</x:v>
      </x:c>
      <x:c r="J2477" t="str">
        <x:v>已结算</x:v>
      </x:c>
      <x:c r="K2477" t="str">
        <x:v>1-0</x:v>
      </x:c>
      <x:c r="L2477" t="str">
        <x:v>赢</x:v>
      </x:c>
      <x:c r="M2477" t="str">
        <x:v>赢</x:v>
      </x:c>
      <x:c r="N2477" t="n">
        <x:v>1</x:v>
      </x:c>
      <x:c r="O2477" t="n">
        <x:v>1</x:v>
      </x:c>
      <x:c r="P2477" t="n">
        <x:f>IF(COUNT(N2477:O2477)=0,"",SUM(N2477:O2477))</x:f>
        <x:v>2</x:v>
      </x:c>
      <x:c r="Q2477"/>
      <x:c r="R2477" t="str">
        <x:v>赛果：墨西哥美洲 1-0 蒙特雷；让球：美洲 -0.5 赢；大小：小2.5 赢（总进球1）。</x:v>
      </x:c>
    </x:row>
    <x:row r="2478">
      <x:c r="A2478" t="str">
        <x:f>IF(B2478="","",TEXT(B2478,"yyyy-mm-dd")&amp;"|"&amp;D2478&amp;"|"&amp;E2478)</x:f>
        <x:v>2026-02-08|多拉多斯（Dorados de Sinaloa）|拉巴斯竞技（Club Atlético La Paz）</x:v>
      </x:c>
      <x:c r="B2478" t="n">
        <x:v>46061.458333333336</x:v>
      </x:c>
      <x:c r="C2478" t="str">
        <x:v>墨西哥甲级扩展联赛（Liga de Expansión MX）</x:v>
      </x:c>
      <x:c r="D2478" t="str">
        <x:v>多拉多斯（Dorados de Sinaloa）</x:v>
      </x:c>
      <x:c r="E2478" t="str">
        <x:v>拉巴斯竞技（Club Atlético La Paz）</x:v>
      </x:c>
      <x:c r="F2478" t="str">
        <x:v>拉巴斯竞技 0（平手/DNB）@2.00</x:v>
      </x:c>
      <x:c r="G2478" t="str">
        <x:v>小 3.0 @1.85</x:v>
      </x:c>
      <x:c r="H2478" t="str">
        <x:v>可选：小 2.75（2.5/3）@2.00（更激进）；若临场回到拉巴斯-0.25且水位≈0.80→可加仓-0.25；若拉巴斯DNB跌到&lt;0.75→改双重机会X2或只留小球</x:v>
      </x:c>
      <x:c r="I2478" t="n">
        <x:v>46061.465844907405</x:v>
      </x:c>
      <x:c r="J2478" t="str">
        <x:v>已结算</x:v>
      </x:c>
      <x:c r="K2478" t="str">
        <x:v>2-2</x:v>
      </x:c>
      <x:c r="L2478" t="str">
        <x:v>走水</x:v>
      </x:c>
      <x:c r="M2478" t="str">
        <x:v>输</x:v>
      </x:c>
      <x:c r="N2478" t="n">
        <x:v>0</x:v>
      </x:c>
      <x:c r="O2478" t="n">
        <x:v>-1</x:v>
      </x:c>
      <x:c r="P2478" t="n">
        <x:f>IF(COUNT(N2478:O2478)=0,"",SUM(N2478:O2478))</x:f>
        <x:v>-1</x:v>
      </x:c>
      <x:c r="Q2478"/>
      <x:c r="R2478" t="str">
        <x:v>赛果：多拉多斯 2-2 拉巴斯；让球：拉巴斯 0（DNB）走水；大小：小3.0 输（总进球4）。</x:v>
      </x:c>
    </x:row>
    <x:row r="2479">
      <x:c r="A2479" t="str">
        <x:f>IF(B2479="","",TEXT(B2479,"yyyy-mm-dd")&amp;"|"&amp;D2479&amp;"|"&amp;E2479)</x:f>
        <x:v>2026-02-08|阿拉胡伦斯（Alajuelense）|希雷迪亚诺（Herediano）</x:v>
      </x:c>
      <x:c r="B2479" t="n">
        <x:v>46061.416666666664</x:v>
      </x:c>
      <x:c r="C2479" t="str">
        <x:v>哥斯达黎加甲（Primera Division）</x:v>
      </x:c>
      <x:c r="D2479" t="str">
        <x:v>阿拉胡伦斯（Alajuelense）</x:v>
      </x:c>
      <x:c r="E2479" t="str">
        <x:v>希雷迪亚诺（Herediano）</x:v>
      </x:c>
      <x:c r="F2479" t="str">
        <x:v>阿拉胡伦斯 -0.5（半球）@≈2.05（目标水位≥0.80）</x:v>
      </x:c>
      <x:c r="G2479" t="str">
        <x:v>小 2.0（2球）@≈2.00（目标水位≥0.80）</x:v>
      </x:c>
      <x:c r="H2479" t="str">
        <x:v>小注：半场 平局 @≈1.91（低比分节奏对冲）</x:v>
      </x:c>
      <x:c r="I2479" t="n">
        <x:v>46061.43408564815</x:v>
      </x:c>
      <x:c r="J2479" t="str">
        <x:v>已结算</x:v>
      </x:c>
      <x:c r="K2479" t="str">
        <x:v>1-1</x:v>
      </x:c>
      <x:c r="L2479" t="str">
        <x:v>输</x:v>
      </x:c>
      <x:c r="M2479" t="str">
        <x:v>走水</x:v>
      </x:c>
      <x:c r="N2479" t="n">
        <x:v>-1</x:v>
      </x:c>
      <x:c r="O2479" t="n">
        <x:v>0</x:v>
      </x:c>
      <x:c r="P2479" t="n">
        <x:f>IF(COUNT(N2479:O2479)=0,"",SUM(N2479:O2479))</x:f>
        <x:v>-1</x:v>
      </x:c>
      <x:c r="Q2479"/>
      <x:c r="R2479" t="str">
        <x:v>赛果：阿拉胡伦斯 1-1 希雷迪亚诺；让球：阿拉胡伦斯 -0.5 输；大小：小2.0 走水（总进球2）。</x:v>
      </x:c>
    </x:row>
    <x:row r="2480">
      <x:c r="A2480" t="str">
        <x:f>IF(B2480="","",TEXT(B2480,"yyyy-mm-dd")&amp;"|"&amp;D2480&amp;"|"&amp;E2480)</x:f>
        <x:v>2026-02-08|巴兰基亚青年（Junior Barranquilla）|茨高（Boyacá Chicó）</x:v>
      </x:c>
      <x:c r="B2480" t="n">
        <x:v>46061.395833333336</x:v>
      </x:c>
      <x:c r="C2480" t="str">
        <x:v>哥伦比亚甲级联赛（Liga BetPlay DIMAYOR）</x:v>
      </x:c>
      <x:c r="D2480" t="str">
        <x:v>巴兰基亚青年（Junior Barranquilla）</x:v>
      </x:c>
      <x:c r="E2480" t="str">
        <x:v>茨高（Boyacá Chicó）</x:v>
      </x:c>
      <x:c r="F2480" t="str">
        <x:v>巴兰基亚青年 -1.5 @1.89</x:v>
      </x:c>
      <x:c r="G2480" t="str">
        <x:v>小 2.5 @1.85</x:v>
      </x:c>
      <x:c r="H2480" t="str">
        <x:v>可选：若临场退到巴兰基亚青年 -1.25 且水位≈0.80~0.90→降盘更稳；若升到-1.75且水位≈0.80→小注加仓-1.75。大小球：若小2.5被压到&lt;0.75→改小2.25找≈0.80。</x:v>
      </x:c>
      <x:c r="I2480" t="n">
        <x:v>46061.41142361111</x:v>
      </x:c>
      <x:c r="J2480" t="str">
        <x:v>已结算</x:v>
      </x:c>
      <x:c r="K2480" t="str">
        <x:v>3-0</x:v>
      </x:c>
      <x:c r="L2480" t="str">
        <x:v>赢</x:v>
      </x:c>
      <x:c r="M2480" t="str">
        <x:v>输</x:v>
      </x:c>
      <x:c r="N2480" t="n">
        <x:v>1</x:v>
      </x:c>
      <x:c r="O2480" t="n">
        <x:v>-1</x:v>
      </x:c>
      <x:c r="P2480" t="n">
        <x:f>IF(COUNT(N2480:O2480)=0,"",SUM(N2480:O2480))</x:f>
        <x:v>0</x:v>
      </x:c>
      <x:c r="Q2480"/>
      <x:c r="R2480" t="str">
        <x:v>赛果：巴兰基亚青年 3-0 茨高；让球：青年 -1.5 赢；大小：小2.5 输（总进球3）。</x:v>
      </x:c>
    </x:row>
    <x:row r="2481">
      <x:c r="A2481" t="str">
        <x:f>IF(B2481="","",TEXT(B2481,"yyyy-mm-dd")&amp;"|"&amp;D2481&amp;"|"&amp;E2481)</x:f>
        <x:v>2026-02-08|阿特拉斯（Atlas）|美洲狮（Pumas UNAM）</x:v>
      </x:c>
      <x:c r="B2481" t="n">
        <x:v>46061.37847222222</x:v>
      </x:c>
      <x:c r="C2481" t="str">
        <x:v>墨西哥超（Liga MX，Clausura）</x:v>
      </x:c>
      <x:c r="D2481" t="str">
        <x:v>阿特拉斯（Atlas）</x:v>
      </x:c>
      <x:c r="E2481" t="str">
        <x:v>美洲狮（Pumas UNAM）</x:v>
      </x:c>
      <x:c r="F2481" t="str">
        <x:v>阿特拉斯 0（平手/DNB）@1.90</x:v>
      </x:c>
      <x:c r="G2481" t="str">
        <x:v>大 2.5 @2.25</x:v>
      </x:c>
      <x:c r="H2481" t="str">
        <x:v>水位目标≈0.80+：让球主推阿特拉斯DNB（约1.90）。若临场阿特拉斯DNB被压到&lt;1.75→减仓或改阿特拉斯+0.25（需≥1.80）；若反向给到美洲狮-0.25且≥1.85→可小注对冲。大小球主推大2.5（约2.25）；若大2.5回落到&lt;1.85→改大2.25；若升到3.0且大3.0≥1.80→可转大3.0。</x:v>
      </x:c>
      <x:c r="I2481" t="n">
        <x:v>46061.37616898148</x:v>
      </x:c>
      <x:c r="J2481" t="str">
        <x:v>已结算</x:v>
      </x:c>
      <x:c r="K2481" t="str">
        <x:v>2-2</x:v>
      </x:c>
      <x:c r="L2481" t="str">
        <x:v>走水</x:v>
      </x:c>
      <x:c r="M2481" t="str">
        <x:v>赢</x:v>
      </x:c>
      <x:c r="N2481" t="n">
        <x:v>0</x:v>
      </x:c>
      <x:c r="O2481" t="n">
        <x:v>1</x:v>
      </x:c>
      <x:c r="P2481" t="n">
        <x:f>IF(COUNT(N2481:O2481)=0,"",SUM(N2481:O2481))</x:f>
        <x:v>1</x:v>
      </x:c>
      <x:c r="Q2481"/>
      <x:c r="R2481" t="str">
        <x:v>赛果：阿特拉斯 2-2 美洲狮；让球：阿特拉斯 0（DNB）走水；大小：大2.5 赢（总进球4）。</x:v>
      </x:c>
    </x:row>
    <x:row r="2482">
      <x:c r="A2482" t="str">
        <x:f>IF(B2482="","",TEXT(B2482,"yyyy-mm-dd")&amp;"|"&amp;D2482&amp;"|"&amp;E2482)</x:f>
        <x:v>2026-02-08|哈依布拉瓦（Jaiba Brava）|伊拉普阿托（Irapuato）</x:v>
      </x:c>
      <x:c r="B2482" t="n">
        <x:v>46061.375</x:v>
      </x:c>
      <x:c r="C2482" t="str">
        <x:v>墨西哥甲级扩展联赛（Liga de Expansión MX）</x:v>
      </x:c>
      <x:c r="D2482" t="str">
        <x:v>哈依布拉瓦（Jaiba Brava）</x:v>
      </x:c>
      <x:c r="E2482" t="str">
        <x:v>伊拉普阿托（Irapuato）</x:v>
      </x:c>
      <x:c r="F2482" t="str">
        <x:v>哈依布拉瓦 -0.5 @2.02</x:v>
      </x:c>
      <x:c r="G2482" t="str">
        <x:v>大 2.5 @2.58</x:v>
      </x:c>
      <x:c r="H2482" t="str">
        <x:v>可选：哈依布拉瓦 -0.25 @1.84（保守）/ 若大2.5临场回落到2.25且大2.25≈0.80→降盘更稳</x:v>
      </x:c>
      <x:c r="I2482" t="n">
        <x:v>46061.37635416666</x:v>
      </x:c>
      <x:c r="J2482" t="str">
        <x:v>已结算</x:v>
      </x:c>
      <x:c r="K2482" t="str">
        <x:v>0-1</x:v>
      </x:c>
      <x:c r="L2482" t="str">
        <x:v>输</x:v>
      </x:c>
      <x:c r="M2482" t="str">
        <x:v>输</x:v>
      </x:c>
      <x:c r="N2482" t="n">
        <x:v>-1</x:v>
      </x:c>
      <x:c r="O2482" t="n">
        <x:v>-1</x:v>
      </x:c>
      <x:c r="P2482" t="n">
        <x:f>IF(COUNT(N2482:O2482)=0,"",SUM(N2482:O2482))</x:f>
        <x:v>-2</x:v>
      </x:c>
      <x:c r="Q2482"/>
      <x:c r="R2482" t="str">
        <x:v>赛果：哈依布拉瓦 0-1 伊拉普阿托；让球：哈依布拉瓦 -0.5 输；大小：大2.5 输（总进球1）。</x:v>
      </x:c>
    </x:row>
    <x:row r="2483">
      <x:c r="A2483" t="str">
        <x:f>IF(B2483="","",TEXT(B2483,"yyyy-mm-dd")&amp;"|"&amp;D2483&amp;"|"&amp;E2483)</x:f>
        <x:v>2026-02-08|帕丘卡（Pachuca）|华雷斯（FC Juárez）</x:v>
      </x:c>
      <x:c r="B2483" t="n">
        <x:v>46061.375</x:v>
      </x:c>
      <x:c r="C2483" t="str">
        <x:v>墨西哥超（Liga MX，Clausura）</x:v>
      </x:c>
      <x:c r="D2483" t="str">
        <x:v>帕丘卡（Pachuca）</x:v>
      </x:c>
      <x:c r="E2483" t="str">
        <x:v>华雷斯（FC Juárez）</x:v>
      </x:c>
      <x:c r="F2483" t="str">
        <x:v>帕丘卡 -0.5 @1.92</x:v>
      </x:c>
      <x:c r="G2483" t="str">
        <x:v>大 2.5 @2.07</x:v>
      </x:c>
      <x:c r="H2483" t="str">
        <x:v>可选：帕丘卡 -0.75 @2.15（小注）/ 若大2.5临场被压到&lt;0.75→改大2.25找≈0.80</x:v>
      </x:c>
      <x:c r="I2483" t="n">
        <x:v>46061.376296296294</x:v>
      </x:c>
      <x:c r="J2483" t="str">
        <x:v>已结算</x:v>
      </x:c>
      <x:c r="K2483" t="str">
        <x:v>2-0</x:v>
      </x:c>
      <x:c r="L2483" t="str">
        <x:v>赢</x:v>
      </x:c>
      <x:c r="M2483" t="str">
        <x:v>输</x:v>
      </x:c>
      <x:c r="N2483" t="n">
        <x:v>1</x:v>
      </x:c>
      <x:c r="O2483" t="n">
        <x:v>-1</x:v>
      </x:c>
      <x:c r="P2483" t="n">
        <x:f>IF(COUNT(N2483:O2483)=0,"",SUM(N2483:O2483))</x:f>
        <x:v>0</x:v>
      </x:c>
      <x:c r="Q2483"/>
      <x:c r="R2483" t="str">
        <x:v>赛果：帕丘卡 2-0 华雷斯；让球：帕丘卡 -0.5 赢；大小：大2.5 输（总进球2）。</x:v>
      </x:c>
    </x:row>
    <x:row r="2484">
      <x:c r="A2484" t="str">
        <x:f>IF(B2484="","",TEXT(B2484,"yyyy-mm-dd")&amp;"|"&amp;D2484&amp;"|"&amp;E2484)</x:f>
        <x:v>2026-02-08|福塔雷绍查（Fortaleza CEIF）|圣塔菲（Independiente Santa Fe）</x:v>
      </x:c>
      <x:c r="B2484" t="n">
        <x:v>46061.305555555555</x:v>
      </x:c>
      <x:c r="C2484" t="str">
        <x:v>哥伦比亚甲级联赛（Liga BetPlay DIMAYOR）</x:v>
      </x:c>
      <x:c r="D2484" t="str">
        <x:v>福塔雷绍查（Fortaleza CEIF）</x:v>
      </x:c>
      <x:c r="E2484" t="str">
        <x:v>圣塔菲（Independiente Santa Fe）</x:v>
      </x:c>
      <x:c r="F2484" t="str">
        <x:v>圣塔菲 0（平手/DNB，目标水位≈0.80~0.90）</x:v>
      </x:c>
      <x:c r="G2484" t="str">
        <x:v>小 2.25（2/2.5，目标水位≈0.80~0.90）</x:v>
      </x:c>
      <x:c r="H2484" t="str">
        <x:v>若临场圣塔菲-0.25且水位≈0.80→可加仓-0.25；若DNB水位&lt;0.75→降为圣塔菲+0/0.25或干脆只留小球。若小2.25过低(&lt;0.75)→改小2.0；若升到2.5且小2.5≈0.80→改小2.5。</x:v>
      </x:c>
      <x:c r="I2484" t="n">
        <x:v>46061.30568287037</x:v>
      </x:c>
      <x:c r="J2484" t="str">
        <x:v>已结算</x:v>
      </x:c>
      <x:c r="K2484" t="str">
        <x:v>1-1</x:v>
      </x:c>
      <x:c r="L2484" t="str">
        <x:v>走水</x:v>
      </x:c>
      <x:c r="M2484" t="str">
        <x:v>赢半</x:v>
      </x:c>
      <x:c r="N2484" t="n">
        <x:v>0</x:v>
      </x:c>
      <x:c r="O2484" t="n">
        <x:v>0.5</x:v>
      </x:c>
      <x:c r="P2484" t="n">
        <x:f>IF(COUNT(N2484:O2484)=0,"",SUM(N2484:O2484))</x:f>
        <x:v>0.5</x:v>
      </x:c>
      <x:c r="Q2484"/>
      <x:c r="R2484" t="str">
        <x:v>赛果：福塔雷绍查 1-1 圣塔菲；让球：圣塔菲 0（DNB）走水；大小：小2.25 赢半（总进球2）。</x:v>
      </x:c>
    </x:row>
    <x:row r="2485">
      <x:c r="A2485" t="str">
        <x:f>IF(B2485="","",TEXT(B2485,"yyyy-mm-dd")&amp;"|"&amp;D2485&amp;"|"&amp;E2485)</x:f>
        <x:v>2026-02-08|洛沃斯墨（Lobos UPNFM）|CD奥林匹亚（CD Olimpia）</x:v>
      </x:c>
      <x:c r="B2485" t="n">
        <x:v>46061.302083333336</x:v>
      </x:c>
      <x:c r="C2485" t="str">
        <x:v>洪都拉斯甲级联赛（Clausura）</x:v>
      </x:c>
      <x:c r="D2485" t="str">
        <x:v>洛沃斯墨（Lobos UPNFM）</x:v>
      </x:c>
      <x:c r="E2485" t="str">
        <x:v>CD奥林匹亚（CD Olimpia）</x:v>
      </x:c>
      <x:c r="F2485" t="str">
        <x:v>CD奥林匹亚 -0.75（半/一，目标水位≈0.80~0.90）</x:v>
      </x:c>
      <x:c r="G2485" t="str">
        <x:v>小 2.5（目标水位≈0.80~0.95）</x:v>
      </x:c>
      <x:c r="H2485" t="str">
        <x:v>若临场退到奥林匹亚-0.5且水位&lt;0.75→改奥林匹亚-0.25或奥林匹亚0（DNB）找≈0.80；若升到-1且水位≈0.80→可加仓-1。大小球：若小2.5过低→改小2.25；若升到2.75且小2.75≈0.80→改小2.75。</x:v>
      </x:c>
      <x:c r="I2485" t="n">
        <x:v>46061.30577546296</x:v>
      </x:c>
      <x:c r="J2485" t="str">
        <x:v>已结算</x:v>
      </x:c>
      <x:c r="K2485" t="str">
        <x:v>0-1</x:v>
      </x:c>
      <x:c r="L2485" t="str">
        <x:v>赢半</x:v>
      </x:c>
      <x:c r="M2485" t="str">
        <x:v>赢</x:v>
      </x:c>
      <x:c r="N2485" t="n">
        <x:v>0.5</x:v>
      </x:c>
      <x:c r="O2485" t="n">
        <x:v>1</x:v>
      </x:c>
      <x:c r="P2485" t="n">
        <x:f>IF(COUNT(N2485:O2485)=0,"",SUM(N2485:O2485))</x:f>
        <x:v>1.5</x:v>
      </x:c>
      <x:c r="Q2485"/>
      <x:c r="R2485" t="str">
        <x:v>赛果：洛沃斯墨 0-1 CD奥林匹亚；让球：奥林匹亚 -0.75 赢半；大小：小2.5 赢（总进球1）。</x:v>
      </x:c>
    </x:row>
    <x:row r="2486">
      <x:c r="A2486" t="str">
        <x:f>IF(B2486="","",TEXT(B2486,"yyyy-mm-dd")&amp;"|"&amp;D2486&amp;"|"&amp;E2486)</x:f>
        <x:v>2026-02-08|亚特兰特（Atlante）|塔巴蒂奥（CD Tapatío）</x:v>
      </x:c>
      <x:c r="B2486" t="n">
        <x:v>46061.291666666664</x:v>
      </x:c>
      <x:c r="C2486" t="str">
        <x:v>墨西哥甲级扩展联赛（Liga de Expansión MX）</x:v>
      </x:c>
      <x:c r="D2486" t="str">
        <x:v>亚特兰特（Atlante）</x:v>
      </x:c>
      <x:c r="E2486" t="str">
        <x:v>塔巴蒂奥（CD Tapatío）</x:v>
      </x:c>
      <x:c r="F2486" t="str">
        <x:v>亚特兰特 -1.25 @2.01</x:v>
      </x:c>
      <x:c r="G2486" t="str">
        <x:v>小 2.5 @1.90</x:v>
      </x:c>
      <x:c r="H2486" t="str">
        <x:v>可选：亚特兰特 -1.5 @2.30（小注）；临场若主让退到-1且水位≥0.80→降盘保守；若升到-1.5且水位≈0.80~0.90→可加仓-1.5</x:v>
      </x:c>
      <x:c r="I2486" t="n">
        <x:v>46061.29355324074</x:v>
      </x:c>
      <x:c r="J2486" t="str">
        <x:v>已结算</x:v>
      </x:c>
      <x:c r="K2486" t="str">
        <x:v>1-3</x:v>
      </x:c>
      <x:c r="L2486" t="str">
        <x:v>输</x:v>
      </x:c>
      <x:c r="M2486" t="str">
        <x:v>输</x:v>
      </x:c>
      <x:c r="N2486" t="n">
        <x:v>-1</x:v>
      </x:c>
      <x:c r="O2486" t="n">
        <x:v>-1</x:v>
      </x:c>
      <x:c r="P2486" t="n">
        <x:f>IF(COUNT(N2486:O2486)=0,"",SUM(N2486:O2486))</x:f>
        <x:v>-2</x:v>
      </x:c>
      <x:c r="Q2486"/>
      <x:c r="R2486" t="str">
        <x:v>赛果：亚特兰特 1-3 塔巴蒂奥；让球：亚特兰特 -1.25 输；大小：小2.5 输（总进球4）。</x:v>
      </x:c>
    </x:row>
    <x:row r="2487">
      <x:c r="A2487" t="str">
        <x:f>IF(B2487="","",TEXT(B2487,"yyyy-mm-dd")&amp;"|"&amp;D2487&amp;"|"&amp;E2487)</x:f>
        <x:v>2026-02-08|河床（River Plate）|提格雷（Tigre）</x:v>
      </x:c>
      <x:c r="B2487" t="n">
        <x:v>46061.291666666664</x:v>
      </x:c>
      <x:c r="C2487" t="str">
        <x:v>阿根廷职业联赛（Liga Profesional·Apertura）</x:v>
      </x:c>
      <x:c r="D2487" t="str">
        <x:v>河床（River Plate）</x:v>
      </x:c>
      <x:c r="E2487" t="str">
        <x:v>提格雷（Tigre）</x:v>
      </x:c>
      <x:c r="F2487" t="str">
        <x:v>河床 -1.0 @1.90</x:v>
      </x:c>
      <x:c r="G2487" t="str">
        <x:v>大 2.5 @2.25</x:v>
      </x:c>
      <x:c r="H2487" t="str">
        <x:v>可选：河床 -1.5 @2.45（小注）/ 河床胜&amp;零封 @2.30（对冲大球）</x:v>
      </x:c>
      <x:c r="I2487" t="n">
        <x:v>46061.29114583333</x:v>
      </x:c>
      <x:c r="J2487" t="str">
        <x:v>已结算</x:v>
      </x:c>
      <x:c r="K2487" t="str">
        <x:v>1-4</x:v>
      </x:c>
      <x:c r="L2487" t="str">
        <x:v>输</x:v>
      </x:c>
      <x:c r="M2487" t="str">
        <x:v>赢</x:v>
      </x:c>
      <x:c r="N2487" t="n">
        <x:v>-1</x:v>
      </x:c>
      <x:c r="O2487" t="n">
        <x:v>1</x:v>
      </x:c>
      <x:c r="P2487" t="n">
        <x:f>IF(COUNT(N2487:O2487)=0,"",SUM(N2487:O2487))</x:f>
        <x:v>0</x:v>
      </x:c>
      <x:c r="Q2487"/>
      <x:c r="R2487" t="str">
        <x:v>赛果：河床 1-4 提格雷；让球：河床 -1 输；大小：大2.5 赢（总进球5）。</x:v>
      </x:c>
    </x:row>
    <x:row r="2488">
      <x:c r="A2488" t="str">
        <x:f>IF(B2488="","",TEXT(B2488,"yyyy-mm-dd")&amp;"|"&amp;D2488&amp;"|"&amp;E2488)</x:f>
        <x:v>2026-02-08|克雷塔罗（Querétaro）|莱昂（León）</x:v>
      </x:c>
      <x:c r="B2488" t="n">
        <x:v>46061.291666666664</x:v>
      </x:c>
      <x:c r="C2488" t="str">
        <x:v>墨西哥超（Liga MX，Clausura）</x:v>
      </x:c>
      <x:c r="D2488" t="str">
        <x:v>克雷塔罗（Querétaro）</x:v>
      </x:c>
      <x:c r="E2488" t="str">
        <x:v>莱昂（León）</x:v>
      </x:c>
      <x:c r="F2488" t="str">
        <x:v>克雷塔罗 -0.25 @2.15</x:v>
      </x:c>
      <x:c r="G2488" t="str">
        <x:v>小 2.5 @1.86</x:v>
      </x:c>
      <x:c r="H2488" t="str">
        <x:v>可选：BTTS 否 @2.05 / 克雷塔罗 0（DNB）@1.80（保守）</x:v>
      </x:c>
      <x:c r="I2488" t="n">
        <x:v>46061.291030092594</x:v>
      </x:c>
      <x:c r="J2488" t="str">
        <x:v>已结算</x:v>
      </x:c>
      <x:c r="K2488" t="str">
        <x:v>2-0</x:v>
      </x:c>
      <x:c r="L2488" t="str">
        <x:v>赢</x:v>
      </x:c>
      <x:c r="M2488" t="str">
        <x:v>赢</x:v>
      </x:c>
      <x:c r="N2488" t="n">
        <x:v>1</x:v>
      </x:c>
      <x:c r="O2488" t="n">
        <x:v>1</x:v>
      </x:c>
      <x:c r="P2488" t="n">
        <x:f>IF(COUNT(N2488:O2488)=0,"",SUM(N2488:O2488))</x:f>
        <x:v>2</x:v>
      </x:c>
      <x:c r="Q2488"/>
      <x:c r="R2488" t="str">
        <x:v>赛果：克雷塔罗 2-0 莱昂；让球：克雷塔罗 -0.25 赢；大小：小2.5 赢（总进球2）。</x:v>
      </x:c>
    </x:row>
    <x:row r="2489">
      <x:c r="A2489" t="str">
        <x:f>IF(B2489="","",TEXT(B2489,"yyyy-mm-dd")&amp;"|"&amp;D2489&amp;"|"&amp;E2489)</x:f>
        <x:v>2026-02-08|托卢卡（Toluca）|蓝十字（Cruz Azul）</x:v>
      </x:c>
      <x:c r="B2489" t="n">
        <x:v>46061.291666666664</x:v>
      </x:c>
      <x:c r="C2489" t="str">
        <x:v>墨西哥超（Liga MX，Clausura）</x:v>
      </x:c>
      <x:c r="D2489" t="str">
        <x:v>托卢卡（Toluca）</x:v>
      </x:c>
      <x:c r="E2489" t="str">
        <x:v>蓝十字（Cruz Azul）</x:v>
      </x:c>
      <x:c r="F2489" t="str">
        <x:v>托卢卡 -0.75 @1.89</x:v>
      </x:c>
      <x:c r="G2489" t="str">
        <x:v>小 2.75 @1.95</x:v>
      </x:c>
      <x:c r="H2489" t="str">
        <x:v>可选：小 2.5 @2.10（更激进）</x:v>
      </x:c>
      <x:c r="I2489" t="n">
        <x:v>46061.290972222225</x:v>
      </x:c>
      <x:c r="J2489" t="str">
        <x:v>已结算</x:v>
      </x:c>
      <x:c r="K2489" t="str">
        <x:v>1-1</x:v>
      </x:c>
      <x:c r="L2489" t="str">
        <x:v>输</x:v>
      </x:c>
      <x:c r="M2489" t="str">
        <x:v>赢</x:v>
      </x:c>
      <x:c r="N2489" t="n">
        <x:v>-1</x:v>
      </x:c>
      <x:c r="O2489" t="n">
        <x:v>1</x:v>
      </x:c>
      <x:c r="P2489" t="n">
        <x:f>IF(COUNT(N2489:O2489)=0,"",SUM(N2489:O2489))</x:f>
        <x:v>0</x:v>
      </x:c>
      <x:c r="Q2489"/>
      <x:c r="R2489" t="str">
        <x:v>赛果：托卢卡 1-1 蓝十字；让球：托卢卡 -0.75 输；大小：小2.75 赢（总进球2）。</x:v>
      </x:c>
    </x:row>
    <x:row r="2490">
      <x:c r="A2490" t="str">
        <x:f>IF(B2490="","",TEXT(B2490,"yyyy-mm-dd")&amp;"|"&amp;D2490&amp;"|"&amp;E2490)</x:f>
        <x:v>2026-02-07|巴塞罗那（Barcelona）|皇家马略卡（Mallorca）</x:v>
      </x:c>
      <x:c r="B2490" t="n">
        <x:v>46060.96875</x:v>
      </x:c>
      <x:c r="C2490" t="str">
        <x:v>西甲（LaLiga）</x:v>
      </x:c>
      <x:c r="D2490" t="str">
        <x:v>巴塞罗那（Barcelona）</x:v>
      </x:c>
      <x:c r="E2490" t="str">
        <x:v>皇家马略卡（Mallorca）</x:v>
      </x:c>
      <x:c r="F2490" t="str">
        <x:v>巴塞罗那 -2.25 @1.85</x:v>
      </x:c>
      <x:c r="G2490" t="str">
        <x:v>小 3.5 @1.97</x:v>
      </x:c>
      <x:c r="H2490" t="str">
        <x:v>可选：巴萨 半场 -1 @1.93 / 巴萨 零封胜 @2.05</x:v>
      </x:c>
      <x:c r="I2490" t="n">
        <x:v>46060.92350694445</x:v>
      </x:c>
      <x:c r="J2490" t="str">
        <x:v>已结算</x:v>
      </x:c>
      <x:c r="K2490" t="str">
        <x:v>3-0</x:v>
      </x:c>
      <x:c r="L2490" t="str">
        <x:v>赢</x:v>
      </x:c>
      <x:c r="M2490" t="str">
        <x:v>赢</x:v>
      </x:c>
      <x:c r="N2490" t="n">
        <x:v>1</x:v>
      </x:c>
      <x:c r="O2490" t="n">
        <x:v>1</x:v>
      </x:c>
      <x:c r="P2490" t="n">
        <x:f>IF(COUNT(N2490:O2490)=0,"",SUM(N2490:O2490))</x:f>
        <x:v>2</x:v>
      </x:c>
      <x:c r="Q2490"/>
      <x:c r="R2490" t="str">
        <x:v>赛果：巴塞罗那 3-0 皇家马略卡；让球：巴萨 -2.25 赢；大小：小3.5 赢（总进球3）。</x:v>
      </x:c>
    </x:row>
    <x:row r="2491">
      <x:c r="A2491" t="str">
        <x:f>IF(B2491="","",TEXT(B2491,"yyyy-mm-dd")&amp;"|"&amp;D2491&amp;"|"&amp;E2491)</x:f>
        <x:v>2026-02-07|伯恩茅斯（Bournemouth）|阿斯顿维拉（Aston Villa）</x:v>
      </x:c>
      <x:c r="B2491" t="n">
        <x:v>46060.958333333336</x:v>
      </x:c>
      <x:c r="C2491" t="str">
        <x:v>英格兰超级联赛（Premier League）</x:v>
      </x:c>
      <x:c r="D2491" t="str">
        <x:v>伯恩茅斯（Bournemouth）</x:v>
      </x:c>
      <x:c r="E2491" t="str">
        <x:v>阿斯顿维拉（Aston Villa）</x:v>
      </x:c>
      <x:c r="F2491" t="str">
        <x:v>阿斯顿维拉 0（平手/DNB）@1.82</x:v>
      </x:c>
      <x:c r="G2491" t="str">
        <x:v>小 2.5 @2.23</x:v>
      </x:c>
      <x:c r="H2491" t="str">
        <x:v>可选：双方进球 否 @2.60；若临场阿斯顿维拉升到-0.25且水位≈0.80~0.90→可小加仓-0.25；若DNB被压到&lt;1.75→改伯恩茅斯0 @1.95走主队不败思路</x:v>
      </x:c>
      <x:c r="I2491" t="n">
        <x:v>46060.95532407407</x:v>
      </x:c>
      <x:c r="J2491" t="str">
        <x:v>已结算</x:v>
      </x:c>
      <x:c r="K2491" t="str">
        <x:v>1-1</x:v>
      </x:c>
      <x:c r="L2491" t="str">
        <x:v>走水</x:v>
      </x:c>
      <x:c r="M2491" t="str">
        <x:v>赢</x:v>
      </x:c>
      <x:c r="N2491" t="n">
        <x:v>0</x:v>
      </x:c>
      <x:c r="O2491" t="n">
        <x:v>1</x:v>
      </x:c>
      <x:c r="P2491" t="n">
        <x:f>IF(COUNT(N2491:O2491)=0,"",SUM(N2491:O2491))</x:f>
        <x:v>1</x:v>
      </x:c>
      <x:c r="Q2491"/>
      <x:c r="R2491" t="str">
        <x:v>赛果：伯恩茅斯 1-1 阿斯顿维拉；让球：维拉 0（DNB）走水；大小：小2.5 赢（总进球2）。</x:v>
      </x:c>
    </x:row>
    <x:row r="2492">
      <x:c r="A2492" t="str">
        <x:f>IF(B2492="","",TEXT(B2492,"yyyy-mm-dd")&amp;"|"&amp;D2492&amp;"|"&amp;E2492)</x:f>
        <x:v>2026-02-07|赫尔城（Hull City）|布里斯托城（Bristol City）</x:v>
      </x:c>
      <x:c r="B2492" t="n">
        <x:v>46060.958333333336</x:v>
      </x:c>
      <x:c r="C2492" t="str">
        <x:v>英格兰冠军联赛（英冠）</x:v>
      </x:c>
      <x:c r="D2492" t="str">
        <x:v>赫尔城（Hull City）</x:v>
      </x:c>
      <x:c r="E2492" t="str">
        <x:v>布里斯托城（Bristol City）</x:v>
      </x:c>
      <x:c r="F2492" t="str">
        <x:v>赫尔城 -0.25 @2.07</x:v>
      </x:c>
      <x:c r="G2492" t="str">
        <x:v>小 2.5 @1.83</x:v>
      </x:c>
      <x:c r="H2492" t="str">
        <x:v>可选：BTTS 否 @2.05 / 赫尔城 0（DNB）@1.80</x:v>
      </x:c>
      <x:c r="I2492" t="n">
        <x:v>46060.92355324074</x:v>
      </x:c>
      <x:c r="J2492" t="str">
        <x:v>已结算</x:v>
      </x:c>
      <x:c r="K2492" t="str">
        <x:v>2-3</x:v>
      </x:c>
      <x:c r="L2492" t="str">
        <x:v>输</x:v>
      </x:c>
      <x:c r="M2492" t="str">
        <x:v>输</x:v>
      </x:c>
      <x:c r="N2492" t="n">
        <x:v>-1</x:v>
      </x:c>
      <x:c r="O2492" t="n">
        <x:v>-1</x:v>
      </x:c>
      <x:c r="P2492" t="n">
        <x:f>IF(COUNT(N2492:O2492)=0,"",SUM(N2492:O2492))</x:f>
        <x:v>-2</x:v>
      </x:c>
      <x:c r="Q2492"/>
      <x:c r="R2492" t="str">
        <x:v>赛果：赫尔城 2-3 布里斯托城；让球：赫尔城 -0.25 输；大小：小2.5 输（总进球5）。</x:v>
      </x:c>
    </x:row>
    <x:row r="2493">
      <x:c r="A2493" t="str">
        <x:f>IF(B2493="","",TEXT(B2493,"yyyy-mm-dd")&amp;"|"&amp;D2493&amp;"|"&amp;E2493)</x:f>
        <x:v>2026-02-07|伯明翰（Birmingham City）|莱斯特城（Leicester City）</x:v>
      </x:c>
      <x:c r="B2493" t="n">
        <x:v>46060.958333333336</x:v>
      </x:c>
      <x:c r="C2493" t="str">
        <x:v>英格兰冠军联赛（英冠）</x:v>
      </x:c>
      <x:c r="D2493" t="str">
        <x:v>伯明翰（Birmingham City）</x:v>
      </x:c>
      <x:c r="E2493" t="str">
        <x:v>莱斯特城（Leicester City）</x:v>
      </x:c>
      <x:c r="F2493" t="str">
        <x:v>伯明翰 -0.75 @1.87</x:v>
      </x:c>
      <x:c r="G2493" t="str">
        <x:v>小 2.5 @2.00</x:v>
      </x:c>
      <x:c r="H2493" t="str">
        <x:v>可选：BTTS 否 @1.95 / 伯明翰 -1.5 @2.90（小注）</x:v>
      </x:c>
      <x:c r="I2493" t="n">
        <x:v>46060.923414351855</x:v>
      </x:c>
      <x:c r="J2493" t="str">
        <x:v>已结算</x:v>
      </x:c>
      <x:c r="K2493" t="str">
        <x:v>2-1</x:v>
      </x:c>
      <x:c r="L2493" t="str">
        <x:v>赢半</x:v>
      </x:c>
      <x:c r="M2493" t="str">
        <x:v>输</x:v>
      </x:c>
      <x:c r="N2493" t="n">
        <x:v>0.5</x:v>
      </x:c>
      <x:c r="O2493" t="n">
        <x:v>-1</x:v>
      </x:c>
      <x:c r="P2493" t="n">
        <x:f>IF(COUNT(N2493:O2493)=0,"",SUM(N2493:O2493))</x:f>
        <x:v>-0.5</x:v>
      </x:c>
      <x:c r="Q2493"/>
      <x:c r="R2493" t="str">
        <x:v>赛果：伯明翰 2-1 莱斯特城；让球：伯明翰 -0.75 赢半；大小：小2.5 输（总进球3）。</x:v>
      </x:c>
    </x:row>
    <x:row r="2494">
      <x:c r="A2494" t="str">
        <x:f>IF(B2494="","",TEXT(B2494,"yyyy-mm-dd")&amp;"|"&amp;D2494&amp;"|"&amp;E2494)</x:f>
        <x:v>2026-02-07|考文垂（Coventry City）|牛津联（Oxford United）</x:v>
      </x:c>
      <x:c r="B2494" t="n">
        <x:v>46060.958333333336</x:v>
      </x:c>
      <x:c r="C2494" t="str">
        <x:v>英格兰冠军联赛（英冠）</x:v>
      </x:c>
      <x:c r="D2494" t="str">
        <x:v>考文垂（Coventry City）</x:v>
      </x:c>
      <x:c r="E2494" t="str">
        <x:v>牛津联（Oxford United）</x:v>
      </x:c>
      <x:c r="F2494" t="str">
        <x:v>考文垂 -1.0 @1.80</x:v>
      </x:c>
      <x:c r="G2494" t="str">
        <x:v>小 2.5 @1.97</x:v>
      </x:c>
      <x:c r="H2494" t="str">
        <x:v>可选：考文垂 -1.5 @2.35（小注） / BTTS 否 @1.80</x:v>
      </x:c>
      <x:c r="I2494" t="n">
        <x:v>46060.92335648148</x:v>
      </x:c>
      <x:c r="J2494" t="str">
        <x:v>已结算</x:v>
      </x:c>
      <x:c r="K2494" t="str">
        <x:v>0-0</x:v>
      </x:c>
      <x:c r="L2494" t="str">
        <x:v>输</x:v>
      </x:c>
      <x:c r="M2494" t="str">
        <x:v>赢</x:v>
      </x:c>
      <x:c r="N2494" t="n">
        <x:v>-1</x:v>
      </x:c>
      <x:c r="O2494" t="n">
        <x:v>1</x:v>
      </x:c>
      <x:c r="P2494" t="n">
        <x:f>IF(COUNT(N2494:O2494)=0,"",SUM(N2494:O2494))</x:f>
        <x:v>0</x:v>
      </x:c>
      <x:c r="Q2494"/>
      <x:c r="R2494" t="str">
        <x:v>赛果：考文垂 0-0 牛津联；让球：考文垂 -1 输；大小：小2.5 赢（总进球0）。</x:v>
      </x:c>
    </x:row>
    <x:row r="2495">
      <x:c r="A2495" t="str">
        <x:f>IF(B2495="","",TEXT(B2495,"yyyy-mm-dd")&amp;"|"&amp;D2495&amp;"|"&amp;E2495)</x:f>
        <x:v>2026-02-07|阿森纳（Arsenal）|桑德兰（Sunderland）</x:v>
      </x:c>
      <x:c r="B2495" t="n">
        <x:v>46060.958333333336</x:v>
      </x:c>
      <x:c r="C2495" t="str">
        <x:v>英格兰超级联赛（Premier League）</x:v>
      </x:c>
      <x:c r="D2495" t="str">
        <x:v>阿森纳（Arsenal）</x:v>
      </x:c>
      <x:c r="E2495" t="str">
        <x:v>桑德兰（Sunderland）</x:v>
      </x:c>
      <x:c r="F2495" t="str">
        <x:v>阿森纳 -1.25 @2.01</x:v>
      </x:c>
      <x:c r="G2495" t="str">
        <x:v>大 2.75 @1.93</x:v>
      </x:c>
      <x:c r="H2495" t="str">
        <x:v>可选：阿森纳零封胜 @1.80；若临场升到-1.5且水位≈0.80~0.90→可加仓-1.5；若-1.25水位被压到&lt;0.75→降为-1.0保守</x:v>
      </x:c>
      <x:c r="I2495" t="n">
        <x:v>46060.9209837963</x:v>
      </x:c>
      <x:c r="J2495" t="str">
        <x:v>已结算</x:v>
      </x:c>
      <x:c r="K2495" t="str">
        <x:v>3-0</x:v>
      </x:c>
      <x:c r="L2495" t="str">
        <x:v>赢</x:v>
      </x:c>
      <x:c r="M2495" t="str">
        <x:v>赢半</x:v>
      </x:c>
      <x:c r="N2495" t="n">
        <x:v>1</x:v>
      </x:c>
      <x:c r="O2495" t="n">
        <x:v>0.5</x:v>
      </x:c>
      <x:c r="P2495" t="n">
        <x:f>IF(COUNT(N2495:O2495)=0,"",SUM(N2495:O2495))</x:f>
        <x:v>1.5</x:v>
      </x:c>
      <x:c r="Q2495"/>
      <x:c r="R2495" t="str">
        <x:v>赛果：阿森纳 3-0 桑德兰；让球：阿森纳 -1.25 赢；大小：大2.75 赢半（总进球3）。</x:v>
      </x:c>
    </x:row>
    <x:row r="2496">
      <x:c r="A2496" t="str">
        <x:f>IF(B2496="","",TEXT(B2496,"yyyy-mm-dd")&amp;"|"&amp;D2496&amp;"|"&amp;E2496)</x:f>
        <x:v>2026-02-07|狼队（Wolverhampton Wanderers）|切尔西（Chelsea）</x:v>
      </x:c>
      <x:c r="B2496" t="n">
        <x:v>46060.958333333336</x:v>
      </x:c>
      <x:c r="C2496" t="str">
        <x:v>英格兰超级联赛（Premier League）</x:v>
      </x:c>
      <x:c r="D2496" t="str">
        <x:v>狼队（Wolverhampton Wanderers）</x:v>
      </x:c>
      <x:c r="E2496" t="str">
        <x:v>切尔西（Chelsea）</x:v>
      </x:c>
      <x:c r="F2496" t="str">
        <x:v>切尔西 -1.0 @1.87</x:v>
      </x:c>
      <x:c r="G2496" t="str">
        <x:v>小 2.5 @2.30</x:v>
      </x:c>
      <x:c r="H2496" t="str">
        <x:v>可选：双方进球 否 @2.10 / 切尔西 -1.5 @2.15（小注）</x:v>
      </x:c>
      <x:c r="I2496" t="n">
        <x:v>46060.918344907404</x:v>
      </x:c>
      <x:c r="J2496" t="str">
        <x:v>已结算</x:v>
      </x:c>
      <x:c r="K2496" t="str">
        <x:v>1-3</x:v>
      </x:c>
      <x:c r="L2496" t="str">
        <x:v>赢</x:v>
      </x:c>
      <x:c r="M2496" t="str">
        <x:v>输</x:v>
      </x:c>
      <x:c r="N2496" t="n">
        <x:v>1</x:v>
      </x:c>
      <x:c r="O2496" t="n">
        <x:v>-1</x:v>
      </x:c>
      <x:c r="P2496" t="n">
        <x:f>IF(COUNT(N2496:O2496)=0,"",SUM(N2496:O2496))</x:f>
        <x:v>0</x:v>
      </x:c>
      <x:c r="Q2496"/>
      <x:c r="R2496" t="str">
        <x:v>赛果：狼队 1-3 切尔西；让球：切尔西 -1 赢；大小：小2.5 输（总进球4）。</x:v>
      </x:c>
    </x:row>
    <x:row r="2497">
      <x:c r="A2497" t="str">
        <x:f>IF(B2497="","",TEXT(B2497,"yyyy-mm-dd")&amp;"|"&amp;D2497&amp;"|"&amp;E2497)</x:f>
        <x:v>2026-02-07|南安普顿（Southampton）|沃特福德（Watford）</x:v>
      </x:c>
      <x:c r="B2497" t="n">
        <x:v>46060.85486111111</x:v>
      </x:c>
      <x:c r="C2497" t="str">
        <x:v>英格兰冠军联赛（英冠）</x:v>
      </x:c>
      <x:c r="D2497" t="str">
        <x:v>南安普顿（Southampton）</x:v>
      </x:c>
      <x:c r="E2497" t="str">
        <x:v>沃特福德（Watford）</x:v>
      </x:c>
      <x:c r="F2497" t="str">
        <x:v>沃特福德 +0.5 @1.95</x:v>
      </x:c>
      <x:c r="G2497" t="str">
        <x:v>小 2.5 @1.93</x:v>
      </x:c>
      <x:c r="H2497" t="str">
        <x:v>沃特福德 半场 +0.25 @1.82（更稳一点）</x:v>
      </x:c>
      <x:c r="I2497" t="n">
        <x:v>46060.82666666667</x:v>
      </x:c>
      <x:c r="J2497" t="str">
        <x:v>已结算</x:v>
      </x:c>
      <x:c r="K2497" t="str">
        <x:v>1-0</x:v>
      </x:c>
      <x:c r="L2497" t="str">
        <x:v>输</x:v>
      </x:c>
      <x:c r="M2497" t="str">
        <x:v>赢</x:v>
      </x:c>
      <x:c r="N2497" t="n">
        <x:v>-1</x:v>
      </x:c>
      <x:c r="O2497" t="n">
        <x:v>1</x:v>
      </x:c>
      <x:c r="P2497" t="n">
        <x:f>IF(COUNT(N2497:O2497)=0,"",SUM(N2497:O2497))</x:f>
        <x:v>0</x:v>
      </x:c>
      <x:c r="Q2497"/>
      <x:c r="R2497" t="str">
        <x:v>赛果：南安普顿 1-0 沃特福德；让球：沃特福德 +0.5 输；大小：小2.5 赢（总进球1）。</x:v>
      </x:c>
    </x:row>
    <x:row r="2498">
      <x:c r="A2498" t="str">
        <x:f>IF(B2498="","",TEXT(B2498,"yyyy-mm-dd")&amp;"|"&amp;D2498&amp;"|"&amp;E2498)</x:f>
        <x:v>2026-02-07|诺维奇（Norwich City）|布莱克本（Blackburn Rovers）</x:v>
      </x:c>
      <x:c r="B2498" t="n">
        <x:v>46060.85486111111</x:v>
      </x:c>
      <x:c r="C2498" t="str">
        <x:v>英格兰冠军联赛（英冠）</x:v>
      </x:c>
      <x:c r="D2498" t="str">
        <x:v>诺维奇（Norwich City）</x:v>
      </x:c>
      <x:c r="E2498" t="str">
        <x:v>布莱克本（Blackburn Rovers）</x:v>
      </x:c>
      <x:c r="F2498" t="str">
        <x:v>布莱克本 +0.25 @2.03</x:v>
      </x:c>
      <x:c r="G2498" t="str">
        <x:v>大 2.5 @1.90</x:v>
      </x:c>
      <x:c r="H2498" t="str">
        <x:v>半场：诺维奇 -0.25 @2.07（小注抢开局）</x:v>
      </x:c>
      <x:c r="I2498" t="n">
        <x:v>46060.82659722222</x:v>
      </x:c>
      <x:c r="J2498" t="str">
        <x:v>已结算</x:v>
      </x:c>
      <x:c r="K2498" t="str">
        <x:v>2-0</x:v>
      </x:c>
      <x:c r="L2498" t="str">
        <x:v>输</x:v>
      </x:c>
      <x:c r="M2498" t="str">
        <x:v>输</x:v>
      </x:c>
      <x:c r="N2498" t="n">
        <x:v>-1</x:v>
      </x:c>
      <x:c r="O2498" t="n">
        <x:v>-1</x:v>
      </x:c>
      <x:c r="P2498" t="n">
        <x:f>IF(COUNT(N2498:O2498)=0,"",SUM(N2498:O2498))</x:f>
        <x:v>-2</x:v>
      </x:c>
      <x:c r="Q2498"/>
      <x:c r="R2498" t="str">
        <x:v>赛果：诺维奇 2-0 布莱克本；让球：布莱克本 +0.25 输；大小：大2.5 输（总进球2）。</x:v>
      </x:c>
    </x:row>
    <x:row r="2499">
      <x:c r="A2499" t="str">
        <x:f>IF(B2499="","",TEXT(B2499,"yyyy-mm-dd")&amp;"|"&amp;D2499&amp;"|"&amp;E2499)</x:f>
        <x:v>2026-02-07|曼联（Manchester United）|热刺（Tottenham Hotspur）</x:v>
      </x:c>
      <x:c r="B2499" t="n">
        <x:v>46060.854166666664</x:v>
      </x:c>
      <x:c r="C2499" t="str">
        <x:v>英格兰超级联赛（Premier League）</x:v>
      </x:c>
      <x:c r="D2499" t="str">
        <x:v>曼联（Manchester United）</x:v>
      </x:c>
      <x:c r="E2499" t="str">
        <x:v>热刺（Tottenham Hotspur）</x:v>
      </x:c>
      <x:c r="F2499" t="str">
        <x:v>曼联 -1.0（亚洲盘） @1.85</x:v>
      </x:c>
      <x:c r="G2499" t="str">
        <x:v>大 3.5 @2.00</x:v>
      </x:c>
      <x:c r="H2499" t="str">
        <x:v>热刺 +1.0 @1.87（对冲）/ 曼联 -1.5 @2.20（小注加仓）</x:v>
      </x:c>
      <x:c r="I2499" t="n">
        <x:v>46060.85105324074</x:v>
      </x:c>
      <x:c r="J2499" t="str">
        <x:v>已结算</x:v>
      </x:c>
      <x:c r="K2499" t="str">
        <x:v>2-0</x:v>
      </x:c>
      <x:c r="L2499" t="str">
        <x:v>赢</x:v>
      </x:c>
      <x:c r="M2499" t="str">
        <x:v>输</x:v>
      </x:c>
      <x:c r="N2499" t="n">
        <x:v>1</x:v>
      </x:c>
      <x:c r="O2499" t="n">
        <x:v>-1</x:v>
      </x:c>
      <x:c r="P2499" t="n">
        <x:f>IF(COUNT(N2499:O2499)=0,"",SUM(N2499:O2499))</x:f>
        <x:v>0</x:v>
      </x:c>
      <x:c r="Q2499"/>
      <x:c r="R2499" t="str">
        <x:v>赛果：曼联 2-0 热刺；让球：曼联 -1 赢；大小：大3.5 输（总进球2）。</x:v>
      </x:c>
    </x:row>
    <x:row r="2500">
      <x:c r="A2500" t="str">
        <x:f>IF(B2500="","",TEXT(B2500,"yyyy-mm-dd")&amp;"|"&amp;D2500&amp;"|"&amp;E2500)</x:f>
        <x:v>2026-02-07|德比郡（Derby County）|伊普斯维奇（Ipswich Town）</x:v>
      </x:c>
      <x:c r="B2500" t="n">
        <x:v>46060.854166666664</x:v>
      </x:c>
      <x:c r="C2500" t="str">
        <x:v>英格兰冠军联赛（英冠）</x:v>
      </x:c>
      <x:c r="D2500" t="str">
        <x:v>德比郡（Derby County）</x:v>
      </x:c>
      <x:c r="E2500" t="str">
        <x:v>伊普斯维奇（Ipswich Town）</x:v>
      </x:c>
      <x:c r="F2500" t="str">
        <x:v>德比郡 +0.5（1.80↑）</x:v>
      </x:c>
      <x:c r="G2500" t="str">
        <x:v>小 2.5（2.00↑）</x:v>
      </x:c>
      <x:c r="H2500" t="str">
        <x:v>小注 平局（3.20）</x:v>
      </x:c>
      <x:c r="I2500" t="n">
        <x:v>46060.824907407405</x:v>
      </x:c>
      <x:c r="J2500" t="str">
        <x:v>已结算</x:v>
      </x:c>
      <x:c r="K2500" t="str">
        <x:v>1-2</x:v>
      </x:c>
      <x:c r="L2500" t="str">
        <x:v>输</x:v>
      </x:c>
      <x:c r="M2500" t="str">
        <x:v>输</x:v>
      </x:c>
      <x:c r="N2500" t="n">
        <x:v>-1</x:v>
      </x:c>
      <x:c r="O2500" t="n">
        <x:v>-1</x:v>
      </x:c>
      <x:c r="P2500" t="n">
        <x:f>IF(COUNT(N2500:O2500)=0,"",SUM(N2500:O2500))</x:f>
        <x:v>-2</x:v>
      </x:c>
      <x:c r="Q2500" t="str">
        <x:v>SofaScore</x:v>
      </x:c>
      <x:c r="R2500" t="str">
        <x:v>校正赛果：德比郡（Derby County） 1-2 伊普斯维奇（Ipswich Town）；让球：德比郡 +0.5 -&gt; 输（-1）；大小：小2.5 -&gt; 输（-1）；来源：SofaScore。</x:v>
      </x:c>
    </x:row>
    <x:row r="2501">
      <x:c r="A2501" t="str">
        <x:f>IF(B2501="","",TEXT(B2501,"yyyy-mm-dd")&amp;"|"&amp;D2501&amp;"|"&amp;E2501)</x:f>
        <x:v>2026-02-07|沙尔克04（Schalke 04）|德累斯顿迪纳摩（Dynamo Dresden）</x:v>
      </x:c>
      <x:c r="B2501" t="n">
        <x:v>46060.833333333336</x:v>
      </x:c>
      <x:c r="C2501" t="str">
        <x:v>德国乙级联赛（2. Bundesliga）</x:v>
      </x:c>
      <x:c r="D2501" t="str">
        <x:v>沙尔克04（Schalke 04）</x:v>
      </x:c>
      <x:c r="E2501" t="str">
        <x:v>德累斯顿迪纳摩（Dynamo Dresden）</x:v>
      </x:c>
      <x:c r="F2501" t="str">
        <x:v>沙尔克04 -0.75 @1.90</x:v>
      </x:c>
      <x:c r="G2501" t="str">
        <x:v>大 2.5 @1.90</x:v>
      </x:c>
      <x:c r="H2501" t="str">
        <x:v>沙尔克04 胜 @1.80（保守串关用）</x:v>
      </x:c>
      <x:c r="I2501" t="n">
        <x:v>46060.82672453704</x:v>
      </x:c>
      <x:c r="J2501" t="str">
        <x:v>已结算</x:v>
      </x:c>
      <x:c r="K2501" t="str">
        <x:v>2-2</x:v>
      </x:c>
      <x:c r="L2501" t="str">
        <x:v>输</x:v>
      </x:c>
      <x:c r="M2501" t="str">
        <x:v>赢</x:v>
      </x:c>
      <x:c r="N2501" t="n">
        <x:v>-1</x:v>
      </x:c>
      <x:c r="O2501" t="n">
        <x:v>1</x:v>
      </x:c>
      <x:c r="P2501" t="n">
        <x:f>IF(COUNT(N2501:O2501)=0,"",SUM(N2501:O2501))</x:f>
        <x:v>0</x:v>
      </x:c>
      <x:c r="Q2501"/>
      <x:c r="R2501" t="str">
        <x:v>赛果：沙尔克04 2-2 德累斯顿；让球：沙尔克 -0.75 输；大小：大2.5 赢（总进球4）。</x:v>
      </x:c>
    </x:row>
    <x:row r="2502">
      <x:c r="A2502" t="str">
        <x:f>IF(B2502="","",TEXT(B2502,"yyyy-mm-dd")&amp;"|"&amp;D2502&amp;"|"&amp;E2502)</x:f>
        <x:v>2026-02-07|杰帕拉（Persijap Jepara）|马都拉联（Madura United）</x:v>
      </x:c>
      <x:c r="B2502" t="n">
        <x:v>46060.833333333336</x:v>
      </x:c>
      <x:c r="C2502" t="str">
        <x:v>印度尼西亚超级联赛（印尼超/Liga 1 Indonesia）</x:v>
      </x:c>
      <x:c r="D2502" t="str">
        <x:v>杰帕拉（Persijap Jepara）</x:v>
      </x:c>
      <x:c r="E2502" t="str">
        <x:v>马都拉联（Madura United）</x:v>
      </x:c>
      <x:c r="F2502" t="str">
        <x:v>马都拉联 +0.25（受让平/半）@0.81</x:v>
      </x:c>
      <x:c r="G2502" t="str">
        <x:v>小 2/2.5（2.25）@0.92</x:v>
      </x:c>
      <x:c r="H2502" t="str">
        <x:v>马都拉联 +0（平手）若临场给到≥0.90可小加</x:v>
      </x:c>
      <x:c r="I2502" t="n">
        <x:v>46060.78425925926</x:v>
      </x:c>
      <x:c r="J2502" t="str">
        <x:v>已结算</x:v>
      </x:c>
      <x:c r="K2502" t="str">
        <x:v>1-0</x:v>
      </x:c>
      <x:c r="L2502" t="str">
        <x:v>输</x:v>
      </x:c>
      <x:c r="M2502" t="str">
        <x:v>赢</x:v>
      </x:c>
      <x:c r="N2502" t="n">
        <x:v>-1</x:v>
      </x:c>
      <x:c r="O2502" t="n">
        <x:v>1</x:v>
      </x:c>
      <x:c r="P2502" t="n">
        <x:f>IF(COUNT(N2502:O2502)=0,"",SUM(N2502:O2502))</x:f>
        <x:v>0</x:v>
      </x:c>
      <x:c r="Q2502" t="str">
        <x:v>SofaScore</x:v>
      </x:c>
      <x:c r="R2502" t="str">
        <x:v>校正赛果：杰帕拉（Persijap Jepara） 1-0 马都拉联（Madura United）；让球：马都拉联 +0.25 -&gt; 输（-1）；大小：小2.25 -&gt; 赢（1）；来源：SofaScore。</x:v>
      </x:c>
    </x:row>
    <x:row r="2503">
      <x:c r="A2503" t="str">
        <x:f>IF(B2503="","",TEXT(B2503,"yyyy-mm-dd")&amp;"|"&amp;D2503&amp;"|"&amp;E2503)</x:f>
        <x:v>2026-02-07|西悉尼流浪者(Western Sydney Wanderers)|墨尔本城(Melbourne City)</x:v>
      </x:c>
      <x:c r="B2503" t="n">
        <x:v>46060.69097222222</x:v>
      </x:c>
      <x:c r="C2503" t="str">
        <x:v>澳大利亚A联赛（A-League Men）</x:v>
      </x:c>
      <x:c r="D2503" t="str">
        <x:v>西悉尼流浪者(Western Sydney Wanderers)</x:v>
      </x:c>
      <x:c r="E2503" t="str">
        <x:v>墨尔本城(Melbourne City)</x:v>
      </x:c>
      <x:c r="F2503" t="str">
        <x:v>墨尔本城 -0.25（平/半，目标水位≈0.80~0.85）</x:v>
      </x:c>
      <x:c r="G2503" t="str">
        <x:v>大 2.5（目标水位≈0.80~0.90）</x:v>
      </x:c>
      <x:c r="H2503" t="str">
        <x:v>按你“接近0.8收益”标准：若墨尔本城-0.25水位&lt;0.75→降为墨尔本城0（DNB）找≈0.80；若&gt;0.90→升为墨尔本城-0.5（前提能贴近0.8）或减仓。大小：若大2.5水位&lt;0.75→改大2.75；若&gt;0.95→改大2.25，优先选最贴近≈0.80那条。</x:v>
      </x:c>
      <x:c r="I2503" t="n">
        <x:v>46060.57200231482</x:v>
      </x:c>
      <x:c r="J2503" t="str">
        <x:v>已结算</x:v>
      </x:c>
      <x:c r="K2503" t="str">
        <x:v>1-1</x:v>
      </x:c>
      <x:c r="L2503" t="str">
        <x:v>输半</x:v>
      </x:c>
      <x:c r="M2503" t="str">
        <x:v>输</x:v>
      </x:c>
      <x:c r="N2503" t="n">
        <x:v>-0.5</x:v>
      </x:c>
      <x:c r="O2503" t="n">
        <x:v>-1</x:v>
      </x:c>
      <x:c r="P2503" t="n">
        <x:f>IF(COUNT(N2503:O2503)=0,"",SUM(N2503:O2503))</x:f>
        <x:v>-1.5</x:v>
      </x:c>
      <x:c r="Q2503"/>
      <x:c r="R2503" t="str">
        <x:v>赛果：西悉尼流浪者 1-1 墨尔本城；让球：墨尔本城 -0.25 半输；大小：大2.5（总进球2）输。</x:v>
      </x:c>
    </x:row>
    <x:row r="2504">
      <x:c r="A2504" t="str">
        <x:f>IF(B2504="","",TEXT(B2504,"yyyy-mm-dd")&amp;"|"&amp;D2504&amp;"|"&amp;E2504)</x:f>
        <x:v>2026-02-07|佩斯克谏义里（Persik Kediri）|德瓦联（Dewa United）</x:v>
      </x:c>
      <x:c r="B2504" t="n">
        <x:v>46060.6875</x:v>
      </x:c>
      <x:c r="C2504" t="str">
        <x:v>印度尼西亚超级联赛（印尼超/Liga 1 Indonesia）</x:v>
      </x:c>
      <x:c r="D2504" t="str">
        <x:v>佩斯克谏义里（Persik Kediri）</x:v>
      </x:c>
      <x:c r="E2504" t="str">
        <x:v>德瓦联（Dewa United）</x:v>
      </x:c>
      <x:c r="F2504" t="str">
        <x:v>德瓦联 0（平手/DNB）</x:v>
      </x:c>
      <x:c r="G2504" t="str">
        <x:v>小 2.5</x:v>
      </x:c>
      <x:c r="H2504" t="str">
        <x:v>水位目标≈0.80：让球主推德瓦联0位（常见≈1.80）。若临场升到德瓦联-0.25且水位≈0.80→可转-0.25；若退到德瓦联受让+0/0.25且DNB水位过低→减仓观望。大小球：优先找小2.75或小2.25能贴近≈0.80的那条；若只有2.5且小水位在1.75–1.85之间→主推小2.5；若小2.5明显偏低(&lt;0.75)→改小2.25。</x:v>
      </x:c>
      <x:c r="I2504" t="n">
        <x:v>46060.56332175926</x:v>
      </x:c>
      <x:c r="J2504" t="str">
        <x:v>已结算</x:v>
      </x:c>
      <x:c r="K2504" t="str">
        <x:v>2-1</x:v>
      </x:c>
      <x:c r="L2504" t="str">
        <x:v>输</x:v>
      </x:c>
      <x:c r="M2504" t="str">
        <x:v>输</x:v>
      </x:c>
      <x:c r="N2504" t="n">
        <x:v>-1</x:v>
      </x:c>
      <x:c r="O2504" t="n">
        <x:v>-1</x:v>
      </x:c>
      <x:c r="P2504" t="n">
        <x:f>IF(COUNT(N2504:O2504)=0,"",SUM(N2504:O2504))</x:f>
        <x:v>-2</x:v>
      </x:c>
      <x:c r="Q2504"/>
      <x:c r="R2504" t="str">
        <x:v>核对赛果：佩斯克谏义里 2-1 德瓦联（Dewa United）。让球：德瓦联 0（DNB）输；大小：小2.5（总进球3）输。</x:v>
      </x:c>
    </x:row>
    <x:row r="2505">
      <x:c r="A2505" t="str">
        <x:f>IF(B2505="","",TEXT(B2505,"yyyy-mm-dd")&amp;"|"&amp;D2505&amp;"|"&amp;E2505)</x:f>
        <x:v>2026-02-07|巴杨卡拉泗水联（Bhayangkara FC）|婆罗洲FC（沙马林达）（Borneo FC）</x:v>
      </x:c>
      <x:c r="B2505" t="n">
        <x:v>46060.6875</x:v>
      </x:c>
      <x:c r="C2505" t="str">
        <x:v>印度尼西亚超级联赛（印尼超/Liga 1 Indonesia）</x:v>
      </x:c>
      <x:c r="D2505" t="str">
        <x:v>巴杨卡拉泗水联（Bhayangkara FC）</x:v>
      </x:c>
      <x:c r="E2505" t="str">
        <x:v>婆罗洲FC（沙马林达）（Borneo FC）</x:v>
      </x:c>
      <x:c r="F2505" t="str">
        <x:v>婆罗洲FC 0（平手/DNB）</x:v>
      </x:c>
      <x:c r="G2505" t="str">
        <x:v>小 2.25（2/2.5）</x:v>
      </x:c>
      <x:c r="H2505" t="str">
        <x:v>水位目标≈0.80：让球盘以客队0位（约1.80）为主；若临场升到婆罗洲-0.25且水位≈0.80→可加仓-0.25；若退回主队受让+0.25且婆罗洲0位偏低(&lt;0.75)→减仓或仅保留DNB。大小球：主线小2.25（约1.80）；若小2.25过低→改小2.0；若升盘到2.5且小2.5≈0.80→改小2.5。</x:v>
      </x:c>
      <x:c r="I2505" t="n">
        <x:v>46060.56321759259</x:v>
      </x:c>
      <x:c r="J2505" t="str">
        <x:v>已结算</x:v>
      </x:c>
      <x:c r="K2505" t="str">
        <x:v>1-2</x:v>
      </x:c>
      <x:c r="L2505" t="str">
        <x:v>赢</x:v>
      </x:c>
      <x:c r="M2505" t="str">
        <x:v>输</x:v>
      </x:c>
      <x:c r="N2505" t="n">
        <x:v>1</x:v>
      </x:c>
      <x:c r="O2505" t="n">
        <x:v>-1</x:v>
      </x:c>
      <x:c r="P2505" t="n">
        <x:f>IF(COUNT(N2505:O2505)=0,"",SUM(N2505:O2505))</x:f>
        <x:v>0</x:v>
      </x:c>
      <x:c r="Q2505"/>
      <x:c r="R2505" t="str">
        <x:v>赛果：巴杨卡拉 1-2 婆罗洲（Borneo 胜）；让球：婆罗洲 0（DNB）赢；大小：小2.25（总进球3）输。</x:v>
      </x:c>
    </x:row>
    <x:row r="2506">
      <x:c r="A2506" t="str">
        <x:f>IF(B2506="","",TEXT(B2506,"yyyy-mm-dd")&amp;"|"&amp;D2506&amp;"|"&amp;E2506)</x:f>
        <x:v>2026-02-07|马可尼（Marconi Stallions）|莱卡特老虎（APIA Leichhardt Tigers）</x:v>
      </x:c>
      <x:c r="B2506" t="n">
        <x:v>46060.666666666664</x:v>
      </x:c>
      <x:c r="C2506" t="str">
        <x:v>澳大利亚 维多利亚州超级联赛1（VPL1）</x:v>
      </x:c>
      <x:c r="D2506" t="str">
        <x:v>马可尼（Marconi Stallions）</x:v>
      </x:c>
      <x:c r="E2506" t="str">
        <x:v>莱卡特老虎（APIA Leichhardt Tigers）</x:v>
      </x:c>
      <x:c r="F2506" t="str">
        <x:v>莱卡特老虎 -0.25（平/半） @1.81</x:v>
      </x:c>
      <x:c r="G2506" t="str">
        <x:v>小2.5 @1.95</x:v>
      </x:c>
      <x:c r="H2506" t="str">
        <x:v>可选：BTTS 否 @2.20（小注对冲）</x:v>
      </x:c>
      <x:c r="I2506" t="n">
        <x:v>46060.6697337963</x:v>
      </x:c>
      <x:c r="J2506" t="str">
        <x:v>已结算</x:v>
      </x:c>
      <x:c r="K2506" t="str">
        <x:v>2-1</x:v>
      </x:c>
      <x:c r="L2506" t="str">
        <x:v>输</x:v>
      </x:c>
      <x:c r="M2506" t="str">
        <x:v>输</x:v>
      </x:c>
      <x:c r="N2506" t="n">
        <x:v>-1</x:v>
      </x:c>
      <x:c r="O2506" t="n">
        <x:v>-1</x:v>
      </x:c>
      <x:c r="P2506" t="n">
        <x:f>IF(COUNT(N2506:O2506)=0,"",SUM(N2506:O2506))</x:f>
        <x:v>-2</x:v>
      </x:c>
      <x:c r="Q2506"/>
      <x:c r="R2506" t="str">
        <x:v>赛果：马可尼 2-1 莱卡特老虎；让球：莱卡特老虎 -0.25 输；大小：小2.5（总进球3）输。</x:v>
      </x:c>
    </x:row>
    <x:row r="2507">
      <x:c r="A2507" t="str">
        <x:f>IF(B2507="","",TEXT(B2507,"yyyy-mm-dd")&amp;"|"&amp;D2507&amp;"|"&amp;E2507)</x:f>
        <x:v>2026-02-07|布里斯班狮吼(Brisbane Roar)|中央海岸水手(Central Coast Mariners)</x:v>
      </x:c>
      <x:c r="B2507" t="n">
        <x:v>46060.583333333336</x:v>
      </x:c>
      <x:c r="C2507" t="str">
        <x:v>澳大利亚A联赛（A-League Men）</x:v>
      </x:c>
      <x:c r="D2507" t="str">
        <x:v>布里斯班狮吼(Brisbane Roar)</x:v>
      </x:c>
      <x:c r="E2507" t="str">
        <x:v>中央海岸水手(Central Coast Mariners)</x:v>
      </x:c>
      <x:c r="F2507" t="str">
        <x:v>中央海岸水手 +0.75（受让半一）</x:v>
      </x:c>
      <x:c r="G2507" t="str">
        <x:v>大 2.5</x:v>
      </x:c>
      <x:c r="H2507" t="str">
        <x:v>按你的“接近0.8收益”标准：若水手+0.75水位低于≈0.75→退到水手+0.5并降低仓位；若水手+0.75水位高于≈0.90→改水手+0.5（更保守）或水手+0.25（若能贴近0.8）。大小球：若大2.5水位偏低→改大2.75；若偏高→改大2.25，优先选最贴近0.80的那条。</x:v>
      </x:c>
      <x:c r="I2507" t="n">
        <x:v>46060.524375</x:v>
      </x:c>
      <x:c r="J2507" t="str">
        <x:v>已结算</x:v>
      </x:c>
      <x:c r="K2507" t="str">
        <x:v>1-2</x:v>
      </x:c>
      <x:c r="L2507" t="str">
        <x:v>赢</x:v>
      </x:c>
      <x:c r="M2507" t="str">
        <x:v>赢</x:v>
      </x:c>
      <x:c r="N2507" t="n">
        <x:v>1</x:v>
      </x:c>
      <x:c r="O2507" t="n">
        <x:v>1</x:v>
      </x:c>
      <x:c r="P2507" t="n">
        <x:f>IF(COUNT(N2507:O2507)=0,"",SUM(N2507:O2507))</x:f>
        <x:v>2</x:v>
      </x:c>
      <x:c r="Q2507"/>
      <x:c r="R2507" t="str">
        <x:v>赛果：布里斯班狮吼 1-2 中央海岸水手。推荐：中央海岸水手+0.75（赢）；大2.5（赢）。</x:v>
      </x:c>
    </x:row>
    <x:row r="2508">
      <x:c r="A2508" t="str">
        <x:f>IF(B2508="","",TEXT(B2508,"yyyy-mm-dd")&amp;"|"&amp;D2508&amp;"|"&amp;E2508)</x:f>
        <x:v>2026-02-07|湘南海洋(Shonan Bellmare)|秋田蓝色闪电(Blaublitz Akita)</x:v>
      </x:c>
      <x:c r="B2508" t="n">
        <x:v>46060.54375</x:v>
      </x:c>
      <x:c r="C2508" t="str">
        <x:v>日职 明治安田J2·J3百年构想联赛</x:v>
      </x:c>
      <x:c r="D2508" t="str">
        <x:v>湘南海洋(Shonan Bellmare)</x:v>
      </x:c>
      <x:c r="E2508" t="str">
        <x:v>秋田蓝色闪电(Blaublitz Akita)</x:v>
      </x:c>
      <x:c r="F2508" t="str">
        <x:v>湘南海洋 -0.25（平/半）</x:v>
      </x:c>
      <x:c r="G2508" t="str">
        <x:v>小 2.25（2/2.5）</x:v>
      </x:c>
      <x:c r="H2508" t="str">
        <x:v>水位目标≈0.80：若湘南-0.25偏低(&lt;0.75)→改湘南-0.5；若偏高(&gt;0.90)→改湘南0(DNB)。大小：若小2.25偏低→改小2.0；若偏高→改小2.5（以最贴近0.80为准）。</x:v>
      </x:c>
      <x:c r="I2508" t="n">
        <x:v>46060.54311342593</x:v>
      </x:c>
      <x:c r="J2508" t="str">
        <x:v>已结算</x:v>
      </x:c>
      <x:c r="K2508" t="str">
        <x:v>1-2</x:v>
      </x:c>
      <x:c r="L2508" t="str">
        <x:v>输</x:v>
      </x:c>
      <x:c r="M2508" t="str">
        <x:v>输</x:v>
      </x:c>
      <x:c r="N2508" t="n">
        <x:v>-1</x:v>
      </x:c>
      <x:c r="O2508" t="n">
        <x:v>-1</x:v>
      </x:c>
      <x:c r="P2508" t="n">
        <x:f>IF(COUNT(N2508:O2508)=0,"",SUM(N2508:O2508))</x:f>
        <x:v>-2</x:v>
      </x:c>
      <x:c r="Q2508"/>
      <x:c r="R2508" t="str">
        <x:v>赛果：湘南海洋 1-2 秋田蓝色闪电。推荐：湘南-0.25（输）；小2.25（输）。</x:v>
      </x:c>
    </x:row>
    <x:row r="2509">
      <x:c r="A2509" t="str">
        <x:f>IF(B2509="","",TEXT(B2509,"yyyy-mm-dd")&amp;"|"&amp;D2509&amp;"|"&amp;E2509)</x:f>
        <x:v>2026-02-07|FC东京（FC Tokyo）|鹿岛鹿角（Kashima Antlers）</x:v>
      </x:c>
      <x:c r="B2509" t="n">
        <x:v>46060.520833333336</x:v>
      </x:c>
      <x:c r="C2509" t="str">
        <x:v>日职联（J1 League）</x:v>
      </x:c>
      <x:c r="D2509" t="str">
        <x:v>FC东京（FC Tokyo）</x:v>
      </x:c>
      <x:c r="E2509" t="str">
        <x:v>鹿岛鹿角（Kashima Antlers）</x:v>
      </x:c>
      <x:c r="F2509" t="str">
        <x:v>鹿岛鹿角 0（平手/DNB）</x:v>
      </x:c>
      <x:c r="G2509" t="str">
        <x:v>小 2.75</x:v>
      </x:c>
      <x:c r="H2509" t="str">
        <x:v>水位目标≈0.80：若鹿岛0赔率偏低→改鹿岛-0.25（能贴近0.8再上）；若盘口升到鹿岛受让+0/0.25且水位≈0.80→反向改FC东京0（DNB）观望。大小：若小2.75偏低→小2.5（贴近0.8）；若升到3球→小3可加仓（贴近0.8）。</x:v>
      </x:c>
      <x:c r="I2509" t="n">
        <x:v>46060.500451388885</x:v>
      </x:c>
      <x:c r="J2509" t="str">
        <x:v>已结算</x:v>
      </x:c>
      <x:c r="K2509" t="str">
        <x:v>1-1</x:v>
      </x:c>
      <x:c r="L2509" t="str">
        <x:v>走水</x:v>
      </x:c>
      <x:c r="M2509" t="str">
        <x:v>赢</x:v>
      </x:c>
      <x:c r="N2509" t="n">
        <x:v>0</x:v>
      </x:c>
      <x:c r="O2509" t="n">
        <x:v>1</x:v>
      </x:c>
      <x:c r="P2509" t="n">
        <x:f>IF(COUNT(N2509:O2509)=0,"",SUM(N2509:O2509))</x:f>
        <x:v>1</x:v>
      </x:c>
      <x:c r="Q2509"/>
      <x:c r="R2509" t="str">
        <x:v>赛果：FC东京 1-1 鹿岛鹿角（点球不计入联赛结算）。推荐：鹿岛0（走水）；小2.75（赢）。</x:v>
      </x:c>
    </x:row>
    <x:row r="2510">
      <x:c r="A2510" t="str">
        <x:f>IF(B2510="","",TEXT(B2510,"yyyy-mm-dd")&amp;"|"&amp;D2510&amp;"|"&amp;E2510)</x:f>
        <x:v>2026-02-07|千叶市原（JEF联市原·千叶）|浦和红钻（Urawa Reds）</x:v>
      </x:c>
      <x:c r="B2510" t="n">
        <x:v>46060.5</x:v>
      </x:c>
      <x:c r="C2510" t="str">
        <x:v>日职联（J1 League）</x:v>
      </x:c>
      <x:c r="D2510" t="str">
        <x:v>千叶市原（JEF联市原·千叶）</x:v>
      </x:c>
      <x:c r="E2510" t="str">
        <x:v>浦和红钻（Urawa Reds）</x:v>
      </x:c>
      <x:c r="F2510" t="str">
        <x:v>浦和红钻 -0.25</x:v>
      </x:c>
      <x:c r="G2510" t="str">
        <x:v>小 2.75</x:v>
      </x:c>
      <x:c r="H2510" t="str">
        <x:v>水位目标≈0.80：若浦和-0.25偏低（&lt;0.75）→改浦和-0.5（若能贴近0.8）；若临场只剩浦和0且赔率过低→放弃主推/仅观望。大小：若小2.75过低→退回小2.5（若≈0.80）；若升到3球→可小3加仓（贴近0.8）。</x:v>
      </x:c>
      <x:c r="I2510" t="n">
        <x:v>46060.50035879629</x:v>
      </x:c>
      <x:c r="J2510" t="str">
        <x:v>已结算</x:v>
      </x:c>
      <x:c r="K2510" t="str">
        <x:v>0-2</x:v>
      </x:c>
      <x:c r="L2510" t="str">
        <x:v>赢</x:v>
      </x:c>
      <x:c r="M2510" t="str">
        <x:v>赢</x:v>
      </x:c>
      <x:c r="N2510" t="n">
        <x:v>1</x:v>
      </x:c>
      <x:c r="O2510" t="n">
        <x:v>1</x:v>
      </x:c>
      <x:c r="P2510" t="n">
        <x:f>IF(COUNT(N2510:O2510)=0,"",SUM(N2510:O2510))</x:f>
        <x:v>2</x:v>
      </x:c>
      <x:c r="Q2510"/>
      <x:c r="R2510" t="str">
        <x:v>赛果：千叶市原 0-2 浦和红钻。推荐：浦和-0.25（赢）；小2.75（赢）。</x:v>
      </x:c>
    </x:row>
    <x:row r="2511">
      <x:c r="A2511" t="str">
        <x:f>IF(B2511="","",TEXT(B2511,"yyyy-mm-dd")&amp;"|"&amp;D2511&amp;"|"&amp;E2511)</x:f>
        <x:v>2026-02-07|奥克兰FC（Auckland FC）|悉尼FC（Sydney FC）</x:v>
      </x:c>
      <x:c r="B2511" t="n">
        <x:v>46060.5</x:v>
      </x:c>
      <x:c r="C2511" t="str">
        <x:v>澳大利亚A联赛（A-League Men）</x:v>
      </x:c>
      <x:c r="D2511" t="str">
        <x:v>奥克兰FC（Auckland FC）</x:v>
      </x:c>
      <x:c r="E2511" t="str">
        <x:v>悉尼FC（Sydney FC）</x:v>
      </x:c>
      <x:c r="F2511" t="str">
        <x:v>悉尼FC +0.75（受让半/一）@1.82</x:v>
      </x:c>
      <x:c r="G2511" t="str">
        <x:v>大 2.75（2.5/3）@1.90</x:v>
      </x:c>
      <x:c r="H2511" t="str">
        <x:v>可选：大 3.25 @2.48（小注）</x:v>
      </x:c>
      <x:c r="I2511" t="n">
        <x:v>46060.45261574074</x:v>
      </x:c>
      <x:c r="J2511" t="str">
        <x:v>已结算</x:v>
      </x:c>
      <x:c r="K2511"/>
      <x:c r="L2511" t="str">
        <x:v>输半</x:v>
      </x:c>
      <x:c r="M2511" t="str">
        <x:v>输</x:v>
      </x:c>
      <x:c r="N2511" t="n">
        <x:v>-0.5</x:v>
      </x:c>
      <x:c r="O2511" t="n">
        <x:v>-1</x:v>
      </x:c>
      <x:c r="P2511" t="n">
        <x:f>IF(COUNT(N2511:O2511)=0,"",SUM(N2511:O2511))</x:f>
        <x:v>-1.5</x:v>
      </x:c>
      <x:c r="Q2511"/>
      <x:c r="R2511" t="str">
        <x:v>更正：奥克兰FC 1-0 悉尼FC。推荐：悉尼FC+0.75（输半）；大2.75（输）。覆盖此前大小球结论误填。</x:v>
      </x:c>
    </x:row>
    <x:row r="2512">
      <x:c r="A2512" t="str">
        <x:f>IF(B2512="","",TEXT(B2512,"yyyy-mm-dd")&amp;"|"&amp;D2512&amp;"|"&amp;E2512)</x:f>
        <x:v>2026-02-07|马萨特兰（Mazatlán FC）|瓜达拉哈拉（Chivas Guadalajara）</x:v>
      </x:c>
      <x:c r="B2512" t="n">
        <x:v>46060.458333333336</x:v>
      </x:c>
      <x:c r="C2512" t="str">
        <x:v>墨西哥超（Liga MX，Clausura）</x:v>
      </x:c>
      <x:c r="D2512" t="str">
        <x:v>马萨特兰（Mazatlán FC）</x:v>
      </x:c>
      <x:c r="E2512" t="str">
        <x:v>瓜达拉哈拉（Chivas Guadalajara）</x:v>
      </x:c>
      <x:c r="F2512" t="str">
        <x:v>马萨特兰 +1.25（受让一/球半）@1.85</x:v>
      </x:c>
      <x:c r="G2512" t="str">
        <x:v>小 2.75（2.5/3）@1.98</x:v>
      </x:c>
      <x:c r="H2512" t="str">
        <x:v>可选：瓜达拉哈拉 -1.0（若≥1.90）小注</x:v>
      </x:c>
      <x:c r="I2512" t="n">
        <x:v>46060.451203703706</x:v>
      </x:c>
      <x:c r="J2512" t="str">
        <x:v>已结算</x:v>
      </x:c>
      <x:c r="K2512" t="str">
        <x:v>1-2</x:v>
      </x:c>
      <x:c r="L2512" t="str">
        <x:v>赢半</x:v>
      </x:c>
      <x:c r="M2512" t="str">
        <x:v>输半</x:v>
      </x:c>
      <x:c r="N2512" t="n">
        <x:v>0.5</x:v>
      </x:c>
      <x:c r="O2512" t="n">
        <x:v>-0.5</x:v>
      </x:c>
      <x:c r="P2512" t="n">
        <x:f>IF(COUNT(N2512:O2512)=0,"",SUM(N2512:O2512))</x:f>
        <x:v>0</x:v>
      </x:c>
      <x:c r="Q2512"/>
      <x:c r="R2512" t="str">
        <x:v>赛果：马萨特兰 1-2 瓜达拉哈拉。推荐：马萨特兰+1.25（赢半）；小2.75（输半）。</x:v>
      </x:c>
    </x:row>
    <x:row r="2513">
      <x:c r="A2513" t="str">
        <x:f>IF(B2513="","",TEXT(B2513,"yyyy-mm-dd")&amp;"|"&amp;D2513&amp;"|"&amp;E2513)</x:f>
        <x:v>2026-02-07|蒂华纳（Club Tijuana）|普布埃拉（Puebla）</x:v>
      </x:c>
      <x:c r="B2513" t="n">
        <x:v>46060.458333333336</x:v>
      </x:c>
      <x:c r="C2513" t="str">
        <x:v>墨西哥超（Liga MX，Clausura）</x:v>
      </x:c>
      <x:c r="D2513" t="str">
        <x:v>蒂华纳（Club Tijuana）</x:v>
      </x:c>
      <x:c r="E2513" t="str">
        <x:v>普布埃拉（Puebla）</x:v>
      </x:c>
      <x:c r="F2513" t="str">
        <x:v>蒂华纳 -0.75（让半/一）@1.85</x:v>
      </x:c>
      <x:c r="G2513" t="str">
        <x:v>小 2.75（2.5/3）@2.00</x:v>
      </x:c>
      <x:c r="H2513" t="str">
        <x:v>可选：蒂华纳 -0.5（若临场退盘但高水≥1.80）</x:v>
      </x:c>
      <x:c r="I2513" t="n">
        <x:v>46060.45112268518</x:v>
      </x:c>
      <x:c r="J2513" t="str">
        <x:v>已结算</x:v>
      </x:c>
      <x:c r="K2513" t="str">
        <x:v>0-0</x:v>
      </x:c>
      <x:c r="L2513" t="str">
        <x:v>输</x:v>
      </x:c>
      <x:c r="M2513" t="str">
        <x:v>赢</x:v>
      </x:c>
      <x:c r="N2513" t="n">
        <x:v>-1</x:v>
      </x:c>
      <x:c r="O2513" t="n">
        <x:v>1</x:v>
      </x:c>
      <x:c r="P2513" t="n">
        <x:f>IF(COUNT(N2513:O2513)=0,"",SUM(N2513:O2513))</x:f>
        <x:v>0</x:v>
      </x:c>
      <x:c r="Q2513"/>
      <x:c r="R2513" t="str">
        <x:v>赛果：蒂华纳 0-0 普布埃拉。推荐：蒂华纳-0.75（输）；小2.75（赢）。</x:v>
      </x:c>
    </x:row>
    <x:row r="2514">
      <x:c r="A2514" t="str">
        <x:f>IF(B2514="","",TEXT(B2514,"yyyy-mm-dd")&amp;"|"&amp;D2514&amp;"|"&amp;E2514)</x:f>
        <x:v>2026-02-07|扎卡特卡斯（Mineros de Zacatecas）|莫雷利亚（Atlético Morelia）</x:v>
      </x:c>
      <x:c r="B2514" t="n">
        <x:v>46060.458333333336</x:v>
      </x:c>
      <x:c r="C2514" t="str">
        <x:v>墨西哥甲级扩展联赛（Liga de Expansión MX）</x:v>
      </x:c>
      <x:c r="D2514" t="str">
        <x:v>扎卡特卡斯（Mineros de Zacatecas）</x:v>
      </x:c>
      <x:c r="E2514" t="str">
        <x:v>莫雷利亚（Atlético Morelia）</x:v>
      </x:c>
      <x:c r="F2514" t="str">
        <x:v>莫雷利亚 +0.25（受让平/半）@1.85</x:v>
      </x:c>
      <x:c r="G2514" t="str">
        <x:v>小 2.5 @1.88</x:v>
      </x:c>
      <x:c r="H2514" t="str">
        <x:v>可选：莫雷利亚 受让+0.5（若≥1.70）或 平局（高赔）小注</x:v>
      </x:c>
      <x:c r="I2514" t="n">
        <x:v>46060.451053240744</x:v>
      </x:c>
      <x:c r="J2514" t="str">
        <x:v>已结算</x:v>
      </x:c>
      <x:c r="K2514" t="str">
        <x:v>1-1</x:v>
      </x:c>
      <x:c r="L2514" t="str">
        <x:v>赢半</x:v>
      </x:c>
      <x:c r="M2514" t="str">
        <x:v>赢</x:v>
      </x:c>
      <x:c r="N2514" t="n">
        <x:v>0.5</x:v>
      </x:c>
      <x:c r="O2514" t="n">
        <x:v>1</x:v>
      </x:c>
      <x:c r="P2514" t="n">
        <x:f>IF(COUNT(N2514:O2514)=0,"",SUM(N2514:O2514))</x:f>
        <x:v>1.5</x:v>
      </x:c>
      <x:c r="Q2514"/>
      <x:c r="R2514" t="str">
        <x:v>赛果：扎卡特卡斯 1-1 莫雷利亚。推荐：莫雷利亚+0.25（赢半）；小2.5（赢）。</x:v>
      </x:c>
    </x:row>
    <x:row r="2515">
      <x:c r="A2515" t="str">
        <x:f>IF(B2515="","",TEXT(B2515,"yyyy-mm-dd")&amp;"|"&amp;D2515&amp;"|"&amp;E2515)</x:f>
        <x:v>2026-02-07|内卡萨（Necaxa）|圣路易斯（Atlético San Luis）</x:v>
      </x:c>
      <x:c r="B2515" t="n">
        <x:v>46060.458333333336</x:v>
      </x:c>
      <x:c r="C2515" t="str">
        <x:v>墨西哥超（Liga MX，Clausura）</x:v>
      </x:c>
      <x:c r="D2515" t="str">
        <x:v>内卡萨（Necaxa）</x:v>
      </x:c>
      <x:c r="E2515" t="str">
        <x:v>圣路易斯（Atlético San Luis）</x:v>
      </x:c>
      <x:c r="F2515" t="str">
        <x:v>圣路易斯 +0.25（受让平/半）@1.90</x:v>
      </x:c>
      <x:c r="G2515" t="str">
        <x:v>大 2.25（2/2.5）@1.88</x:v>
      </x:c>
      <x:c r="H2515" t="str">
        <x:v>可选：圣路易斯 +0.5 @1.70（更稳但水位偏低，不主推）</x:v>
      </x:c>
      <x:c r="I2515" t="n">
        <x:v>46060.34961805555</x:v>
      </x:c>
      <x:c r="J2515" t="str">
        <x:v>已结算</x:v>
      </x:c>
      <x:c r="K2515" t="str">
        <x:v>4-1</x:v>
      </x:c>
      <x:c r="L2515" t="str">
        <x:v>输</x:v>
      </x:c>
      <x:c r="M2515" t="str">
        <x:v>赢</x:v>
      </x:c>
      <x:c r="N2515" t="n">
        <x:v>-1</x:v>
      </x:c>
      <x:c r="O2515" t="n">
        <x:v>1</x:v>
      </x:c>
      <x:c r="P2515" t="n">
        <x:f>IF(COUNT(N2515:O2515)=0,"",SUM(N2515:O2515))</x:f>
        <x:v>0</x:v>
      </x:c>
      <x:c r="Q2515" t="str">
        <x:v>SofaScore</x:v>
      </x:c>
      <x:c r="R2515" t="str">
        <x:v>校正赛果：内卡萨（Necaxa） 4-1 圣路易斯（Atlético San Luis）；让球：圣路易斯 +0.25 -&gt; 输（-1）；大小：大2.25 -&gt; 赢（1）；来源：SofaScore。</x:v>
      </x:c>
    </x:row>
    <x:row r="2516">
      <x:c r="A2516" t="str">
        <x:f>IF(B2516="","",TEXT(B2516,"yyyy-mm-dd")&amp;"|"&amp;D2516&amp;"|"&amp;E2516)</x:f>
        <x:v>2026-02-07|梅里达（Venados FC）|奥哈卡（Alebrijes de Oaxaca）</x:v>
      </x:c>
      <x:c r="B2516" t="n">
        <x:v>46060.375</x:v>
      </x:c>
      <x:c r="C2516" t="str">
        <x:v>墨西哥甲级扩展联赛（Liga de Expansión MX）</x:v>
      </x:c>
      <x:c r="D2516" t="str">
        <x:v>梅里达（Venados FC）</x:v>
      </x:c>
      <x:c r="E2516" t="str">
        <x:v>奥哈卡（Alebrijes de Oaxaca）</x:v>
      </x:c>
      <x:c r="F2516" t="str">
        <x:v>奥哈卡 +0.75（受让半/一）@1.85</x:v>
      </x:c>
      <x:c r="G2516" t="str">
        <x:v>小 3.0 @1.95</x:v>
      </x:c>
      <x:c r="H2516" t="str">
        <x:v>可选：奥哈卡 +0.5 @1.70（更稳但水位偏低）</x:v>
      </x:c>
      <x:c r="I2516" t="n">
        <x:v>46060.35563657407</x:v>
      </x:c>
      <x:c r="J2516" t="str">
        <x:v>已结算</x:v>
      </x:c>
      <x:c r="K2516" t="str">
        <x:v>3-3</x:v>
      </x:c>
      <x:c r="L2516" t="str">
        <x:v>赢</x:v>
      </x:c>
      <x:c r="M2516" t="str">
        <x:v>输</x:v>
      </x:c>
      <x:c r="N2516" t="n">
        <x:v>1</x:v>
      </x:c>
      <x:c r="O2516" t="n">
        <x:v>-1</x:v>
      </x:c>
      <x:c r="P2516" t="n">
        <x:f>IF(COUNT(N2516:O2516)=0,"",SUM(N2516:O2516))</x:f>
        <x:v>0</x:v>
      </x:c>
      <x:c r="Q2516"/>
      <x:c r="R2516" t="str">
        <x:v>赛果：梅里达（Venados）3-3 奥哈卡（Alebrijes）。推荐：奥哈卡+0.75（赢）；小3.0（输）。</x:v>
      </x:c>
    </x:row>
    <x:row r="2517">
      <x:c r="A2517" t="str">
        <x:f>IF(B2517="","",TEXT(B2517,"yyyy-mm-dd")&amp;"|"&amp;D2517&amp;"|"&amp;E2517)</x:f>
        <x:v>2026-02-07|特帕迪特兰（Tepatitlán FC）|克雷卡米诺斯（Correcaminos UAT）</x:v>
      </x:c>
      <x:c r="B2517" t="n">
        <x:v>46060.375</x:v>
      </x:c>
      <x:c r="C2517" t="str">
        <x:v>墨西哥甲级扩展联赛（Liga de Expansión MX）</x:v>
      </x:c>
      <x:c r="D2517" t="str">
        <x:v>特帕迪特兰（Tepatitlán FC）</x:v>
      </x:c>
      <x:c r="E2517" t="str">
        <x:v>克雷卡米诺斯（Correcaminos UAT）</x:v>
      </x:c>
      <x:c r="F2517" t="str">
        <x:v>特帕迪特兰 -1.25（-1/1.5）@1.93</x:v>
      </x:c>
      <x:c r="G2517" t="str">
        <x:v>小 2.75（2.5/3）@2.00</x:v>
      </x:c>
      <x:c r="H2517" t="str">
        <x:v>可选：特帕迪特兰 -1.0（若≥1.85更稳）</x:v>
      </x:c>
      <x:c r="I2517" t="n">
        <x:v>46060.35555555556</x:v>
      </x:c>
      <x:c r="J2517" t="str">
        <x:v>已结算</x:v>
      </x:c>
      <x:c r="K2517"/>
      <x:c r="L2517" t="str">
        <x:v>输半</x:v>
      </x:c>
      <x:c r="M2517" t="str">
        <x:v>输半</x:v>
      </x:c>
      <x:c r="N2517" t="n">
        <x:v>-0.5</x:v>
      </x:c>
      <x:c r="O2517" t="n">
        <x:v>-0.5</x:v>
      </x:c>
      <x:c r="P2517" t="n">
        <x:f>IF(COUNT(N2517:O2517)=0,"",SUM(N2517:O2517))</x:f>
        <x:v>-1</x:v>
      </x:c>
      <x:c r="Q2517"/>
      <x:c r="R2517" t="str">
        <x:v>终场：特帕迪特兰 2-1 克雷卡米诺斯。冻结：特帕迪特兰-1.25（赢1球=输半），小2.75（3球=输半）。</x:v>
      </x:c>
    </x:row>
    <x:row r="2518">
      <x:c r="A2518" t="str">
        <x:f>IF(B2518="","",TEXT(B2518,"yyyy-mm-dd")&amp;"|"&amp;D2518&amp;"|"&amp;E2518)</x:f>
        <x:v>2026-02-07|老虎大学（Tigres UANL）|桑托斯拉古纳（Santos Laguna）</x:v>
      </x:c>
      <x:c r="B2518" t="n">
        <x:v>46060.375</x:v>
      </x:c>
      <x:c r="C2518" t="str">
        <x:v>墨西哥超（Liga MX，Clausura）</x:v>
      </x:c>
      <x:c r="D2518" t="str">
        <x:v>老虎大学（Tigres UANL）</x:v>
      </x:c>
      <x:c r="E2518" t="str">
        <x:v>桑托斯拉古纳（Santos Laguna）</x:v>
      </x:c>
      <x:c r="F2518" t="str">
        <x:v>老虎大学 -1.75（1.90）</x:v>
      </x:c>
      <x:c r="G2518" t="str">
        <x:v>小2.5（2.50）</x:v>
      </x:c>
      <x:c r="H2518" t="str">
        <x:v>桑托斯拉古纳 角球大2.5（1.82）</x:v>
      </x:c>
      <x:c r="I2518" t="n">
        <x:v>46060.34951388889</x:v>
      </x:c>
      <x:c r="J2518" t="str">
        <x:v>已结算</x:v>
      </x:c>
      <x:c r="K2518"/>
      <x:c r="L2518" t="str">
        <x:v>赢</x:v>
      </x:c>
      <x:c r="M2518" t="str">
        <x:v>输</x:v>
      </x:c>
      <x:c r="N2518" t="n">
        <x:v>1</x:v>
      </x:c>
      <x:c r="O2518" t="n">
        <x:v>-1</x:v>
      </x:c>
      <x:c r="P2518" t="n">
        <x:f>IF(COUNT(N2518:O2518)=0,"",SUM(N2518:O2518))</x:f>
        <x:v>0</x:v>
      </x:c>
      <x:c r="Q2518"/>
      <x:c r="R2518" t="str">
        <x:v>终场5-1</x:v>
      </x:c>
    </x:row>
    <x:row r="2519">
      <x:c r="A2519" t="str">
        <x:f>IF(B2519="","",TEXT(B2519,"yyyy-mm-dd")&amp;"|"&amp;D2519&amp;"|"&amp;E2519)</x:f>
        <x:v>2026-02-07|蒙得维的亚流浪者（Montevideo Wanderers）|德芬索竞技（Defensor Sporting）</x:v>
      </x:c>
      <x:c r="B2519" t="n">
        <x:v>46060.354166666664</x:v>
      </x:c>
      <x:c r="C2519" t="str">
        <x:v>乌拉圭甲级联赛（Campeonato Uruguayo·Primera División）</x:v>
      </x:c>
      <x:c r="D2519" t="str">
        <x:v>蒙得维的亚流浪者（Montevideo Wanderers）</x:v>
      </x:c>
      <x:c r="E2519" t="str">
        <x:v>德芬索竞技（Defensor Sporting）</x:v>
      </x:c>
      <x:c r="F2519" t="str">
        <x:v>德芬索竞技 -0.25（让平/半）@2.00</x:v>
      </x:c>
      <x:c r="G2519" t="str">
        <x:v>小 2.0 @2.05</x:v>
      </x:c>
      <x:c r="H2519" t="str">
        <x:v>可选：德芬索竞技 胜（ML）@2.25 小注</x:v>
      </x:c>
      <x:c r="I2519" t="n">
        <x:v>46060.3496875</x:v>
      </x:c>
      <x:c r="J2519" t="str">
        <x:v>已结算</x:v>
      </x:c>
      <x:c r="K2519"/>
      <x:c r="L2519" t="str">
        <x:v>输半</x:v>
      </x:c>
      <x:c r="M2519" t="str">
        <x:v>走水</x:v>
      </x:c>
      <x:c r="N2519" t="n">
        <x:v>-0.5</x:v>
      </x:c>
      <x:c r="O2519" t="n">
        <x:v>0</x:v>
      </x:c>
      <x:c r="P2519" t="n">
        <x:f>IF(COUNT(N2519:O2519)=0,"",SUM(N2519:O2519))</x:f>
        <x:v>-0.5</x:v>
      </x:c>
      <x:c r="Q2519"/>
      <x:c r="R2519" t="str">
        <x:v>终场：蒙得维的亚流浪者 1-1 德芬索竞技。冻结：德芬索-0.25（平=输半），小2.0（2球=走水）。</x:v>
      </x:c>
    </x:row>
    <x:row r="2520">
      <x:c r="A2520" t="str">
        <x:f>IF(B2520="","",TEXT(B2520,"yyyy-mm-dd")&amp;"|"&amp;D2520&amp;"|"&amp;E2520)</x:f>
        <x:v>2026-02-07|科尔多瓦中央（Central Córdoba SdE）|圣塔菲联（Unión de Santa Fe）</x:v>
      </x:c>
      <x:c r="B2520" t="n">
        <x:v>46060.333333333336</x:v>
      </x:c>
      <x:c r="C2520" t="str">
        <x:v>阿根廷职业联赛（Liga Profesional·Apertura）</x:v>
      </x:c>
      <x:c r="D2520" t="str">
        <x:v>科尔多瓦中央（Central Córdoba SdE）</x:v>
      </x:c>
      <x:c r="E2520" t="str">
        <x:v>圣塔菲联（Unión de Santa Fe）</x:v>
      </x:c>
      <x:c r="F2520" t="str">
        <x:v>圣塔菲联 -0.25（让平/半）@2.08</x:v>
      </x:c>
      <x:c r="G2520" t="str">
        <x:v>小 1.5 @2.20</x:v>
      </x:c>
      <x:c r="H2520" t="str">
        <x:v>小注对冲：平局 @2.88</x:v>
      </x:c>
      <x:c r="I2520" t="n">
        <x:v>46060.345300925925</x:v>
      </x:c>
      <x:c r="J2520" t="str">
        <x:v>已结算</x:v>
      </x:c>
      <x:c r="K2520"/>
      <x:c r="L2520" t="str">
        <x:v>输</x:v>
      </x:c>
      <x:c r="M2520" t="str">
        <x:v>赢</x:v>
      </x:c>
      <x:c r="N2520" t="n">
        <x:v>-1</x:v>
      </x:c>
      <x:c r="O2520" t="n">
        <x:v>1</x:v>
      </x:c>
      <x:c r="P2520" t="n">
        <x:f>IF(COUNT(N2520:O2520)=0,"",SUM(N2520:O2520))</x:f>
        <x:v>0</x:v>
      </x:c>
      <x:c r="Q2520"/>
      <x:c r="R2520" t="str">
        <x:v>终场：科尔多瓦中央 1-0 圣塔菲联。冻结：圣塔菲联-0.25（输），小1.5（赢）。</x:v>
      </x:c>
    </x:row>
    <x:row r="2521">
      <x:c r="A2521" t="str">
        <x:f>IF(B2521="","",TEXT(B2521,"yyyy-mm-dd")&amp;"|"&amp;D2521&amp;"|"&amp;E2521)</x:f>
        <x:v>2026-02-07|帕斯度（Deportivo Pasto）|布卡拉曼加（Atlético Bucaramanga）</x:v>
      </x:c>
      <x:c r="B2521" t="n">
        <x:v>46060.305555555555</x:v>
      </x:c>
      <x:c r="C2521" t="str">
        <x:v>哥伦比亚甲级联赛（Liga BetPlay DIMAYOR）</x:v>
      </x:c>
      <x:c r="D2521" t="str">
        <x:v>帕斯度（Deportivo Pasto）</x:v>
      </x:c>
      <x:c r="E2521" t="str">
        <x:v>布卡拉曼加（Atlético Bucaramanga）</x:v>
      </x:c>
      <x:c r="F2521" t="str">
        <x:v>帕斯度 +0.25（受让平/半）@1.85</x:v>
      </x:c>
      <x:c r="G2521" t="str">
        <x:v>大 1.75（1.5/2）@1.90</x:v>
      </x:c>
      <x:c r="H2521" t="str">
        <x:v>进取：平局 @2.81（小注）</x:v>
      </x:c>
      <x:c r="I2521" t="n">
        <x:v>46060.25587962963</x:v>
      </x:c>
      <x:c r="J2521" t="str">
        <x:v>已结算</x:v>
      </x:c>
      <x:c r="K2521"/>
      <x:c r="L2521" t="str">
        <x:v>赢半</x:v>
      </x:c>
      <x:c r="M2521" t="str">
        <x:v>输</x:v>
      </x:c>
      <x:c r="N2521" t="n">
        <x:v>0.5</x:v>
      </x:c>
      <x:c r="O2521" t="n">
        <x:v>-1</x:v>
      </x:c>
      <x:c r="P2521" t="n">
        <x:f>IF(COUNT(N2521:O2521)=0,"",SUM(N2521:O2521))</x:f>
        <x:v>-0.5</x:v>
      </x:c>
      <x:c r="Q2521"/>
      <x:c r="R2521" t="str">
        <x:v>终场：帕斯度 0-0 布卡拉曼加。冻结：帕斯度+0.25（赢半），大1.75（输）。</x:v>
      </x:c>
    </x:row>
    <x:row r="2522">
      <x:c r="A2522" t="str">
        <x:f>IF(B2522="","",TEXT(B2522,"yyyy-mm-dd")&amp;"|"&amp;D2522&amp;"|"&amp;E2522)</x:f>
        <x:v>2026-02-07|麦德林独立（Independiente Medellín）|波哥大国际（Internacional de Bogotá）</x:v>
      </x:c>
      <x:c r="B2522" t="n">
        <x:v>46060.25</x:v>
      </x:c>
      <x:c r="C2522" t="str">
        <x:v>哥伦比亚甲级联赛（Liga BetPlay DIMAYOR）</x:v>
      </x:c>
      <x:c r="D2522" t="str">
        <x:v>麦德林独立（Independiente Medellín）</x:v>
      </x:c>
      <x:c r="E2522" t="str">
        <x:v>波哥大国际（Internacional de Bogotá）</x:v>
      </x:c>
      <x:c r="F2522" t="str">
        <x:v>麦德林独立 -1.25（-1/1.5）@1.88</x:v>
      </x:c>
      <x:c r="G2522" t="str">
        <x:v>小 2.25（2/2.5）@1.83</x:v>
      </x:c>
      <x:c r="H2522" t="str">
        <x:v>可选：麦德林独立 -1.0（若&lt;1.75不玩）</x:v>
      </x:c>
      <x:c r="I2522" t="n">
        <x:v>46060.355775462966</x:v>
      </x:c>
      <x:c r="J2522" t="str">
        <x:v>已结算</x:v>
      </x:c>
      <x:c r="K2522" t="str">
        <x:v>1-2</x:v>
      </x:c>
      <x:c r="L2522" t="str">
        <x:v>输</x:v>
      </x:c>
      <x:c r="M2522" t="str">
        <x:v>输</x:v>
      </x:c>
      <x:c r="N2522" t="n">
        <x:v>-1</x:v>
      </x:c>
      <x:c r="O2522" t="n">
        <x:v>-1</x:v>
      </x:c>
      <x:c r="P2522" t="n">
        <x:f>IF(COUNT(N2522:O2522)=0,"",SUM(N2522:O2522))</x:f>
        <x:v>-2</x:v>
      </x:c>
      <x:c r="Q2522"/>
      <x:c r="R2522" t="str">
        <x:v>赛果：麦德林独立 1-2 波哥大国际。推荐：麦德林独立-1.25（输）；小2.25（输）。（备注：league 字段此前口径可能写成哥伦比亚杯，实际为联赛赛程）</x:v>
      </x:c>
    </x:row>
    <x:row r="2523">
      <x:c r="A2523" t="str">
        <x:f>IF(B2523="","",TEXT(B2523,"yyyy-mm-dd")&amp;"|"&amp;D2523&amp;"|"&amp;E2523)</x:f>
        <x:v>2026-02-07|查尔顿（Charlton Athletic）|女王公园巡游者（QPR）</x:v>
      </x:c>
      <x:c r="B2523" t="n">
        <x:v>46060.16736111111</x:v>
      </x:c>
      <x:c r="C2523" t="str">
        <x:v>英格兰冠军联赛（英冠）</x:v>
      </x:c>
      <x:c r="D2523" t="str">
        <x:v>查尔顿（Charlton Athletic）</x:v>
      </x:c>
      <x:c r="E2523" t="str">
        <x:v>女王公园巡游者（QPR）</x:v>
      </x:c>
      <x:c r="F2523" t="str">
        <x:v>查尔顿 0（平手盘/DNB，≈1.95）</x:v>
      </x:c>
      <x:c r="G2523" t="str">
        <x:v>小 2.25（≈1.83）</x:v>
      </x:c>
      <x:c r="H2523" t="str">
        <x:v>可选：双方进球-否（≈1.80）小注</x:v>
      </x:c>
      <x:c r="I2523" t="n">
        <x:v>46059.92417824074</x:v>
      </x:c>
      <x:c r="J2523" t="str">
        <x:v>已结算</x:v>
      </x:c>
      <x:c r="K2523" t="str">
        <x:v>0-0</x:v>
      </x:c>
      <x:c r="L2523" t="str">
        <x:v>走水</x:v>
      </x:c>
      <x:c r="M2523" t="str">
        <x:v>赢</x:v>
      </x:c>
      <x:c r="N2523" t="n">
        <x:v>0</x:v>
      </x:c>
      <x:c r="O2523" t="n">
        <x:v>1</x:v>
      </x:c>
      <x:c r="P2523" t="n">
        <x:f>IF(COUNT(N2523:O2523)=0,"",SUM(N2523:O2523))</x:f>
        <x:v>1</x:v>
      </x:c>
      <x:c r="Q2523"/>
      <x:c r="R2523" t="str">
        <x:v>复核赛果：查尔顿（Charlton Athletic） 0-0 女王公园巡游者（QPR）；让球：查尔顿 0（DNB）=走水；大小：小2.25=赢。</x:v>
      </x:c>
    </x:row>
    <x:row r="2524">
      <x:c r="A2524" t="str">
        <x:f>IF(B2524="","",TEXT(B2524,"yyyy-mm-dd")&amp;"|"&amp;D2524&amp;"|"&amp;E2524)</x:f>
        <x:v>2026-02-07|塞尔塔（Celta Vigo）|奥萨苏纳（Osasuna）</x:v>
      </x:c>
      <x:c r="B2524" t="n">
        <x:v>46060.166666666664</x:v>
      </x:c>
      <x:c r="C2524" t="str">
        <x:v>西甲（LaLiga）</x:v>
      </x:c>
      <x:c r="D2524" t="str">
        <x:v>塞尔塔（Celta Vigo）</x:v>
      </x:c>
      <x:c r="E2524" t="str">
        <x:v>奥萨苏纳（Osasuna）</x:v>
      </x:c>
      <x:c r="F2524" t="str">
        <x:v>塞尔塔 -0.5（-110≈1.91）</x:v>
      </x:c>
      <x:c r="G2524" t="str">
        <x:v>大2.5（+110≈2.10）</x:v>
      </x:c>
      <x:c r="H2524" t="str">
        <x:v>可选：塞尔塔独赢（+100≈2.00）；保守不加仓</x:v>
      </x:c>
      <x:c r="I2524" t="n">
        <x:v>46059.928252314814</x:v>
      </x:c>
      <x:c r="J2524" t="str">
        <x:v>已结算</x:v>
      </x:c>
      <x:c r="K2524" t="str">
        <x:v>1-2</x:v>
      </x:c>
      <x:c r="L2524" t="str">
        <x:v>输</x:v>
      </x:c>
      <x:c r="M2524" t="str">
        <x:v>赢</x:v>
      </x:c>
      <x:c r="N2524" t="n">
        <x:v>-1</x:v>
      </x:c>
      <x:c r="O2524" t="n">
        <x:v>1</x:v>
      </x:c>
      <x:c r="P2524" t="n">
        <x:f>IF(COUNT(N2524:O2524)=0,"",SUM(N2524:O2524))</x:f>
        <x:v>0</x:v>
      </x:c>
      <x:c r="Q2524"/>
      <x:c r="R2524" t="str">
        <x:v>赛果：塞尔塔 1-2 奥萨苏纳。让球：塞尔塔-0.5（输）；大小：大2.5（赢）。</x:v>
      </x:c>
    </x:row>
    <x:row r="2525">
      <x:c r="A2525" t="str">
        <x:f>IF(B2525="","",TEXT(B2525,"yyyy-mm-dd")&amp;"|"&amp;D2525&amp;"|"&amp;E2525)</x:f>
        <x:v>2026-02-07|利兹联（Leeds United）|诺丁汉森林（Nottingham Forest）</x:v>
      </x:c>
      <x:c r="B2525" t="n">
        <x:v>46060.166666666664</x:v>
      </x:c>
      <x:c r="C2525" t="str">
        <x:v>英格兰超级联赛（Premier League）</x:v>
      </x:c>
      <x:c r="D2525" t="str">
        <x:v>利兹联（Leeds United）</x:v>
      </x:c>
      <x:c r="E2525" t="str">
        <x:v>诺丁汉森林（Nottingham Forest）</x:v>
      </x:c>
      <x:c r="F2525" t="str">
        <x:v>诺丁汉森林 +0.25（受让平/半） @2.00左右</x:v>
      </x:c>
      <x:c r="G2525" t="str">
        <x:v>小2.25球 @2.00左右</x:v>
      </x:c>
      <x:c r="H2525" t="str">
        <x:v>小注：平局 @3.30左右</x:v>
      </x:c>
      <x:c r="I2525" t="n">
        <x:v>46059.9240625</x:v>
      </x:c>
      <x:c r="J2525" t="str">
        <x:v>已结算</x:v>
      </x:c>
      <x:c r="K2525" t="str">
        <x:v>3-1</x:v>
      </x:c>
      <x:c r="L2525" t="str">
        <x:v>输</x:v>
      </x:c>
      <x:c r="M2525" t="str">
        <x:v>输</x:v>
      </x:c>
      <x:c r="N2525" t="n">
        <x:v>-1</x:v>
      </x:c>
      <x:c r="O2525" t="n">
        <x:v>-1</x:v>
      </x:c>
      <x:c r="P2525" t="n">
        <x:f>IF(COUNT(N2525:O2525)=0,"",SUM(N2525:O2525))</x:f>
        <x:v>-2</x:v>
      </x:c>
      <x:c r="Q2525"/>
      <x:c r="R2525" t="str">
        <x:v>赛果：利兹联 3-1 诺丁汉森林。让球：森林+0.25（输）；大小：小2.25（输）。</x:v>
      </x:c>
    </x:row>
    <x:row r="2526">
      <x:c r="A2526" t="str">
        <x:f>IF(B2526="","",TEXT(B2526,"yyyy-mm-dd")&amp;"|"&amp;D2526&amp;"|"&amp;E2526)</x:f>
        <x:v>2026-02-07|维罗纳（Hellas Verona）|比萨（Pisa）</x:v>
      </x:c>
      <x:c r="B2526" t="n">
        <x:v>46060.15625</x:v>
      </x:c>
      <x:c r="C2526" t="str">
        <x:v>意大利甲级联赛（Serie A）</x:v>
      </x:c>
      <x:c r="D2526" t="str">
        <x:v>维罗纳（Hellas Verona）</x:v>
      </x:c>
      <x:c r="E2526" t="str">
        <x:v>比萨（Pisa）</x:v>
      </x:c>
      <x:c r="F2526" t="str">
        <x:v>比萨 +0.25（≈1.95）</x:v>
      </x:c>
      <x:c r="G2526" t="str">
        <x:v>大 2.5（≈2.35）</x:v>
      </x:c>
      <x:c r="H2526" t="str">
        <x:v>可选：双方进球-是（≈1.95）小注</x:v>
      </x:c>
      <x:c r="I2526" t="n">
        <x:v>46059.92024305555</x:v>
      </x:c>
      <x:c r="J2526" t="str">
        <x:v>已结算</x:v>
      </x:c>
      <x:c r="K2526" t="str">
        <x:v>0-0</x:v>
      </x:c>
      <x:c r="L2526" t="str">
        <x:v>赢半</x:v>
      </x:c>
      <x:c r="M2526" t="str">
        <x:v>输</x:v>
      </x:c>
      <x:c r="N2526" t="n">
        <x:v>0.5</x:v>
      </x:c>
      <x:c r="O2526" t="n">
        <x:v>-1</x:v>
      </x:c>
      <x:c r="P2526" t="n">
        <x:f>IF(COUNT(N2526:O2526)=0,"",SUM(N2526:O2526))</x:f>
        <x:v>-0.5</x:v>
      </x:c>
      <x:c r="Q2526"/>
      <x:c r="R2526" t="str">
        <x:v>用户更正赛果：维罗纳 0-0 比萨。推荐：比萨+0.25（赢半）；大小：大2.5（输）。覆盖此前结算记录。</x:v>
      </x:c>
    </x:row>
    <x:row r="2527">
      <x:c r="A2527" t="str">
        <x:f>IF(B2527="","",TEXT(B2527,"yyyy-mm-dd")&amp;"|"&amp;D2527&amp;"|"&amp;E2527)</x:f>
        <x:v>2026-02-07|柏林联合（Union Berlin）|法兰克福（Eintracht Frankfurt）</x:v>
      </x:c>
      <x:c r="B2527" t="n">
        <x:v>46060.145833333336</x:v>
      </x:c>
      <x:c r="C2527" t="str">
        <x:v>德国甲级联赛（德甲/Bundesliga）</x:v>
      </x:c>
      <x:c r="D2527" t="str">
        <x:v>柏林联合（Union Berlin）</x:v>
      </x:c>
      <x:c r="E2527" t="str">
        <x:v>法兰克福（Eintracht Frankfurt）</x:v>
      </x:c>
      <x:c r="F2527" t="str">
        <x:v>柏林联合 -0.5（-105≈1.95）</x:v>
      </x:c>
      <x:c r="G2527" t="str">
        <x:v>大2.5（-115≈1.87）</x:v>
      </x:c>
      <x:c r="H2527" t="str">
        <x:v>可选：柏林联合 -0.25（若临场回落且≥1.85）</x:v>
      </x:c>
      <x:c r="I2527" t="n">
        <x:v>46059.92833333334</x:v>
      </x:c>
      <x:c r="J2527" t="str">
        <x:v>已结算</x:v>
      </x:c>
      <x:c r="K2527" t="str">
        <x:v>1-1</x:v>
      </x:c>
      <x:c r="L2527" t="str">
        <x:v>输</x:v>
      </x:c>
      <x:c r="M2527" t="str">
        <x:v>输</x:v>
      </x:c>
      <x:c r="N2527" t="n">
        <x:v>-1</x:v>
      </x:c>
      <x:c r="O2527" t="n">
        <x:v>-1</x:v>
      </x:c>
      <x:c r="P2527" t="n">
        <x:f>IF(COUNT(N2527:O2527)=0,"",SUM(N2527:O2527))</x:f>
        <x:v>-2</x:v>
      </x:c>
      <x:c r="Q2527"/>
      <x:c r="R2527" t="str">
        <x:v>赛果：柏林联合 1-1 法兰克福。让球：柏林联合-0.5（输）；大小：大2.5（输）。</x:v>
      </x:c>
    </x:row>
    <x:row r="2528">
      <x:c r="A2528" t="str">
        <x:f>IF(B2528="","",TEXT(B2528,"yyyy-mm-dd")&amp;"|"&amp;D2528&amp;"|"&amp;E2528)</x:f>
        <x:v>2026-02-07|布雷达（NAC Breda）|SBV精英（Excelsior）</x:v>
      </x:c>
      <x:c r="B2528" t="n">
        <x:v>46060.125</x:v>
      </x:c>
      <x:c r="C2528" t="str">
        <x:v>荷兰甲级联赛（Eredivisie）</x:v>
      </x:c>
      <x:c r="D2528" t="str">
        <x:v>布雷达（NAC Breda）</x:v>
      </x:c>
      <x:c r="E2528" t="str">
        <x:v>SBV精英（Excelsior）</x:v>
      </x:c>
      <x:c r="F2528" t="str">
        <x:v>SBV精英 +0.5（≈2.03）</x:v>
      </x:c>
      <x:c r="G2528" t="str">
        <x:v>大 2.5（≈1.80）</x:v>
      </x:c>
      <x:c r="H2528" t="str">
        <x:v>可选：双方进球-是（≈1.70-1.80）小注</x:v>
      </x:c>
      <x:c r="I2528" t="n">
        <x:v>46059.93103009259</x:v>
      </x:c>
      <x:c r="J2528" t="str">
        <x:v>已结算</x:v>
      </x:c>
      <x:c r="K2528" t="str">
        <x:v>0-2</x:v>
      </x:c>
      <x:c r="L2528" t="str">
        <x:v>赢</x:v>
      </x:c>
      <x:c r="M2528" t="str">
        <x:v>输</x:v>
      </x:c>
      <x:c r="N2528" t="n">
        <x:v>1</x:v>
      </x:c>
      <x:c r="O2528" t="n">
        <x:v>-1</x:v>
      </x:c>
      <x:c r="P2528" t="n">
        <x:f>IF(COUNT(N2528:O2528)=0,"",SUM(N2528:O2528))</x:f>
        <x:v>0</x:v>
      </x:c>
      <x:c r="Q2528"/>
      <x:c r="R2528" t="str">
        <x:v>赛果：布雷达 0-2 SBV精英。让球：SBV精英+0.5（赢）；大小：大2.5（输）。</x:v>
      </x:c>
    </x:row>
    <x:row r="2529">
      <x:c r="A2529" t="str">
        <x:f>IF(B2529="","",TEXT(B2529,"yyyy-mm-dd")&amp;"|"&amp;D2529&amp;"|"&amp;E2529)</x:f>
        <x:v>2026-02-07|奥胡斯（AGF Aarhus）|欧登赛（Odense BK/OB）</x:v>
      </x:c>
      <x:c r="B2529" t="n">
        <x:v>46060.083333333336</x:v>
      </x:c>
      <x:c r="C2529" t="str">
        <x:v>丹麦超级联赛（Danish Superliga）</x:v>
      </x:c>
      <x:c r="D2529" t="str">
        <x:v>奥胡斯（AGF Aarhus）</x:v>
      </x:c>
      <x:c r="E2529" t="str">
        <x:v>欧登赛（Odense BK/OB）</x:v>
      </x:c>
      <x:c r="F2529" t="str">
        <x:v>奥胡斯 -1（≈2.03）</x:v>
      </x:c>
      <x:c r="G2529" t="str">
        <x:v>大 2.75（≈2.09）</x:v>
      </x:c>
      <x:c r="H2529" t="str">
        <x:v>可选：奥胡斯 -1.5（≈2.53）小注</x:v>
      </x:c>
      <x:c r="I2529" t="n">
        <x:v>46059.930868055555</x:v>
      </x:c>
      <x:c r="J2529" t="str">
        <x:v>已结算</x:v>
      </x:c>
      <x:c r="K2529"/>
      <x:c r="L2529" t="str">
        <x:v>走水</x:v>
      </x:c>
      <x:c r="M2529" t="str">
        <x:v>赢半</x:v>
      </x:c>
      <x:c r="N2529" t="n">
        <x:v>0</x:v>
      </x:c>
      <x:c r="O2529" t="n">
        <x:v>0.5</x:v>
      </x:c>
      <x:c r="P2529" t="n">
        <x:f>IF(COUNT(N2529:O2529)=0,"",SUM(N2529:O2529))</x:f>
        <x:v>0.5</x:v>
      </x:c>
      <x:c r="Q2529"/>
      <x:c r="R2529" t="str">
        <x:v>延期后于2026-02-09完赛：奥胡斯2-1欧登赛（总进球3）。让球奥胡斯-1走水；大小2.75大赢半；可选奥胡斯-1.5为输。</x:v>
      </x:c>
    </x:row>
    <x:row r="2530">
      <x:c r="A2530" t="str">
        <x:f>IF(B2530="","",TEXT(B2530,"yyyy-mm-dd")&amp;"|"&amp;D2530&amp;"|"&amp;E2530)</x:f>
        <x:v>2026-02-07|菲尔特（Greuther Fürth）|马德格堡（1. FC Magdeburg）</x:v>
      </x:c>
      <x:c r="B2530" t="n">
        <x:v>46060.0625</x:v>
      </x:c>
      <x:c r="C2530" t="str">
        <x:v>德国乙级联赛（2. Bundesliga）</x:v>
      </x:c>
      <x:c r="D2530" t="str">
        <x:v>菲尔特（Greuther Fürth）</x:v>
      </x:c>
      <x:c r="E2530" t="str">
        <x:v>马德格堡（1. FC Magdeburg）</x:v>
      </x:c>
      <x:c r="F2530" t="str">
        <x:v>马德格堡 -0.75（≈1.97）</x:v>
      </x:c>
      <x:c r="G2530" t="str">
        <x:v>小 2.75（≈2.08）</x:v>
      </x:c>
      <x:c r="H2530" t="str">
        <x:v>可选：马德格堡 -0.5（若临场降盘但水位≥1.85）</x:v>
      </x:c>
      <x:c r="I2530" t="n">
        <x:v>46059.918344907404</x:v>
      </x:c>
      <x:c r="J2530" t="str">
        <x:v>已结算</x:v>
      </x:c>
      <x:c r="K2530" t="str">
        <x:v>4-5</x:v>
      </x:c>
      <x:c r="L2530" t="str">
        <x:v>赢半</x:v>
      </x:c>
      <x:c r="M2530" t="str">
        <x:v>输</x:v>
      </x:c>
      <x:c r="N2530" t="n">
        <x:v>0.5</x:v>
      </x:c>
      <x:c r="O2530" t="n">
        <x:v>-1</x:v>
      </x:c>
      <x:c r="P2530" t="n">
        <x:f>IF(COUNT(N2530:O2530)=0,"",SUM(N2530:O2530))</x:f>
        <x:v>-0.5</x:v>
      </x:c>
      <x:c r="Q2530"/>
      <x:c r="R2530" t="str">
        <x:v>用户更正赛果：菲尔特 4-5 马德格堡。推荐：马德格堡-0.75（赢半：-0.5赢、-1走水）；小2.75（输）。覆盖此前结算备注。</x:v>
      </x:c>
    </x:row>
    <x:row r="2531">
      <x:c r="A2531" t="str">
        <x:f>IF(B2531="","",TEXT(B2531,"yyyy-mm-dd")&amp;"|"&amp;D2531&amp;"|"&amp;E2531)</x:f>
        <x:v>2026-02-07|普鲁士明斯特（Preußen Münster）|波鸿（VfL Bochum）</x:v>
      </x:c>
      <x:c r="B2531" t="n">
        <x:v>46060.0625</x:v>
      </x:c>
      <x:c r="C2531" t="str">
        <x:v>德国乙级联赛（2. Bundesliga）</x:v>
      </x:c>
      <x:c r="D2531" t="str">
        <x:v>普鲁士明斯特（Preußen Münster）</x:v>
      </x:c>
      <x:c r="E2531" t="str">
        <x:v>波鸿（VfL Bochum）</x:v>
      </x:c>
      <x:c r="F2531" t="str">
        <x:v>波鸿 0（平手盘/DNB，≈1.91）</x:v>
      </x:c>
      <x:c r="G2531" t="str">
        <x:v>小 2.5（≈2.05）</x:v>
      </x:c>
      <x:c r="H2531" t="str">
        <x:v>可选：波鸿 -0.25（若能拿到≥1.85）小注</x:v>
      </x:c>
      <x:c r="I2531" t="n">
        <x:v>46059.91826388889</x:v>
      </x:c>
      <x:c r="J2531" t="str">
        <x:v>已结算</x:v>
      </x:c>
      <x:c r="K2531" t="str">
        <x:v>1-1</x:v>
      </x:c>
      <x:c r="L2531" t="str">
        <x:v>走水</x:v>
      </x:c>
      <x:c r="M2531" t="str">
        <x:v>赢</x:v>
      </x:c>
      <x:c r="N2531" t="n">
        <x:v>0</x:v>
      </x:c>
      <x:c r="O2531" t="n">
        <x:v>1</x:v>
      </x:c>
      <x:c r="P2531" t="n">
        <x:f>IF(COUNT(N2531:O2531)=0,"",SUM(N2531:O2531))</x:f>
        <x:v>1</x:v>
      </x:c>
      <x:c r="Q2531"/>
      <x:c r="R2531" t="str">
        <x:v>赛果：普鲁士明斯特 1-1 波鸿。让球：波鸿0（走水）；大小：小2.5（赢）。</x:v>
      </x:c>
    </x:row>
    <x:row r="2532">
      <x:c r="A2532" t="str">
        <x:f>IF(B2532="","",TEXT(B2532,"yyyy-mm-dd")&amp;"|"&amp;D2532&amp;"|"&amp;E2532)</x:f>
        <x:v>2026-02-06|艾尔格纳（El Gounah）|未来FC（Modern Sport）</x:v>
      </x:c>
      <x:c r="B2532" t="n">
        <x:v>46059.958333333336</x:v>
      </x:c>
      <x:c r="C2532" t="str">
        <x:v>埃及超级联赛（Egyptian Premier League）</x:v>
      </x:c>
      <x:c r="D2532" t="str">
        <x:v>艾尔格纳（El Gounah）</x:v>
      </x:c>
      <x:c r="E2532" t="str">
        <x:v>未来FC（Modern Sport）</x:v>
      </x:c>
      <x:c r="F2532" t="str">
        <x:v>未来FC（Modern Sport）-0/0.5（-0.25）@1.04左右</x:v>
      </x:c>
      <x:c r="G2532" t="str">
        <x:v>小1.5/2（1.75）@1.00左右</x:v>
      </x:c>
      <x:c r="H2532" t="str">
        <x:v>若临场升盘到未来FC（Modern Sport）-0.5且水位≥0.90，可小注跟；若退盘到平手(0)且水位≥0.85，则改用未来FC(0)保守加仓</x:v>
      </x:c>
      <x:c r="I2532" t="n">
        <x:v>46060.00009259259</x:v>
      </x:c>
      <x:c r="J2532" t="str">
        <x:v>已结算</x:v>
      </x:c>
      <x:c r="K2532"/>
      <x:c r="L2532" t="str">
        <x:v>输半</x:v>
      </x:c>
      <x:c r="M2532" t="str">
        <x:v>输半</x:v>
      </x:c>
      <x:c r="N2532" t="n">
        <x:v>-0.5</x:v>
      </x:c>
      <x:c r="O2532" t="n">
        <x:v>-0.5</x:v>
      </x:c>
      <x:c r="P2532" t="n">
        <x:f>IF(COUNT(N2532:O2532)=0,"",SUM(N2532:O2532))</x:f>
        <x:v>-1</x:v>
      </x:c>
      <x:c r="Q2532"/>
      <x:c r="R2532" t="str">
        <x:v>终场：艾尔格纳 1-1 未来FC（Modern Sport）。冻结：未来-0.25（平=输半），小1.75（2球=输半）。</x:v>
      </x:c>
    </x:row>
    <x:row r="2533">
      <x:c r="A2533" t="str">
        <x:f>IF(B2533="","",TEXT(B2533,"yyyy-mm-dd")&amp;"|"&amp;D2533&amp;"|"&amp;E2533)</x:f>
        <x:v>2026-02-06|达曼协作（Al Ettifaq）|达马克（Damac）</x:v>
      </x:c>
      <x:c r="B2533" t="n">
        <x:v>46059.958333333336</x:v>
      </x:c>
      <x:c r="C2533" t="str">
        <x:v>沙特职业联赛（Saudi Pro League）</x:v>
      </x:c>
      <x:c r="D2533" t="str">
        <x:v>达曼协作（Al Ettifaq）</x:v>
      </x:c>
      <x:c r="E2533" t="str">
        <x:v>达马克（Damac）</x:v>
      </x:c>
      <x:c r="F2533" t="str">
        <x:v>达曼协作 -0.75（≈1.95）</x:v>
      </x:c>
      <x:c r="G2533" t="str">
        <x:v>大 2.5（≈1.96）</x:v>
      </x:c>
      <x:c r="H2533" t="str">
        <x:v>可选：达曼协作 -1（≈2.35）小注</x:v>
      </x:c>
      <x:c r="I2533" t="n">
        <x:v>46059.915925925925</x:v>
      </x:c>
      <x:c r="J2533" t="str">
        <x:v>已结算</x:v>
      </x:c>
      <x:c r="K2533" t="str">
        <x:v>2-0</x:v>
      </x:c>
      <x:c r="L2533" t="str">
        <x:v>赢</x:v>
      </x:c>
      <x:c r="M2533" t="str">
        <x:v>输</x:v>
      </x:c>
      <x:c r="N2533" t="n">
        <x:v>1</x:v>
      </x:c>
      <x:c r="O2533" t="n">
        <x:v>-1</x:v>
      </x:c>
      <x:c r="P2533" t="n">
        <x:f>IF(COUNT(N2533:O2533)=0,"",SUM(N2533:O2533))</x:f>
        <x:v>0</x:v>
      </x:c>
      <x:c r="Q2533"/>
      <x:c r="R2533" t="str">
        <x:v>赛果：达曼协作 2-0 达马克。让球：达曼协作-0.75（赢）；大小：大2.5（输）。</x:v>
      </x:c>
    </x:row>
    <x:row r="2534">
      <x:c r="A2534" t="str">
        <x:f>IF(B2534="","",TEXT(B2534,"yyyy-mm-dd")&amp;"|"&amp;D2534&amp;"|"&amp;E2534)</x:f>
        <x:v>2026-02-06|万隆（Persib Bandung）|马鲁特联（Malut United）</x:v>
      </x:c>
      <x:c r="B2534" t="n">
        <x:v>46059.833333333336</x:v>
      </x:c>
      <x:c r="C2534" t="str">
        <x:v>印度尼西亚超级联赛（印尼超/Liga 1 Indonesia）</x:v>
      </x:c>
      <x:c r="D2534" t="str">
        <x:v>万隆（Persib Bandung）</x:v>
      </x:c>
      <x:c r="E2534" t="str">
        <x:v>马鲁特联（Malut United）</x:v>
      </x:c>
      <x:c r="F2534" t="str">
        <x:v>马鲁特联 +0.5（≈1.95）</x:v>
      </x:c>
      <x:c r="G2534" t="str">
        <x:v>大 2.5（≈1.94）</x:v>
      </x:c>
      <x:c r="H2534" t="str">
        <x:v>可选：双方进球-是（≈1.80）小注</x:v>
      </x:c>
      <x:c r="I2534" t="n">
        <x:v>46059.80216435185</x:v>
      </x:c>
      <x:c r="J2534" t="str">
        <x:v>已结算</x:v>
      </x:c>
      <x:c r="K2534"/>
      <x:c r="L2534" t="str">
        <x:v>输</x:v>
      </x:c>
      <x:c r="M2534" t="str">
        <x:v>输</x:v>
      </x:c>
      <x:c r="N2534" t="n">
        <x:v>-1</x:v>
      </x:c>
      <x:c r="O2534" t="n">
        <x:v>-1</x:v>
      </x:c>
      <x:c r="P2534" t="n">
        <x:f>IF(COUNT(N2534:O2534)=0,"",SUM(N2534:O2534))</x:f>
        <x:v>-2</x:v>
      </x:c>
      <x:c r="Q2534"/>
      <x:c r="R2534" t="str">
        <x:v>终场：万隆（Persib）2-0 马鲁特联。冻结：马鲁特联+0.5（输），大2.5（输）。</x:v>
      </x:c>
    </x:row>
    <x:row r="2535">
      <x:c r="A2535" t="str">
        <x:f>IF(B2535="","",TEXT(B2535,"yyyy-mm-dd")&amp;"|"&amp;D2535&amp;"|"&amp;E2535)</x:f>
        <x:v>2026-02-06|长崎成功丸（V-Varen Nagasaki）|广岛三箭（Sanfrecce Hiroshima）</x:v>
      </x:c>
      <x:c r="B2535" t="n">
        <x:v>46059.75</x:v>
      </x:c>
      <x:c r="C2535" t="str">
        <x:v>日职联（J1 League）</x:v>
      </x:c>
      <x:c r="D2535" t="str">
        <x:v>长崎成功丸（V-Varen Nagasaki）</x:v>
      </x:c>
      <x:c r="E2535" t="str">
        <x:v>广岛三箭（Sanfrecce Hiroshima）</x:v>
      </x:c>
      <x:c r="F2535" t="str">
        <x:v>长崎成功丸 +0.5</x:v>
      </x:c>
      <x:c r="G2535" t="str">
        <x:v>小 2.5</x:v>
      </x:c>
      <x:c r="H2535" t="str">
        <x:v>可选：广岛三箭 -0.5（只在≥1.90高水才小注）</x:v>
      </x:c>
      <x:c r="I2535" t="n">
        <x:v>46059.659907407404</x:v>
      </x:c>
      <x:c r="J2535" t="str">
        <x:v>已结算</x:v>
      </x:c>
      <x:c r="K2535" t="str">
        <x:v>1-3</x:v>
      </x:c>
      <x:c r="L2535" t="str">
        <x:v>输</x:v>
      </x:c>
      <x:c r="M2535" t="str">
        <x:v>输</x:v>
      </x:c>
      <x:c r="N2535" t="n">
        <x:v>-1</x:v>
      </x:c>
      <x:c r="O2535" t="n">
        <x:v>-1</x:v>
      </x:c>
      <x:c r="P2535" t="n">
        <x:f>IF(COUNT(N2535:O2535)=0,"",SUM(N2535:O2535))</x:f>
        <x:v>-2</x:v>
      </x:c>
      <x:c r="Q2535"/>
      <x:c r="R2535" t="str">
        <x:v>更正赛果：长崎成功丸 1-3 广岛三箭（此前误记0-2）。冻结：长崎+0.5（输），小2.5（输）。</x:v>
      </x:c>
    </x:row>
    <x:row r="2536">
      <x:c r="A2536" t="str">
        <x:f>IF(B2536="","",TEXT(B2536,"yyyy-mm-dd")&amp;"|"&amp;D2536&amp;"|"&amp;E2536)</x:f>
        <x:v>2026-02-06|横滨水手（Yokohama F. Marinos）|町田泽维亚（Machida Zelvia）</x:v>
      </x:c>
      <x:c r="B2536" t="n">
        <x:v>46059.75</x:v>
      </x:c>
      <x:c r="C2536" t="str">
        <x:v>日职联（J1 League）</x:v>
      </x:c>
      <x:c r="D2536" t="str">
        <x:v>横滨水手（Yokohama F. Marinos）</x:v>
      </x:c>
      <x:c r="E2536" t="str">
        <x:v>町田泽维亚（Machida Zelvia）</x:v>
      </x:c>
      <x:c r="F2536" t="str">
        <x:v>横滨水手 +0.25</x:v>
      </x:c>
      <x:c r="G2536" t="str">
        <x:v>小 2.25</x:v>
      </x:c>
      <x:c r="H2536" t="str">
        <x:v>可选：横滨水手 +0.5（更稳，小水不玩）</x:v>
      </x:c>
      <x:c r="I2536" t="n">
        <x:v>46059.65981481481</x:v>
      </x:c>
      <x:c r="J2536" t="str">
        <x:v>已结算</x:v>
      </x:c>
      <x:c r="K2536"/>
      <x:c r="L2536" t="str">
        <x:v>输</x:v>
      </x:c>
      <x:c r="M2536" t="str">
        <x:v>输</x:v>
      </x:c>
      <x:c r="N2536" t="n">
        <x:v>-1</x:v>
      </x:c>
      <x:c r="O2536" t="n">
        <x:v>-1</x:v>
      </x:c>
      <x:c r="P2536" t="n">
        <x:f>IF(COUNT(N2536:O2536)=0,"",SUM(N2536:O2536))</x:f>
        <x:v>-2</x:v>
      </x:c>
      <x:c r="Q2536"/>
      <x:c r="R2536" t="str">
        <x:v>终场：横滨水手 2-3 町田泽维亚；冻结：横滨水手+0.25（输），小2.25（输）。</x:v>
      </x:c>
    </x:row>
    <x:row r="2537">
      <x:c r="A2537" t="str">
        <x:f>IF(B2537="","",TEXT(B2537,"yyyy-mm-dd")&amp;"|"&amp;D2537&amp;"|"&amp;E2537)</x:f>
        <x:v>2026-02-06|京都不死鸟（Kyoto Sanga）|神户胜利船（Vissel Kobe）</x:v>
      </x:c>
      <x:c r="B2537" t="n">
        <x:v>46059.75</x:v>
      </x:c>
      <x:c r="C2537" t="str">
        <x:v>日职联（J1 League）</x:v>
      </x:c>
      <x:c r="D2537" t="str">
        <x:v>京都不死鸟（Kyoto Sanga）</x:v>
      </x:c>
      <x:c r="E2537" t="str">
        <x:v>神户胜利船（Vissel Kobe）</x:v>
      </x:c>
      <x:c r="F2537" t="str">
        <x:v>京都不死鸟 +0/0.5（+0.25） @1.92左右</x:v>
      </x:c>
      <x:c r="G2537" t="str">
        <x:v>小 2/2.5（2.25） @1.98左右</x:v>
      </x:c>
      <x:c r="H2537" t="str">
        <x:v>可选：京都不死鸟 +0.5 @1.88左右（更稳，回报略降）</x:v>
      </x:c>
      <x:c r="I2537" t="n">
        <x:v>46059.659733796296</x:v>
      </x:c>
      <x:c r="J2537" t="str">
        <x:v>已结算</x:v>
      </x:c>
      <x:c r="K2537"/>
      <x:c r="L2537" t="str">
        <x:v>赢半</x:v>
      </x:c>
      <x:c r="M2537" t="str">
        <x:v>赢半</x:v>
      </x:c>
      <x:c r="N2537" t="n">
        <x:v>0.5</x:v>
      </x:c>
      <x:c r="O2537" t="n">
        <x:v>0.5</x:v>
      </x:c>
      <x:c r="P2537" t="n">
        <x:f>IF(COUNT(N2537:O2537)=0,"",SUM(N2537:O2537))</x:f>
        <x:v>1</x:v>
      </x:c>
      <x:c r="Q2537"/>
      <x:c r="R2537" t="str">
        <x:v>终场：京都不死鸟 1-1 神户胜利船；冻结：京都+0.25（赢半），小2.25（赢半）。</x:v>
      </x:c>
    </x:row>
    <x:row r="2538">
      <x:c r="A2538" t="str">
        <x:f>IF(B2538="","",TEXT(B2538,"yyyy-mm-dd")&amp;"|"&amp;D2538&amp;"|"&amp;E2538)</x:f>
        <x:v>2026-02-06|卡布尔彻（Caboolture FC）|布里斯班城（Brisbane City）</x:v>
      </x:c>
      <x:c r="B2538" t="n">
        <x:v>46059.729166666664</x:v>
      </x:c>
      <x:c r="C2538" t="str">
        <x:v>澳大利亚 维多利亚州超级联赛1（VPL1）</x:v>
      </x:c>
      <x:c r="D2538" t="str">
        <x:v>卡布尔彻（Caboolture FC）</x:v>
      </x:c>
      <x:c r="E2538" t="str">
        <x:v>布里斯班城（Brisbane City）</x:v>
      </x:c>
      <x:c r="F2538" t="str">
        <x:v>布里斯班城 -1.25</x:v>
      </x:c>
      <x:c r="G2538" t="str">
        <x:v>大 3.25</x:v>
      </x:c>
      <x:c r="H2538" t="str">
        <x:v>可选小注：布里斯班城 -1.5（高水≥1.90）</x:v>
      </x:c>
      <x:c r="I2538" t="n">
        <x:v>46059.64141203704</x:v>
      </x:c>
      <x:c r="J2538" t="str">
        <x:v>已结算</x:v>
      </x:c>
      <x:c r="K2538" t="str">
        <x:v>0-5</x:v>
      </x:c>
      <x:c r="L2538" t="str">
        <x:v>赢</x:v>
      </x:c>
      <x:c r="M2538" t="str">
        <x:v>赢</x:v>
      </x:c>
      <x:c r="N2538" t="n">
        <x:v>1</x:v>
      </x:c>
      <x:c r="O2538" t="n">
        <x:v>1</x:v>
      </x:c>
      <x:c r="P2538" t="n">
        <x:f>IF(COUNT(N2538:O2538)=0,"",SUM(N2538:O2538))</x:f>
        <x:v>2</x:v>
      </x:c>
      <x:c r="Q2538" t="str">
        <x:v>SofaScore</x:v>
      </x:c>
      <x:c r="R2538" t="str">
        <x:v>校正赛果：卡布尔彻（Caboolture FC） 0-5 布里斯班城（Brisbane City）；让球：布里斯班城 -1.25 -&gt; 赢（1）；大小：大3.25 -&gt; 赢（1）；来源：SofaScore。</x:v>
      </x:c>
    </x:row>
    <x:row r="2539">
      <x:c r="A2539" t="str">
        <x:f>IF(B2539="","",TEXT(B2539,"yyyy-mm-dd")&amp;"|"&amp;D2539&amp;"|"&amp;E2539)</x:f>
        <x:v>2026-02-06|洛根闪电（Logan Lightning）|东郊（布里斯班）（Eastern Suburbs）</x:v>
      </x:c>
      <x:c r="B2539" t="n">
        <x:v>46059.729166666664</x:v>
      </x:c>
      <x:c r="C2539" t="str">
        <x:v>澳大利亚 维多利亚州超级联赛1（VPL1）</x:v>
      </x:c>
      <x:c r="D2539" t="str">
        <x:v>洛根闪电（Logan Lightning）</x:v>
      </x:c>
      <x:c r="E2539" t="str">
        <x:v>东郊（布里斯班）（Eastern Suburbs）</x:v>
      </x:c>
      <x:c r="F2539" t="str">
        <x:v>东郊（布里斯班） -1.0</x:v>
      </x:c>
      <x:c r="G2539" t="str">
        <x:v>大 3.5</x:v>
      </x:c>
      <x:c r="H2539" t="str">
        <x:v>可选小注：东郊 -1.25（高水≥1.85）</x:v>
      </x:c>
      <x:c r="I2539" t="n">
        <x:v>46059.641284722224</x:v>
      </x:c>
      <x:c r="J2539" t="str">
        <x:v>已结算</x:v>
      </x:c>
      <x:c r="K2539"/>
      <x:c r="L2539" t="str">
        <x:v>输</x:v>
      </x:c>
      <x:c r="M2539" t="str">
        <x:v>赢</x:v>
      </x:c>
      <x:c r="N2539" t="n">
        <x:v>-1</x:v>
      </x:c>
      <x:c r="O2539" t="n">
        <x:v>1</x:v>
      </x:c>
      <x:c r="P2539" t="n">
        <x:f>IF(COUNT(N2539:O2539)=0,"",SUM(N2539:O2539))</x:f>
        <x:v>0</x:v>
      </x:c>
      <x:c r="Q2539"/>
      <x:c r="R2539" t="str">
        <x:v>终场：洛根闪电 5-2 东郊（布里斯班）。冻结：东郊-1.0（输），大3.5（赢）。</x:v>
      </x:c>
    </x:row>
    <x:row r="2540">
      <x:c r="A2540" t="str">
        <x:f>IF(B2540="","",TEXT(B2540,"yyyy-mm-dd")&amp;"|"&amp;D2540&amp;"|"&amp;E2540)</x:f>
        <x:v>2026-02-06|叶士域治城（Ipswich City）|温纳姆狼队（Wynnum Wolves）</x:v>
      </x:c>
      <x:c r="B2540" t="n">
        <x:v>46059.729166666664</x:v>
      </x:c>
      <x:c r="C2540" t="str">
        <x:v>澳大利亚 维多利亚州超级联赛1（VPL1）</x:v>
      </x:c>
      <x:c r="D2540" t="str">
        <x:v>叶士域治城（Ipswich City）</x:v>
      </x:c>
      <x:c r="E2540" t="str">
        <x:v>温纳姆狼队（Wynnum Wolves）</x:v>
      </x:c>
      <x:c r="F2540" t="str">
        <x:v>叶士域治城 +1.75（0.87附近）</x:v>
      </x:c>
      <x:c r="G2540" t="str">
        <x:v>大 3/3.5（0.82附近）</x:v>
      </x:c>
      <x:c r="H2540" t="str">
        <x:v>小注：受让更稳；如临场大球降到3.0/3.25再加一点</x:v>
      </x:c>
      <x:c r="I2540" t="n">
        <x:v>46059.64097222222</x:v>
      </x:c>
      <x:c r="J2540" t="str">
        <x:v>已结算</x:v>
      </x:c>
      <x:c r="K2540" t="str">
        <x:v>0-3</x:v>
      </x:c>
      <x:c r="L2540" t="str">
        <x:v>输</x:v>
      </x:c>
      <x:c r="M2540" t="str">
        <x:v>输半</x:v>
      </x:c>
      <x:c r="N2540" t="n">
        <x:v>-1</x:v>
      </x:c>
      <x:c r="O2540" t="n">
        <x:v>-0.5</x:v>
      </x:c>
      <x:c r="P2540" t="n">
        <x:f>IF(COUNT(N2540:O2540)=0,"",SUM(N2540:O2540))</x:f>
        <x:v>-1.5</x:v>
      </x:c>
      <x:c r="Q2540"/>
      <x:c r="R2540" t="str">
        <x:v>复核赛果：叶士域治城（Ipswich City） 0-3 温纳姆狼队（Wynnum Wolves）；让球：叶士域治城 +1.75=输；大小：大3/3.5（3.25）=输半。</x:v>
      </x:c>
    </x:row>
    <x:row r="2541">
      <x:c r="A2541" t="str">
        <x:f>IF(B2541="","",TEXT(B2541,"yyyy-mm-dd")&amp;"|"&amp;D2541&amp;"|"&amp;E2541)</x:f>
        <x:v>2026-02-06|罗宾市蓝（Robina City）|海岸骑士（Gold Coast Knights）</x:v>
      </x:c>
      <x:c r="B2541" t="n">
        <x:v>46059.729166666664</x:v>
      </x:c>
      <x:c r="C2541" t="str">
        <x:v>澳大利亚 维多利亚州超级联赛1（VPL1）</x:v>
      </x:c>
      <x:c r="D2541" t="str">
        <x:v>罗宾市蓝（Robina City）</x:v>
      </x:c>
      <x:c r="E2541" t="str">
        <x:v>海岸骑士（Gold Coast Knights）</x:v>
      </x:c>
      <x:c r="F2541" t="str">
        <x:v>海岸骑士 -2.25（0.92左右）</x:v>
      </x:c>
      <x:c r="G2541" t="str">
        <x:v>大 4.75（0.84左右）</x:v>
      </x:c>
      <x:c r="H2541" t="str">
        <x:v>让球主推；若临场退到-2仍可加；大小球只小注防5球走水</x:v>
      </x:c>
      <x:c r="I2541" t="n">
        <x:v>46059.63211805555</x:v>
      </x:c>
      <x:c r="J2541" t="str">
        <x:v>已结算</x:v>
      </x:c>
      <x:c r="K2541" t="str">
        <x:v>3-1</x:v>
      </x:c>
      <x:c r="L2541" t="str">
        <x:v>输</x:v>
      </x:c>
      <x:c r="M2541" t="str">
        <x:v>输</x:v>
      </x:c>
      <x:c r="N2541" t="n">
        <x:v>-1</x:v>
      </x:c>
      <x:c r="O2541" t="n">
        <x:v>-1</x:v>
      </x:c>
      <x:c r="P2541" t="n">
        <x:f>IF(COUNT(N2541:O2541)=0,"",SUM(N2541:O2541))</x:f>
        <x:v>-2</x:v>
      </x:c>
      <x:c r="Q2541"/>
      <x:c r="R2541" t="str">
        <x:v>复核赛果：罗宾市蓝（Robina City） 3-1 海岸骑士（Gold Coast Knights）；让球：海岸骑士 -2.25=输；大小：大4.75=输。</x:v>
      </x:c>
    </x:row>
    <x:row r="2542">
      <x:c r="A2542" t="str">
        <x:f>IF(B2542="","",TEXT(B2542,"yyyy-mm-dd")&amp;"|"&amp;D2542&amp;"|"&amp;E2542)</x:f>
        <x:v>2026-02-06|麦克阿瑟FC（Macarthur FC）|珀斯光荣（Perth Glory）</x:v>
      </x:c>
      <x:c r="B2542" t="n">
        <x:v>46059.69097222222</x:v>
      </x:c>
      <x:c r="C2542" t="str">
        <x:v>澳大利亚A联赛（A-League Men）</x:v>
      </x:c>
      <x:c r="D2542" t="str">
        <x:v>麦克阿瑟FC（Macarthur FC）</x:v>
      </x:c>
      <x:c r="E2542" t="str">
        <x:v>珀斯光荣（Perth Glory）</x:v>
      </x:c>
      <x:c r="F2542" t="str">
        <x:v>麦克阿瑟FC -0.25（-0/0.5），1.82左右</x:v>
      </x:c>
      <x:c r="G2542" t="str">
        <x:v>大 2.75（2.5/3），1.80左右</x:v>
      </x:c>
      <x:c r="H2542" t="str">
        <x:v>小注：半场大 1.25（1.0/1.5），2.03左右</x:v>
      </x:c>
      <x:c r="I2542" t="n">
        <x:v>46059.628171296295</x:v>
      </x:c>
      <x:c r="J2542" t="str">
        <x:v>已结算</x:v>
      </x:c>
      <x:c r="K2542"/>
      <x:c r="L2542" t="str">
        <x:v>输半</x:v>
      </x:c>
      <x:c r="M2542" t="str">
        <x:v>赢</x:v>
      </x:c>
      <x:c r="N2542" t="n">
        <x:v>-0.5</x:v>
      </x:c>
      <x:c r="O2542" t="n">
        <x:v>1</x:v>
      </x:c>
      <x:c r="P2542" t="n">
        <x:f>IF(COUNT(N2542:O2542)=0,"",SUM(N2542:O2542))</x:f>
        <x:v>0.5</x:v>
      </x:c>
      <x:c r="Q2542"/>
      <x:c r="R2542" t="str">
        <x:v>终场 麦克阿瑟FC 2-2 珀斯光荣；冻结：麦克阿瑟-0.25（输半），大2.75（赢）。</x:v>
      </x:c>
    </x:row>
    <x:row r="2543">
      <x:c r="A2543" t="str">
        <x:f>IF(B2543="","",TEXT(B2543,"yyyy-mm-dd")&amp;"|"&amp;D2543&amp;"|"&amp;E2543)</x:f>
        <x:v>2026-02-06|永亚卡达（PSIM Yogyakarta）|伯希索罗（Persis Solo）</x:v>
      </x:c>
      <x:c r="B2543" t="n">
        <x:v>46059.6875</x:v>
      </x:c>
      <x:c r="C2543" t="str">
        <x:v>印度尼西亚超级联赛（印尼超/Liga 1 Indonesia）</x:v>
      </x:c>
      <x:c r="D2543" t="str">
        <x:v>永亚卡达（PSIM Yogyakarta）</x:v>
      </x:c>
      <x:c r="E2543" t="str">
        <x:v>伯希索罗（Persis Solo）</x:v>
      </x:c>
      <x:c r="F2543" t="str">
        <x:v>永亚卡达 -0.75（半/一，主水0.80）</x:v>
      </x:c>
      <x:c r="G2543" t="str">
        <x:v>大 2.5（0.88）</x:v>
      </x:c>
      <x:c r="H2543" t="str">
        <x:v>小注：永亚卡达 -1.0（若临场≥0.90再考虑）</x:v>
      </x:c>
      <x:c r="I2543" t="n">
        <x:v>46059.62598379629</x:v>
      </x:c>
      <x:c r="J2543" t="str">
        <x:v>已结算</x:v>
      </x:c>
      <x:c r="K2543"/>
      <x:c r="L2543" t="str">
        <x:v>输</x:v>
      </x:c>
      <x:c r="M2543" t="str">
        <x:v>输</x:v>
      </x:c>
      <x:c r="N2543" t="n">
        <x:v>-1</x:v>
      </x:c>
      <x:c r="O2543" t="n">
        <x:v>-1</x:v>
      </x:c>
      <x:c r="P2543" t="n">
        <x:f>IF(COUNT(N2543:O2543)=0,"",SUM(N2543:O2543))</x:f>
        <x:v>-2</x:v>
      </x:c>
      <x:c r="Q2543"/>
      <x:c r="R2543" t="str">
        <x:v>用户提供终场0-0；冻结：永亚卡达（PSIM Yogyakarta）-0.75（输），大2.5（输）。</x:v>
      </x:c>
    </x:row>
    <x:row r="2544">
      <x:c r="A2544" t="str">
        <x:f>IF(B2544="","",TEXT(B2544,"yyyy-mm-dd")&amp;"|"&amp;D2544&amp;"|"&amp;E2544)</x:f>
        <x:v>2026-02-06|惠灵顿凤凰（Wellington Phoenix）|墨尔本胜利（Melbourne Victory）</x:v>
      </x:c>
      <x:c r="B2544" t="n">
        <x:v>46059.583333333336</x:v>
      </x:c>
      <x:c r="C2544" t="str">
        <x:v>澳大利亚A联赛（A-League Men）</x:v>
      </x:c>
      <x:c r="D2544" t="str">
        <x:v>惠灵顿凤凰（Wellington Phoenix）</x:v>
      </x:c>
      <x:c r="E2544" t="str">
        <x:v>墨尔本胜利（Melbourne Victory）</x:v>
      </x:c>
      <x:c r="F2544" t="str">
        <x:v>惠灵顿凤凰 +0.5（主受让半球，≥0.80水）</x:v>
      </x:c>
      <x:c r="G2544" t="str">
        <x:v>大 2.75（≥0.80水）</x:v>
      </x:c>
      <x:c r="H2544" t="str">
        <x:v>小注加仓：大 3.0</x:v>
      </x:c>
      <x:c r="I2544" t="n">
        <x:v>46059.509675925925</x:v>
      </x:c>
      <x:c r="J2544" t="str">
        <x:v>已结算</x:v>
      </x:c>
      <x:c r="K2544"/>
      <x:c r="L2544" t="str">
        <x:v>输</x:v>
      </x:c>
      <x:c r="M2544" t="str">
        <x:v>赢</x:v>
      </x:c>
      <x:c r="N2544" t="n">
        <x:v>-1</x:v>
      </x:c>
      <x:c r="O2544" t="n">
        <x:v>1</x:v>
      </x:c>
      <x:c r="P2544" t="n">
        <x:f>IF(COUNT(N2544:O2544)=0,"",SUM(N2544:O2544))</x:f>
        <x:v>0</x:v>
      </x:c>
      <x:c r="Q2544"/>
      <x:c r="R2544" t="str">
        <x:v>终场 惠灵顿凤凰 2-3 墨尔本胜利；冻结：凤凰+0.5（输），大2.75（赢）。</x:v>
      </x:c>
    </x:row>
    <x:row r="2545">
      <x:c r="A2545" t="str">
        <x:f>IF(B2545="","",TEXT(B2545,"yyyy-mm-dd")&amp;"|"&amp;D2545&amp;"|"&amp;E2545)</x:f>
        <x:v>2026-02-06|惠灵顿凤凰女足|珀斯光荣女足</x:v>
      </x:c>
      <x:c r="B2545" t="n">
        <x:v>46059.458333333336</x:v>
      </x:c>
      <x:c r="C2545" t="str">
        <x:v>澳大利亚女足A联赛</x:v>
      </x:c>
      <x:c r="D2545" t="str">
        <x:v>惠灵顿凤凰女足</x:v>
      </x:c>
      <x:c r="E2545" t="str">
        <x:v>珀斯光荣女足</x:v>
      </x:c>
      <x:c r="F2545" t="str">
        <x:v>惠灵顿凤凰女足 -1.5（1.95左右）</x:v>
      </x:c>
      <x:c r="G2545" t="str">
        <x:v>大 2.75（2.5/3，1.85左右）</x:v>
      </x:c>
      <x:c r="H2545" t="str">
        <x:v>更稳替代：惠灵顿凤凰女足 -1.25（-1/1.5，1.80+可入）；大小球只小注，防2-0/2-1</x:v>
      </x:c>
      <x:c r="I2545" t="n">
        <x:v>46059.464421296296</x:v>
      </x:c>
      <x:c r="J2545" t="str">
        <x:v>已结算</x:v>
      </x:c>
      <x:c r="K2545" t="str">
        <x:v>1-0</x:v>
      </x:c>
      <x:c r="L2545" t="str">
        <x:v>输半</x:v>
      </x:c>
      <x:c r="M2545" t="str">
        <x:v>输</x:v>
      </x:c>
      <x:c r="N2545" t="n">
        <x:v>-0.5</x:v>
      </x:c>
      <x:c r="O2545" t="n">
        <x:v>-1</x:v>
      </x:c>
      <x:c r="P2545" t="n">
        <x:f>IF(COUNT(N2545:O2545)=0,"",SUM(N2545:O2545))</x:f>
        <x:v>-1.5</x:v>
      </x:c>
      <x:c r="Q2545"/>
      <x:c r="R2545" t="str">
        <x:v>复核赛果：惠灵顿凤凰女足 1-0 珀斯光荣女足。按冻结盘口结算：惠灵顿凤凰女足 -1.25 输半；大2.75 输。修正原因：此前备注把让球误写成 -1.5，按原冻结盘口应为 -1.25。</x:v>
      </x:c>
    </x:row>
    <x:row r="2546">
      <x:c r="A2546" t="str">
        <x:f>IF(B2546="","",TEXT(B2546,"yyyy-mm-dd")&amp;"|"&amp;D2546&amp;"|"&amp;E2546)</x:f>
        <x:v>2026-02-06|华雷斯女足|墨西哥美洲女足</x:v>
      </x:c>
      <x:c r="B2546" t="n">
        <x:v>46059.379166666666</x:v>
      </x:c>
      <x:c r="C2546" t="str">
        <x:v>墨西哥女子甲级联赛</x:v>
      </x:c>
      <x:c r="D2546" t="str">
        <x:v>华雷斯女足</x:v>
      </x:c>
      <x:c r="E2546" t="str">
        <x:v>墨西哥美洲女足</x:v>
      </x:c>
      <x:c r="F2546" t="str">
        <x:v>墨西哥美洲女足 -1.5（1.95）</x:v>
      </x:c>
      <x:c r="G2546" t="str">
        <x:v>大3.0（1.875）</x:v>
      </x:c>
      <x:c r="H2546" t="str">
        <x:v>半场 墨西哥美洲女足 -0.5（1.875，小注）</x:v>
      </x:c>
      <x:c r="I2546" t="n">
        <x:v>46059.40304398148</x:v>
      </x:c>
      <x:c r="J2546" t="str">
        <x:v>已结算</x:v>
      </x:c>
      <x:c r="K2546"/>
      <x:c r="L2546" t="str">
        <x:v>输</x:v>
      </x:c>
      <x:c r="M2546" t="str">
        <x:v>输</x:v>
      </x:c>
      <x:c r="N2546" t="n">
        <x:v>-1</x:v>
      </x:c>
      <x:c r="O2546" t="n">
        <x:v>-1</x:v>
      </x:c>
      <x:c r="P2546" t="n">
        <x:f>IF(COUNT(N2546:O2546)=0,"",SUM(N2546:O2546))</x:f>
        <x:v>-2</x:v>
      </x:c>
      <x:c r="Q2546"/>
      <x:c r="R2546" t="str">
        <x:v>终场 1-1；冻结：美洲女足-1.5 / 大3.0</x:v>
      </x:c>
    </x:row>
    <x:row r="2547">
      <x:c r="A2547" t="str">
        <x:f>IF(B2547="","",TEXT(B2547,"yyyy-mm-dd")&amp;"|"&amp;D2547&amp;"|"&amp;E2547)</x:f>
        <x:v>2026-02-06|尤文图德（拉斯彼德拉斯）|基多天主大学（Universidad Católica 厄瓜多尔）</x:v>
      </x:c>
      <x:c r="B2547" t="n">
        <x:v>46059.354166666664</x:v>
      </x:c>
      <x:c r="C2547" t="str">
        <x:v>南美解放者杯</x:v>
      </x:c>
      <x:c r="D2547" t="str">
        <x:v>尤文图德（拉斯彼德拉斯）</x:v>
      </x:c>
      <x:c r="E2547" t="str">
        <x:v>基多天主大学（Universidad Católica 厄瓜多尔）</x:v>
      </x:c>
      <x:c r="F2547" t="str">
        <x:v>基多天主大学（客）0（平手）</x:v>
      </x:c>
      <x:c r="G2547" t="str">
        <x:v>小2.5</x:v>
      </x:c>
      <x:c r="H2547" t="str">
        <x:v>加仓：基多天主大学 -0.25（若水位≈0.80）；或小2/2.25（看水位贴近0.8）</x:v>
      </x:c>
      <x:c r="I2547" t="n">
        <x:v>46059.35971064815</x:v>
      </x:c>
      <x:c r="J2547" t="str">
        <x:v>已结算</x:v>
      </x:c>
      <x:c r="K2547" t="str">
        <x:v>0-1</x:v>
      </x:c>
      <x:c r="L2547" t="str">
        <x:v>赢</x:v>
      </x:c>
      <x:c r="M2547" t="str">
        <x:v>赢</x:v>
      </x:c>
      <x:c r="N2547" t="n">
        <x:v>1</x:v>
      </x:c>
      <x:c r="O2547" t="n">
        <x:v>1</x:v>
      </x:c>
      <x:c r="P2547" t="n">
        <x:f>IF(COUNT(N2547:O2547)=0,"",SUM(N2547:O2547))</x:f>
        <x:v>2</x:v>
      </x:c>
      <x:c r="Q2547"/>
      <x:c r="R2547" t="str">
        <x:v>赛果：尤文图德（拉斯彼德拉斯） 0-1 基多天主大学。推荐：基多天主大学0（赢）；小2.5（赢）。</x:v>
      </x:c>
    </x:row>
    <x:row r="2548">
      <x:c r="A2548" t="str">
        <x:f>IF(B2548="","",TEXT(B2548,"yyyy-mm-dd")&amp;"|"&amp;D2548&amp;"|"&amp;E2548)</x:f>
        <x:v>2026-02-06|瓦斯科达伽马(Vasco da Gama)|沙佩科恩斯(Chapecoense)</x:v>
      </x:c>
      <x:c r="B2548" t="n">
        <x:v>46059.291666666664</x:v>
      </x:c>
      <x:c r="C2548" t="str">
        <x:v>巴西甲（Serie A）</x:v>
      </x:c>
      <x:c r="D2548" t="str">
        <x:v>瓦斯科达伽马(Vasco da Gama)</x:v>
      </x:c>
      <x:c r="E2548" t="str">
        <x:v>沙佩科恩斯(Chapecoense)</x:v>
      </x:c>
      <x:c r="F2548" t="str">
        <x:v>沙佩科恩斯 +1.5</x:v>
      </x:c>
      <x:c r="G2548" t="str">
        <x:v>小 2.5</x:v>
      </x:c>
      <x:c r="H2548" t="str">
        <x:v>更稳：沙佩科恩斯 +1.75（若临场升到+1.75/2）；更激进：沙佩科恩斯 +1（若退盘到+1）/ 小 2.75（若升到2.75）</x:v>
      </x:c>
      <x:c r="I2548" t="n">
        <x:v>46059.34174768518</x:v>
      </x:c>
      <x:c r="J2548" t="str">
        <x:v>已结算</x:v>
      </x:c>
      <x:c r="K2548" t="str">
        <x:v>1-1</x:v>
      </x:c>
      <x:c r="L2548" t="str">
        <x:v>赢</x:v>
      </x:c>
      <x:c r="M2548" t="str">
        <x:v>赢</x:v>
      </x:c>
      <x:c r="N2548" t="n">
        <x:v>1</x:v>
      </x:c>
      <x:c r="O2548" t="n">
        <x:v>1</x:v>
      </x:c>
      <x:c r="P2548" t="n">
        <x:f>IF(COUNT(N2548:O2548)=0,"",SUM(N2548:O2548))</x:f>
        <x:v>2</x:v>
      </x:c>
      <x:c r="Q2548"/>
      <x:c r="R2548" t="str">
        <x:v>赛果：瓦斯科达伽马 1-1 沙佩科恩斯。推荐：沙佩科恩斯+1.5（赢）；小2.5（赢）。</x:v>
      </x:c>
    </x:row>
    <x:row r="2549">
      <x:c r="A2549" t="str">
        <x:f>IF(B2549="","",TEXT(B2549,"yyyy-mm-dd")&amp;"|"&amp;D2549&amp;"|"&amp;E2549)</x:f>
        <x:v>2026-02-06|巴伊亚(EC Bahia)|弗鲁米嫩塞(Fluminense)</x:v>
      </x:c>
      <x:c r="B2549" t="n">
        <x:v>46059.25</x:v>
      </x:c>
      <x:c r="C2549" t="str">
        <x:v>巴西甲（Serie A）</x:v>
      </x:c>
      <x:c r="D2549" t="str">
        <x:v>巴伊亚(EC Bahia)</x:v>
      </x:c>
      <x:c r="E2549" t="str">
        <x:v>弗鲁米嫩塞(Fluminense)</x:v>
      </x:c>
      <x:c r="F2549" t="str">
        <x:v>弗鲁米嫩塞 +0.25（受让平/半）</x:v>
      </x:c>
      <x:c r="G2549" t="str">
        <x:v>小 2.5</x:v>
      </x:c>
      <x:c r="H2549" t="str">
        <x:v>更稳：弗鲁米嫩塞 +0.5（若临场主队让步加深到-0.5）；更激进：小 2.25（若盘口降到2/2.25）或 弗鲁米嫩塞 0（DNB，若临场退到平手）</x:v>
      </x:c>
      <x:c r="I2549" t="n">
        <x:v>46059.256006944444</x:v>
      </x:c>
      <x:c r="J2549" t="str">
        <x:v>已结算</x:v>
      </x:c>
      <x:c r="K2549" t="str">
        <x:v>1-1</x:v>
      </x:c>
      <x:c r="L2549" t="str">
        <x:v>赢半</x:v>
      </x:c>
      <x:c r="M2549" t="str">
        <x:v>赢</x:v>
      </x:c>
      <x:c r="N2549" t="n">
        <x:v>0.5</x:v>
      </x:c>
      <x:c r="O2549" t="n">
        <x:v>1</x:v>
      </x:c>
      <x:c r="P2549" t="n">
        <x:f>IF(COUNT(N2549:O2549)=0,"",SUM(N2549:O2549))</x:f>
        <x:v>1.5</x:v>
      </x:c>
      <x:c r="Q2549" t="str">
        <x:v>SofaScore</x:v>
      </x:c>
      <x:c r="R2549" t="str">
        <x:v>校正赛果：巴伊亚(EC Bahia) 1-1 弗鲁米嫩塞(Fluminense)；让球：弗鲁米嫩塞 +0.25 -&gt; 赢半（0.5）；大小：小2.5 -&gt; 赢（1）；来源：SofaScore。</x:v>
      </x:c>
    </x:row>
    <x:row r="2550">
      <x:c r="A2550" t="str">
        <x:f>IF(B2550="","",TEXT(B2550,"yyyy-mm-dd")&amp;"|"&amp;D2550&amp;"|"&amp;E2550)</x:f>
        <x:v>2026-02-06|阿科多(Al Okhdood)|利雅得新月(Al Hilal)</x:v>
      </x:c>
      <x:c r="B2550" t="n">
        <x:v>46059.0625</x:v>
      </x:c>
      <x:c r="C2550" t="str">
        <x:v>沙特职业联赛（Saudi Pro League）</x:v>
      </x:c>
      <x:c r="D2550" t="str">
        <x:v>阿科多(Al Okhdood)</x:v>
      </x:c>
      <x:c r="E2550" t="str">
        <x:v>利雅得新月(Al Hilal)</x:v>
      </x:c>
      <x:c r="F2550" t="str">
        <x:v>阿科多 +2.5</x:v>
      </x:c>
      <x:c r="G2550" t="str">
        <x:v>小 3.5</x:v>
      </x:c>
      <x:c r="H2550" t="str">
        <x:v>更稳：阿科多 +2.75（若临场升到+2.75/3）；更激进：利雅得新月 -2.25（若退盘到-2/2.25且客胜热度不爆）/ 小 3.75（若临场升到3.75或4）</x:v>
      </x:c>
      <x:c r="I2550" t="n">
        <x:v>46059.01306712963</x:v>
      </x:c>
      <x:c r="J2550" t="str">
        <x:v>已结算</x:v>
      </x:c>
      <x:c r="K2550" t="str">
        <x:v>0-6</x:v>
      </x:c>
      <x:c r="L2550" t="str">
        <x:v>输</x:v>
      </x:c>
      <x:c r="M2550" t="str">
        <x:v>输</x:v>
      </x:c>
      <x:c r="N2550" t="n">
        <x:v>-1</x:v>
      </x:c>
      <x:c r="O2550" t="n">
        <x:v>-1</x:v>
      </x:c>
      <x:c r="P2550" t="n">
        <x:f>IF(COUNT(N2550:O2550)=0,"",SUM(N2550:O2550))</x:f>
        <x:v>-2</x:v>
      </x:c>
      <x:c r="Q2550" t="str">
        <x:v>SofaScore</x:v>
      </x:c>
      <x:c r="R2550" t="str">
        <x:v>校正赛果：阿科多(Al Okhdood) 0-6 利雅得新月(Al Hilal)；让球：阿科多 +2.5 -&gt; 输（-1）；大小：小3.5 -&gt; 输（-1）；来源：SofaScore。</x:v>
      </x:c>
    </x:row>
    <x:row r="2551">
      <x:c r="A2551" t="str">
        <x:f>IF(B2551="","",TEXT(B2551,"yyyy-mm-dd")&amp;"|"&amp;D2551&amp;"|"&amp;E2551)</x:f>
        <x:v>2026-02-05|费哈(Al-Fayha)|阿尔纳泽马(Al-Najma SC)</x:v>
      </x:c>
      <x:c r="B2551" t="n">
        <x:v>46058.97222222222</x:v>
      </x:c>
      <x:c r="C2551" t="str">
        <x:v>沙特职业联赛（Saudi Pro League）</x:v>
      </x:c>
      <x:c r="D2551" t="str">
        <x:v>费哈(Al-Fayha)</x:v>
      </x:c>
      <x:c r="E2551" t="str">
        <x:v>阿尔纳泽马(Al-Najma SC)</x:v>
      </x:c>
      <x:c r="F2551" t="str">
        <x:v>费哈 -0.75（半一）</x:v>
      </x:c>
      <x:c r="G2551" t="str">
        <x:v>小 2.5</x:v>
      </x:c>
      <x:c r="H2551" t="str">
        <x:v>更稳：费哈 -0.5（若临场退盘到半球）；更激进：费哈 -1（若临场统一到一球且主队水位不降反升）/ 小 2.75（若盘口升到2.75）</x:v>
      </x:c>
      <x:c r="I2551" t="n">
        <x:v>46058.96885416667</x:v>
      </x:c>
      <x:c r="J2551" t="str">
        <x:v>已结算</x:v>
      </x:c>
      <x:c r="K2551" t="str">
        <x:v>3-0</x:v>
      </x:c>
      <x:c r="L2551" t="str">
        <x:v>赢</x:v>
      </x:c>
      <x:c r="M2551" t="str">
        <x:v>输</x:v>
      </x:c>
      <x:c r="N2551" t="n">
        <x:v>1</x:v>
      </x:c>
      <x:c r="O2551" t="n">
        <x:v>-1</x:v>
      </x:c>
      <x:c r="P2551" t="n">
        <x:f>IF(COUNT(N2551:O2551)=0,"",SUM(N2551:O2551))</x:f>
        <x:v>0</x:v>
      </x:c>
      <x:c r="Q2551"/>
      <x:c r="R2551" t="str">
        <x:v>用户更正赛果：费哈 3-0 阿尔纳泽马。推荐：费哈-0.75（赢）；小2.5（输）。覆盖此前结算记录。</x:v>
      </x:c>
    </x:row>
    <x:row r="2552">
      <x:c r="A2552" t="str">
        <x:f>IF(B2552="","",TEXT(B2552,"yyyy-mm-dd")&amp;"|"&amp;D2552&amp;"|"&amp;E2552)</x:f>
        <x:v>2026-02-05|卡夫达瓦尔(Kafr El Dawar)|达克尔野(El Daklyeh)</x:v>
      </x:c>
      <x:c r="B2552" t="n">
        <x:v>46058.854166666664</x:v>
      </x:c>
      <x:c r="C2552" t="str">
        <x:v>埃及乙A</x:v>
      </x:c>
      <x:c r="D2552" t="str">
        <x:v>卡夫达瓦尔(Kafr El Dawar)</x:v>
      </x:c>
      <x:c r="E2552" t="str">
        <x:v>达克尔野(El Daklyeh)</x:v>
      </x:c>
      <x:c r="F2552" t="str">
        <x:v>达克尔野 0（平手/DNB）</x:v>
      </x:c>
      <x:c r="G2552" t="str">
        <x:v>小 2.5</x:v>
      </x:c>
      <x:c r="H2552" t="str">
        <x:v>更稳：小 2.75（若临场升到2.75）；更激进：达克尔野 -0.25（若客队热度不高且走到客让平/半）</x:v>
      </x:c>
      <x:c r="I2552" t="n">
        <x:v>46058.848020833335</x:v>
      </x:c>
      <x:c r="J2552" t="str">
        <x:v>已结算</x:v>
      </x:c>
      <x:c r="K2552" t="str">
        <x:v>1-1</x:v>
      </x:c>
      <x:c r="L2552" t="str">
        <x:v>走水</x:v>
      </x:c>
      <x:c r="M2552" t="str">
        <x:v>赢</x:v>
      </x:c>
      <x:c r="N2552" t="n">
        <x:v>0</x:v>
      </x:c>
      <x:c r="O2552" t="n">
        <x:v>1</x:v>
      </x:c>
      <x:c r="P2552" t="n">
        <x:f>IF(COUNT(N2552:O2552)=0,"",SUM(N2552:O2552))</x:f>
        <x:v>1</x:v>
      </x:c>
      <x:c r="Q2552"/>
      <x:c r="R2552" t="str">
        <x:v>复核赛果：卡夫达瓦尔(Kafr El Dawar) 1-1 达克尔野(El Daklyeh)；让球：达克尔野 0（DNB）走水；大小：小2.5 赢。</x:v>
      </x:c>
    </x:row>
    <x:row r="2553">
      <x:c r="A2553" t="str">
        <x:f>IF(B2553="","",TEXT(B2553,"yyyy-mm-dd")&amp;"|"&amp;D2553&amp;"|"&amp;E2553)</x:f>
        <x:v>2026-02-05|南定绿钢(Nam Dinh)|柔佛新山(Johor Darul Ta'zim)</x:v>
      </x:c>
      <x:c r="B2553" t="n">
        <x:v>46058.854166666664</x:v>
      </x:c>
      <x:c r="C2553" t="str">
        <x:v>东盟锦标</x:v>
      </x:c>
      <x:c r="D2553" t="str">
        <x:v>南定绿钢(Nam Dinh)</x:v>
      </x:c>
      <x:c r="E2553" t="str">
        <x:v>柔佛新山(Johor Darul Ta'zim)</x:v>
      </x:c>
      <x:c r="F2553" t="str">
        <x:v>南定绿钢 +0.5</x:v>
      </x:c>
      <x:c r="G2553" t="str">
        <x:v>小 3.0</x:v>
      </x:c>
      <x:c r="H2553" t="str">
        <x:v>更稳：南定绿钢 +0.75（若临场升到+0.75）；更激进：小 2.75（若盘口降到2.75）</x:v>
      </x:c>
      <x:c r="I2553" t="n">
        <x:v>46058.79172453703</x:v>
      </x:c>
      <x:c r="J2553" t="str">
        <x:v>已结算</x:v>
      </x:c>
      <x:c r="K2553" t="str">
        <x:v>1-1</x:v>
      </x:c>
      <x:c r="L2553" t="str">
        <x:v>赢</x:v>
      </x:c>
      <x:c r="M2553" t="str">
        <x:v>赢</x:v>
      </x:c>
      <x:c r="N2553" t="n">
        <x:v>1</x:v>
      </x:c>
      <x:c r="O2553" t="n">
        <x:v>1</x:v>
      </x:c>
      <x:c r="P2553" t="n">
        <x:f>IF(COUNT(N2553:O2553)=0,"",SUM(N2553:O2553))</x:f>
        <x:v>2</x:v>
      </x:c>
      <x:c r="Q2553" t="str">
        <x:v>SofaScore</x:v>
      </x:c>
      <x:c r="R2553" t="str">
        <x:v>校正赛果：南定绿钢(Nam Dinh) 1-1 柔佛新山(Johor Darul Ta'zim)；让球：南定绿钢 +0.5 -&gt; 赢（1）；大小：小3.0 -&gt; 赢（1）；来源：SofaScore。</x:v>
      </x:c>
    </x:row>
    <x:row r="2554">
      <x:c r="A2554" t="str">
        <x:f>IF(B2554="","",TEXT(B2554,"yyyy-mm-dd")&amp;"|"&amp;D2554&amp;"|"&amp;E2554)</x:f>
        <x:v>2026-02-05|狮城水手(Lion City Sailors)|柴帧(Svay Rieng)</x:v>
      </x:c>
      <x:c r="B2554" t="n">
        <x:v>46058.854166666664</x:v>
      </x:c>
      <x:c r="C2554" t="str">
        <x:v>东盟锦标</x:v>
      </x:c>
      <x:c r="D2554" t="str">
        <x:v>狮城水手(Lion City Sailors)</x:v>
      </x:c>
      <x:c r="E2554" t="str">
        <x:v>柴帧(Svay Rieng)</x:v>
      </x:c>
      <x:c r="F2554" t="str">
        <x:v>柴帧 +0.5</x:v>
      </x:c>
      <x:c r="G2554" t="str">
        <x:v>大 3.0</x:v>
      </x:c>
      <x:c r="H2554" t="str">
        <x:v>更稳：柴帧 +0.75（若临场升盘）；更激进：大 3.25（若升到3/3.25且大球赔付被抬高）</x:v>
      </x:c>
      <x:c r="I2554" t="n">
        <x:v>46058.79164351852</x:v>
      </x:c>
      <x:c r="J2554" t="str">
        <x:v>已结算</x:v>
      </x:c>
      <x:c r="K2554" t="str">
        <x:v>0-2</x:v>
      </x:c>
      <x:c r="L2554" t="str">
        <x:v>赢</x:v>
      </x:c>
      <x:c r="M2554" t="str">
        <x:v>输</x:v>
      </x:c>
      <x:c r="N2554" t="n">
        <x:v>1</x:v>
      </x:c>
      <x:c r="O2554" t="n">
        <x:v>-1</x:v>
      </x:c>
      <x:c r="P2554" t="n">
        <x:f>IF(COUNT(N2554:O2554)=0,"",SUM(N2554:O2554))</x:f>
        <x:v>0</x:v>
      </x:c>
      <x:c r="Q2554"/>
      <x:c r="R2554" t="str">
        <x:v>赛果：狮城水手 0-2 柴帧。推荐：柴帧+0.5（赢）；大3.0（输）。</x:v>
      </x:c>
    </x:row>
    <x:row r="2555">
      <x:c r="A2555" t="str">
        <x:f>IF(B2555="","",TEXT(B2555,"yyyy-mm-dd")&amp;"|"&amp;D2555&amp;"|"&amp;E2555)</x:f>
        <x:v>2026-02-05|曼谷联(True Bangkok United)|掸邦联(Shan United)</x:v>
      </x:c>
      <x:c r="B2555" t="n">
        <x:v>46058.854166666664</x:v>
      </x:c>
      <x:c r="C2555" t="str">
        <x:v>东盟锦标</x:v>
      </x:c>
      <x:c r="D2555" t="str">
        <x:v>曼谷联(True Bangkok United)</x:v>
      </x:c>
      <x:c r="E2555" t="str">
        <x:v>掸邦联(Shan United)</x:v>
      </x:c>
      <x:c r="F2555" t="str">
        <x:v>掸邦联 +2.5</x:v>
      </x:c>
      <x:c r="G2555" t="str">
        <x:v>小 4.0</x:v>
      </x:c>
      <x:c r="H2555" t="str">
        <x:v>更稳：掸邦联 +2.75（若临场升盘）；更激进：小 3.5（若盘口降到3.5）</x:v>
      </x:c>
      <x:c r="I2555" t="n">
        <x:v>46058.79153935185</x:v>
      </x:c>
      <x:c r="J2555" t="str">
        <x:v>已结算</x:v>
      </x:c>
      <x:c r="K2555" t="str">
        <x:v>2-1</x:v>
      </x:c>
      <x:c r="L2555" t="str">
        <x:v>赢</x:v>
      </x:c>
      <x:c r="M2555" t="str">
        <x:v>赢</x:v>
      </x:c>
      <x:c r="N2555" t="n">
        <x:v>1</x:v>
      </x:c>
      <x:c r="O2555" t="n">
        <x:v>1</x:v>
      </x:c>
      <x:c r="P2555" t="n">
        <x:f>IF(COUNT(N2555:O2555)=0,"",SUM(N2555:O2555))</x:f>
        <x:v>2</x:v>
      </x:c>
      <x:c r="Q2555"/>
      <x:c r="R2555" t="str">
        <x:v>赛果：曼谷联 2-1 掸邦联。推荐：掸邦联+2.5（赢）；小4.0（赢）。</x:v>
      </x:c>
    </x:row>
    <x:row r="2556">
      <x:c r="A2556" t="str">
        <x:f>IF(B2556="","",TEXT(B2556,"yyyy-mm-dd")&amp;"|"&amp;D2556&amp;"|"&amp;E2556)</x:f>
        <x:v>2026-02-05|温哥华FC(Vancouver FC)|蓝十字(Cruz Azul)</x:v>
      </x:c>
      <x:c r="B2556" t="n">
        <x:v>46058.458333333336</x:v>
      </x:c>
      <x:c r="C2556" t="str">
        <x:v>中北美冠军杯（CONCACAF Champions Cup）</x:v>
      </x:c>
      <x:c r="D2556" t="str">
        <x:v>温哥华FC(Vancouver FC)</x:v>
      </x:c>
      <x:c r="E2556" t="str">
        <x:v>蓝十字(Cruz Azul)</x:v>
      </x:c>
      <x:c r="F2556" t="str">
        <x:v>温哥华FC +2.0</x:v>
      </x:c>
      <x:c r="G2556" t="str">
        <x:v>小 3.25</x:v>
      </x:c>
      <x:c r="H2556" t="str">
        <x:v>更稳：温哥华FC +2.25（若临场升到+2/2.25）；更激进：小 3.0（若盘口降到3）</x:v>
      </x:c>
      <x:c r="I2556" t="n">
        <x:v>46058.43579861111</x:v>
      </x:c>
      <x:c r="J2556" t="str">
        <x:v>已结算</x:v>
      </x:c>
      <x:c r="K2556" t="str">
        <x:v>0-3</x:v>
      </x:c>
      <x:c r="L2556" t="str">
        <x:v>输</x:v>
      </x:c>
      <x:c r="M2556" t="str">
        <x:v>赢半</x:v>
      </x:c>
      <x:c r="N2556" t="n">
        <x:v>-1</x:v>
      </x:c>
      <x:c r="O2556" t="n">
        <x:v>0.5</x:v>
      </x:c>
      <x:c r="P2556" t="n">
        <x:f>IF(COUNT(N2556:O2556)=0,"",SUM(N2556:O2556))</x:f>
        <x:v>-0.5</x:v>
      </x:c>
      <x:c r="Q2556"/>
      <x:c r="R2556" t="str">
        <x:v>赛果：温哥华FC 0-3 蓝十字。推荐：温哥华FC+2.0（输）；小3.25（赢半）。</x:v>
      </x:c>
    </x:row>
    <x:row r="2557">
      <x:c r="A2557" t="str">
        <x:f>IF(B2557="","",TEXT(B2557,"yyyy-mm-dd")&amp;"|"&amp;D2557&amp;"|"&amp;E2557)</x:f>
        <x:v>2026-02-05|国民竞技(Atlético Nacional)|卡利美洲(América de Cali)</x:v>
      </x:c>
      <x:c r="B2557" t="n">
        <x:v>46058.375</x:v>
      </x:c>
      <x:c r="C2557" t="str">
        <x:v>哥伦比亚甲级联赛（Liga BetPlay DIMAYOR）</x:v>
      </x:c>
      <x:c r="D2557" t="str">
        <x:v>国民竞技(Atlético Nacional)</x:v>
      </x:c>
      <x:c r="E2557" t="str">
        <x:v>卡利美洲(América de Cali)</x:v>
      </x:c>
      <x:c r="F2557" t="str">
        <x:v>卡利美洲 +0.5（受让半球）</x:v>
      </x:c>
      <x:c r="G2557" t="str">
        <x:v>小 2.5</x:v>
      </x:c>
      <x:c r="H2557" t="str">
        <x:v>更稳：卡利美洲 +0.75；想博：卡利美洲 0（平手/走水退）</x:v>
      </x:c>
      <x:c r="I2557" t="n">
        <x:v>46058.37608796296</x:v>
      </x:c>
      <x:c r="J2557" t="str">
        <x:v>已结算</x:v>
      </x:c>
      <x:c r="K2557" t="str">
        <x:v>2-1</x:v>
      </x:c>
      <x:c r="L2557" t="str">
        <x:v>输</x:v>
      </x:c>
      <x:c r="M2557" t="str">
        <x:v>输</x:v>
      </x:c>
      <x:c r="N2557" t="n">
        <x:v>-1</x:v>
      </x:c>
      <x:c r="O2557" t="n">
        <x:v>-1</x:v>
      </x:c>
      <x:c r="P2557" t="n">
        <x:f>IF(COUNT(N2557:O2557)=0,"",SUM(N2557:O2557))</x:f>
        <x:v>-2</x:v>
      </x:c>
      <x:c r="Q2557"/>
      <x:c r="R2557" t="str">
        <x:v>赛果：国民竞技 2-1 卡利美洲。推荐：卡利美洲+0.5（输）；小2.5（输）。</x:v>
      </x:c>
    </x:row>
    <x:row r="2558">
      <x:c r="A2558" t="str">
        <x:f>IF(B2558="","",TEXT(B2558,"yyyy-mm-dd")&amp;"|"&amp;D2558&amp;"|"&amp;E2558)</x:f>
        <x:v>2026-02-04|CD奥林匹亚（CD Olimpia）|墨西哥美洲（Club América）</x:v>
      </x:c>
      <x:c r="B2558" t="n">
        <x:v>46057.416666666664</x:v>
      </x:c>
      <x:c r="C2558" t="str">
        <x:v>中北美冠军杯（CONCACAF Champions Cup）</x:v>
      </x:c>
      <x:c r="D2558" t="str">
        <x:v>CD奥林匹亚（CD Olimpia）</x:v>
      </x:c>
      <x:c r="E2558" t="str">
        <x:v>墨西哥美洲（Club América）</x:v>
      </x:c>
      <x:c r="F2558" t="str">
        <x:v>墨西哥美洲 -0.5</x:v>
      </x:c>
      <x:c r="G2558" t="str">
        <x:v>小2.5</x:v>
      </x:c>
      <x:c r="H2558" t="str">
        <x:v>保守：墨西哥美洲 -0.25；搏高回报：墨西哥美洲 -0.75 / 小2.0</x:v>
      </x:c>
      <x:c r="I2558" t="n">
        <x:v>46057.44767361111</x:v>
      </x:c>
      <x:c r="J2558" t="str">
        <x:v>已结算</x:v>
      </x:c>
      <x:c r="K2558" t="str">
        <x:v>1-2</x:v>
      </x:c>
      <x:c r="L2558" t="str">
        <x:v>赢</x:v>
      </x:c>
      <x:c r="M2558" t="str">
        <x:v>输</x:v>
      </x:c>
      <x:c r="N2558" t="n">
        <x:v>1</x:v>
      </x:c>
      <x:c r="O2558" t="n">
        <x:v>-1</x:v>
      </x:c>
      <x:c r="P2558" t="n">
        <x:f>IF(COUNT(N2558:O2558)=0,"",SUM(N2558:O2558))</x:f>
        <x:v>0</x:v>
      </x:c>
      <x:c r="Q2558"/>
      <x:c r="R2558" t="str">
        <x:v>按你提供的更正赛果：FT 1-2。让球：墨西哥美洲-0.5赢；大小：小2.0输（总进球3）。已覆盖此前误填。</x:v>
      </x:c>
    </x:row>
    <x:row r="2559">
      <x:c r="A2559" t="str">
        <x:f>IF(B2559="","",TEXT(B2559,"yyyy-mm-dd")&amp;"|"&amp;D2559&amp;"|"&amp;E2559)</x:f>
        <x:v>2026-02-04|阿拉胡伦斯（LD Alajuelense）|慕尼斯帕尔利亚（Municipal Liberia）</x:v>
      </x:c>
      <x:c r="B2559" t="n">
        <x:v>46057.416666666664</x:v>
      </x:c>
      <x:c r="C2559" t="str">
        <x:v>哥斯达黎加杯（Copa Costa Rica）</x:v>
      </x:c>
      <x:c r="D2559" t="str">
        <x:v>阿拉胡伦斯（LD Alajuelense）</x:v>
      </x:c>
      <x:c r="E2559" t="str">
        <x:v>慕尼斯帕尔利亚（Municipal Liberia）</x:v>
      </x:c>
      <x:c r="F2559" t="str">
        <x:v>阿拉胡伦斯 -1（主让一球）</x:v>
      </x:c>
      <x:c r="G2559" t="str">
        <x:v>小 2.5</x:v>
      </x:c>
      <x:c r="H2559" t="str">
        <x:v>更稳：阿拉胡伦斯 -0.75；进取：阿拉胡伦斯 -1.25 或 主胜+小3.5</x:v>
      </x:c>
      <x:c r="I2559" t="n">
        <x:v>46057.423171296294</x:v>
      </x:c>
      <x:c r="J2559" t="str">
        <x:v>已结算</x:v>
      </x:c>
      <x:c r="K2559" t="str">
        <x:v>0-1</x:v>
      </x:c>
      <x:c r="L2559" t="str">
        <x:v>输</x:v>
      </x:c>
      <x:c r="M2559" t="str">
        <x:v>赢</x:v>
      </x:c>
      <x:c r="N2559" t="n">
        <x:v>-1</x:v>
      </x:c>
      <x:c r="O2559" t="n">
        <x:v>1</x:v>
      </x:c>
      <x:c r="P2559" t="n">
        <x:f>IF(COUNT(N2559:O2559)=0,"",SUM(N2559:O2559))</x:f>
        <x:v>0</x:v>
      </x:c>
      <x:c r="Q2559"/>
      <x:c r="R2559" t="str">
        <x:v>按你提供的更正赛果：FT 0-1。让球：阿拉胡伦斯-1输；大小：小2.5赢（总进球1）。已覆盖此前误填。</x:v>
      </x:c>
    </x:row>
    <x:row r="2560">
      <x:c r="A2560" t="str">
        <x:f>IF(B2560="","",TEXT(B2560,"yyyy-mm-dd")&amp;"|"&amp;D2560&amp;"|"&amp;E2560)</x:f>
        <x:v>2026-02-04|门多萨独立（Independiente Rivadavia）|萨米恩托（Sarmiento）</x:v>
      </x:c>
      <x:c r="B2560" t="n">
        <x:v>46057.34375</x:v>
      </x:c>
      <x:c r="C2560" t="str">
        <x:v>阿根廷职业联赛（Liga Profesional·Apertura）</x:v>
      </x:c>
      <x:c r="D2560" t="str">
        <x:v>门多萨独立（Independiente Rivadavia）</x:v>
      </x:c>
      <x:c r="E2560" t="str">
        <x:v>萨米恩托（Sarmiento）</x:v>
      </x:c>
      <x:c r="F2560" t="str">
        <x:v>门多萨独立 -0.5（主让半球）</x:v>
      </x:c>
      <x:c r="G2560" t="str">
        <x:v>小 2.0</x:v>
      </x:c>
      <x:c r="H2560" t="str">
        <x:v>更稳：门多萨独立 -0.25；或 主队不败 + 小2.5</x:v>
      </x:c>
      <x:c r="I2560" t="n">
        <x:v>46057.30600694445</x:v>
      </x:c>
      <x:c r="J2560" t="str">
        <x:v>已结算</x:v>
      </x:c>
      <x:c r="K2560" t="str">
        <x:v>2-1</x:v>
      </x:c>
      <x:c r="L2560" t="str">
        <x:v>赢</x:v>
      </x:c>
      <x:c r="M2560" t="str">
        <x:v>输</x:v>
      </x:c>
      <x:c r="N2560" t="n">
        <x:v>1</x:v>
      </x:c>
      <x:c r="O2560" t="n">
        <x:v>-1</x:v>
      </x:c>
      <x:c r="P2560" t="n">
        <x:f>IF(COUNT(N2560:O2560)=0,"",SUM(N2560:O2560))</x:f>
        <x:v>0</x:v>
      </x:c>
      <x:c r="Q2560"/>
      <x:c r="R2560" t="str">
        <x:v>FT 2-1。让球：门多萨独立-0.5赢；大小：小2.0输（总进球3）。</x:v>
      </x:c>
    </x:row>
    <x:row r="2561">
      <x:c r="A2561" t="str">
        <x:f>IF(B2561="","",TEXT(B2561,"yyyy-mm-dd")&amp;"|"&amp;D2561&amp;"|"&amp;E2561)</x:f>
        <x:v>2026-02-04|科尔多瓦学院（Instituto）|拉努斯（Lanús）</x:v>
      </x:c>
      <x:c r="B2561" t="n">
        <x:v>46057.34375</x:v>
      </x:c>
      <x:c r="C2561" t="str">
        <x:v>阿根廷职业联赛（Liga Profesional·Apertura）</x:v>
      </x:c>
      <x:c r="D2561" t="str">
        <x:v>科尔多瓦学院（Instituto）</x:v>
      </x:c>
      <x:c r="E2561" t="str">
        <x:v>拉努斯（Lanús）</x:v>
      </x:c>
      <x:c r="F2561" t="str">
        <x:v>拉努斯 0（平手盘/DNB）</x:v>
      </x:c>
      <x:c r="G2561" t="str">
        <x:v>小 1.75（1.5/2）</x:v>
      </x:c>
      <x:c r="H2561" t="str">
        <x:v>更稳：拉努斯不败；搭配小2.5</x:v>
      </x:c>
      <x:c r="I2561" t="n">
        <x:v>46057.3058912037</x:v>
      </x:c>
      <x:c r="J2561" t="str">
        <x:v>已结算</x:v>
      </x:c>
      <x:c r="K2561" t="str">
        <x:v>2-2</x:v>
      </x:c>
      <x:c r="L2561" t="str">
        <x:v>走水</x:v>
      </x:c>
      <x:c r="M2561" t="str">
        <x:v>输</x:v>
      </x:c>
      <x:c r="N2561" t="n">
        <x:v>0</x:v>
      </x:c>
      <x:c r="O2561" t="n">
        <x:v>-1</x:v>
      </x:c>
      <x:c r="P2561" t="n">
        <x:f>IF(COUNT(N2561:O2561)=0,"",SUM(N2561:O2561))</x:f>
        <x:v>-1</x:v>
      </x:c>
      <x:c r="Q2561"/>
      <x:c r="R2561" t="str">
        <x:v>FT 2-2。让球：拉努斯0走水；大小：小1.75输（总进球4）。</x:v>
      </x:c>
    </x:row>
    <x:row r="2562">
      <x:c r="A2562" t="str">
        <x:f>IF(B2562="","",TEXT(B2562,"yyyy-mm-dd")&amp;"|"&amp;D2562&amp;"|"&amp;E2562)</x:f>
        <x:v>2026-02-04|圣何塞体育（Sporting San José）|肯塔基内斯（Cartaginés）</x:v>
      </x:c>
      <x:c r="B2562" t="n">
        <x:v>46057.333333333336</x:v>
      </x:c>
      <x:c r="C2562" t="str">
        <x:v>哥斯达黎加杯（Copa Costa Rica）</x:v>
      </x:c>
      <x:c r="D2562" t="str">
        <x:v>圣何塞体育（Sporting San José）</x:v>
      </x:c>
      <x:c r="E2562" t="str">
        <x:v>肯塔基内斯（Cartaginés）</x:v>
      </x:c>
      <x:c r="F2562" t="str">
        <x:v>肯塔基内斯 -0.25（客让平/半）</x:v>
      </x:c>
      <x:c r="G2562" t="str">
        <x:v>小 2.25（2/2.5）</x:v>
      </x:c>
      <x:c r="H2562" t="str">
        <x:v>更稳：肯塔基内斯 0（DNB）；进取：客-0.25 + 小2.5</x:v>
      </x:c>
      <x:c r="I2562" t="n">
        <x:v>46057.30609953704</x:v>
      </x:c>
      <x:c r="J2562" t="str">
        <x:v>已结算</x:v>
      </x:c>
      <x:c r="K2562" t="str">
        <x:v>4-1</x:v>
      </x:c>
      <x:c r="L2562" t="str">
        <x:v>输</x:v>
      </x:c>
      <x:c r="M2562" t="str">
        <x:v>输</x:v>
      </x:c>
      <x:c r="N2562" t="n">
        <x:v>-1</x:v>
      </x:c>
      <x:c r="O2562" t="n">
        <x:v>-1</x:v>
      </x:c>
      <x:c r="P2562" t="n">
        <x:f>IF(COUNT(N2562:O2562)=0,"",SUM(N2562:O2562))</x:f>
        <x:v>-2</x:v>
      </x:c>
      <x:c r="Q2562"/>
      <x:c r="R2562" t="str">
        <x:v>FT 4-1。让球：肯塔基内斯-0.25输；大小：小2.25输（总进球5）。</x:v>
      </x:c>
    </x:row>
    <x:row r="2563">
      <x:c r="A2563" t="str">
        <x:f>IF(B2563="","",TEXT(B2563,"yyyy-mm-dd")&amp;"|"&amp;D2563&amp;"|"&amp;E2563)</x:f>
        <x:v>2026-02-04|弗尔戈FC（Forge FC）|老虎大学（Tigres UANL）</x:v>
      </x:c>
      <x:c r="B2563" t="n">
        <x:v>46057.333333333336</x:v>
      </x:c>
      <x:c r="C2563" t="str">
        <x:v>中北美冠军杯（CONCACAF Champions Cup）</x:v>
      </x:c>
      <x:c r="D2563" t="str">
        <x:v>弗尔戈FC（Forge FC）</x:v>
      </x:c>
      <x:c r="E2563" t="str">
        <x:v>老虎大学（Tigres UANL）</x:v>
      </x:c>
      <x:c r="F2563" t="str">
        <x:v>老虎大学 -0.75（客让半一）</x:v>
      </x:c>
      <x:c r="G2563" t="str">
        <x:v>小 2.5</x:v>
      </x:c>
      <x:c r="H2563" t="str">
        <x:v>稳：老虎大学 -0.5；串：老虎大学不败 + 小3.0</x:v>
      </x:c>
      <x:c r="I2563" t="n">
        <x:v>46056.94430555555</x:v>
      </x:c>
      <x:c r="J2563" t="str">
        <x:v>已结算</x:v>
      </x:c>
      <x:c r="K2563" t="str">
        <x:v>0-0</x:v>
      </x:c>
      <x:c r="L2563" t="str">
        <x:v>输</x:v>
      </x:c>
      <x:c r="M2563" t="str">
        <x:v>赢</x:v>
      </x:c>
      <x:c r="N2563" t="n">
        <x:v>-1</x:v>
      </x:c>
      <x:c r="O2563" t="n">
        <x:v>1</x:v>
      </x:c>
      <x:c r="P2563" t="n">
        <x:f>IF(COUNT(N2563:O2563)=0,"",SUM(N2563:O2563))</x:f>
        <x:v>0</x:v>
      </x:c>
      <x:c r="Q2563"/>
      <x:c r="R2563" t="str">
        <x:v>FT 0-0（首回合）。让球：老虎大学-0.75输；大小：小2.5赢。</x:v>
      </x:c>
    </x:row>
    <x:row r="2564">
      <x:c r="A2564" t="str">
        <x:f>IF(B2564="","",TEXT(B2564,"yyyy-mm-dd")&amp;"|"&amp;D2564&amp;"|"&amp;E2564)</x:f>
        <x:v>2026-02-04|阿森纳（Arsenal）|切尔西（Chelsea）</x:v>
      </x:c>
      <x:c r="B2564" t="n">
        <x:v>46057.166666666664</x:v>
      </x:c>
      <x:c r="C2564" t="str">
        <x:v>英格兰联赛杯</x:v>
      </x:c>
      <x:c r="D2564" t="str">
        <x:v>阿森纳（Arsenal）</x:v>
      </x:c>
      <x:c r="E2564" t="str">
        <x:v>切尔西（Chelsea）</x:v>
      </x:c>
      <x:c r="F2564" t="str">
        <x:v>切尔西 +0.75（受让半一）</x:v>
      </x:c>
      <x:c r="G2564" t="str">
        <x:v>小 2.75（2.5/3）</x:v>
      </x:c>
      <x:c r="H2564" t="str">
        <x:v>更稳：切尔西 +1；或 切尔西不败 + 小3.25</x:v>
      </x:c>
      <x:c r="I2564" t="n">
        <x:v>46056.9575</x:v>
      </x:c>
      <x:c r="J2564" t="str">
        <x:v>已结算</x:v>
      </x:c>
      <x:c r="K2564" t="str">
        <x:v>1-0</x:v>
      </x:c>
      <x:c r="L2564" t="str">
        <x:v>输半</x:v>
      </x:c>
      <x:c r="M2564" t="str">
        <x:v>赢</x:v>
      </x:c>
      <x:c r="N2564" t="n">
        <x:v>-0.5</x:v>
      </x:c>
      <x:c r="O2564" t="n">
        <x:v>1</x:v>
      </x:c>
      <x:c r="P2564" t="n">
        <x:f>IF(COUNT(N2564:O2564)=0,"",SUM(N2564:O2564))</x:f>
        <x:v>0.5</x:v>
      </x:c>
      <x:c r="Q2564"/>
      <x:c r="R2564" t="str">
        <x:v>赛果：阿森纳 1-0 切尔西；切尔西(+0.75)输半；小2.75赢</x:v>
      </x:c>
    </x:row>
    <x:row r="2565">
      <x:c r="A2565" t="str">
        <x:f>IF(B2565="","",TEXT(B2565,"yyyy-mm-dd")&amp;"|"&amp;D2565&amp;"|"&amp;E2565)</x:f>
        <x:v>2026-02-04|圣米伦（St. Mirren）|哈茨（Hearts/Heart of Midlothian）</x:v>
      </x:c>
      <x:c r="B2565" t="n">
        <x:v>46057.166666666664</x:v>
      </x:c>
      <x:c r="C2565" t="str">
        <x:v>苏格兰超级联赛</x:v>
      </x:c>
      <x:c r="D2565" t="str">
        <x:v>圣米伦（St. Mirren）</x:v>
      </x:c>
      <x:c r="E2565" t="str">
        <x:v>哈茨（Hearts/Heart of Midlothian）</x:v>
      </x:c>
      <x:c r="F2565" t="str">
        <x:v>哈茨 -0.5（客让半球）</x:v>
      </x:c>
      <x:c r="G2565" t="str">
        <x:v>小 2.5</x:v>
      </x:c>
      <x:c r="H2565" t="str">
        <x:v>稳健：哈茨 DNB（0）+ 小3.0；比分思路0-1/0-2</x:v>
      </x:c>
      <x:c r="I2565" t="n">
        <x:v>46056.93178240741</x:v>
      </x:c>
      <x:c r="J2565" t="str">
        <x:v>已结算</x:v>
      </x:c>
      <x:c r="K2565" t="str">
        <x:v>1-0</x:v>
      </x:c>
      <x:c r="L2565" t="str">
        <x:v>输</x:v>
      </x:c>
      <x:c r="M2565" t="str">
        <x:v>赢</x:v>
      </x:c>
      <x:c r="N2565" t="n">
        <x:v>-1</x:v>
      </x:c>
      <x:c r="O2565" t="n">
        <x:v>1</x:v>
      </x:c>
      <x:c r="P2565" t="n">
        <x:f>IF(COUNT(N2565:O2565)=0,"",SUM(N2565:O2565))</x:f>
        <x:v>0</x:v>
      </x:c>
      <x:c r="Q2565"/>
      <x:c r="R2565" t="str">
        <x:v>赛果：圣米伦 1-0 哈茨；哈茨(-0.5)输；小2.5赢</x:v>
      </x:c>
    </x:row>
    <x:row r="2566">
      <x:c r="A2566" t="str">
        <x:f>IF(B2566="","",TEXT(B2566,"yyyy-mm-dd")&amp;"|"&amp;D2566&amp;"|"&amp;E2566)</x:f>
        <x:v>2026-02-04|勒沃库森（Bayer Leverkusen）|圣保利（FC St. Pauli）</x:v>
      </x:c>
      <x:c r="B2566" t="n">
        <x:v>46057.15625</x:v>
      </x:c>
      <x:c r="C2566" t="str">
        <x:v>德国杯（DFB-Pokal）</x:v>
      </x:c>
      <x:c r="D2566" t="str">
        <x:v>勒沃库森（Bayer Leverkusen）</x:v>
      </x:c>
      <x:c r="E2566" t="str">
        <x:v>圣保利（FC St. Pauli）</x:v>
      </x:c>
      <x:c r="F2566" t="str">
        <x:v>勒沃库森 -1（让一球）</x:v>
      </x:c>
      <x:c r="G2566" t="str">
        <x:v>小 2.75</x:v>
      </x:c>
      <x:c r="H2566" t="str">
        <x:v>可选分仓：勒沃库森 -1.25；或小 3.0</x:v>
      </x:c>
      <x:c r="I2566" t="n">
        <x:v>46056.95417824074</x:v>
      </x:c>
      <x:c r="J2566" t="str">
        <x:v>已结算</x:v>
      </x:c>
      <x:c r="K2566" t="str">
        <x:v>3-0</x:v>
      </x:c>
      <x:c r="L2566" t="str">
        <x:v>赢</x:v>
      </x:c>
      <x:c r="M2566" t="str">
        <x:v>输半</x:v>
      </x:c>
      <x:c r="N2566" t="n">
        <x:v>1</x:v>
      </x:c>
      <x:c r="O2566" t="n">
        <x:v>-0.5</x:v>
      </x:c>
      <x:c r="P2566" t="n">
        <x:f>IF(COUNT(N2566:O2566)=0,"",SUM(N2566:O2566))</x:f>
        <x:v>0.5</x:v>
      </x:c>
      <x:c r="Q2566"/>
      <x:c r="R2566" t="str">
        <x:v>赛果：勒沃库森 3-0 圣保利；让(-1.25)赢；小2.75输半（总进球3）</x:v>
      </x:c>
    </x:row>
    <x:row r="2567">
      <x:c r="A2567" t="str">
        <x:f>IF(B2567="","",TEXT(B2567,"yyyy-mm-dd")&amp;"|"&amp;D2567&amp;"|"&amp;E2567)</x:f>
        <x:v>2026-02-04|谢菲联（Sheffield United）|牛津联（Oxford United）</x:v>
      </x:c>
      <x:c r="B2567" t="n">
        <x:v>46057.15625</x:v>
      </x:c>
      <x:c r="C2567" t="str">
        <x:v>英格兰冠军联赛（英冠）</x:v>
      </x:c>
      <x:c r="D2567" t="str">
        <x:v>谢菲联（Sheffield United）</x:v>
      </x:c>
      <x:c r="E2567" t="str">
        <x:v>牛津联（Oxford United）</x:v>
      </x:c>
      <x:c r="F2567" t="str">
        <x:v>谢菲联 -1（让一球）</x:v>
      </x:c>
      <x:c r="G2567" t="str">
        <x:v>小 2.75（2.5/3）</x:v>
      </x:c>
      <x:c r="H2567" t="str">
        <x:v>稳健：谢菲联-0.75；进取：谢菲联-1 + 小3.0</x:v>
      </x:c>
      <x:c r="I2567" t="n">
        <x:v>46056.93167824074</x:v>
      </x:c>
      <x:c r="J2567" t="str">
        <x:v>已结算</x:v>
      </x:c>
      <x:c r="K2567" t="str">
        <x:v>3-1</x:v>
      </x:c>
      <x:c r="L2567" t="str">
        <x:v>赢</x:v>
      </x:c>
      <x:c r="M2567" t="str">
        <x:v>输</x:v>
      </x:c>
      <x:c r="N2567" t="n">
        <x:v>1</x:v>
      </x:c>
      <x:c r="O2567" t="n">
        <x:v>-1</x:v>
      </x:c>
      <x:c r="P2567" t="n">
        <x:f>IF(COUNT(N2567:O2567)=0,"",SUM(N2567:O2567))</x:f>
        <x:v>0</x:v>
      </x:c>
      <x:c r="Q2567"/>
      <x:c r="R2567" t="str">
        <x:v>赛果：谢菲联 3-1 牛津联；让(-1)赢；小2.75输</x:v>
      </x:c>
    </x:row>
    <x:row r="2568">
      <x:c r="A2568" t="str">
        <x:f>IF(B2568="","",TEXT(B2568,"yyyy-mm-dd")&amp;"|"&amp;D2568&amp;"|"&amp;E2568)</x:f>
        <x:v>2026-02-04|赫尔城（Hull City）|沃特福德（Watford）</x:v>
      </x:c>
      <x:c r="B2568" t="n">
        <x:v>46057.15625</x:v>
      </x:c>
      <x:c r="C2568" t="str">
        <x:v>英格兰冠军联赛（英冠）</x:v>
      </x:c>
      <x:c r="D2568" t="str">
        <x:v>赫尔城（Hull City）</x:v>
      </x:c>
      <x:c r="E2568" t="str">
        <x:v>沃特福德（Watford）</x:v>
      </x:c>
      <x:c r="F2568" t="str">
        <x:v>赫尔城 0（平手盘/DNB）</x:v>
      </x:c>
      <x:c r="G2568" t="str">
        <x:v>小 2.5</x:v>
      </x:c>
      <x:c r="H2568" t="str">
        <x:v>保守：赫尔城0 + 小3.0；进取：赫尔城-0/0.25分注</x:v>
      </x:c>
      <x:c r="I2568" t="n">
        <x:v>46056.93158564815</x:v>
      </x:c>
      <x:c r="J2568" t="str">
        <x:v>已结算</x:v>
      </x:c>
      <x:c r="K2568" t="str">
        <x:v>0-0</x:v>
      </x:c>
      <x:c r="L2568" t="str">
        <x:v>走水</x:v>
      </x:c>
      <x:c r="M2568" t="str">
        <x:v>赢</x:v>
      </x:c>
      <x:c r="N2568" t="n">
        <x:v>0</x:v>
      </x:c>
      <x:c r="O2568" t="n">
        <x:v>1</x:v>
      </x:c>
      <x:c r="P2568" t="n">
        <x:f>IF(COUNT(N2568:O2568)=0,"",SUM(N2568:O2568))</x:f>
        <x:v>1</x:v>
      </x:c>
      <x:c r="Q2568"/>
      <x:c r="R2568" t="str">
        <x:v>赛果：赫尔城 0-0 沃特福德；赫尔城0(DNB)走水；小2.5赢</x:v>
      </x:c>
    </x:row>
    <x:row r="2569">
      <x:c r="A2569" t="str">
        <x:f>IF(B2569="","",TEXT(B2569,"yyyy-mm-dd")&amp;"|"&amp;D2569&amp;"|"&amp;E2569)</x:f>
        <x:v>2026-02-04|博洛尼亚（Bologna）|AC米兰（AC Milan）</x:v>
      </x:c>
      <x:c r="B2569" t="n">
        <x:v>46057.15625</x:v>
      </x:c>
      <x:c r="C2569" t="str">
        <x:v>意大利杯（Coppa Italia）</x:v>
      </x:c>
      <x:c r="D2569" t="str">
        <x:v>博洛尼亚（Bologna）</x:v>
      </x:c>
      <x:c r="E2569" t="str">
        <x:v>AC米兰（AC Milan）</x:v>
      </x:c>
      <x:c r="F2569" t="str">
        <x:v>AC米兰 0（平手盘）</x:v>
      </x:c>
      <x:c r="G2569" t="str">
        <x:v>小 2.5</x:v>
      </x:c>
      <x:c r="H2569" t="str">
        <x:v>稳健：AC米兰不败（+0）配小3.0；比分思路：0-1/1-1/0-2</x:v>
      </x:c>
      <x:c r="I2569" t="n">
        <x:v>46056.92256944445</x:v>
      </x:c>
      <x:c r="J2569" t="str">
        <x:v>已结算</x:v>
      </x:c>
      <x:c r="K2569" t="str">
        <x:v>0-3</x:v>
      </x:c>
      <x:c r="L2569" t="str">
        <x:v>赢</x:v>
      </x:c>
      <x:c r="M2569" t="str">
        <x:v>输</x:v>
      </x:c>
      <x:c r="N2569" t="n">
        <x:v>1</x:v>
      </x:c>
      <x:c r="O2569" t="n">
        <x:v>-1</x:v>
      </x:c>
      <x:c r="P2569" t="n">
        <x:f>IF(COUNT(N2569:O2569)=0,"",SUM(N2569:O2569))</x:f>
        <x:v>0</x:v>
      </x:c>
      <x:c r="Q2569"/>
      <x:c r="R2569" t="str">
        <x:v>赛果：博洛尼亚 0-3 AC米兰；米兰0(DNB)赢；小2.5输</x:v>
      </x:c>
    </x:row>
    <x:row r="2570">
      <x:c r="A2570" t="str">
        <x:f>IF(B2570="","",TEXT(B2570,"yyyy-mm-dd")&amp;"|"&amp;D2570&amp;"|"&amp;E2570)</x:f>
        <x:v>2026-02-04|阿尔克马尔（AZ Alkmaar）|特温特（FC Twente）</x:v>
      </x:c>
      <x:c r="B2570" t="n">
        <x:v>46057.125</x:v>
      </x:c>
      <x:c r="C2570" t="str">
        <x:v>荷兰杯（KNVB Beker）</x:v>
      </x:c>
      <x:c r="D2570" t="str">
        <x:v>阿尔克马尔（AZ Alkmaar）</x:v>
      </x:c>
      <x:c r="E2570" t="str">
        <x:v>特温特（FC Twente）</x:v>
      </x:c>
      <x:c r="F2570" t="str">
        <x:v>特温特 -0.25（客让平/半）</x:v>
      </x:c>
      <x:c r="G2570" t="str">
        <x:v>大 2.5</x:v>
      </x:c>
      <x:c r="H2570" t="str">
        <x:v>进取：特温特 -0.25 + 大2.5（同向）；稳健：特温特不败 + 大1.5</x:v>
      </x:c>
      <x:c r="I2570" t="n">
        <x:v>46056.922476851854</x:v>
      </x:c>
      <x:c r="J2570" t="str">
        <x:v>已结算</x:v>
      </x:c>
      <x:c r="K2570" t="str">
        <x:v>1-1</x:v>
      </x:c>
      <x:c r="L2570" t="str">
        <x:v>输半</x:v>
      </x:c>
      <x:c r="M2570" t="str">
        <x:v>输</x:v>
      </x:c>
      <x:c r="N2570" t="n">
        <x:v>-0.5</x:v>
      </x:c>
      <x:c r="O2570" t="n">
        <x:v>-1</x:v>
      </x:c>
      <x:c r="P2570" t="n">
        <x:f>IF(COUNT(N2570:O2570)=0,"",SUM(N2570:O2570))</x:f>
        <x:v>-1.5</x:v>
      </x:c>
      <x:c r="Q2570" t="str">
        <x:v>SofaScore</x:v>
      </x:c>
      <x:c r="R2570" t="str">
        <x:v>校正赛果：阿尔克马尔（AZ Alkmaar） 1-1 特温特（FC Twente）（90分钟；加时后2-1）；让球：特温特 -0.25 -&gt; 输半（-0.5）；大小：大2.5 -&gt; 输（-1）；来源：SofaScore。</x:v>
      </x:c>
    </x:row>
    <x:row r="2571">
      <x:c r="A2571" t="str">
        <x:f>IF(B2571="","",TEXT(B2571,"yyyy-mm-dd")&amp;"|"&amp;D2571&amp;"|"&amp;E2571)</x:f>
        <x:v>2026-02-04|多德勒支（FC Dordrecht）|赫尔蒙德体育（Helmond Sport）</x:v>
      </x:c>
      <x:c r="B2571" t="n">
        <x:v>46057.125</x:v>
      </x:c>
      <x:c r="C2571" t="str">
        <x:v>荷乙（荷兰乙级联赛）</x:v>
      </x:c>
      <x:c r="D2571" t="str">
        <x:v>多德勒支（FC Dordrecht）</x:v>
      </x:c>
      <x:c r="E2571" t="str">
        <x:v>赫尔蒙德体育（Helmond Sport）</x:v>
      </x:c>
      <x:c r="F2571" t="str">
        <x:v>多德勒支 -0.75（主让半一）</x:v>
      </x:c>
      <x:c r="G2571" t="str">
        <x:v>大 2.5</x:v>
      </x:c>
      <x:c r="H2571" t="str">
        <x:v>稳一点：多德勒支 -0.5；进阶：多德勒支胜 + 大1.5</x:v>
      </x:c>
      <x:c r="I2571" t="n">
        <x:v>46056.922372685185</x:v>
      </x:c>
      <x:c r="J2571" t="str">
        <x:v>已结算</x:v>
      </x:c>
      <x:c r="K2571" t="str">
        <x:v>3-0</x:v>
      </x:c>
      <x:c r="L2571" t="str">
        <x:v>赢</x:v>
      </x:c>
      <x:c r="M2571" t="str">
        <x:v>赢</x:v>
      </x:c>
      <x:c r="N2571" t="n">
        <x:v>1</x:v>
      </x:c>
      <x:c r="O2571" t="n">
        <x:v>1</x:v>
      </x:c>
      <x:c r="P2571" t="n">
        <x:f>IF(COUNT(N2571:O2571)=0,"",SUM(N2571:O2571))</x:f>
        <x:v>2</x:v>
      </x:c>
      <x:c r="Q2571"/>
      <x:c r="R2571" t="str">
        <x:v>赛果：多德勒支 3-0 赫尔蒙德；让(-0.75)赢；大2.75赢</x:v>
      </x:c>
    </x:row>
    <x:row r="2572">
      <x:c r="A2572" t="str">
        <x:f>IF(B2572="","",TEXT(B2572,"yyyy-mm-dd")&amp;"|"&amp;D2572&amp;"|"&amp;E2572)</x:f>
        <x:v>2026-02-04|塞哈特海湾（海湾 Al Khaleej）|胡拜尔库迪西亚（卡达西亚 Al Qadsiah）</x:v>
      </x:c>
      <x:c r="B2572" t="n">
        <x:v>46057.0625</x:v>
      </x:c>
      <x:c r="C2572" t="str">
        <x:v>沙特职业联赛（Saudi Pro League）</x:v>
      </x:c>
      <x:c r="D2572" t="str">
        <x:v>塞哈特海湾（海湾 Al Khaleej）</x:v>
      </x:c>
      <x:c r="E2572" t="str">
        <x:v>胡拜尔库迪西亚（卡达西亚 Al Qadsiah）</x:v>
      </x:c>
      <x:c r="F2572" t="str">
        <x:v>胡拜尔库迪西亚 -0.75（客让半一）</x:v>
      </x:c>
      <x:c r="G2572" t="str">
        <x:v>小3.25（3/3.5）</x:v>
      </x:c>
      <x:c r="H2572" t="str">
        <x:v>可选：胡拜尔库迪西亚胜；保守可改-0.5</x:v>
      </x:c>
      <x:c r="I2572" t="n">
        <x:v>46056.87766203703</x:v>
      </x:c>
      <x:c r="J2572" t="str">
        <x:v>已结算</x:v>
      </x:c>
      <x:c r="K2572" t="str">
        <x:v>0-1</x:v>
      </x:c>
      <x:c r="L2572" t="str">
        <x:v>赢半</x:v>
      </x:c>
      <x:c r="M2572" t="str">
        <x:v>赢</x:v>
      </x:c>
      <x:c r="N2572" t="n">
        <x:v>0.5</x:v>
      </x:c>
      <x:c r="O2572" t="n">
        <x:v>1</x:v>
      </x:c>
      <x:c r="P2572" t="n">
        <x:f>IF(COUNT(N2572:O2572)=0,"",SUM(N2572:O2572))</x:f>
        <x:v>1.5</x:v>
      </x:c>
      <x:c r="Q2572"/>
      <x:c r="R2572" t="str">
        <x:v>赛果：塞哈特海湾 0-1 胡拜尔库迪西亚；让(-0.75)赢半；小3.25赢</x:v>
      </x:c>
    </x:row>
    <x:row r="2573">
      <x:c r="A2573" t="str">
        <x:f>IF(B2573="","",TEXT(B2573,"yyyy-mm-dd")&amp;"|"&amp;D2573&amp;"|"&amp;E2573)</x:f>
        <x:v>2026-02-03|达马克（Damac FC）|阿尔克鲁德（Al-Kholood）</x:v>
      </x:c>
      <x:c r="B2573" t="n">
        <x:v>46056.98611111111</x:v>
      </x:c>
      <x:c r="C2573" t="str">
        <x:v>沙特职业联赛（Saudi Pro League）</x:v>
      </x:c>
      <x:c r="D2573" t="str">
        <x:v>达马克（Damac FC）</x:v>
      </x:c>
      <x:c r="E2573" t="str">
        <x:v>阿尔克鲁德（Al-Kholood）</x:v>
      </x:c>
      <x:c r="F2573" t="str">
        <x:v>阿尔克鲁德 -0.25（客让平/半）</x:v>
      </x:c>
      <x:c r="G2573" t="str">
        <x:v>小 2.25（2/2.5）</x:v>
      </x:c>
      <x:c r="H2573" t="str">
        <x:v>稳健：阿尔克鲁德 0（DNB）或 小2.5；进取：阿尔克鲁德-0.25+小2.25 同向</x:v>
      </x:c>
      <x:c r="I2573" t="n">
        <x:v>46056.96729166667</x:v>
      </x:c>
      <x:c r="J2573" t="str">
        <x:v>已结算</x:v>
      </x:c>
      <x:c r="K2573" t="str">
        <x:v>0-0</x:v>
      </x:c>
      <x:c r="L2573" t="str">
        <x:v>输半</x:v>
      </x:c>
      <x:c r="M2573" t="str">
        <x:v>赢</x:v>
      </x:c>
      <x:c r="N2573" t="n">
        <x:v>-0.5</x:v>
      </x:c>
      <x:c r="O2573" t="n">
        <x:v>1</x:v>
      </x:c>
      <x:c r="P2573" t="n">
        <x:f>IF(COUNT(N2573:O2573)=0,"",SUM(N2573:O2573))</x:f>
        <x:v>0.5</x:v>
      </x:c>
      <x:c r="Q2573"/>
      <x:c r="R2573" t="str">
        <x:v>赛果：达马克 0-0 阿尔克鲁德；客(-0.25)输半；小2.25赢</x:v>
      </x:c>
    </x:row>
  </x:sheetData>
  <x:mergeCells>
    <x:mergeCell ref="A1:R1"/>
    <x:mergeCell ref="A2:R2"/>
    <x:mergeCell ref="A3:R3"/>
  </x:mergeCells>
  <x:conditionalFormatting sqref="J5:J1995">
    <x:cfRule type="containsText" dxfId="0" priority="1" operator="containsText" text="已结算"/>
    <x:cfRule type="containsText" dxfId="1" priority="2" operator="containsText" text="需复核"/>
  </x:conditionalFormatting>
  <x:conditionalFormatting sqref="N5:P1995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J1996:J2244">
    <x:cfRule type="containsText" dxfId="9" priority="5" operator="containsText" text="已结算"/>
    <x:cfRule type="containsText" dxfId="10" priority="6" operator="containsText" text="需复核"/>
  </x:conditionalFormatting>
  <x:conditionalFormatting sqref="N1996:P2244">
    <x:cfRule type="cellIs" dxfId="11" priority="7" operator="greaterThan">
      <x:formula>0</x:formula>
    </x:cfRule>
    <x:cfRule type="cellIs" dxfId="12" priority="8" operator="lessThan">
      <x:formula>0</x:formula>
    </x:cfRule>
  </x:conditionalFormatting>
  <x:dataValidations count="2">
    <x:dataValidation type="list" sqref="J5:J1995">
      <x:formula1>"已冻结,待赛果,进行中,已结算,需复核,延期,取消"</x:formula1>
    </x:dataValidation>
    <x:dataValidation type="list" sqref="J1996:J2244">
      <x:formula1>"已冻结,待赛果,进行中,已结算,需复核,延期,取消"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51979bc0ad43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38" hidden="0" customWidth="1"/>
    <x:col min="4" max="4" width="12" hidden="0" customWidth="1"/>
    <x:col min="5" max="5" width="18" hidden="0" customWidth="1"/>
    <x:col min="6" max="6" width="18" hidden="0" customWidth="1"/>
    <x:col min="7" max="7" width="46" hidden="0" customWidth="1"/>
    <x:col min="8" max="8" width="12" hidden="0" customWidth="1"/>
    <x:col min="9" max="9" width="28" hidden="0" customWidth="1"/>
  </x:cols>
  <x:sheetData>
    <x:row r="1" ht="34" customHeight="1">
      <x:c r="A1" s="4" t="str">
        <x:v>赛事字典｜冻结台账归一化映射</x:v>
      </x:c>
      <x:c r="B1" s="4" t="str">
        <x:v>赛事字典｜冻结台账归一化映射</x:v>
      </x:c>
      <x:c r="C1" s="4" t="str">
        <x:v>赛事字典｜冻结台账归一化映射</x:v>
      </x:c>
      <x:c r="D1" s="4" t="str">
        <x:v>赛事字典｜冻结台账归一化映射</x:v>
      </x:c>
      <x:c r="E1" s="4" t="str">
        <x:v>赛事字典｜冻结台账归一化映射</x:v>
      </x:c>
      <x:c r="F1" s="4" t="str">
        <x:v>赛事字典｜冻结台账归一化映射</x:v>
      </x:c>
      <x:c r="G1" s="4" t="str">
        <x:v>赛事字典｜冻结台账归一化映射</x:v>
      </x:c>
      <x:c r="H1" s="4" t="str">
        <x:v>赛事字典｜冻结台账归一化映射</x:v>
      </x:c>
      <x:c r="I1" s="4" t="str">
        <x:v>赛事字典｜冻结台账归一化映射</x:v>
      </x:c>
    </x:row>
    <x:row r="2">
      <x:c r="A2" s="72" t="str">
        <x:v>共 318 个原赛事名称；新增名称已标记“待确认”。</x:v>
      </x:c>
      <x:c r="B2" s="72" t="str">
        <x:v>共 141 个原赛事名称；覆盖源台账 1741 条记录；新增名称已标记“待确认”。</x:v>
      </x:c>
      <x:c r="C2" s="72" t="str">
        <x:v>共 141 个原赛事名称；覆盖源台账 1741 条记录；新增名称已标记“待确认”。</x:v>
      </x:c>
      <x:c r="D2" s="72" t="str">
        <x:v>共 141 个原赛事名称；覆盖源台账 1741 条记录；新增名称已标记“待确认”。</x:v>
      </x:c>
      <x:c r="E2" s="72" t="str">
        <x:v>共 141 个原赛事名称；覆盖源台账 1741 条记录；新增名称已标记“待确认”。</x:v>
      </x:c>
      <x:c r="F2" s="72" t="str">
        <x:v>共 141 个原赛事名称；覆盖源台账 1741 条记录；新增名称已标记“待确认”。</x:v>
      </x:c>
      <x:c r="G2" s="72" t="str">
        <x:v>共 141 个原赛事名称；覆盖源台账 1741 条记录；新增名称已标记“待确认”。</x:v>
      </x:c>
      <x:c r="H2" s="72" t="str">
        <x:v>共 141 个原赛事名称；覆盖源台账 1741 条记录；新增名称已标记“待确认”。</x:v>
      </x:c>
      <x:c r="I2" s="72" t="str">
        <x:v>共 141 个原赛事名称；覆盖源台账 1741 条记录；新增名称已标记“待确认”。</x:v>
      </x:c>
    </x:row>
    <x:row r="4" ht="32" customHeight="1">
      <x:c r="A4" s="22" t="str">
        <x:v>字典ID</x:v>
      </x:c>
      <x:c r="B4" s="23" t="str">
        <x:v>原赛事名称</x:v>
      </x:c>
      <x:c r="C4" s="23" t="str">
        <x:v>规范赛事名称</x:v>
      </x:c>
      <x:c r="D4" s="23" t="str">
        <x:v>出现次数</x:v>
      </x:c>
      <x:c r="E4" s="23" t="str">
        <x:v>首次开球时间</x:v>
      </x:c>
      <x:c r="F4" s="23" t="str">
        <x:v>最后开球时间</x:v>
      </x:c>
      <x:c r="G4" s="23" t="str">
        <x:v>示例匹配键</x:v>
      </x:c>
      <x:c r="H4" s="23" t="str">
        <x:v>维护状态</x:v>
      </x:c>
      <x:c r="I4" s="24" t="str">
        <x:v>备注</x:v>
      </x:c>
    </x:row>
    <x:row r="5" ht="32" customHeight="1">
      <x:c r="A5" s="62" t="str">
        <x:v>S001</x:v>
      </x:c>
      <x:c r="B5" s="62" t="str">
        <x:v>澳大利亚 维多利亚州超级联赛1（VPL1）</x:v>
      </x:c>
      <x:c r="C5" s="62" t="str">
        <x:v>澳大利亚 维多利亚州超级联赛1（VPL1）</x:v>
      </x:c>
      <x:c r="D5" s="81" t="n">
        <x:v>123</x:v>
      </x:c>
      <x:c r="E5" s="63" t="n">
        <x:v>46059.729166666664</x:v>
      </x:c>
      <x:c r="F5" s="63" t="n">
        <x:v>46183.729166666664</x:v>
      </x:c>
      <x:c r="G5" s="62" t="str">
        <x:v>2026-02-06|罗宾市蓝（Robina City）|海岸骑士（Gold Coast Knights）</x:v>
      </x:c>
      <x:c r="H5" s="62" t="str">
        <x:v>待确认</x:v>
      </x:c>
      <x:c r="I5" s="62" t="str"/>
    </x:row>
    <x:row r="6" ht="32" customHeight="1">
      <x:c r="A6" s="65" t="str">
        <x:v>S002</x:v>
      </x:c>
      <x:c r="B6" s="65" t="str">
        <x:v>印度尼西亚超级联赛（印尼超/Liga 1 Indonesia）</x:v>
      </x:c>
      <x:c r="C6" s="65" t="str">
        <x:v>印度尼西亚超级联赛（印尼超/Liga 1 Indonesia）</x:v>
      </x:c>
      <x:c r="D6" s="82" t="n">
        <x:v>121</x:v>
      </x:c>
      <x:c r="E6" s="66" t="n">
        <x:v>46059.6875</x:v>
      </x:c>
      <x:c r="F6" s="66" t="n">
        <x:v>46165.708333333336</x:v>
      </x:c>
      <x:c r="G6" s="65" t="str">
        <x:v>2026-02-06|永亚卡达（PSIM Yogyakarta）|伯希索罗（Persis Solo）</x:v>
      </x:c>
      <x:c r="H6" s="65" t="str">
        <x:v>待确认</x:v>
      </x:c>
      <x:c r="I6" s="65" t="str">
        <x:v>由冻结台账新增</x:v>
      </x:c>
    </x:row>
    <x:row r="7" ht="32" customHeight="1">
      <x:c r="A7" s="65" t="str">
        <x:v>S003</x:v>
      </x:c>
      <x:c r="B7" s="65" t="str">
        <x:v>哥伦比亚甲（Primera A）</x:v>
      </x:c>
      <x:c r="C7" s="65" t="str">
        <x:v>哥伦比亚甲级联赛（Liga BetPlay DIMAYOR）</x:v>
      </x:c>
      <x:c r="D7" s="82" t="n">
        <x:v>111</x:v>
      </x:c>
      <x:c r="E7" s="66" t="n">
        <x:v>46058.375</x:v>
      </x:c>
      <x:c r="F7" s="66" t="n">
        <x:v>46182.25</x:v>
      </x:c>
      <x:c r="G7" s="65" t="str">
        <x:v>2026-02-05|国民竞技(Atlético Nacional)|卡利美洲(América de Cali)</x:v>
      </x:c>
      <x:c r="H7" s="65" t="str">
        <x:v>待确认</x:v>
      </x:c>
      <x:c r="I7" s="65" t="str"/>
    </x:row>
    <x:row r="8" ht="32" customHeight="1">
      <x:c r="A8" s="65" t="str">
        <x:v>S004</x:v>
      </x:c>
      <x:c r="B8" s="65" t="str">
        <x:v>墨西哥超（Liga MX，Clausura）</x:v>
      </x:c>
      <x:c r="C8" s="65" t="str">
        <x:v>墨西哥超（Liga MX，Clausura）</x:v>
      </x:c>
      <x:c r="D8" s="82" t="n">
        <x:v>100</x:v>
      </x:c>
      <x:c r="E8" s="66" t="n">
        <x:v>46060.375</x:v>
      </x:c>
      <x:c r="F8" s="66" t="n">
        <x:v>46167.375</x:v>
      </x:c>
      <x:c r="G8" s="65" t="str">
        <x:v>2026-02-07|老虎大学（Tigres UANL）|桑托斯拉古纳（Santos Laguna）</x:v>
      </x:c>
      <x:c r="H8" s="65" t="str">
        <x:v>待确认</x:v>
      </x:c>
      <x:c r="I8" s="65" t="str"/>
    </x:row>
    <x:row r="9" ht="32" customHeight="1">
      <x:c r="A9" s="65" t="str">
        <x:v>S005</x:v>
      </x:c>
      <x:c r="B9" s="65" t="str">
        <x:v>阿根廷职业联赛（Liga Profesional·Apertura）</x:v>
      </x:c>
      <x:c r="C9" s="65" t="str">
        <x:v>阿根廷职业联赛（Liga Profesional·Apertura）</x:v>
      </x:c>
      <x:c r="D9" s="82" t="n">
        <x:v>85</x:v>
      </x:c>
      <x:c r="E9" s="66" t="n">
        <x:v>46057.34375</x:v>
      </x:c>
      <x:c r="F9" s="66" t="n">
        <x:v>46155.25</x:v>
      </x:c>
      <x:c r="G9" s="65" t="str">
        <x:v>2026-02-04|科尔多瓦学院（Instituto）|拉努斯（Lanús）</x:v>
      </x:c>
      <x:c r="H9" s="65" t="str">
        <x:v>待确认</x:v>
      </x:c>
      <x:c r="I9" s="65" t="str"/>
    </x:row>
    <x:row r="10" ht="32" customHeight="1">
      <x:c r="A10" s="65" t="str">
        <x:v>S006</x:v>
      </x:c>
      <x:c r="B10" s="65" t="str">
        <x:v>英格兰冠军联赛（英冠）</x:v>
      </x:c>
      <x:c r="C10" s="65" t="str">
        <x:v>英格兰冠军联赛（英冠）</x:v>
      </x:c>
      <x:c r="D10" s="82" t="n">
        <x:v>84</x:v>
      </x:c>
      <x:c r="E10" s="66" t="n">
        <x:v>46057.15625</x:v>
      </x:c>
      <x:c r="F10" s="66" t="n">
        <x:v>46165.9375</x:v>
      </x:c>
      <x:c r="G10" s="65" t="str">
        <x:v>2026-02-04|赫尔城（Hull City）|沃特福德（Watford）</x:v>
      </x:c>
      <x:c r="H10" s="65" t="str">
        <x:v>待确认</x:v>
      </x:c>
      <x:c r="I10" s="65" t="str"/>
    </x:row>
    <x:row r="11" ht="32" customHeight="1">
      <x:c r="A11" s="65" t="str">
        <x:v>S007</x:v>
      </x:c>
      <x:c r="B11" s="65" t="str">
        <x:v>日职联（J1 League）</x:v>
      </x:c>
      <x:c r="C11" s="65" t="str">
        <x:v>日职联（J1 League）</x:v>
      </x:c>
      <x:c r="D11" s="82" t="n">
        <x:v>70</x:v>
      </x:c>
      <x:c r="E11" s="66" t="n">
        <x:v>46059.75</x:v>
      </x:c>
      <x:c r="F11" s="66" t="n">
        <x:v>46179.708333333336</x:v>
      </x:c>
      <x:c r="G11" s="65" t="str">
        <x:v>2026-02-06|京都不死鸟（Kyoto Sanga）|神户胜利船（Vissel Kobe）</x:v>
      </x:c>
      <x:c r="H11" s="65" t="str">
        <x:v>待确认</x:v>
      </x:c>
      <x:c r="I11" s="65" t="str"/>
    </x:row>
    <x:row r="12" ht="32" customHeight="1">
      <x:c r="A12" s="65" t="str">
        <x:v>S008</x:v>
      </x:c>
      <x:c r="B12" s="65" t="str">
        <x:v>意大利甲级联赛（Serie A）</x:v>
      </x:c>
      <x:c r="C12" s="65" t="str">
        <x:v>意大利甲级联赛（Serie A）</x:v>
      </x:c>
      <x:c r="D12" s="82" t="n">
        <x:v>68</x:v>
      </x:c>
      <x:c r="E12" s="66" t="n">
        <x:v>46060.15625</x:v>
      </x:c>
      <x:c r="F12" s="66" t="n">
        <x:v>46166.114583333336</x:v>
      </x:c>
      <x:c r="G12" s="65" t="str">
        <x:v>2026-02-07|维罗纳（Hellas Verona）|比萨（Pisa）</x:v>
      </x:c>
      <x:c r="H12" s="65" t="str">
        <x:v>待确认</x:v>
      </x:c>
      <x:c r="I12" s="65" t="str"/>
    </x:row>
    <x:row r="13" ht="32" customHeight="1">
      <x:c r="A13" s="65" t="str">
        <x:v>S009</x:v>
      </x:c>
      <x:c r="B13" s="65" t="str">
        <x:v>印度超级联赛（Indian Super League）</x:v>
      </x:c>
      <x:c r="C13" s="65" t="str">
        <x:v>印度超级联赛（Indian Super League）</x:v>
      </x:c>
      <x:c r="D13" s="82" t="n">
        <x:v>67</x:v>
      </x:c>
      <x:c r="E13" s="66" t="n">
        <x:v>46072.916666666664</x:v>
      </x:c>
      <x:c r="F13" s="66" t="n">
        <x:v>46163.916666666664</x:v>
      </x:c>
      <x:c r="G13" s="65" t="str">
        <x:v>2026-02-19|孟买城（Mumbai City FC）|钦奈泰坦（Chennaiyin FC）</x:v>
      </x:c>
      <x:c r="H13" s="65" t="str">
        <x:v>待确认</x:v>
      </x:c>
      <x:c r="I13" s="65" t="str"/>
    </x:row>
    <x:row r="14" ht="32" customHeight="1">
      <x:c r="A14" s="65" t="str">
        <x:v>S010</x:v>
      </x:c>
      <x:c r="B14" s="65" t="str">
        <x:v>德国乙级联赛（2. Bundesliga）</x:v>
      </x:c>
      <x:c r="C14" s="65" t="str">
        <x:v>德国乙级联赛（2. Bundesliga）</x:v>
      </x:c>
      <x:c r="D14" s="82" t="n">
        <x:v>66</x:v>
      </x:c>
      <x:c r="E14" s="66" t="n">
        <x:v>46060.0625</x:v>
      </x:c>
      <x:c r="F14" s="66" t="n">
        <x:v>46165.104166666664</x:v>
      </x:c>
      <x:c r="G14" s="65" t="str">
        <x:v>2026-02-07|普鲁士明斯特（Preußen Münster）|波鸿（VfL Bochum）</x:v>
      </x:c>
      <x:c r="H14" s="65" t="str">
        <x:v>待确认</x:v>
      </x:c>
      <x:c r="I14" s="65" t="str"/>
    </x:row>
    <x:row r="15" ht="32" customHeight="1">
      <x:c r="A15" s="65" t="str">
        <x:v>S011</x:v>
      </x:c>
      <x:c r="B15" s="65" t="str">
        <x:v>国际足联世界杯</x:v>
      </x:c>
      <x:c r="C15" s="65" t="str">
        <x:v>国际足联世界杯</x:v>
      </x:c>
      <x:c r="D15" s="82" t="n">
        <x:v>64</x:v>
      </x:c>
      <x:c r="E15" s="66" t="n">
        <x:v>46185.125</x:v>
      </x:c>
      <x:c r="F15" s="66" t="n">
        <x:v>46214.125</x:v>
      </x:c>
      <x:c r="G15" s="65" t="str">
        <x:v>2026-06-12|墨西哥|南非</x:v>
      </x:c>
      <x:c r="H15" s="65" t="str">
        <x:v>待确认</x:v>
      </x:c>
      <x:c r="I15" s="65" t="str">
        <x:v>由冻结台账新增</x:v>
      </x:c>
    </x:row>
    <x:row r="16" ht="32" customHeight="1">
      <x:c r="A16" s="65" t="str">
        <x:v>S012</x:v>
      </x:c>
      <x:c r="B16" s="65" t="str">
        <x:v>澳大利亚A联赛（A-League Men）</x:v>
      </x:c>
      <x:c r="C16" s="65" t="str">
        <x:v>澳大利亚A联赛（A-League Men）</x:v>
      </x:c>
      <x:c r="D16" s="82" t="n">
        <x:v>61</x:v>
      </x:c>
      <x:c r="E16" s="66" t="n">
        <x:v>46059.583333333336</x:v>
      </x:c>
      <x:c r="F16" s="66" t="n">
        <x:v>46165.67361111111</x:v>
      </x:c>
      <x:c r="G16" s="65" t="str">
        <x:v>2026-02-06|惠灵顿凤凰（Wellington Phoenix）|墨尔本胜利（Melbourne Victory）</x:v>
      </x:c>
      <x:c r="H16" s="65" t="str">
        <x:v>待确认</x:v>
      </x:c>
      <x:c r="I16" s="65" t="str"/>
    </x:row>
    <x:row r="17" ht="32" customHeight="1">
      <x:c r="A17" s="65" t="str">
        <x:v>S013</x:v>
      </x:c>
      <x:c r="B17" s="65" t="str">
        <x:v>英格兰超级联赛（Premier League）</x:v>
      </x:c>
      <x:c r="C17" s="65" t="str">
        <x:v>英格兰超级联赛（Premier League）</x:v>
      </x:c>
      <x:c r="D17" s="82" t="n">
        <x:v>58</x:v>
      </x:c>
      <x:c r="E17" s="66" t="n">
        <x:v>46060.166666666664</x:v>
      </x:c>
      <x:c r="F17" s="66" t="n">
        <x:v>46166.958333333336</x:v>
      </x:c>
      <x:c r="G17" s="65" t="str">
        <x:v>2026-02-07|利兹联（Leeds United）|诺丁汉森林（Nottingham Forest）</x:v>
      </x:c>
      <x:c r="H17" s="65" t="str">
        <x:v>待确认</x:v>
      </x:c>
      <x:c r="I17" s="65" t="str"/>
    </x:row>
    <x:row r="18" ht="32" customHeight="1">
      <x:c r="A18" s="65" t="str">
        <x:v>S014</x:v>
      </x:c>
      <x:c r="B18" s="65" t="str">
        <x:v>墨西哥甲级扩展联赛（Liga de Expansión MX）</x:v>
      </x:c>
      <x:c r="C18" s="65" t="str">
        <x:v>墨西哥甲级扩展联赛（Liga de Expansión MX）</x:v>
      </x:c>
      <x:c r="D18" s="82" t="n">
        <x:v>49</x:v>
      </x:c>
      <x:c r="E18" s="66" t="n">
        <x:v>46060.375</x:v>
      </x:c>
      <x:c r="F18" s="66" t="n">
        <x:v>46173.375</x:v>
      </x:c>
      <x:c r="G18" s="65" t="str">
        <x:v>2026-02-07|特帕迪特兰（Tepatitlán FC）|克雷卡米诺斯（Correcaminos UAT）</x:v>
      </x:c>
      <x:c r="H18" s="65" t="str">
        <x:v>待确认</x:v>
      </x:c>
      <x:c r="I18" s="65" t="str"/>
    </x:row>
    <x:row r="19" ht="32" customHeight="1">
      <x:c r="A19" s="65" t="str">
        <x:v>S015</x:v>
      </x:c>
      <x:c r="B19" s="65" t="str">
        <x:v>南美解放者杯</x:v>
      </x:c>
      <x:c r="C19" s="65" t="str">
        <x:v>南美解放者杯</x:v>
      </x:c>
      <x:c r="D19" s="82" t="n">
        <x:v>40</x:v>
      </x:c>
      <x:c r="E19" s="66" t="n">
        <x:v>46059.354166666664</x:v>
      </x:c>
      <x:c r="F19" s="66" t="n">
        <x:v>46171.25</x:v>
      </x:c>
      <x:c r="G19" s="65" t="str">
        <x:v>2026-02-06|尤文图德（拉斯彼德拉斯）|基多天主大学（Universidad Católica 厄瓜多尔）</x:v>
      </x:c>
      <x:c r="H19" s="65" t="str">
        <x:v>待确认</x:v>
      </x:c>
      <x:c r="I19" s="65" t="str"/>
    </x:row>
    <x:row r="20" ht="32" customHeight="1">
      <x:c r="A20" s="65" t="str">
        <x:v>S016</x:v>
      </x:c>
      <x:c r="B20" s="65" t="str">
        <x:v>日职 明治安田J2·J3百年构想联赛</x:v>
      </x:c>
      <x:c r="C20" s="65" t="str">
        <x:v>日职 明治安田J2·J3百年构想联赛</x:v>
      </x:c>
      <x:c r="D20" s="82" t="n">
        <x:v>38</x:v>
      </x:c>
      <x:c r="E20" s="66" t="n">
        <x:v>46060.54375</x:v>
      </x:c>
      <x:c r="F20" s="66" t="n">
        <x:v>46180.625</x:v>
      </x:c>
      <x:c r="G20" s="65" t="str">
        <x:v>2026-02-07|湘南海洋(Shonan Bellmare)|秋田蓝色闪电(Blaublitz Akita)</x:v>
      </x:c>
      <x:c r="H20" s="65" t="str">
        <x:v>待确认</x:v>
      </x:c>
      <x:c r="I20" s="65" t="str">
        <x:v>由冻结台账新增</x:v>
      </x:c>
    </x:row>
    <x:row r="21" ht="32" customHeight="1">
      <x:c r="A21" s="65" t="str">
        <x:v>S017</x:v>
      </x:c>
      <x:c r="B21" s="65" t="str">
        <x:v>巴西甲（Serie A）</x:v>
      </x:c>
      <x:c r="C21" s="65" t="str">
        <x:v>巴西甲（Serie A）</x:v>
      </x:c>
      <x:c r="D21" s="82" t="n">
        <x:v>36</x:v>
      </x:c>
      <x:c r="E21" s="66" t="n">
        <x:v>46059.25</x:v>
      </x:c>
      <x:c r="F21" s="66" t="n">
        <x:v>46174.3125</x:v>
      </x:c>
      <x:c r="G21" s="65" t="str">
        <x:v>2026-02-06|巴伊亚(EC Bahia)|弗鲁米嫩塞(Fluminense)</x:v>
      </x:c>
      <x:c r="H21" s="65" t="str">
        <x:v>待确认</x:v>
      </x:c>
      <x:c r="I21" s="65" t="str"/>
    </x:row>
    <x:row r="22" ht="32" customHeight="1">
      <x:c r="A22" s="65" t="str">
        <x:v>S018</x:v>
      </x:c>
      <x:c r="B22" s="65" t="str">
        <x:v>玻利维亚甲级联赛</x:v>
      </x:c>
      <x:c r="C22" s="65" t="str">
        <x:v>玻利维亚甲级联赛</x:v>
      </x:c>
      <x:c r="D22" s="82" t="n">
        <x:v>30</x:v>
      </x:c>
      <x:c r="E22" s="66" t="n">
        <x:v>46116.3125</x:v>
      </x:c>
      <x:c r="F22" s="66" t="n">
        <x:v>46213.333333333336</x:v>
      </x:c>
      <x:c r="G22" s="65" t="str">
        <x:v>2026-04-04|布鲁明|瓜比拉</x:v>
      </x:c>
      <x:c r="H22" s="65" t="str">
        <x:v>待确认</x:v>
      </x:c>
      <x:c r="I22" s="65" t="str"/>
    </x:row>
    <x:row r="23" ht="32" customHeight="1">
      <x:c r="A23" s="65" t="str">
        <x:v>S019</x:v>
      </x:c>
      <x:c r="B23" s="65" t="str">
        <x:v>中北美冠军杯（CONCACAF Champions Cup）</x:v>
      </x:c>
      <x:c r="C23" s="65" t="str">
        <x:v>中北美冠军杯（CONCACAF Champions Cup）</x:v>
      </x:c>
      <x:c r="D23" s="82" t="n">
        <x:v>29</x:v>
      </x:c>
      <x:c r="E23" s="66" t="n">
        <x:v>46057.333333333336</x:v>
      </x:c>
      <x:c r="F23" s="66" t="n">
        <x:v>46173.333333333336</x:v>
      </x:c>
      <x:c r="G23" s="65" t="str">
        <x:v>2026-02-04|弗尔戈FC（Forge FC）|老虎大学（Tigres UANL）</x:v>
      </x:c>
      <x:c r="H23" s="65" t="str">
        <x:v>待确认</x:v>
      </x:c>
      <x:c r="I23" s="65" t="str"/>
    </x:row>
    <x:row r="24" ht="32" customHeight="1">
      <x:c r="A24" s="65" t="str">
        <x:v>S020</x:v>
      </x:c>
      <x:c r="B24" s="65" t="str">
        <x:v>国际友谊赛</x:v>
      </x:c>
      <x:c r="C24" s="65" t="str">
        <x:v>国际友谊赛</x:v>
      </x:c>
      <x:c r="D24" s="82" t="n">
        <x:v>28</x:v>
      </x:c>
      <x:c r="E24" s="66" t="n">
        <x:v>46109.916666666664</x:v>
      </x:c>
      <x:c r="F24" s="66" t="n">
        <x:v>46184.208333333336</x:v>
      </x:c>
      <x:c r="G24" s="65" t="str">
        <x:v>2026-03-28|韩国|科特迪瓦</x:v>
      </x:c>
      <x:c r="H24" s="65" t="str">
        <x:v>待确认</x:v>
      </x:c>
      <x:c r="I24" s="65" t="str"/>
    </x:row>
    <x:row r="25" ht="32" customHeight="1">
      <x:c r="A25" s="65" t="str">
        <x:v>S021</x:v>
      </x:c>
      <x:c r="B25" s="65" t="str">
        <x:v>美职联（MLS）</x:v>
      </x:c>
      <x:c r="C25" s="65" t="str">
        <x:v>美职联（MLS）</x:v>
      </x:c>
      <x:c r="D25" s="82" t="n">
        <x:v>28</x:v>
      </x:c>
      <x:c r="E25" s="66" t="n">
        <x:v>46075.4375</x:v>
      </x:c>
      <x:c r="F25" s="66" t="n">
        <x:v>46167.291666666664</x:v>
      </x:c>
      <x:c r="G25" s="65" t="str">
        <x:v>2026-02-22|洛杉矶FC（LAFC）|迈阿密国际（Inter Miami）</x:v>
      </x:c>
      <x:c r="H25" s="65" t="str">
        <x:v>待确认</x:v>
      </x:c>
      <x:c r="I25" s="65" t="str"/>
    </x:row>
    <x:row r="26" ht="32" customHeight="1">
      <x:c r="A26" s="65" t="str">
        <x:v>S022</x:v>
      </x:c>
      <x:c r="B26" s="65" t="str">
        <x:v>韩国K联赛1（K League 1）</x:v>
      </x:c>
      <x:c r="C26" s="65" t="str">
        <x:v>韩国K联赛1（K League 1）</x:v>
      </x:c>
      <x:c r="D26" s="82" t="n">
        <x:v>22</x:v>
      </x:c>
      <x:c r="E26" s="66" t="n">
        <x:v>46081.541666666664</x:v>
      </x:c>
      <x:c r="F26" s="66" t="n">
        <x:v>46207.770833333336</x:v>
      </x:c>
      <x:c r="G26" s="65" t="str">
        <x:v>2026-02-28|蔚山现代（Ulsan HD）|江原FC（Gangwon FC）</x:v>
      </x:c>
      <x:c r="H26" s="65" t="str">
        <x:v>待确认</x:v>
      </x:c>
      <x:c r="I26" s="65" t="str"/>
    </x:row>
    <x:row r="27" ht="32" customHeight="1">
      <x:c r="A27" s="65" t="str">
        <x:v>S023</x:v>
      </x:c>
      <x:c r="B27" s="65" t="str">
        <x:v>瑞典超级联赛</x:v>
      </x:c>
      <x:c r="C27" s="65" t="str">
        <x:v>瑞典超级联赛</x:v>
      </x:c>
      <x:c r="D27" s="82" t="n">
        <x:v>21</x:v>
      </x:c>
      <x:c r="E27" s="66" t="n">
        <x:v>46131.9375</x:v>
      </x:c>
      <x:c r="F27" s="66" t="n">
        <x:v>46210.041666666664</x:v>
      </x:c>
      <x:c r="G27" s="65" t="str">
        <x:v>2026-04-19|赫根|哥德堡盖斯</x:v>
      </x:c>
      <x:c r="H27" s="65" t="str">
        <x:v>待确认</x:v>
      </x:c>
      <x:c r="I27" s="65" t="str"/>
    </x:row>
    <x:row r="28" ht="32" customHeight="1">
      <x:c r="A28" s="65" t="str">
        <x:v>S024</x:v>
      </x:c>
      <x:c r="B28" s="65" t="str">
        <x:v>中国足球超级联赛</x:v>
      </x:c>
      <x:c r="C28" s="65" t="str">
        <x:v>中国足球超级联赛</x:v>
      </x:c>
      <x:c r="D28" s="82" t="n">
        <x:v>21</x:v>
      </x:c>
      <x:c r="E28" s="66" t="n">
        <x:v>46087.81597222222</x:v>
      </x:c>
      <x:c r="F28" s="66" t="n">
        <x:v>46206.833333333336</x:v>
      </x:c>
      <x:c r="G28" s="65" t="str">
        <x:v>2026-03-06|成都蓉城|深圳新鹏城</x:v>
      </x:c>
      <x:c r="H28" s="65" t="str">
        <x:v>待确认</x:v>
      </x:c>
      <x:c r="I28" s="65" t="str"/>
    </x:row>
    <x:row r="29" ht="32" customHeight="1">
      <x:c r="A29" s="65" t="str">
        <x:v>S025</x:v>
      </x:c>
      <x:c r="B29" s="65" t="str">
        <x:v>亚冠精英</x:v>
      </x:c>
      <x:c r="C29" s="65" t="str">
        <x:v>亚冠精英</x:v>
      </x:c>
      <x:c r="D29" s="82" t="n">
        <x:v>19</x:v>
      </x:c>
      <x:c r="E29" s="66" t="n">
        <x:v>46063</x:v>
      </x:c>
      <x:c r="F29" s="66" t="n">
        <x:v>46125.947916666664</x:v>
      </x:c>
      <x:c r="G29" s="65" t="str">
        <x:v>2026-02-10|杜海勒（Al Duhail SC）|沙迦（Sharjah FC）</x:v>
      </x:c>
      <x:c r="H29" s="65" t="str">
        <x:v>待确认</x:v>
      </x:c>
      <x:c r="I29" s="65" t="str"/>
    </x:row>
    <x:row r="30" ht="32" customHeight="1">
      <x:c r="A30" s="65" t="str">
        <x:v>S026</x:v>
      </x:c>
      <x:c r="B30" s="65" t="str">
        <x:v>澳大利亚维多利亚州超级联赛1（VPL1）</x:v>
      </x:c>
      <x:c r="C30" s="65" t="str">
        <x:v>澳大利亚维多利亚州超级联赛1（VPL1）</x:v>
      </x:c>
      <x:c r="D30" s="82" t="n">
        <x:v>18</x:v>
      </x:c>
      <x:c r="E30" s="66" t="n">
        <x:v>46192.729166666664</x:v>
      </x:c>
      <x:c r="F30" s="66" t="n">
        <x:v>46216.677083333336</x:v>
      </x:c>
      <x:c r="G30" s="65" t="str">
        <x:v>2026-06-19|本特利绿茵|南墨尔本</x:v>
      </x:c>
      <x:c r="H30" s="65" t="str">
        <x:v>待确认</x:v>
      </x:c>
      <x:c r="I30" s="65" t="str">
        <x:v>由冻结台账新增</x:v>
      </x:c>
    </x:row>
    <x:row r="31" ht="32" customHeight="1">
      <x:c r="A31" s="65" t="str">
        <x:v>S027</x:v>
      </x:c>
      <x:c r="B31" s="65" t="str">
        <x:v>南美杯（Copa Sudamericana）资格赛</x:v>
      </x:c>
      <x:c r="C31" s="65" t="str">
        <x:v>南美杯（Copa Sudamericana）资格赛</x:v>
      </x:c>
      <x:c r="D31" s="82" t="n">
        <x:v>16</x:v>
      </x:c>
      <x:c r="E31" s="66" t="n">
        <x:v>46086.354166666664</x:v>
      </x:c>
      <x:c r="F31" s="66" t="n">
        <x:v>46171.354166666664</x:v>
      </x:c>
      <x:c r="G31" s="65" t="str">
        <x:v>2026-03-05|国民竞技（Atlético Nacional）|百万富翁（Millonarios）</x:v>
      </x:c>
      <x:c r="H31" s="65" t="str">
        <x:v>待确认</x:v>
      </x:c>
      <x:c r="I31" s="65" t="str">
        <x:v>由冻结台账新增</x:v>
      </x:c>
    </x:row>
    <x:row r="32" ht="32" customHeight="1">
      <x:c r="A32" s="65" t="str">
        <x:v>S028</x:v>
      </x:c>
      <x:c r="B32" s="65" t="str">
        <x:v>哥伦比亚杯（Copa Colombia）</x:v>
      </x:c>
      <x:c r="C32" s="65" t="str">
        <x:v>哥伦比亚杯（Copa Colombia）</x:v>
      </x:c>
      <x:c r="D32" s="82" t="n">
        <x:v>15</x:v>
      </x:c>
      <x:c r="E32" s="66" t="n">
        <x:v>46149.333333333336</x:v>
      </x:c>
      <x:c r="F32" s="66" t="n">
        <x:v>46176.208333333336</x:v>
      </x:c>
      <x:c r="G32" s="65" t="str">
        <x:v>2026-05-07|帕特里奥塔斯博亚卡（Patriotas Boyacá）|博亚卡茨高（Boyacá Chicó）</x:v>
      </x:c>
      <x:c r="H32" s="65" t="str">
        <x:v>待确认</x:v>
      </x:c>
      <x:c r="I32" s="65" t="str">
        <x:v>由冻结台账新增</x:v>
      </x:c>
    </x:row>
    <x:row r="33" ht="32" customHeight="1">
      <x:c r="A33" s="65" t="str">
        <x:v>S029</x:v>
      </x:c>
      <x:c r="B33" s="65" t="str">
        <x:v>西甲（LaLiga）</x:v>
      </x:c>
      <x:c r="C33" s="65" t="str">
        <x:v>西甲（LaLiga）</x:v>
      </x:c>
      <x:c r="D33" s="82" t="n">
        <x:v>15</x:v>
      </x:c>
      <x:c r="E33" s="66" t="n">
        <x:v>46060.166666666664</x:v>
      </x:c>
      <x:c r="F33" s="66" t="n">
        <x:v>46157.145833333336</x:v>
      </x:c>
      <x:c r="G33" s="65" t="str">
        <x:v>2026-02-07|塞尔塔（Celta Vigo）|奥萨苏纳（Osasuna）</x:v>
      </x:c>
      <x:c r="H33" s="65" t="str">
        <x:v>待确认</x:v>
      </x:c>
      <x:c r="I33" s="65" t="str"/>
    </x:row>
    <x:row r="34" ht="32" customHeight="1">
      <x:c r="A34" s="65" t="str">
        <x:v>S030</x:v>
      </x:c>
      <x:c r="B34" s="65" t="str">
        <x:v>欧洲冠军联赛（UEFA Champions League）</x:v>
      </x:c>
      <x:c r="C34" s="65" t="str">
        <x:v>欧洲冠军联赛（UEFA Champions League）</x:v>
      </x:c>
      <x:c r="D34" s="82" t="n">
        <x:v>13</x:v>
      </x:c>
      <x:c r="E34" s="66" t="n">
        <x:v>46071.166666666664</x:v>
      </x:c>
      <x:c r="F34" s="66" t="n">
        <x:v>46211.958333333336</x:v>
      </x:c>
      <x:c r="G34" s="65" t="str">
        <x:v>2026-02-18|多特蒙德（Borussia Dortmund）|亚特兰大（Atalanta）</x:v>
      </x:c>
      <x:c r="H34" s="65" t="str">
        <x:v>待确认</x:v>
      </x:c>
      <x:c r="I34" s="65" t="str"/>
    </x:row>
    <x:row r="35" ht="32" customHeight="1">
      <x:c r="A35" s="65" t="str">
        <x:v>S031</x:v>
      </x:c>
      <x:c r="B35" s="65" t="str">
        <x:v>芬兰超级联赛（Veikkausliiga）</x:v>
      </x:c>
      <x:c r="C35" s="65" t="str">
        <x:v>芬兰超级联赛（Veikkausliiga）</x:v>
      </x:c>
      <x:c r="D35" s="82" t="n">
        <x:v>12</x:v>
      </x:c>
      <x:c r="E35" s="66" t="n">
        <x:v>46172.833333333336</x:v>
      </x:c>
      <x:c r="F35" s="66" t="n">
        <x:v>46214</x:v>
      </x:c>
      <x:c r="G35" s="65" t="str">
        <x:v>2026-05-30|赫尔辛基（HJK）|玛丽港（IFK Mariehamn）</x:v>
      </x:c>
      <x:c r="H35" s="65" t="str">
        <x:v>待确认</x:v>
      </x:c>
      <x:c r="I35" s="65" t="str">
        <x:v>由冻结台账新增</x:v>
      </x:c>
    </x:row>
    <x:row r="36" ht="32" customHeight="1">
      <x:c r="A36" s="65" t="str">
        <x:v>S032</x:v>
      </x:c>
      <x:c r="B36" s="65" t="str">
        <x:v>乌拉圭甲级联赛（Campeonato Uruguayo·Primera División）</x:v>
      </x:c>
      <x:c r="C36" s="65" t="str">
        <x:v>乌拉圭甲级联赛（Campeonato Uruguayo·Primera División）</x:v>
      </x:c>
      <x:c r="D36" s="82" t="n">
        <x:v>11</x:v>
      </x:c>
      <x:c r="E36" s="66" t="n">
        <x:v>46060.354166666664</x:v>
      </x:c>
      <x:c r="F36" s="66" t="n">
        <x:v>46182.25</x:v>
      </x:c>
      <x:c r="G36" s="65" t="str">
        <x:v>2026-02-07|蒙得维的亚流浪者（Montevideo Wanderers）|德芬索竞技（Defensor Sporting）</x:v>
      </x:c>
      <x:c r="H36" s="65" t="str">
        <x:v>待确认</x:v>
      </x:c>
      <x:c r="I36" s="65" t="str"/>
    </x:row>
    <x:row r="37" ht="32" customHeight="1">
      <x:c r="A37" s="65" t="str">
        <x:v>S033</x:v>
      </x:c>
      <x:c r="B37" s="65" t="str">
        <x:v>埃及超级联赛（Egyptian Premier League）</x:v>
      </x:c>
      <x:c r="C37" s="65" t="str">
        <x:v>埃及超级联赛（Egyptian Premier League）</x:v>
      </x:c>
      <x:c r="D37" s="82" t="n">
        <x:v>9</x:v>
      </x:c>
      <x:c r="E37" s="66" t="n">
        <x:v>46059.958333333336</x:v>
      </x:c>
      <x:c r="F37" s="66" t="n">
        <x:v>46166.041666666664</x:v>
      </x:c>
      <x:c r="G37" s="65" t="str">
        <x:v>2026-02-06|艾尔格纳（El Gounah）|未来FC（Modern Sport）</x:v>
      </x:c>
      <x:c r="H37" s="65" t="str">
        <x:v>待确认</x:v>
      </x:c>
      <x:c r="I37" s="65" t="str"/>
    </x:row>
    <x:row r="38" ht="32" customHeight="1">
      <x:c r="A38" s="65" t="str">
        <x:v>S034</x:v>
      </x:c>
      <x:c r="B38" s="65" t="str">
        <x:v>德国甲级联赛（德甲/Bundesliga）</x:v>
      </x:c>
      <x:c r="C38" s="65" t="str">
        <x:v>德国甲级联赛（德甲/Bundesliga）</x:v>
      </x:c>
      <x:c r="D38" s="82" t="n">
        <x:v>9</x:v>
      </x:c>
      <x:c r="E38" s="66" t="n">
        <x:v>46060.145833333336</x:v>
      </x:c>
      <x:c r="F38" s="66" t="n">
        <x:v>46144.895833333336</x:v>
      </x:c>
      <x:c r="G38" s="65" t="str">
        <x:v>2026-02-07|柏林联合（Union Berlin）|法兰克福（Eintracht Frankfurt）</x:v>
      </x:c>
      <x:c r="H38" s="65" t="str">
        <x:v>待确认</x:v>
      </x:c>
      <x:c r="I38" s="65" t="str"/>
    </x:row>
    <x:row r="39" ht="32" customHeight="1">
      <x:c r="A39" s="65" t="str">
        <x:v>S035</x:v>
      </x:c>
      <x:c r="B39" s="65" t="str">
        <x:v>哥伦比亚乙级联赛（Primera B / Torneo BetPlay Apertura）</x:v>
      </x:c>
      <x:c r="C39" s="65" t="str">
        <x:v>哥伦比亚乙级联赛（Primera B / Torneo BetPlay Apertura）</x:v>
      </x:c>
      <x:c r="D39" s="82" t="n">
        <x:v>8</x:v>
      </x:c>
      <x:c r="E39" s="66" t="n">
        <x:v>46077.333333333336</x:v>
      </x:c>
      <x:c r="F39" s="66" t="n">
        <x:v>46168.375</x:v>
      </x:c>
      <x:c r="G39" s="65" t="str">
        <x:v>2026-02-24|云博独立（Independiente Yumbo）|皇家桑坦德（Real Santander）</x:v>
      </x:c>
      <x:c r="H39" s="65" t="str">
        <x:v>待确认</x:v>
      </x:c>
      <x:c r="I39" s="65" t="str"/>
    </x:row>
    <x:row r="40" ht="32" customHeight="1">
      <x:c r="A40" s="65" t="str">
        <x:v>S036</x:v>
      </x:c>
      <x:c r="B40" s="65" t="str">
        <x:v>沙特职业联赛（Saudi Pro League）</x:v>
      </x:c>
      <x:c r="C40" s="65" t="str">
        <x:v>沙特职业联赛（Saudi Pro League）</x:v>
      </x:c>
      <x:c r="D40" s="82" t="n">
        <x:v>8</x:v>
      </x:c>
      <x:c r="E40" s="66" t="n">
        <x:v>46056.98611111111</x:v>
      </x:c>
      <x:c r="F40" s="66" t="n">
        <x:v>46067.0625</x:v>
      </x:c>
      <x:c r="G40" s="65" t="str">
        <x:v>2026-02-04|塞哈特海湾（海湾 Al Khaleej）|胡拜尔库迪西亚（卡达西亚 Al Qadsiah）</x:v>
      </x:c>
      <x:c r="H40" s="65" t="str">
        <x:v>待确认</x:v>
      </x:c>
      <x:c r="I40" s="65" t="str"/>
    </x:row>
    <x:row r="41" ht="32" customHeight="1">
      <x:c r="A41" s="65" t="str">
        <x:v>S037</x:v>
      </x:c>
      <x:c r="B41" s="65" t="str">
        <x:v>亚冠二级联赛（AFC Champions League Two）</x:v>
      </x:c>
      <x:c r="C41" s="65" t="str">
        <x:v>亚冠二级联赛（AFC Champions League Two）</x:v>
      </x:c>
      <x:c r="D41" s="82" t="n">
        <x:v>8</x:v>
      </x:c>
      <x:c r="E41" s="66" t="n">
        <x:v>46064.84375</x:v>
      </x:c>
      <x:c r="F41" s="66" t="n">
        <x:v>46072.75</x:v>
      </x:c>
      <x:c r="G41" s="65" t="str">
        <x:v>2026-02-11|拉查布里府（Ratchaburi）|万隆（Persib Bandung）</x:v>
      </x:c>
      <x:c r="H41" s="65" t="str">
        <x:v>待确认</x:v>
      </x:c>
      <x:c r="I41" s="65" t="str"/>
    </x:row>
    <x:row r="42" ht="32" customHeight="1">
      <x:c r="A42" s="65" t="str">
        <x:v>S038</x:v>
      </x:c>
      <x:c r="B42" s="65" t="str">
        <x:v>韩国K2联赛</x:v>
      </x:c>
      <x:c r="C42" s="65" t="str">
        <x:v>韩国K2联赛</x:v>
      </x:c>
      <x:c r="D42" s="82" t="n">
        <x:v>7</x:v>
      </x:c>
      <x:c r="E42" s="66" t="n">
        <x:v>46083.541666666664</x:v>
      </x:c>
      <x:c r="F42" s="66" t="n">
        <x:v>46180.770833333336</x:v>
      </x:c>
      <x:c r="G42" s="65" t="str">
        <x:v>2026-03-02|忠南牙山（Chungnam Asan）|坡州市民（Paju Citizen）</x:v>
      </x:c>
      <x:c r="H42" s="65" t="str">
        <x:v>待确认</x:v>
      </x:c>
      <x:c r="I42" s="65" t="str"/>
    </x:row>
    <x:row r="43" ht="32" customHeight="1">
      <x:c r="A43" s="65" t="str">
        <x:v>S039</x:v>
      </x:c>
      <x:c r="B43" s="65" t="str">
        <x:v>美国足球冠军联赛（USL Championship）</x:v>
      </x:c>
      <x:c r="C43" s="65" t="str">
        <x:v>美国足球冠军联赛（USL Championship）</x:v>
      </x:c>
      <x:c r="D43" s="82" t="n">
        <x:v>7</x:v>
      </x:c>
      <x:c r="E43" s="66" t="n">
        <x:v>46187.375</x:v>
      </x:c>
      <x:c r="F43" s="66" t="n">
        <x:v>46208.4375</x:v>
      </x:c>
      <x:c r="G43" s="65" t="str">
        <x:v>2026-06-14|奥克兰根（Oakland Roots SC）|迈阿密FC（Miami FC）</x:v>
      </x:c>
      <x:c r="H43" s="65" t="str">
        <x:v>待确认</x:v>
      </x:c>
      <x:c r="I43" s="65" t="str">
        <x:v>由冻结台账新增</x:v>
      </x:c>
    </x:row>
    <x:row r="44" ht="32" customHeight="1">
      <x:c r="A44" s="65" t="str">
        <x:v>S040</x:v>
      </x:c>
      <x:c r="B44" s="65" t="str">
        <x:v>东盟锦标</x:v>
      </x:c>
      <x:c r="C44" s="65" t="str">
        <x:v>东盟锦标</x:v>
      </x:c>
      <x:c r="D44" s="82" t="n">
        <x:v>5</x:v>
      </x:c>
      <x:c r="E44" s="66" t="n">
        <x:v>46058.854166666664</x:v>
      </x:c>
      <x:c r="F44" s="66" t="n">
        <x:v>46182.708333333336</x:v>
      </x:c>
      <x:c r="G44" s="65" t="str">
        <x:v>2026-02-05|曼谷联(True Bangkok United)|掸邦联(Shan United)</x:v>
      </x:c>
      <x:c r="H44" s="65" t="str">
        <x:v>待确认</x:v>
      </x:c>
      <x:c r="I44" s="65" t="str"/>
    </x:row>
    <x:row r="45" ht="32" customHeight="1">
      <x:c r="A45" s="65" t="str">
        <x:v>S041</x:v>
      </x:c>
      <x:c r="B45" s="65" t="str">
        <x:v>哥斯达黎加甲（Primera Division）</x:v>
      </x:c>
      <x:c r="C45" s="65" t="str">
        <x:v>哥斯达黎加甲（Primera Division）</x:v>
      </x:c>
      <x:c r="D45" s="82" t="n">
        <x:v>5</x:v>
      </x:c>
      <x:c r="E45" s="66" t="n">
        <x:v>46061.416666666664</x:v>
      </x:c>
      <x:c r="F45" s="66" t="n">
        <x:v>46134.416666666664</x:v>
      </x:c>
      <x:c r="G45" s="65" t="str">
        <x:v>2026-02-08|阿拉胡伦斯（Alajuelense）|希雷迪亚诺（Herediano）</x:v>
      </x:c>
      <x:c r="H45" s="65" t="str">
        <x:v>待确认</x:v>
      </x:c>
      <x:c r="I45" s="65" t="str"/>
    </x:row>
    <x:row r="46" ht="32" customHeight="1">
      <x:c r="A46" s="65" t="str">
        <x:v>S042</x:v>
      </x:c>
      <x:c r="B46" s="65" t="str">
        <x:v>洪都拉斯甲级联赛（Clausura）</x:v>
      </x:c>
      <x:c r="C46" s="65" t="str">
        <x:v>洪都拉斯甲级联赛（Clausura）</x:v>
      </x:c>
      <x:c r="D46" s="82" t="n">
        <x:v>5</x:v>
      </x:c>
      <x:c r="E46" s="66" t="n">
        <x:v>46061.302083333336</x:v>
      </x:c>
      <x:c r="F46" s="66" t="n">
        <x:v>46155.427083333336</x:v>
      </x:c>
      <x:c r="G46" s="65" t="str">
        <x:v>2026-02-08|洛沃斯墨（Lobos UPNFM）|CD奥林匹亚（CD Olimpia）</x:v>
      </x:c>
      <x:c r="H46" s="65" t="str">
        <x:v>待确认</x:v>
      </x:c>
      <x:c r="I46" s="65" t="str"/>
    </x:row>
    <x:row r="47" ht="32" customHeight="1">
      <x:c r="A47" s="65" t="str">
        <x:v>S043</x:v>
      </x:c>
      <x:c r="B47" s="65" t="str">
        <x:v>澳大利亚 维多利亚州超1 U23</x:v>
      </x:c>
      <x:c r="C47" s="65" t="str">
        <x:v>澳大利亚 维多利亚州超1 U23</x:v>
      </x:c>
      <x:c r="D47" s="82" t="n">
        <x:v>4</x:v>
      </x:c>
      <x:c r="E47" s="66" t="n">
        <x:v>46083.635416666664</x:v>
      </x:c>
      <x:c r="F47" s="66" t="n">
        <x:v>46178.677083333336</x:v>
      </x:c>
      <x:c r="G47" s="65" t="str">
        <x:v>2026-03-02|布琳狮子U23（Bulleen Lions）|埃尔特姆红背U23（Eltham Redbacks）</x:v>
      </x:c>
      <x:c r="H47" s="65" t="str">
        <x:v>待确认</x:v>
      </x:c>
      <x:c r="I47" s="65" t="str"/>
    </x:row>
    <x:row r="48" ht="32" customHeight="1">
      <x:c r="A48" s="65" t="str">
        <x:v>S044</x:v>
      </x:c>
      <x:c r="B48" s="65" t="str">
        <x:v>澳大利亚新南威尔士州国家超级联赛（NPL NSW）</x:v>
      </x:c>
      <x:c r="C48" s="65" t="str">
        <x:v>澳大利亚新南威尔士州国家超级联赛（NPL NSW）</x:v>
      </x:c>
      <x:c r="D48" s="82" t="n">
        <x:v>4</x:v>
      </x:c>
      <x:c r="E48" s="66" t="n">
        <x:v>46185.729166666664</x:v>
      </x:c>
      <x:c r="F48" s="66" t="n">
        <x:v>46214.645833333336</x:v>
      </x:c>
      <x:c r="G48" s="65" t="str">
        <x:v>2026-06-12|曼立联（Manly United）|悉尼联58（Sydney United 58）</x:v>
      </x:c>
      <x:c r="H48" s="65" t="str">
        <x:v>待确认</x:v>
      </x:c>
      <x:c r="I48" s="65" t="str">
        <x:v>由冻结台账新增</x:v>
      </x:c>
    </x:row>
    <x:row r="49" ht="32" customHeight="1">
      <x:c r="A49" s="65" t="str">
        <x:v>S045</x:v>
      </x:c>
      <x:c r="B49" s="65" t="str">
        <x:v>法甲（Ligue 1）</x:v>
      </x:c>
      <x:c r="C49" s="65" t="str">
        <x:v>法甲（Ligue 1）</x:v>
      </x:c>
      <x:c r="D49" s="82" t="n">
        <x:v>4</x:v>
      </x:c>
      <x:c r="E49" s="66" t="n">
        <x:v>46062.010416666664</x:v>
      </x:c>
      <x:c r="F49" s="66" t="n">
        <x:v>46156.125</x:v>
      </x:c>
      <x:c r="G49" s="65" t="str">
        <x:v>2026-02-09|勒阿弗尔（Le Havre）|斯特拉斯堡（RC Strasbourg）</x:v>
      </x:c>
      <x:c r="H49" s="65" t="str">
        <x:v>待确认</x:v>
      </x:c>
      <x:c r="I49" s="65" t="str"/>
    </x:row>
    <x:row r="50" ht="32" customHeight="1">
      <x:c r="A50" s="65" t="str">
        <x:v>S046</x:v>
      </x:c>
      <x:c r="B50" s="65" t="str">
        <x:v>哥斯达黎加杯（Copa Costa Rica）</x:v>
      </x:c>
      <x:c r="C50" s="65" t="str">
        <x:v>哥斯达黎加杯（Copa Costa Rica）</x:v>
      </x:c>
      <x:c r="D50" s="82" t="n">
        <x:v>4</x:v>
      </x:c>
      <x:c r="E50" s="66" t="n">
        <x:v>46057.333333333336</x:v>
      </x:c>
      <x:c r="F50" s="66" t="n">
        <x:v>46065.333333333336</x:v>
      </x:c>
      <x:c r="G50" s="65" t="str">
        <x:v>2026-02-04|圣何塞体育（Sporting San José）|肯塔基内斯（Cartaginés）</x:v>
      </x:c>
      <x:c r="H50" s="65" t="str">
        <x:v>待确认</x:v>
      </x:c>
      <x:c r="I50" s="65" t="str"/>
    </x:row>
    <x:row r="51" ht="32" customHeight="1">
      <x:c r="A51" s="65" t="str">
        <x:v>S047</x:v>
      </x:c>
      <x:c r="B51" s="65" t="str">
        <x:v>埃及联赛杯（Egyptian League Cup）</x:v>
      </x:c>
      <x:c r="C51" s="65" t="str">
        <x:v>埃及联赛杯（Egyptian League Cup）</x:v>
      </x:c>
      <x:c r="D51" s="82" t="n">
        <x:v>3</x:v>
      </x:c>
      <x:c r="E51" s="66" t="n">
        <x:v>46174.916666666664</x:v>
      </x:c>
      <x:c r="F51" s="66" t="n">
        <x:v>46182.0625</x:v>
      </x:c>
      <x:c r="G51" s="65" t="str">
        <x:v>2026-06-01|马斯里（Al Masry）|ZED（ZED FC）</x:v>
      </x:c>
      <x:c r="H51" s="65" t="str">
        <x:v>待确认</x:v>
      </x:c>
      <x:c r="I51" s="65" t="str">
        <x:v>由冻结台账新增</x:v>
      </x:c>
    </x:row>
    <x:row r="52" ht="32" customHeight="1">
      <x:c r="A52" s="65" t="str">
        <x:v>S048</x:v>
      </x:c>
      <x:c r="B52" s="65" t="str">
        <x:v>澳大利亚新南威尔士州超级联赛（NPL NSW）</x:v>
      </x:c>
      <x:c r="C52" s="65" t="str">
        <x:v>澳大利亚新南威尔士州超级联赛（NPL NSW）</x:v>
      </x:c>
      <x:c r="D52" s="82" t="n">
        <x:v>3</x:v>
      </x:c>
      <x:c r="E52" s="66" t="n">
        <x:v>46208.541666666664</x:v>
      </x:c>
      <x:c r="F52" s="66" t="n">
        <x:v>46208.541666666664</x:v>
      </x:c>
      <x:c r="G52" s="65" t="str">
        <x:v>2026-07-05|马可尼（Marconi Stallions）|FC圣乔治（St George Saints）</x:v>
      </x:c>
      <x:c r="H52" s="65" t="str">
        <x:v>待确认</x:v>
      </x:c>
      <x:c r="I52" s="65" t="str">
        <x:v>由冻结台账新增</x:v>
      </x:c>
    </x:row>
    <x:row r="53" ht="32" customHeight="1">
      <x:c r="A53" s="65" t="str">
        <x:v>S049</x:v>
      </x:c>
      <x:c r="B53" s="65" t="str">
        <x:v>芬兰杯（Suomen Cup）</x:v>
      </x:c>
      <x:c r="C53" s="65" t="str">
        <x:v>芬兰杯（Suomen Cup）</x:v>
      </x:c>
      <x:c r="D53" s="82" t="n">
        <x:v>3</x:v>
      </x:c>
      <x:c r="E53" s="66" t="n">
        <x:v>46168.958333333336</x:v>
      </x:c>
      <x:c r="F53" s="66" t="n">
        <x:v>46203.958333333336</x:v>
      </x:c>
      <x:c r="G53" s="65" t="str">
        <x:v>2026-05-26|VPS瓦萨（Vaasan Palloseura）|哈卡（FC Haka）</x:v>
      </x:c>
      <x:c r="H53" s="65" t="str">
        <x:v>待确认</x:v>
      </x:c>
      <x:c r="I53" s="65" t="str">
        <x:v>由冻结台账新增</x:v>
      </x:c>
    </x:row>
    <x:row r="54" ht="32" customHeight="1">
      <x:c r="A54" s="65" t="str">
        <x:v>S050</x:v>
      </x:c>
      <x:c r="B54" s="65" t="str">
        <x:v>芬兰甲级联赛（Ykkösliiga）</x:v>
      </x:c>
      <x:c r="C54" s="65" t="str">
        <x:v>芬兰甲级联赛（Ykkösliiga）</x:v>
      </x:c>
      <x:c r="D54" s="82" t="n">
        <x:v>3</x:v>
      </x:c>
      <x:c r="E54" s="66" t="n">
        <x:v>46179.875</x:v>
      </x:c>
      <x:c r="F54" s="66" t="n">
        <x:v>46206.979166666664</x:v>
      </x:c>
      <x:c r="G54" s="65" t="str">
        <x:v>2026-06-06|埃克纳斯（EIF/Ekenäs IF）|米凯利MP（Mikkelin Palloilijat/MP）</x:v>
      </x:c>
      <x:c r="H54" s="65" t="str">
        <x:v>待确认</x:v>
      </x:c>
      <x:c r="I54" s="65" t="str">
        <x:v>由冻结台账新增</x:v>
      </x:c>
    </x:row>
    <x:row r="55" ht="32" customHeight="1">
      <x:c r="A55" s="65" t="str">
        <x:v>S051</x:v>
      </x:c>
      <x:c r="B55" s="65" t="str">
        <x:v>卡塔尔星联赛（Stars League）</x:v>
      </x:c>
      <x:c r="C55" s="65" t="str">
        <x:v>卡塔尔星联赛（Stars League）</x:v>
      </x:c>
      <x:c r="D55" s="82" t="n">
        <x:v>3</x:v>
      </x:c>
      <x:c r="E55" s="66" t="n">
        <x:v>46080.104166666664</x:v>
      </x:c>
      <x:c r="F55" s="66" t="n">
        <x:v>46139.927083333336</x:v>
      </x:c>
      <x:c r="G55" s="65" t="str">
        <x:v>2026-02-27|杜海勒(Al Duhail)|阿尔萨德(Al Sadd)</x:v>
      </x:c>
      <x:c r="H55" s="65" t="str">
        <x:v>待确认</x:v>
      </x:c>
      <x:c r="I55" s="65" t="str"/>
    </x:row>
    <x:row r="56" ht="32" customHeight="1">
      <x:c r="A56" s="65" t="str">
        <x:v>S052</x:v>
      </x:c>
      <x:c r="B56" s="65" t="str">
        <x:v>美国USL杯</x:v>
      </x:c>
      <x:c r="C56" s="65" t="str">
        <x:v>美国USL杯</x:v>
      </x:c>
      <x:c r="D56" s="82" t="n">
        <x:v>3</x:v>
      </x:c>
      <x:c r="E56" s="66" t="n">
        <x:v>46180.375</x:v>
      </x:c>
      <x:c r="F56" s="66" t="n">
        <x:v>46180.4375</x:v>
      </x:c>
      <x:c r="G56" s="65" t="str">
        <x:v>2026-06-07|科罗拉多涌泉（Colorado Springs Switchbacks）|埃尔帕索机车（El Paso Locomotive）</x:v>
      </x:c>
      <x:c r="H56" s="65" t="str">
        <x:v>待确认</x:v>
      </x:c>
      <x:c r="I56" s="65" t="str">
        <x:v>由冻结台账新增</x:v>
      </x:c>
    </x:row>
    <x:row r="57" ht="32" customHeight="1">
      <x:c r="A57" s="65" t="str">
        <x:v>S053</x:v>
      </x:c>
      <x:c r="B57" s="65" t="str">
        <x:v>美国USL冠军联赛（USL Championship）</x:v>
      </x:c>
      <x:c r="C57" s="65" t="str">
        <x:v>美国USL冠军联赛（USL Championship）</x:v>
      </x:c>
      <x:c r="D57" s="82" t="n">
        <x:v>3</x:v>
      </x:c>
      <x:c r="E57" s="66" t="n">
        <x:v>46184.4375</x:v>
      </x:c>
      <x:c r="F57" s="66" t="n">
        <x:v>46212.4375</x:v>
      </x:c>
      <x:c r="G57" s="65" t="str">
        <x:v>2026-06-11|凤凰重生（Phoenix Rising FC）|路易斯维尔城（Louisville City FC）</x:v>
      </x:c>
      <x:c r="H57" s="65" t="str">
        <x:v>待确认</x:v>
      </x:c>
      <x:c r="I57" s="65" t="str">
        <x:v>由冻结台账新增</x:v>
      </x:c>
    </x:row>
    <x:row r="58" ht="32" customHeight="1">
      <x:c r="A58" s="65" t="str">
        <x:v>S054</x:v>
      </x:c>
      <x:c r="B58" s="65" t="str">
        <x:v>挪威超级联赛（Eliteserien）</x:v>
      </x:c>
      <x:c r="C58" s="65" t="str">
        <x:v>挪威超级联赛（Eliteserien）</x:v>
      </x:c>
      <x:c r="D58" s="82" t="n">
        <x:v>3</x:v>
      </x:c>
      <x:c r="E58" s="66" t="n">
        <x:v>46166.916666666664</x:v>
      </x:c>
      <x:c r="F58" s="66" t="n">
        <x:v>46172.041666666664</x:v>
      </x:c>
      <x:c r="G58" s="65" t="str">
        <x:v>2026-05-24|博德闪耀（Bodø/Glimt）|布兰（SK Brann）</x:v>
      </x:c>
      <x:c r="H58" s="65" t="str">
        <x:v>待确认</x:v>
      </x:c>
      <x:c r="I58" s="65" t="str">
        <x:v>由冻结台账新增</x:v>
      </x:c>
    </x:row>
    <x:row r="59" ht="32" customHeight="1">
      <x:c r="A59" s="65" t="str">
        <x:v>S055</x:v>
      </x:c>
      <x:c r="B59" s="65" t="str">
        <x:v>欧洲协会联赛（UEFA Europa Conference League）</x:v>
      </x:c>
      <x:c r="C59" s="65" t="str">
        <x:v>欧洲协会联赛（UEFA Europa Conference League）</x:v>
      </x:c>
      <x:c r="D59" s="82" t="n">
        <x:v>3</x:v>
      </x:c>
      <x:c r="E59" s="66" t="n">
        <x:v>46073.166666666664</x:v>
      </x:c>
      <x:c r="F59" s="66" t="n">
        <x:v>46122.125</x:v>
      </x:c>
      <x:c r="G59" s="65" t="str">
        <x:v>2026-02-20|雅盖隆（Jagiellonia Białystok）|佛罗伦萨（Fiorentina）</x:v>
      </x:c>
      <x:c r="H59" s="65" t="str">
        <x:v>待确认</x:v>
      </x:c>
      <x:c r="I59" s="65" t="str"/>
    </x:row>
    <x:row r="60" ht="32" customHeight="1">
      <x:c r="A60" s="65" t="str">
        <x:v>S056</x:v>
      </x:c>
      <x:c r="B60" s="65" t="str">
        <x:v>葡萄牙超级联赛（Liga Portugal Betclic）</x:v>
      </x:c>
      <x:c r="C60" s="65" t="str">
        <x:v>葡萄牙超级联赛（Liga Portugal Betclic）</x:v>
      </x:c>
      <x:c r="D60" s="82" t="n">
        <x:v>3</x:v>
      </x:c>
      <x:c r="E60" s="66" t="n">
        <x:v>46067.104166666664</x:v>
      </x:c>
      <x:c r="F60" s="66" t="n">
        <x:v>46132.041666666664</x:v>
      </x:c>
      <x:c r="G60" s="65" t="str">
        <x:v>2026-02-14|圣克拉拉（Santa Clara）|本菲卡（Benfica）</x:v>
      </x:c>
      <x:c r="H60" s="65" t="str">
        <x:v>待确认</x:v>
      </x:c>
      <x:c r="I60" s="65" t="str"/>
    </x:row>
    <x:row r="61" ht="32" customHeight="1">
      <x:c r="A61" s="65" t="str">
        <x:v>S057</x:v>
      </x:c>
      <x:c r="B61" s="65" t="str">
        <x:v>瑞典超级甲级联赛（Superettan）</x:v>
      </x:c>
      <x:c r="C61" s="65" t="str">
        <x:v>瑞典超级甲级联赛（Superettan）</x:v>
      </x:c>
      <x:c r="D61" s="82" t="n">
        <x:v>3</x:v>
      </x:c>
      <x:c r="E61" s="66" t="n">
        <x:v>46155.041666666664</x:v>
      </x:c>
      <x:c r="F61" s="66" t="n">
        <x:v>46189.04513888889</x:v>
      </x:c>
      <x:c r="G61" s="65" t="str">
        <x:v>2026-05-13|瓦纳默（IFK Värnamo）|奥雷布洛（Örebro SK）</x:v>
      </x:c>
      <x:c r="H61" s="65" t="str">
        <x:v>待确认</x:v>
      </x:c>
      <x:c r="I61" s="65" t="str">
        <x:v>由冻结台账新增</x:v>
      </x:c>
    </x:row>
    <x:row r="62" ht="32" customHeight="1">
      <x:c r="A62" s="65" t="str">
        <x:v>S058</x:v>
      </x:c>
      <x:c r="B62" s="65" t="str">
        <x:v>苏格兰超级联赛</x:v>
      </x:c>
      <x:c r="C62" s="65" t="str">
        <x:v>苏格兰超级联赛</x:v>
      </x:c>
      <x:c r="D62" s="82" t="n">
        <x:v>3</x:v>
      </x:c>
      <x:c r="E62" s="66" t="n">
        <x:v>46057.166666666664</x:v>
      </x:c>
      <x:c r="F62" s="66" t="n">
        <x:v>46096.833333333336</x:v>
      </x:c>
      <x:c r="G62" s="65" t="str">
        <x:v>2026-02-04|圣米伦（St. Mirren）|哈茨（Hearts/Heart of Midlothian）</x:v>
      </x:c>
      <x:c r="H62" s="65" t="str">
        <x:v>待确认</x:v>
      </x:c>
      <x:c r="I62" s="65" t="str"/>
    </x:row>
    <x:row r="63" ht="32" customHeight="1">
      <x:c r="A63" s="65" t="str">
        <x:v>S059</x:v>
      </x:c>
      <x:c r="B63" s="65" t="str">
        <x:v>英格兰足总杯（FA Cup）</x:v>
      </x:c>
      <x:c r="C63" s="65" t="str">
        <x:v>英格兰足总杯（FA Cup）</x:v>
      </x:c>
      <x:c r="D63" s="82" t="n">
        <x:v>3</x:v>
      </x:c>
      <x:c r="E63" s="66" t="n">
        <x:v>46067.15625</x:v>
      </x:c>
      <x:c r="F63" s="66" t="n">
        <x:v>46068.916666666664</x:v>
      </x:c>
      <x:c r="G63" s="65" t="str">
        <x:v>2026-02-14|赫尔城（Hull City）|切尔西（Chelsea）</x:v>
      </x:c>
      <x:c r="H63" s="65" t="str">
        <x:v>待确认</x:v>
      </x:c>
      <x:c r="I63" s="65" t="str"/>
    </x:row>
    <x:row r="64" ht="32" customHeight="1">
      <x:c r="A64" s="65" t="str">
        <x:v>S060</x:v>
      </x:c>
      <x:c r="B64" s="65" t="str">
        <x:v>澳大利亚昆士兰州国家超级联赛（NPL Queensland）</x:v>
      </x:c>
      <x:c r="C64" s="65" t="str">
        <x:v>澳大利亚昆士兰州国家超级联赛（NPL Queensland）</x:v>
      </x:c>
      <x:c r="D64" s="82" t="n">
        <x:v>2</x:v>
      </x:c>
      <x:c r="E64" s="66" t="n">
        <x:v>46189.729166666664</x:v>
      </x:c>
      <x:c r="F64" s="66" t="n">
        <x:v>46213.729166666664</x:v>
      </x:c>
      <x:c r="G64" s="65" t="str">
        <x:v>2026-06-16|布里斯班狼队|布里斯班东郊</x:v>
      </x:c>
      <x:c r="H64" s="65" t="str">
        <x:v>待确认</x:v>
      </x:c>
      <x:c r="I64" s="65" t="str">
        <x:v>由冻结台账新增</x:v>
      </x:c>
    </x:row>
    <x:row r="65" ht="32" customHeight="1">
      <x:c r="A65" s="65" t="str">
        <x:v>S061</x:v>
      </x:c>
      <x:c r="B65" s="65" t="str">
        <x:v>巴拉圭甲级联赛（División de Honor·Apertura）</x:v>
      </x:c>
      <x:c r="C65" s="65" t="str">
        <x:v>巴拉圭甲级联赛（División de Honor·Apertura）</x:v>
      </x:c>
      <x:c r="D65" s="82" t="n">
        <x:v>2</x:v>
      </x:c>
      <x:c r="E65" s="66" t="n">
        <x:v>46158.166666666664</x:v>
      </x:c>
      <x:c r="F65" s="66" t="n">
        <x:v>46158.166666666664</x:v>
      </x:c>
      <x:c r="G65" s="65" t="str">
        <x:v>2026-05-16|卢比奥纽（Rubio Ñu）|巴拉圭国民（Nacional Asunción）</x:v>
      </x:c>
      <x:c r="H65" s="65" t="str">
        <x:v>待确认</x:v>
      </x:c>
      <x:c r="I65" s="65" t="str">
        <x:v>由冻结台账新增</x:v>
      </x:c>
    </x:row>
    <x:row r="66" ht="32" customHeight="1">
      <x:c r="A66" s="65" t="str">
        <x:v>S062</x:v>
      </x:c>
      <x:c r="B66" s="65" t="str">
        <x:v>丹麦超级联赛（Danish Superliga）</x:v>
      </x:c>
      <x:c r="C66" s="65" t="str">
        <x:v>丹麦超级联赛（Danish Superliga）</x:v>
      </x:c>
      <x:c r="D66" s="82" t="n">
        <x:v>2</x:v>
      </x:c>
      <x:c r="E66" s="66" t="n">
        <x:v>46060.083333333336</x:v>
      </x:c>
      <x:c r="F66" s="66" t="n">
        <x:v>46061.958333333336</x:v>
      </x:c>
      <x:c r="G66" s="65" t="str">
        <x:v>2026-02-07|奥胡斯（AGF Aarhus）|欧登赛（Odense BK/OB）</x:v>
      </x:c>
      <x:c r="H66" s="65" t="str">
        <x:v>待确认</x:v>
      </x:c>
      <x:c r="I66" s="65" t="str"/>
    </x:row>
    <x:row r="67" ht="32" customHeight="1">
      <x:c r="A67" s="65" t="str">
        <x:v>S063</x:v>
      </x:c>
      <x:c r="B67" s="65" t="str">
        <x:v>芬兰甲组联赛（Ykkösliiga）</x:v>
      </x:c>
      <x:c r="C67" s="65" t="str">
        <x:v>芬兰甲组联赛（Ykkösliiga）</x:v>
      </x:c>
      <x:c r="D67" s="82" t="n">
        <x:v>2</x:v>
      </x:c>
      <x:c r="E67" s="66" t="n">
        <x:v>46185.979166666664</x:v>
      </x:c>
      <x:c r="F67" s="66" t="n">
        <x:v>46185.979166666664</x:v>
      </x:c>
      <x:c r="G67" s="65" t="str">
        <x:v>2026-06-12|科特卡（FC KTP）|艾克纳斯IF（EIF）</x:v>
      </x:c>
      <x:c r="H67" s="65" t="str">
        <x:v>待确认</x:v>
      </x:c>
      <x:c r="I67" s="65" t="str">
        <x:v>由冻结台账新增</x:v>
      </x:c>
    </x:row>
    <x:row r="68" ht="32" customHeight="1">
      <x:c r="A68" s="65" t="str">
        <x:v>S064</x:v>
      </x:c>
      <x:c r="B68" s="65" t="str">
        <x:v>荷兰甲级联赛（Eredivisie）</x:v>
      </x:c>
      <x:c r="C68" s="65" t="str">
        <x:v>荷兰甲级联赛（Eredivisie）</x:v>
      </x:c>
      <x:c r="D68" s="82" t="n">
        <x:v>2</x:v>
      </x:c>
      <x:c r="E68" s="66" t="n">
        <x:v>46060.125</x:v>
      </x:c>
      <x:c r="F68" s="66" t="n">
        <x:v>46068.802083333336</x:v>
      </x:c>
      <x:c r="G68" s="65" t="str">
        <x:v>2026-02-07|布雷达（NAC Breda）|SBV精英（Excelsior）</x:v>
      </x:c>
      <x:c r="H68" s="65" t="str">
        <x:v>待确认</x:v>
      </x:c>
      <x:c r="I68" s="65" t="str"/>
    </x:row>
    <x:row r="69" ht="32" customHeight="1">
      <x:c r="A69" s="65" t="str">
        <x:v>S065</x:v>
      </x:c>
      <x:c r="B69" s="65" t="str">
        <x:v>莫里斯·雷维洛锦标赛（土伦杯）</x:v>
      </x:c>
      <x:c r="C69" s="65" t="str">
        <x:v>莫里斯·雷维洛锦标赛（土伦杯）</x:v>
      </x:c>
      <x:c r="D69" s="82" t="n">
        <x:v>2</x:v>
      </x:c>
      <x:c r="E69" s="66" t="n">
        <x:v>46181.875</x:v>
      </x:c>
      <x:c r="F69" s="66" t="n">
        <x:v>46184.8125</x:v>
      </x:c>
      <x:c r="G69" s="65" t="str">
        <x:v>2026-06-08|科特迪瓦U23（青年队）|加拿大U20</x:v>
      </x:c>
      <x:c r="H69" s="65" t="str">
        <x:v>待确认</x:v>
      </x:c>
      <x:c r="I69" s="65" t="str">
        <x:v>由冻结台账新增</x:v>
      </x:c>
    </x:row>
    <x:row r="70" ht="32" customHeight="1">
      <x:c r="A70" s="65" t="str">
        <x:v>S066</x:v>
      </x:c>
      <x:c r="B70" s="65" t="str">
        <x:v>挪威甲级联赛（OBOS-ligaen）</x:v>
      </x:c>
      <x:c r="C70" s="65" t="str">
        <x:v>挪威甲级联赛（OBOS-ligaen）</x:v>
      </x:c>
      <x:c r="D70" s="82" t="n">
        <x:v>2</x:v>
      </x:c>
      <x:c r="E70" s="66" t="n">
        <x:v>46180.958333333336</x:v>
      </x:c>
      <x:c r="F70" s="66" t="n">
        <x:v>46187.916666666664</x:v>
      </x:c>
      <x:c r="G70" s="65" t="str">
        <x:v>2026-06-07|兰黑姆（Ranheim IL）|斯托曼（Strømmen IF）</x:v>
      </x:c>
      <x:c r="H70" s="65" t="str">
        <x:v>待确认</x:v>
      </x:c>
      <x:c r="I70" s="65" t="str">
        <x:v>由冻结台账新增</x:v>
      </x:c>
    </x:row>
    <x:row r="71" ht="32" customHeight="1">
      <x:c r="A71" s="65" t="str">
        <x:v>S067</x:v>
      </x:c>
      <x:c r="B71" s="65" t="str">
        <x:v>欧联杯</x:v>
      </x:c>
      <x:c r="C71" s="65" t="str">
        <x:v>欧联杯</x:v>
      </x:c>
      <x:c r="D71" s="82" t="n">
        <x:v>2</x:v>
      </x:c>
      <x:c r="E71" s="66" t="n">
        <x:v>46143.125</x:v>
      </x:c>
      <x:c r="F71" s="66" t="n">
        <x:v>46143.125</x:v>
      </x:c>
      <x:c r="G71" s="65" t="str">
        <x:v>2026-05-01|诺丁汉森林|阿斯顿维拉</x:v>
      </x:c>
      <x:c r="H71" s="65" t="str">
        <x:v>待确认</x:v>
      </x:c>
      <x:c r="I71" s="65" t="str"/>
    </x:row>
    <x:row r="72" ht="32" customHeight="1">
      <x:c r="A72" s="65" t="str">
        <x:v>S068</x:v>
      </x:c>
      <x:c r="B72" s="65" t="str">
        <x:v>土耳其超级联赛（土超）</x:v>
      </x:c>
      <x:c r="C72" s="65" t="str">
        <x:v>土耳其超级联赛（土超）</x:v>
      </x:c>
      <x:c r="D72" s="82" t="n">
        <x:v>2</x:v>
      </x:c>
      <x:c r="E72" s="66" t="n">
        <x:v>46075.041666666664</x:v>
      </x:c>
      <x:c r="F72" s="66" t="n">
        <x:v>46075.770833333336</x:v>
      </x:c>
      <x:c r="G72" s="65" t="str">
        <x:v>2026-02-22|干亚斯堡（科尼亚体育/Konyaspor）|加拉塔萨雷（Galatasaray）</x:v>
      </x:c>
      <x:c r="H72" s="65" t="str">
        <x:v>待确认</x:v>
      </x:c>
      <x:c r="I72" s="65" t="str"/>
    </x:row>
    <x:row r="73" ht="32" customHeight="1">
      <x:c r="A73" s="65" t="str">
        <x:v>S069</x:v>
      </x:c>
      <x:c r="B73" s="65" t="str">
        <x:v>土伦杯（莫里斯雷维洛锦标赛）</x:v>
      </x:c>
      <x:c r="C73" s="65" t="str">
        <x:v>土伦杯（莫里斯雷维洛锦标赛）</x:v>
      </x:c>
      <x:c r="D73" s="82" t="n">
        <x:v>2</x:v>
      </x:c>
      <x:c r="E73" s="66" t="n">
        <x:v>46180.875</x:v>
      </x:c>
      <x:c r="F73" s="66" t="n">
        <x:v>46181.020833333336</x:v>
      </x:c>
      <x:c r="G73" s="65" t="str">
        <x:v>2026-06-07|民主刚果U20|哥伦比亚U19</x:v>
      </x:c>
      <x:c r="H73" s="65" t="str">
        <x:v>待确认</x:v>
      </x:c>
      <x:c r="I73" s="65" t="str">
        <x:v>由冻结台账新增</x:v>
      </x:c>
    </x:row>
    <x:row r="74" ht="32" customHeight="1">
      <x:c r="A74" s="65" t="str">
        <x:v>S070</x:v>
      </x:c>
      <x:c r="B74" s="65" t="str">
        <x:v>印度甲级联赛</x:v>
      </x:c>
      <x:c r="C74" s="65" t="str">
        <x:v>印度甲级联赛</x:v>
      </x:c>
      <x:c r="D74" s="82" t="n">
        <x:v>2</x:v>
      </x:c>
      <x:c r="E74" s="66" t="n">
        <x:v>46105.875</x:v>
      </x:c>
      <x:c r="F74" s="66" t="n">
        <x:v>46154.875</x:v>
      </x:c>
      <x:c r="G74" s="65" t="str">
        <x:v>2026-03-24|艾查威尔|查玛里</x:v>
      </x:c>
      <x:c r="H74" s="65" t="str">
        <x:v>待确认</x:v>
      </x:c>
      <x:c r="I74" s="65" t="str"/>
    </x:row>
    <x:row r="75" ht="32" customHeight="1">
      <x:c r="A75" s="65" t="str">
        <x:v>S071</x:v>
      </x:c>
      <x:c r="B75" s="65" t="str">
        <x:v>越南国家杯（Cúp Quốc gia）</x:v>
      </x:c>
      <x:c r="C75" s="65" t="str">
        <x:v>越南国家杯（Cúp Quốc gia）</x:v>
      </x:c>
      <x:c r="D75" s="82" t="n">
        <x:v>2</x:v>
      </x:c>
      <x:c r="E75" s="66" t="n">
        <x:v>46184.791666666664</x:v>
      </x:c>
      <x:c r="F75" s="66" t="n">
        <x:v>46184.791666666664</x:v>
      </x:c>
      <x:c r="G75" s="65" t="str">
        <x:v>2026-06-11|宁平FC（Ninh Bình FC）|越电信体工（Thể Công - Viettel）</x:v>
      </x:c>
      <x:c r="H75" s="65" t="str">
        <x:v>待确认</x:v>
      </x:c>
      <x:c r="I75" s="65" t="str">
        <x:v>由冻结台账新增</x:v>
      </x:c>
    </x:row>
    <x:row r="76" ht="32" customHeight="1">
      <x:c r="A76" s="65" t="str">
        <x:v>S072</x:v>
      </x:c>
      <x:c r="B76" s="65" t="str">
        <x:v>OFC职业联赛</x:v>
      </x:c>
      <x:c r="C76" s="65" t="str">
        <x:v>OFC职业联赛</x:v>
      </x:c>
      <x:c r="D76" s="82" t="n">
        <x:v>2</x:v>
      </x:c>
      <x:c r="E76" s="66" t="n">
        <x:v>46080.666666666664</x:v>
      </x:c>
      <x:c r="F76" s="66" t="n">
        <x:v>46154.458333333336</x:v>
      </x:c>
      <x:c r="G76" s="65" t="str">
        <x:v>2026-02-27|南墨尔本（South Melbourne）|南岛联（South Island United）</x:v>
      </x:c>
      <x:c r="H76" s="65" t="str">
        <x:v>待确认</x:v>
      </x:c>
      <x:c r="I76" s="65" t="str"/>
    </x:row>
    <x:row r="77" ht="32" customHeight="1">
      <x:c r="A77" s="65" t="str">
        <x:v>S073</x:v>
      </x:c>
      <x:c r="B77" s="65" t="str">
        <x:v>阿根廷杯</x:v>
      </x:c>
      <x:c r="C77" s="65" t="str">
        <x:v>阿根廷杯</x:v>
      </x:c>
      <x:c r="D77" s="82" t="n">
        <x:v>1</x:v>
      </x:c>
      <x:c r="E77" s="66" t="n">
        <x:v>46151.34027777778</x:v>
      </x:c>
      <x:c r="F77" s="66" t="n">
        <x:v>46151.34027777778</x:v>
      </x:c>
      <x:c r="G77" s="65" t="str">
        <x:v>2026-05-09|班菲尔德（CA Banfield）|图库曼圣马丁（San Martín de Tucumán）</x:v>
      </x:c>
      <x:c r="H77" s="65" t="str">
        <x:v>待确认</x:v>
      </x:c>
      <x:c r="I77" s="65" t="str">
        <x:v>由冻结台账新增</x:v>
      </x:c>
    </x:row>
    <x:row r="78" ht="32" customHeight="1">
      <x:c r="A78" s="65" t="str">
        <x:v>S074</x:v>
      </x:c>
      <x:c r="B78" s="65" t="str">
        <x:v>阿根廷杯（Copa Argentina）</x:v>
      </x:c>
      <x:c r="C78" s="65" t="str">
        <x:v>阿根廷杯（Copa Argentina）</x:v>
      </x:c>
      <x:c r="D78" s="82" t="n">
        <x:v>1</x:v>
      </x:c>
      <x:c r="E78" s="66" t="n">
        <x:v>46176.34027777778</x:v>
      </x:c>
      <x:c r="F78" s="66" t="n">
        <x:v>46176.34027777778</x:v>
      </x:c>
      <x:c r="G78" s="65" t="str">
        <x:v>2026-06-03|巴拉卡斯中央|飓风（Huracán）</x:v>
      </x:c>
      <x:c r="H78" s="65" t="str">
        <x:v>待确认</x:v>
      </x:c>
      <x:c r="I78" s="65" t="str">
        <x:v>由冻结台账新增</x:v>
      </x:c>
    </x:row>
    <x:row r="79" ht="32" customHeight="1">
      <x:c r="A79" s="65" t="str">
        <x:v>S075</x:v>
      </x:c>
      <x:c r="B79" s="65" t="str">
        <x:v>埃及乙级联赛A组（Egyptian Second Division A）</x:v>
      </x:c>
      <x:c r="C79" s="65" t="str">
        <x:v>埃及乙级联赛A组（Egyptian Second Division A）</x:v>
      </x:c>
      <x:c r="D79" s="82" t="n">
        <x:v>1</x:v>
      </x:c>
      <x:c r="E79" s="66" t="n">
        <x:v>46156.895833333336</x:v>
      </x:c>
      <x:c r="F79" s="66" t="n">
        <x:v>46156.895833333336</x:v>
      </x:c>
      <x:c r="G79" s="65" t="str">
        <x:v>2026-05-14|El达克尔野|普斯SC</x:v>
      </x:c>
      <x:c r="H79" s="65" t="str">
        <x:v>待确认</x:v>
      </x:c>
      <x:c r="I79" s="65" t="str">
        <x:v>由冻结台账新增</x:v>
      </x:c>
    </x:row>
    <x:row r="80" ht="32" customHeight="1">
      <x:c r="A80" s="65" t="str">
        <x:v>S076</x:v>
      </x:c>
      <x:c r="B80" s="65" t="str">
        <x:v>埃及乙A</x:v>
      </x:c>
      <x:c r="C80" s="65" t="str">
        <x:v>埃及乙A</x:v>
      </x:c>
      <x:c r="D80" s="82" t="n">
        <x:v>1</x:v>
      </x:c>
      <x:c r="E80" s="66" t="n">
        <x:v>46058.854166666664</x:v>
      </x:c>
      <x:c r="F80" s="66" t="n">
        <x:v>46058.854166666664</x:v>
      </x:c>
      <x:c r="G80" s="65" t="str">
        <x:v>2026-02-05|卡夫达瓦尔(Kafr El Dawar)|达克尔野(El Daklyeh)</x:v>
      </x:c>
      <x:c r="H80" s="65" t="str">
        <x:v>待确认</x:v>
      </x:c>
      <x:c r="I80" s="65" t="str"/>
    </x:row>
    <x:row r="81" ht="32" customHeight="1">
      <x:c r="A81" s="65" t="str">
        <x:v>S077</x:v>
      </x:c>
      <x:c r="B81" s="65" t="str">
        <x:v>澳大利亚多克蒂杯（Dockerty Cup）</x:v>
      </x:c>
      <x:c r="C81" s="65" t="str">
        <x:v>澳大利亚多克蒂杯（Dockerty Cup）</x:v>
      </x:c>
      <x:c r="D81" s="82" t="n">
        <x:v>1</x:v>
      </x:c>
      <x:c r="E81" s="66" t="n">
        <x:v>46189.729166666664</x:v>
      </x:c>
      <x:c r="F81" s="66" t="n">
        <x:v>46189.729166666664</x:v>
      </x:c>
      <x:c r="G81" s="65" t="str">
        <x:v>2026-06-16|不伦瑞克尤文图斯|布琳狮子</x:v>
      </x:c>
      <x:c r="H81" s="65" t="str">
        <x:v>待确认</x:v>
      </x:c>
      <x:c r="I81" s="65" t="str">
        <x:v>由冻结台账新增</x:v>
      </x:c>
    </x:row>
    <x:row r="82" ht="32" customHeight="1">
      <x:c r="A82" s="65" t="str">
        <x:v>S078</x:v>
      </x:c>
      <x:c r="B82" s="65" t="str">
        <x:v>澳大利亚昆士兰州超级联赛1（QPL1）</x:v>
      </x:c>
      <x:c r="C82" s="65" t="str">
        <x:v>澳大利亚昆士兰州超级联赛1（QPL1）</x:v>
      </x:c>
      <x:c r="D82" s="82" t="n">
        <x:v>1</x:v>
      </x:c>
      <x:c r="E82" s="66" t="n">
        <x:v>46203.770833333336</x:v>
      </x:c>
      <x:c r="F82" s="66" t="n">
        <x:v>46203.770833333336</x:v>
      </x:c>
      <x:c r="G82" s="65" t="str">
        <x:v>2026-06-30|洛根闪电（Logan Lightning）|瑞德兰茨联（Redlands United）</x:v>
      </x:c>
      <x:c r="H82" s="65" t="str">
        <x:v>待确认</x:v>
      </x:c>
      <x:c r="I82" s="65" t="str">
        <x:v>由冻结台账新增</x:v>
      </x:c>
    </x:row>
    <x:row r="83" ht="32" customHeight="1">
      <x:c r="A83" s="65" t="str">
        <x:v>S079</x:v>
      </x:c>
      <x:c r="B83" s="65" t="str">
        <x:v>澳大利亚女足A联赛</x:v>
      </x:c>
      <x:c r="C83" s="65" t="str">
        <x:v>澳大利亚女足A联赛</x:v>
      </x:c>
      <x:c r="D83" s="82" t="n">
        <x:v>1</x:v>
      </x:c>
      <x:c r="E83" s="66" t="n">
        <x:v>46059.458333333336</x:v>
      </x:c>
      <x:c r="F83" s="66" t="n">
        <x:v>46059.458333333336</x:v>
      </x:c>
      <x:c r="G83" s="65" t="str">
        <x:v>2026-02-06|惠灵顿凤凰女足|珀斯光荣女足</x:v>
      </x:c>
      <x:c r="H83" s="65" t="str">
        <x:v>待确认</x:v>
      </x:c>
      <x:c r="I83" s="65" t="str"/>
    </x:row>
    <x:row r="84" ht="32" customHeight="1">
      <x:c r="A84" s="65" t="str">
        <x:v>S080</x:v>
      </x:c>
      <x:c r="B84" s="65" t="str">
        <x:v>澳大利亚维多利亚州女子国家超级联赛（NPL Victoria Women）</x:v>
      </x:c>
      <x:c r="C84" s="65" t="str">
        <x:v>澳大利亚维多利亚州女子国家超级联赛（NPL Victoria Women）</x:v>
      </x:c>
      <x:c r="D84" s="82" t="n">
        <x:v>1</x:v>
      </x:c>
      <x:c r="E84" s="66" t="n">
        <x:v>46213.677083333336</x:v>
      </x:c>
      <x:c r="F84" s="66" t="n">
        <x:v>46213.677083333336</x:v>
      </x:c>
      <x:c r="G84" s="65" t="str">
        <x:v>2026-07-10|普雷斯顿狮子女足（Preston Lions Women）|布林狮子女足（FC Bulleen Lions Women）</x:v>
      </x:c>
      <x:c r="H84" s="65" t="str">
        <x:v>待确认</x:v>
      </x:c>
      <x:c r="I84" s="65" t="str">
        <x:v>由冻结台账新增</x:v>
      </x:c>
    </x:row>
    <x:row r="85" ht="32" customHeight="1">
      <x:c r="A85" s="65" t="str">
        <x:v>S081</x:v>
      </x:c>
      <x:c r="B85" s="65" t="str">
        <x:v>澳大利亚新南威尔士州甲级联赛（NSW League One）</x:v>
      </x:c>
      <x:c r="C85" s="65" t="str">
        <x:v>澳大利亚新南威尔士州甲级联赛（NSW League One）</x:v>
      </x:c>
      <x:c r="D85" s="82" t="n">
        <x:v>1</x:v>
      </x:c>
      <x:c r="E85" s="66" t="n">
        <x:v>46187.75</x:v>
      </x:c>
      <x:c r="F85" s="66" t="n">
        <x:v>46187.75</x:v>
      </x:c>
      <x:c r="G85" s="65" t="str">
        <x:v>2026-06-14|普罗斯佩联（Prospect United）|达尔维奇希尔（Dulwich Hill）</x:v>
      </x:c>
      <x:c r="H85" s="65" t="str">
        <x:v>待确认</x:v>
      </x:c>
      <x:c r="I85" s="65" t="str">
        <x:v>由冻结台账新增</x:v>
      </x:c>
    </x:row>
    <x:row r="86" ht="32" customHeight="1">
      <x:c r="A86" s="65" t="str">
        <x:v>S082</x:v>
      </x:c>
      <x:c r="B86" s="65" t="str">
        <x:v>巴西杯（Copa do Brasil）</x:v>
      </x:c>
      <x:c r="C86" s="65" t="str">
        <x:v>巴西杯（Copa do Brasil）</x:v>
      </x:c>
      <x:c r="D86" s="82" t="n">
        <x:v>1</x:v>
      </x:c>
      <x:c r="E86" s="66" t="n">
        <x:v>46157.208333333336</x:v>
      </x:c>
      <x:c r="F86" s="66" t="n">
        <x:v>46157.208333333336</x:v>
      </x:c>
      <x:c r="G86" s="65" t="str">
        <x:v>2026-05-15|沙佩科恩斯（Chapecoense AF）|博塔弗戈（Botafogo RJ）</x:v>
      </x:c>
      <x:c r="H86" s="65" t="str">
        <x:v>待确认</x:v>
      </x:c>
      <x:c r="I86" s="65" t="str">
        <x:v>由冻结台账新增</x:v>
      </x:c>
    </x:row>
    <x:row r="87" ht="32" customHeight="1">
      <x:c r="A87" s="65" t="str">
        <x:v>S083</x:v>
      </x:c>
      <x:c r="B87" s="65" t="str">
        <x:v>比利时杯（Belgian Cup）</x:v>
      </x:c>
      <x:c r="C87" s="65" t="str">
        <x:v>比利时杯（Belgian Cup）</x:v>
      </x:c>
      <x:c r="D87" s="82" t="n">
        <x:v>1</x:v>
      </x:c>
      <x:c r="E87" s="66" t="n">
        <x:v>46156.875</x:v>
      </x:c>
      <x:c r="F87" s="66" t="n">
        <x:v>46156.875</x:v>
      </x:c>
      <x:c r="G87" s="65" t="str">
        <x:v>2026-05-14|圣吉罗斯（Union SG）|安德莱赫特</x:v>
      </x:c>
      <x:c r="H87" s="65" t="str">
        <x:v>待确认</x:v>
      </x:c>
      <x:c r="I87" s="65" t="str">
        <x:v>由冻结台账新增</x:v>
      </x:c>
    </x:row>
    <x:row r="88" ht="32" customHeight="1">
      <x:c r="A88" s="65" t="str">
        <x:v>S084</x:v>
      </x:c>
      <x:c r="B88" s="65" t="str">
        <x:v>德国杯（DFB-Pokal）</x:v>
      </x:c>
      <x:c r="C88" s="65" t="str">
        <x:v>德国杯（DFB-Pokal）</x:v>
      </x:c>
      <x:c r="D88" s="82" t="n">
        <x:v>1</x:v>
      </x:c>
      <x:c r="E88" s="66" t="n">
        <x:v>46057.15625</x:v>
      </x:c>
      <x:c r="F88" s="66" t="n">
        <x:v>46057.15625</x:v>
      </x:c>
      <x:c r="G88" s="65" t="str">
        <x:v>2026-02-04|勒沃库森（Bayer Leverkusen）|圣保利（FC St. Pauli）</x:v>
      </x:c>
      <x:c r="H88" s="65" t="str">
        <x:v>待确认</x:v>
      </x:c>
      <x:c r="I88" s="65" t="str"/>
    </x:row>
    <x:row r="89" ht="32" customHeight="1">
      <x:c r="A89" s="65" t="str">
        <x:v>S085</x:v>
      </x:c>
      <x:c r="B89" s="65" t="str">
        <x:v>厄瓜多尔杯（Copa Ecuador）</x:v>
      </x:c>
      <x:c r="C89" s="65" t="str">
        <x:v>厄瓜多尔杯（Copa Ecuador）</x:v>
      </x:c>
      <x:c r="D89" s="82" t="n">
        <x:v>1</x:v>
      </x:c>
      <x:c r="E89" s="66" t="n">
        <x:v>46178.3125</x:v>
      </x:c>
      <x:c r="F89" s="66" t="n">
        <x:v>46178.3125</x:v>
      </x:c>
      <x:c r="G89" s="65" t="str">
        <x:v>2026-06-05|昆卡青年（CD Cuenca Juniors）|马卡拉</x:v>
      </x:c>
      <x:c r="H89" s="65" t="str">
        <x:v>待确认</x:v>
      </x:c>
      <x:c r="I89" s="65" t="str">
        <x:v>由冻结台账新增</x:v>
      </x:c>
    </x:row>
    <x:row r="90" ht="32" customHeight="1">
      <x:c r="A90" s="65" t="str">
        <x:v>S086</x:v>
      </x:c>
      <x:c r="B90" s="65" t="str">
        <x:v>厄瓜多尔甲级联赛（LigaPro Serie A）</x:v>
      </x:c>
      <x:c r="C90" s="65" t="str">
        <x:v>厄瓜多尔甲级联赛（LigaPro Serie A）</x:v>
      </x:c>
      <x:c r="D90" s="82" t="n">
        <x:v>1</x:v>
      </x:c>
      <x:c r="E90" s="66" t="n">
        <x:v>46211.333333333336</x:v>
      </x:c>
      <x:c r="F90" s="66" t="n">
        <x:v>46211.333333333336</x:v>
      </x:c>
      <x:c r="G90" s="65" t="str">
        <x:v>2026-07-08|奥卡斯（SD Aucas）|瓜亚基尔城（Guayaquil City）</x:v>
      </x:c>
      <x:c r="H90" s="65" t="str">
        <x:v>待确认</x:v>
      </x:c>
      <x:c r="I90" s="65" t="str">
        <x:v>由冻结台账新增</x:v>
      </x:c>
    </x:row>
    <x:row r="91" ht="32" customHeight="1">
      <x:c r="A91" s="65" t="str">
        <x:v>S087</x:v>
      </x:c>
      <x:c r="B91" s="65" t="str">
        <x:v>哥斯达黎加乙级联赛（Liga de Ascenso Clausura Playoffs）</x:v>
      </x:c>
      <x:c r="C91" s="65" t="str">
        <x:v>哥斯达黎加乙级联赛（Liga de Ascenso Clausura Playoffs）</x:v>
      </x:c>
      <x:c r="D91" s="82" t="n">
        <x:v>1</x:v>
      </x:c>
      <x:c r="E91" s="66" t="n">
        <x:v>46154.375</x:v>
      </x:c>
      <x:c r="F91" s="66" t="n">
        <x:v>46154.375</x:v>
      </x:c>
      <x:c r="G91" s="65" t="str">
        <x:v>2026-05-12|贝伦蝎子（Escorpiones Belén）|国际圣卡洛斯（Inter San Carlos）</x:v>
      </x:c>
      <x:c r="H91" s="65" t="str">
        <x:v>待确认</x:v>
      </x:c>
      <x:c r="I91" s="65" t="str">
        <x:v>由冻结台账新增</x:v>
      </x:c>
    </x:row>
    <x:row r="92" ht="32" customHeight="1">
      <x:c r="A92" s="65" t="str">
        <x:v>S088</x:v>
      </x:c>
      <x:c r="B92" s="65" t="str">
        <x:v>韩国K3/K4锦标赛</x:v>
      </x:c>
      <x:c r="C92" s="65" t="str">
        <x:v>韩国K3/K4锦标赛</x:v>
      </x:c>
      <x:c r="D92" s="82" t="n">
        <x:v>1</x:v>
      </x:c>
      <x:c r="E92" s="66" t="n">
        <x:v>46169.541666666664</x:v>
      </x:c>
      <x:c r="F92" s="66" t="n">
        <x:v>46169.541666666664</x:v>
      </x:c>
      <x:c r="G92" s="65" t="str">
        <x:v>2026-05-27|首尔中浪野马（Seoul Jungnang FC）|春川市民（Chuncheon Citizen/Chuncheon FC）</x:v>
      </x:c>
      <x:c r="H92" s="65" t="str">
        <x:v>待确认</x:v>
      </x:c>
      <x:c r="I92" s="65" t="str">
        <x:v>由冻结台账新增</x:v>
      </x:c>
    </x:row>
    <x:row r="93" ht="32" customHeight="1">
      <x:c r="A93" s="65" t="str">
        <x:v>S089</x:v>
      </x:c>
      <x:c r="B93" s="65" t="str">
        <x:v>荷兰杯（KNVB Beker）</x:v>
      </x:c>
      <x:c r="C93" s="65" t="str">
        <x:v>荷兰杯（KNVB Beker）</x:v>
      </x:c>
      <x:c r="D93" s="82" t="n">
        <x:v>1</x:v>
      </x:c>
      <x:c r="E93" s="66" t="n">
        <x:v>46057.125</x:v>
      </x:c>
      <x:c r="F93" s="66" t="n">
        <x:v>46057.125</x:v>
      </x:c>
      <x:c r="G93" s="65" t="str">
        <x:v>2026-02-04|阿尔克马尔（AZ Alkmaar）|特温特（FC Twente）</x:v>
      </x:c>
      <x:c r="H93" s="65" t="str">
        <x:v>待确认</x:v>
      </x:c>
      <x:c r="I93" s="65" t="str"/>
    </x:row>
    <x:row r="94" ht="32" customHeight="1">
      <x:c r="A94" s="65" t="str">
        <x:v>S090</x:v>
      </x:c>
      <x:c r="B94" s="65" t="str">
        <x:v>荷乙（荷兰乙级联赛）</x:v>
      </x:c>
      <x:c r="C94" s="65" t="str">
        <x:v>荷乙（荷兰乙级联赛）</x:v>
      </x:c>
      <x:c r="D94" s="82" t="n">
        <x:v>1</x:v>
      </x:c>
      <x:c r="E94" s="66" t="n">
        <x:v>46057.125</x:v>
      </x:c>
      <x:c r="F94" s="66" t="n">
        <x:v>46057.125</x:v>
      </x:c>
      <x:c r="G94" s="65" t="str">
        <x:v>2026-02-04|多德勒支（FC Dordrecht）|赫尔蒙德体育（Helmond Sport）</x:v>
      </x:c>
      <x:c r="H94" s="65" t="str">
        <x:v>待确认</x:v>
      </x:c>
      <x:c r="I94" s="65" t="str"/>
    </x:row>
    <x:row r="95" ht="32" customHeight="1">
      <x:c r="A95" s="65" t="str">
        <x:v>S091</x:v>
      </x:c>
      <x:c r="B95" s="65" t="str">
        <x:v>加拿大锦标赛（Canadian Championship）</x:v>
      </x:c>
      <x:c r="C95" s="65" t="str">
        <x:v>加拿大锦标赛（Canadian Championship）</x:v>
      </x:c>
      <x:c r="D95" s="82" t="n">
        <x:v>1</x:v>
      </x:c>
      <x:c r="E95" s="66" t="n">
        <x:v>46217.395833333336</x:v>
      </x:c>
      <x:c r="F95" s="66" t="n">
        <x:v>46217.395833333336</x:v>
      </x:c>
      <x:c r="G95" s="65" t="str">
        <x:v>2026-07-14|骑兵队（Cavalry FC）|温哥华白帽（Vancouver Whitecaps FC）</x:v>
      </x:c>
      <x:c r="H95" s="65" t="str">
        <x:v>待确认</x:v>
      </x:c>
      <x:c r="I95" s="65" t="str">
        <x:v>由冻结台账新增</x:v>
      </x:c>
    </x:row>
    <x:row r="96" ht="32" customHeight="1">
      <x:c r="A96" s="65" t="str">
        <x:v>S092</x:v>
      </x:c>
      <x:c r="B96" s="65" t="str">
        <x:v>美国公开杯（Lamar Hunt U.S. Open Cup）</x:v>
      </x:c>
      <x:c r="C96" s="65" t="str">
        <x:v>美国公开杯（Lamar Hunt U.S. Open Cup）</x:v>
      </x:c>
      <x:c r="D96" s="82" t="n">
        <x:v>1</x:v>
      </x:c>
      <x:c r="E96" s="66" t="n">
        <x:v>46163.3125</x:v>
      </x:c>
      <x:c r="F96" s="66" t="n">
        <x:v>46163.3125</x:v>
      </x:c>
      <x:c r="G96" s="65" t="str">
        <x:v>2026-05-21|哥伦布机员（Columbus Crew）|纽约城（NYCFC）</x:v>
      </x:c>
      <x:c r="H96" s="65" t="str">
        <x:v>待确认</x:v>
      </x:c>
      <x:c r="I96" s="65" t="str">
        <x:v>由冻结台账新增</x:v>
      </x:c>
    </x:row>
    <x:row r="97" ht="32" customHeight="1">
      <x:c r="A97" s="65" t="str">
        <x:v>S093</x:v>
      </x:c>
      <x:c r="B97" s="65" t="str">
        <x:v>美国USL杯（USL Cup）</x:v>
      </x:c>
      <x:c r="C97" s="65" t="str">
        <x:v>美国USL杯（USL Cup）</x:v>
      </x:c>
      <x:c r="D97" s="82" t="n">
        <x:v>1</x:v>
      </x:c>
      <x:c r="E97" s="66" t="n">
        <x:v>46183.333333333336</x:v>
      </x:c>
      <x:c r="F97" s="66" t="n">
        <x:v>46183.333333333336</x:v>
      </x:c>
      <x:c r="G97" s="65" t="str">
        <x:v>2026-06-10|伯明翰军团（Birmingham Legion FC）|科珀斯克里斯蒂FC（Corpus Christi FC）</x:v>
      </x:c>
      <x:c r="H97" s="65" t="str">
        <x:v>待确认</x:v>
      </x:c>
      <x:c r="I97" s="65" t="str">
        <x:v>由冻结台账新增</x:v>
      </x:c>
    </x:row>
    <x:row r="98" ht="32" customHeight="1">
      <x:c r="A98" s="65" t="str">
        <x:v>S094</x:v>
      </x:c>
      <x:c r="B98" s="65" t="str">
        <x:v>美国USL甲级联赛（USL League One）</x:v>
      </x:c>
      <x:c r="C98" s="65" t="str">
        <x:v>美国USL甲级联赛（USL League One）</x:v>
      </x:c>
      <x:c r="D98" s="82" t="n">
        <x:v>1</x:v>
      </x:c>
      <x:c r="E98" s="66" t="n">
        <x:v>46184.3125</x:v>
      </x:c>
      <x:c r="F98" s="66" t="n">
        <x:v>46184.3125</x:v>
      </x:c>
      <x:c r="G98" s="65" t="str">
        <x:v>2026-06-11|夏洛特独立（Charlotte Independence）|奥马哈联盟（Union Omaha SC）</x:v>
      </x:c>
      <x:c r="H98" s="65" t="str">
        <x:v>待确认</x:v>
      </x:c>
      <x:c r="I98" s="65" t="str">
        <x:v>由冻结台账新增</x:v>
      </x:c>
    </x:row>
    <x:row r="99" ht="32" customHeight="1">
      <x:c r="A99" s="65" t="str">
        <x:v>S095</x:v>
      </x:c>
      <x:c r="B99" s="65" t="str">
        <x:v>蒙古超级联赛（争冠组）</x:v>
      </x:c>
      <x:c r="C99" s="65" t="str">
        <x:v>蒙古超级联赛（争冠组）</x:v>
      </x:c>
      <x:c r="D99" s="82" t="n">
        <x:v>1</x:v>
      </x:c>
      <x:c r="E99" s="66" t="n">
        <x:v>46203.791666666664</x:v>
      </x:c>
      <x:c r="F99" s="66" t="n">
        <x:v>46203.791666666664</x:v>
      </x:c>
      <x:c r="G99" s="65" t="str">
        <x:v>2026-06-30|德仁FC（Deren FC）|汗加里德（Khangarid）</x:v>
      </x:c>
      <x:c r="H99" s="65" t="str">
        <x:v>待确认</x:v>
      </x:c>
      <x:c r="I99" s="65" t="str">
        <x:v>由冻结台账新增</x:v>
      </x:c>
    </x:row>
    <x:row r="100" ht="32" customHeight="1">
      <x:c r="A100" s="65" t="str">
        <x:v>S096</x:v>
      </x:c>
      <x:c r="B100" s="65" t="str">
        <x:v>摩洛哥甲级联赛（Botola Pro）</x:v>
      </x:c>
      <x:c r="C100" s="65" t="str">
        <x:v>摩洛哥甲级联赛（Botola Pro）</x:v>
      </x:c>
      <x:c r="D100" s="82" t="n">
        <x:v>1</x:v>
      </x:c>
      <x:c r="E100" s="66" t="n">
        <x:v>46191.916666666664</x:v>
      </x:c>
      <x:c r="F100" s="66" t="n">
        <x:v>46191.916666666664</x:v>
      </x:c>
      <x:c r="G100" s="65" t="str">
        <x:v>2026-06-18|勒内森斯贝尔卡内（RS Berkane）|奥林匹克萨菲</x:v>
      </x:c>
      <x:c r="H100" s="65" t="str">
        <x:v>待确认</x:v>
      </x:c>
      <x:c r="I100" s="65" t="str">
        <x:v>由冻结台账新增</x:v>
      </x:c>
    </x:row>
    <x:row r="101" ht="32" customHeight="1">
      <x:c r="A101" s="65" t="str">
        <x:v>S097</x:v>
      </x:c>
      <x:c r="B101" s="65" t="str">
        <x:v>莫里斯雷维洛锦标赛（Maurice Revello Tournament）</x:v>
      </x:c>
      <x:c r="C101" s="65" t="str">
        <x:v>莫里斯雷维洛锦标赛（Maurice Revello Tournament）</x:v>
      </x:c>
      <x:c r="D101" s="82" t="n">
        <x:v>1</x:v>
      </x:c>
      <x:c r="E101" s="66" t="n">
        <x:v>46179.875</x:v>
      </x:c>
      <x:c r="F101" s="66" t="n">
        <x:v>46179.875</x:v>
      </x:c>
      <x:c r="G101" s="65" t="str">
        <x:v>2026-06-06|日本U19|加拿大U20</x:v>
      </x:c>
      <x:c r="H101" s="65" t="str">
        <x:v>待确认</x:v>
      </x:c>
      <x:c r="I101" s="65" t="str">
        <x:v>由冻结台账新增</x:v>
      </x:c>
    </x:row>
    <x:row r="102" ht="32" customHeight="1">
      <x:c r="A102" s="65" t="str">
        <x:v>S098</x:v>
      </x:c>
      <x:c r="B102" s="65" t="str">
        <x:v>墨西哥女子甲级联赛</x:v>
      </x:c>
      <x:c r="C102" s="65" t="str">
        <x:v>墨西哥女子甲级联赛</x:v>
      </x:c>
      <x:c r="D102" s="82" t="n">
        <x:v>1</x:v>
      </x:c>
      <x:c r="E102" s="66" t="n">
        <x:v>46059.379166666666</x:v>
      </x:c>
      <x:c r="F102" s="66" t="n">
        <x:v>46059.379166666666</x:v>
      </x:c>
      <x:c r="G102" s="65" t="str">
        <x:v>2026-02-06|华雷斯女足|墨西哥美洲女足</x:v>
      </x:c>
      <x:c r="H102" s="65" t="str">
        <x:v>待确认</x:v>
      </x:c>
      <x:c r="I102" s="65" t="str"/>
    </x:row>
    <x:row r="103" ht="32" customHeight="1">
      <x:c r="A103" s="65" t="str">
        <x:v>S099</x:v>
      </x:c>
      <x:c r="B103" s="65" t="str">
        <x:v>挪威杯（NM Cup）第4轮</x:v>
      </x:c>
      <x:c r="C103" s="65" t="str">
        <x:v>挪威杯（NM Cup）第4轮</x:v>
      </x:c>
      <x:c r="D103" s="82" t="n">
        <x:v>1</x:v>
      </x:c>
      <x:c r="E103" s="66" t="n">
        <x:v>46087.083333333336</x:v>
      </x:c>
      <x:c r="F103" s="66" t="n">
        <x:v>46087.083333333336</x:v>
      </x:c>
      <x:c r="G103" s="65" t="str">
        <x:v>2026-03-06|莫尔德（Molde）|博德闪耀（Bodø/Glimt）</x:v>
      </x:c>
      <x:c r="H103" s="65" t="str">
        <x:v>待确认</x:v>
      </x:c>
      <x:c r="I103" s="65" t="str"/>
    </x:row>
    <x:row r="104" ht="32" customHeight="1">
      <x:c r="A104" s="65" t="str">
        <x:v>S100</x:v>
      </x:c>
      <x:c r="B104" s="65" t="str">
        <x:v>欧协联</x:v>
      </x:c>
      <x:c r="C104" s="65" t="str">
        <x:v>欧协联</x:v>
      </x:c>
      <x:c r="D104" s="82" t="n">
        <x:v>1</x:v>
      </x:c>
      <x:c r="E104" s="66" t="n">
        <x:v>46143.125</x:v>
      </x:c>
      <x:c r="F104" s="66" t="n">
        <x:v>46143.125</x:v>
      </x:c>
      <x:c r="G104" s="65" t="str">
        <x:v>2026-05-01|巴列卡诺|斯特拉斯堡</x:v>
      </x:c>
      <x:c r="H104" s="65" t="str">
        <x:v>待确认</x:v>
      </x:c>
      <x:c r="I104" s="65" t="str"/>
    </x:row>
    <x:row r="105" ht="32" customHeight="1">
      <x:c r="A105" s="65" t="str">
        <x:v>S101</x:v>
      </x:c>
      <x:c r="B105" s="65" t="str">
        <x:v>欧洲足联欧罗巴联赛（UEFA Europa League）</x:v>
      </x:c>
      <x:c r="C105" s="65" t="str">
        <x:v>欧洲足联欧罗巴联赛（UEFA Europa League）</x:v>
      </x:c>
      <x:c r="D105" s="82" t="n">
        <x:v>1</x:v>
      </x:c>
      <x:c r="E105" s="66" t="n">
        <x:v>46073.072916666664</x:v>
      </x:c>
      <x:c r="F105" s="66" t="n">
        <x:v>46073.072916666664</x:v>
      </x:c>
      <x:c r="G105" s="65" t="str">
        <x:v>2026-02-20|布兰（SK Brann）|博洛尼亚（Bologna）</x:v>
      </x:c>
      <x:c r="H105" s="65" t="str">
        <x:v>待确认</x:v>
      </x:c>
      <x:c r="I105" s="65" t="str"/>
    </x:row>
    <x:row r="106" ht="32" customHeight="1">
      <x:c r="A106" s="65" t="str">
        <x:v>S102</x:v>
      </x:c>
      <x:c r="B106" s="65" t="str">
        <x:v>欧洲U17足球锦标赛</x:v>
      </x:c>
      <x:c r="C106" s="65" t="str">
        <x:v>欧洲U17足球锦标赛</x:v>
      </x:c>
      <x:c r="D106" s="82" t="n">
        <x:v>1</x:v>
      </x:c>
      <x:c r="E106" s="66" t="n">
        <x:v>46177.8125</x:v>
      </x:c>
      <x:c r="F106" s="66" t="n">
        <x:v>46177.8125</x:v>
      </x:c>
      <x:c r="G106" s="65" t="str">
        <x:v>2026-06-04|比利时U17|法国U17</x:v>
      </x:c>
      <x:c r="H106" s="65" t="str">
        <x:v>待确认</x:v>
      </x:c>
      <x:c r="I106" s="65" t="str">
        <x:v>由冻结台账新增</x:v>
      </x:c>
    </x:row>
    <x:row r="107" ht="32" customHeight="1">
      <x:c r="A107" s="65" t="str">
        <x:v>S103</x:v>
      </x:c>
      <x:c r="B107" s="65" t="str">
        <x:v>日本JFL杯</x:v>
      </x:c>
      <x:c r="C107" s="65" t="str">
        <x:v>日本JFL杯</x:v>
      </x:c>
      <x:c r="D107" s="82" t="n">
        <x:v>1</x:v>
      </x:c>
      <x:c r="E107" s="66" t="n">
        <x:v>46131.541666666664</x:v>
      </x:c>
      <x:c r="F107" s="66" t="n">
        <x:v>46131.541666666664</x:v>
      </x:c>
      <x:c r="G107" s="65" t="str">
        <x:v>2026-04-19|沼津青蓝|润梅尔青森</x:v>
      </x:c>
      <x:c r="H107" s="65" t="str">
        <x:v>待确认</x:v>
      </x:c>
      <x:c r="I107" s="65" t="str"/>
    </x:row>
    <x:row r="108" ht="32" customHeight="1">
      <x:c r="A108" s="65" t="str">
        <x:v>S104</x:v>
      </x:c>
      <x:c r="B108" s="65" t="str">
        <x:v>瑞典杯（Svenska Cupen）</x:v>
      </x:c>
      <x:c r="C108" s="65" t="str">
        <x:v>瑞典杯（Svenska Cupen）</x:v>
      </x:c>
      <x:c r="D108" s="82" t="n">
        <x:v>1</x:v>
      </x:c>
      <x:c r="E108" s="66" t="n">
        <x:v>46156.875</x:v>
      </x:c>
      <x:c r="F108" s="66" t="n">
        <x:v>46156.875</x:v>
      </x:c>
      <x:c r="G108" s="65" t="str">
        <x:v>2026-05-14|米亚尔比（Mjällby AIF）|哈马比（Hammarby IF）</x:v>
      </x:c>
      <x:c r="H108" s="65" t="str">
        <x:v>待确认</x:v>
      </x:c>
      <x:c r="I108" s="65" t="str">
        <x:v>由冻结台账新增</x:v>
      </x:c>
    </x:row>
    <x:row r="109" ht="32" customHeight="1">
      <x:c r="A109" s="65" t="str">
        <x:v>S105</x:v>
      </x:c>
      <x:c r="B109" s="65" t="str">
        <x:v>瑞典超级联赛（Allsvenskan）</x:v>
      </x:c>
      <x:c r="C109" s="65" t="str">
        <x:v>瑞典超级联赛（Allsvenskan）</x:v>
      </x:c>
      <x:c r="D109" s="82" t="n">
        <x:v>1</x:v>
      </x:c>
      <x:c r="E109" s="66" t="n">
        <x:v>46207.875</x:v>
      </x:c>
      <x:c r="F109" s="66" t="n">
        <x:v>46207.875</x:v>
      </x:c>
      <x:c r="G109" s="65" t="str">
        <x:v>2026-07-04|代格福什（Degerfors IF）|马尔默（Malmö FF）</x:v>
      </x:c>
      <x:c r="H109" s="65" t="str">
        <x:v>待确认</x:v>
      </x:c>
      <x:c r="I109" s="65" t="str">
        <x:v>由冻结台账新增</x:v>
      </x:c>
    </x:row>
    <x:row r="110" ht="32" customHeight="1">
      <x:c r="A110" s="65" t="str">
        <x:v>S106</x:v>
      </x:c>
      <x:c r="B110" s="65" t="str">
        <x:v>首都足总杯</x:v>
      </x:c>
      <x:c r="C110" s="65" t="str">
        <x:v>首都足总杯</x:v>
      </x:c>
      <x:c r="D110" s="82" t="n">
        <x:v>1</x:v>
      </x:c>
      <x:c r="E110" s="66" t="n">
        <x:v>46121.6875</x:v>
      </x:c>
      <x:c r="F110" s="66" t="n">
        <x:v>46121.6875</x:v>
      </x:c>
      <x:c r="G110" s="65" t="str">
        <x:v>2026-04-09|堪培拉白鹰队|奥康诺骑士</x:v>
      </x:c>
      <x:c r="H110" s="65" t="str">
        <x:v>待确认</x:v>
      </x:c>
      <x:c r="I110" s="65" t="str"/>
    </x:row>
    <x:row r="111" ht="32" customHeight="1">
      <x:c r="A111" s="65" t="str">
        <x:v>S107</x:v>
      </x:c>
      <x:c r="B111" s="65" t="str">
        <x:v>泰国联赛1</x:v>
      </x:c>
      <x:c r="C111" s="65" t="str">
        <x:v>泰国联赛1</x:v>
      </x:c>
      <x:c r="D111" s="82" t="n">
        <x:v>1</x:v>
      </x:c>
      <x:c r="E111" s="66" t="n">
        <x:v>46062.8125</x:v>
      </x:c>
      <x:c r="F111" s="66" t="n">
        <x:v>46062.8125</x:v>
      </x:c>
      <x:c r="G111" s="65" t="str">
        <x:v>2026-02-09|南奔战士（Lamphun Warriors）|北碧巴吞旺龙（北碧府电力/Kanchanaburi Power）</x:v>
      </x:c>
      <x:c r="H111" s="65" t="str">
        <x:v>待确认</x:v>
      </x:c>
      <x:c r="I111" s="65" t="str"/>
    </x:row>
    <x:row r="112" ht="32" customHeight="1">
      <x:c r="A112" s="65" t="str">
        <x:v>S108</x:v>
      </x:c>
      <x:c r="B112" s="65" t="str">
        <x:v>突尼斯甲级联赛</x:v>
      </x:c>
      <x:c r="C112" s="65" t="str">
        <x:v>突尼斯甲级联赛</x:v>
      </x:c>
      <x:c r="D112" s="82" t="n">
        <x:v>1</x:v>
      </x:c>
      <x:c r="E112" s="66" t="n">
        <x:v>46142.9375</x:v>
      </x:c>
      <x:c r="F112" s="66" t="n">
        <x:v>46142.9375</x:v>
      </x:c>
      <x:c r="G112" s="65" t="str">
        <x:v>2026-04-30|突尼斯希望|斯法克斯</x:v>
      </x:c>
      <x:c r="H112" s="65" t="str">
        <x:v>待确认</x:v>
      </x:c>
      <x:c r="I112" s="65" t="str"/>
    </x:row>
    <x:row r="113" ht="32" customHeight="1">
      <x:c r="A113" s="65" t="str">
        <x:v>S109</x:v>
      </x:c>
      <x:c r="B113" s="65" t="str">
        <x:v>土伦杯（Maurice Revello Tournament）</x:v>
      </x:c>
      <x:c r="C113" s="65" t="str">
        <x:v>土伦杯（Maurice Revello Tournament）</x:v>
      </x:c>
      <x:c r="D113" s="82" t="n">
        <x:v>1</x:v>
      </x:c>
      <x:c r="E113" s="66" t="n">
        <x:v>46176.875</x:v>
      </x:c>
      <x:c r="F113" s="66" t="n">
        <x:v>46176.875</x:v>
      </x:c>
      <x:c r="G113" s="65" t="str">
        <x:v>2026-06-03|日本U19青年队|葡萄牙U20青年队</x:v>
      </x:c>
      <x:c r="H113" s="65" t="str">
        <x:v>待确认</x:v>
      </x:c>
      <x:c r="I113" s="65" t="str">
        <x:v>由冻结台账新增</x:v>
      </x:c>
    </x:row>
    <x:row r="114" ht="32" customHeight="1">
      <x:c r="A114" s="65" t="str">
        <x:v>S110</x:v>
      </x:c>
      <x:c r="B114" s="65" t="str">
        <x:v>危地马拉甲级联赛（Liga Guate Banrural，Clausura）</x:v>
      </x:c>
      <x:c r="C114" s="65" t="str">
        <x:v>危地马拉甲级联赛（Liga Guate Banrural，Clausura）</x:v>
      </x:c>
      <x:c r="D114" s="82" t="n">
        <x:v>1</x:v>
      </x:c>
      <x:c r="E114" s="66" t="n">
        <x:v>46078.416666666664</x:v>
      </x:c>
      <x:c r="F114" s="66" t="n">
        <x:v>46078.416666666664</x:v>
      </x:c>
      <x:c r="G114" s="65" t="str">
        <x:v>2026-02-25|安提瓜（Antigua GFC）|瓜斯塔托亚（Deportivo Guastatoya）</x:v>
      </x:c>
      <x:c r="H114" s="65" t="str">
        <x:v>待确认</x:v>
      </x:c>
      <x:c r="I114" s="65" t="str"/>
    </x:row>
    <x:row r="115" ht="32" customHeight="1">
      <x:c r="A115" s="65" t="str">
        <x:v>S111</x:v>
      </x:c>
      <x:c r="B115" s="65" t="str">
        <x:v>委内瑞拉甲级联赛（Liga FUTVE）</x:v>
      </x:c>
      <x:c r="C115" s="65" t="str">
        <x:v>委内瑞拉甲级联赛（Liga FUTVE）</x:v>
      </x:c>
      <x:c r="D115" s="82" t="n">
        <x:v>1</x:v>
      </x:c>
      <x:c r="E115" s="66" t="n">
        <x:v>46173.333333333336</x:v>
      </x:c>
      <x:c r="F115" s="66" t="n">
        <x:v>46173.333333333336</x:v>
      </x:c>
      <x:c r="G115" s="65" t="str">
        <x:v>2026-05-31|拉瓜伊拉（Deportivo La Guaira）|卡贝略港学院（Academia Puerto Cabello）</x:v>
      </x:c>
      <x:c r="H115" s="65" t="str">
        <x:v>待确认</x:v>
      </x:c>
      <x:c r="I115" s="65" t="str">
        <x:v>由冻结台账新增</x:v>
      </x:c>
    </x:row>
    <x:row r="116" ht="32" customHeight="1">
      <x:c r="A116" s="65" t="str">
        <x:v>S112</x:v>
      </x:c>
      <x:c r="B116" s="65" t="str">
        <x:v>西班牙乙级联赛</x:v>
      </x:c>
      <x:c r="C116" s="65" t="str">
        <x:v>西班牙乙级联赛</x:v>
      </x:c>
      <x:c r="D116" s="82" t="n">
        <x:v>1</x:v>
      </x:c>
      <x:c r="E116" s="66" t="n">
        <x:v>46110.833333333336</x:v>
      </x:c>
      <x:c r="F116" s="66" t="n">
        <x:v>46110.833333333336</x:v>
      </x:c>
      <x:c r="G116" s="65" t="str">
        <x:v>2026-03-29|埃瓦尔（SD Eibar）|拉斯帕尔马斯（UD Las Palmas）</x:v>
      </x:c>
      <x:c r="H116" s="65" t="str">
        <x:v>待确认</x:v>
      </x:c>
      <x:c r="I116" s="65" t="str"/>
    </x:row>
    <x:row r="117" ht="32" customHeight="1">
      <x:c r="A117" s="65" t="str">
        <x:v>S113</x:v>
      </x:c>
      <x:c r="B117" s="65" t="str">
        <x:v>亚洲杯预选赛第三轮</x:v>
      </x:c>
      <x:c r="C117" s="65" t="str">
        <x:v>亚洲杯预选赛第三轮</x:v>
      </x:c>
      <x:c r="D117" s="82" t="n">
        <x:v>1</x:v>
      </x:c>
      <x:c r="E117" s="66" t="n">
        <x:v>46112.895833333336</x:v>
      </x:c>
      <x:c r="F117" s="66" t="n">
        <x:v>46112.895833333336</x:v>
      </x:c>
      <x:c r="G117" s="65" t="str">
        <x:v>2026-03-31|印度|中国香港</x:v>
      </x:c>
      <x:c r="H117" s="65" t="str">
        <x:v>待确认</x:v>
      </x:c>
      <x:c r="I117" s="65" t="str"/>
    </x:row>
    <x:row r="118" ht="32" customHeight="1">
      <x:c r="A118" s="65" t="str">
        <x:v>S114</x:v>
      </x:c>
      <x:c r="B118" s="65" t="str">
        <x:v>伊朗甲级联赛（Azadegan League）</x:v>
      </x:c>
      <x:c r="C118" s="65" t="str">
        <x:v>伊朗甲级联赛（Azadegan League）</x:v>
      </x:c>
      <x:c r="D118" s="82" t="n">
        <x:v>1</x:v>
      </x:c>
      <x:c r="E118" s="66" t="n">
        <x:v>46182.895833333336</x:v>
      </x:c>
      <x:c r="F118" s="66" t="n">
        <x:v>46182.895833333336</x:v>
      </x:c>
      <x:c r="G118" s="65" t="str">
        <x:v>2026-06-09|塞帕|哈瓦达尔</x:v>
      </x:c>
      <x:c r="H118" s="65" t="str">
        <x:v>待确认</x:v>
      </x:c>
      <x:c r="I118" s="65" t="str">
        <x:v>由冻结台账新增</x:v>
      </x:c>
    </x:row>
    <x:row r="119" ht="32" customHeight="1">
      <x:c r="A119" s="65" t="str">
        <x:v>S115</x:v>
      </x:c>
      <x:c r="B119" s="65" t="str">
        <x:v>意大利杯（Coppa Italia）</x:v>
      </x:c>
      <x:c r="C119" s="65" t="str">
        <x:v>意大利杯（Coppa Italia）</x:v>
      </x:c>
      <x:c r="D119" s="82" t="n">
        <x:v>1</x:v>
      </x:c>
      <x:c r="E119" s="66" t="n">
        <x:v>46057.15625</x:v>
      </x:c>
      <x:c r="F119" s="66" t="n">
        <x:v>46057.15625</x:v>
      </x:c>
      <x:c r="G119" s="65" t="str">
        <x:v>2026-02-04|博洛尼亚（Bologna）|AC米兰（AC Milan）</x:v>
      </x:c>
      <x:c r="H119" s="65" t="str">
        <x:v>待确认</x:v>
      </x:c>
      <x:c r="I119" s="65" t="str"/>
    </x:row>
    <x:row r="120" ht="32" customHeight="1">
      <x:c r="A120" s="65" t="str">
        <x:v>S116</x:v>
      </x:c>
      <x:c r="B120" s="65" t="str">
        <x:v>英格兰联赛杯</x:v>
      </x:c>
      <x:c r="C120" s="65" t="str">
        <x:v>英格兰联赛杯</x:v>
      </x:c>
      <x:c r="D120" s="82" t="n">
        <x:v>1</x:v>
      </x:c>
      <x:c r="E120" s="66" t="n">
        <x:v>46057.166666666664</x:v>
      </x:c>
      <x:c r="F120" s="66" t="n">
        <x:v>46057.166666666664</x:v>
      </x:c>
      <x:c r="G120" s="65" t="str">
        <x:v>2026-02-04|阿森纳（Arsenal）|切尔西（Chelsea）</x:v>
      </x:c>
      <x:c r="H120" s="65" t="str">
        <x:v>待确认</x:v>
      </x:c>
      <x:c r="I120" s="65" t="str"/>
    </x:row>
    <x:row r="121" ht="32" customHeight="1">
      <x:c r="A121" s="65" t="str">
        <x:v>S117</x:v>
      </x:c>
      <x:c r="B121" s="65" t="str">
        <x:v>英甲</x:v>
      </x:c>
      <x:c r="C121" s="65" t="str">
        <x:v>英甲</x:v>
      </x:c>
      <x:c r="D121" s="82" t="n">
        <x:v>1</x:v>
      </x:c>
      <x:c r="E121" s="66" t="n">
        <x:v>46088.958333333336</x:v>
      </x:c>
      <x:c r="F121" s="66" t="n">
        <x:v>46088.958333333336</x:v>
      </x:c>
      <x:c r="G121" s="65" t="str">
        <x:v>2026-03-07|查尔顿竞技|伯明翰城</x:v>
      </x:c>
      <x:c r="H121" s="65" t="str">
        <x:v>待确认</x:v>
      </x:c>
      <x:c r="I121" s="65" t="str"/>
    </x:row>
    <x:row r="122" ht="32" customHeight="1">
      <x:c r="A122" s="65" t="str">
        <x:v>S118</x:v>
      </x:c>
      <x:c r="B122" s="65" t="str">
        <x:v>约旦联赛</x:v>
      </x:c>
      <x:c r="C122" s="65" t="str">
        <x:v>约旦联赛</x:v>
      </x:c>
      <x:c r="D122" s="82" t="n">
        <x:v>1</x:v>
      </x:c>
      <x:c r="E122" s="66" t="n">
        <x:v>46065.916666666664</x:v>
      </x:c>
      <x:c r="F122" s="66" t="n">
        <x:v>46065.916666666664</x:v>
      </x:c>
      <x:c r="G122" s="65" t="str">
        <x:v>2026-02-12|爱尔利（阿赫利安曼，Al Ahli Jordan）|艾沙尔特（Al Salt）</x:v>
      </x:c>
      <x:c r="H122" s="65" t="str">
        <x:v>待确认</x:v>
      </x:c>
      <x:c r="I122" s="65" t="str"/>
    </x:row>
    <x:row r="123" ht="32" customHeight="1">
      <x:c r="A123" s="65" t="str">
        <x:v>S119</x:v>
      </x:c>
      <x:c r="B123" s="65" t="str">
        <x:v>越南V联赛1</x:v>
      </x:c>
      <x:c r="C123" s="65" t="str">
        <x:v>越南V联赛1</x:v>
      </x:c>
      <x:c r="D123" s="82" t="n">
        <x:v>1</x:v>
      </x:c>
      <x:c r="E123" s="66" t="n">
        <x:v>46062.75</x:v>
      </x:c>
      <x:c r="F123" s="66" t="n">
        <x:v>46062.75</x:v>
      </x:c>
      <x:c r="G123" s="65" t="str">
        <x:v>2026-02-09|南定（Thép Xanh Nam Định）|河静鸿岭（Hồng Lĩnh Hà Tĩnh）</x:v>
      </x:c>
      <x:c r="H123" s="65" t="str">
        <x:v>待确认</x:v>
      </x:c>
      <x:c r="I123" s="65" t="str"/>
    </x:row>
    <x:row r="124" ht="32" customHeight="1">
      <x:c r="A124" s="65" t="str">
        <x:v>S120</x:v>
      </x:c>
      <x:c r="B124" s="65" t="str">
        <x:v>中国足球甲级联赛</x:v>
      </x:c>
      <x:c r="C124" s="65" t="str">
        <x:v>中国足球甲级联赛</x:v>
      </x:c>
      <x:c r="D124" s="82" t="n">
        <x:v>1</x:v>
      </x:c>
      <x:c r="E124" s="66" t="n">
        <x:v>46187.791666666664</x:v>
      </x:c>
      <x:c r="F124" s="66" t="n">
        <x:v>46187.791666666664</x:v>
      </x:c>
      <x:c r="G124" s="65" t="str">
        <x:v>2026-06-14|深圳青年人|广西恒宸</x:v>
      </x:c>
      <x:c r="H124" s="65" t="str">
        <x:v>待确认</x:v>
      </x:c>
      <x:c r="I124" s="65" t="str">
        <x:v>由冻结台账新增</x:v>
      </x:c>
    </x:row>
    <x:row r="125" ht="32" customHeight="1">
      <x:c r="A125" s="65" t="str">
        <x:v>S121</x:v>
      </x:c>
      <x:c r="B125" s="65" t="str">
        <x:v>FIFA系列赛（澳大利亚赛区）</x:v>
      </x:c>
      <x:c r="C125" s="65" t="str">
        <x:v>FIFA系列赛（澳大利亚赛区）</x:v>
      </x:c>
      <x:c r="D125" s="82" t="n">
        <x:v>1</x:v>
      </x:c>
      <x:c r="E125" s="66" t="n">
        <x:v>46112.583333333336</x:v>
      </x:c>
      <x:c r="F125" s="66" t="n">
        <x:v>46112.583333333336</x:v>
      </x:c>
      <x:c r="G125" s="65" t="str">
        <x:v>2026-03-31|喀麦隆|中国</x:v>
      </x:c>
      <x:c r="H125" s="65" t="str">
        <x:v>待确认</x:v>
      </x:c>
      <x:c r="I125" s="65" t="str"/>
    </x:row>
    <x:row r="126" ht="32" customHeight="1">
      <x:c r="A126" s="65" t="str">
        <x:v>S122</x:v>
      </x:c>
      <x:c r="B126" s="65" t="str">
        <x:v>U21国际友谊赛</x:v>
      </x:c>
      <x:c r="C126" s="65" t="str">
        <x:v>U21国际友谊赛</x:v>
      </x:c>
      <x:c r="D126" s="82" t="n">
        <x:v>1</x:v>
      </x:c>
      <x:c r="E126" s="66" t="n">
        <x:v>46177.958333333336</x:v>
      </x:c>
      <x:c r="F126" s="66" t="n">
        <x:v>46177.958333333336</x:v>
      </x:c>
      <x:c r="G126" s="65" t="str">
        <x:v>2026-06-04|瑞典U21|芬兰U21</x:v>
      </x:c>
      <x:c r="H126" s="65" t="str">
        <x:v>待确认</x:v>
      </x:c>
      <x:c r="I126" s="65" t="str">
        <x:v>由冻结台账新增</x:v>
      </x:c>
    </x:row>
    <x:row r="127" ht="32" customHeight="1">
      <x:c r="A127" s="65" t="str">
        <x:v>S123</x:v>
      </x:c>
      <x:c r="B127" s="65" t="str">
        <x:v>阿甲</x:v>
      </x:c>
      <x:c r="C127" s="65" t="str">
        <x:v>阿甲</x:v>
      </x:c>
      <x:c r="D127" s="82" t="n">
        <x:v>0</x:v>
      </x:c>
      <x:c r="E127" s="66"/>
      <x:c r="F127" s="66"/>
      <x:c r="G127" s="65" t="str"/>
      <x:c r="H127" s="65" t="str">
        <x:v>待确认</x:v>
      </x:c>
      <x:c r="I127" s="65" t="str"/>
    </x:row>
    <x:row r="128" ht="32" customHeight="1">
      <x:c r="A128" s="65" t="str">
        <x:v>S124</x:v>
      </x:c>
      <x:c r="B128" s="65" t="str">
        <x:v>埃及超冠军组</x:v>
      </x:c>
      <x:c r="C128" s="65" t="str">
        <x:v>埃及超冠军组</x:v>
      </x:c>
      <x:c r="D128" s="82" t="n">
        <x:v>0</x:v>
      </x:c>
      <x:c r="E128" s="66"/>
      <x:c r="F128" s="66"/>
      <x:c r="G128" s="65" t="str"/>
      <x:c r="H128" s="65" t="str">
        <x:v>待确认</x:v>
      </x:c>
      <x:c r="I128" s="65" t="str"/>
    </x:row>
    <x:row r="129" ht="32" customHeight="1">
      <x:c r="A129" s="65" t="str">
        <x:v>S125</x:v>
      </x:c>
      <x:c r="B129" s="65" t="str">
        <x:v>澳昆杯</x:v>
      </x:c>
      <x:c r="C129" s="65" t="str">
        <x:v>澳昆杯</x:v>
      </x:c>
      <x:c r="D129" s="82" t="n">
        <x:v>0</x:v>
      </x:c>
      <x:c r="E129" s="66"/>
      <x:c r="F129" s="66"/>
      <x:c r="G129" s="65" t="str"/>
      <x:c r="H129" s="65" t="str">
        <x:v>待确认</x:v>
      </x:c>
      <x:c r="I129" s="65" t="str"/>
    </x:row>
    <x:row r="130" ht="32" customHeight="1">
      <x:c r="A130" s="65" t="str">
        <x:v>S126</x:v>
      </x:c>
      <x:c r="B130" s="65" t="str">
        <x:v>德乙/2. Bundesliga</x:v>
      </x:c>
      <x:c r="C130" s="65" t="str">
        <x:v>德乙/2. Bundesliga</x:v>
      </x:c>
      <x:c r="D130" s="82" t="n">
        <x:v>0</x:v>
      </x:c>
      <x:c r="E130" s="66"/>
      <x:c r="F130" s="66"/>
      <x:c r="G130" s="65" t="str"/>
      <x:c r="H130" s="65" t="str">
        <x:v>待确认</x:v>
      </x:c>
      <x:c r="I130" s="65" t="str"/>
    </x:row>
    <x:row r="131" ht="32" customHeight="1">
      <x:c r="A131" s="65" t="str">
        <x:v>S127</x:v>
      </x:c>
      <x:c r="B131" s="65" t="str">
        <x:v>国际足联世界杯（FIFA World Cup）</x:v>
      </x:c>
      <x:c r="C131" s="65" t="str">
        <x:v>国际足联世界杯</x:v>
      </x:c>
      <x:c r="D131" s="82" t="n">
        <x:v>0</x:v>
      </x:c>
      <x:c r="E131" s="66"/>
      <x:c r="F131" s="66"/>
      <x:c r="G131" s="65" t="str"/>
      <x:c r="H131" s="65" t="str">
        <x:v>已规范</x:v>
      </x:c>
      <x:c r="I131" s="65" t="str">
        <x:v>按既有规范清单统一</x:v>
      </x:c>
    </x:row>
    <x:row r="132" ht="32" customHeight="1">
      <x:c r="A132" s="65" t="str">
        <x:v>S128</x:v>
      </x:c>
      <x:c r="B132" s="65" t="str">
        <x:v>日本プロ野球</x:v>
      </x:c>
      <x:c r="C132" s="65" t="str">
        <x:v>日本职业棒球联赛（NPB）</x:v>
      </x:c>
      <x:c r="D132" s="82" t="n">
        <x:v>0</x:v>
      </x:c>
      <x:c r="E132" s="66"/>
      <x:c r="F132" s="66"/>
      <x:c r="G132" s="65" t="str"/>
      <x:c r="H132" s="65" t="str">
        <x:v>已规范</x:v>
      </x:c>
      <x:c r="I132" s="65" t="str">
        <x:v>按既有规范清单统一</x:v>
      </x:c>
    </x:row>
    <x:row r="133" ht="32" customHeight="1">
      <x:c r="A133" s="65" t="str">
        <x:v>S129</x:v>
      </x:c>
      <x:c r="B133" s="65" t="str">
        <x:v>日职 明治安田J2·J3百年构想联赛（地域联赛轮 EAST-A）</x:v>
      </x:c>
      <x:c r="C133" s="65" t="str">
        <x:v>日职 明治安田J2·J3百年构想联赛</x:v>
      </x:c>
      <x:c r="D133" s="82" t="n">
        <x:v>0</x:v>
      </x:c>
      <x:c r="E133" s="66"/>
      <x:c r="F133" s="66"/>
      <x:c r="G133" s="65" t="str"/>
      <x:c r="H133" s="65" t="str">
        <x:v>待确认</x:v>
      </x:c>
      <x:c r="I133" s="65" t="str"/>
    </x:row>
    <x:row r="134" ht="32" customHeight="1">
      <x:c r="A134" s="65" t="str">
        <x:v>S130</x:v>
      </x:c>
      <x:c r="B134" s="65" t="str">
        <x:v>世界杯</x:v>
      </x:c>
      <x:c r="C134" s="65" t="str">
        <x:v>国际足联世界杯</x:v>
      </x:c>
      <x:c r="D134" s="82" t="n">
        <x:v>0</x:v>
      </x:c>
      <x:c r="E134" s="66"/>
      <x:c r="F134" s="66"/>
      <x:c r="G134" s="65" t="str"/>
      <x:c r="H134" s="65" t="str">
        <x:v>已规范</x:v>
      </x:c>
      <x:c r="I134" s="65" t="str">
        <x:v>按既有规范清单统一</x:v>
      </x:c>
    </x:row>
    <x:row r="135" ht="32" customHeight="1">
      <x:c r="A135" s="65" t="str">
        <x:v>S131</x:v>
      </x:c>
      <x:c r="B135" s="65" t="str">
        <x:v>印尼超（Liga 1）</x:v>
      </x:c>
      <x:c r="C135" s="65" t="str">
        <x:v>印度尼西亚超级联赛（印尼超/Liga 1 Indonesia）</x:v>
      </x:c>
      <x:c r="D135" s="82" t="n">
        <x:v>0</x:v>
      </x:c>
      <x:c r="E135" s="66"/>
      <x:c r="F135" s="66"/>
      <x:c r="G135" s="65" t="str"/>
      <x:c r="H135" s="65" t="str">
        <x:v>已建议</x:v>
      </x:c>
      <x:c r="I135" s="65" t="str">
        <x:v>按既有规范清单建议统一名称</x:v>
      </x:c>
    </x:row>
    <x:row r="136" ht="32" customHeight="1">
      <x:c r="A136" s="65" t="str">
        <x:v>S132</x:v>
      </x:c>
      <x:c r="B136" s="65" t="str">
        <x:v>中北美冠军杯</x:v>
      </x:c>
      <x:c r="C136" s="65" t="str">
        <x:v>中北美冠军杯</x:v>
      </x:c>
      <x:c r="D136" s="82" t="n">
        <x:v>0</x:v>
      </x:c>
      <x:c r="E136" s="66"/>
      <x:c r="F136" s="66"/>
      <x:c r="G136" s="65" t="str"/>
      <x:c r="H136" s="65" t="str">
        <x:v>待确认</x:v>
      </x:c>
      <x:c r="I136" s="65" t="str"/>
    </x:row>
    <x:row r="137" ht="32" customHeight="1">
      <x:c r="A137" s="65" t="str">
        <x:v>S133</x:v>
      </x:c>
      <x:c r="B137" s="65" t="str">
        <x:v>Colombian Primera A</x:v>
      </x:c>
      <x:c r="C137" s="65" t="str">
        <x:v>哥伦比亚甲级联赛（Liga BetPlay DIMAYOR）</x:v>
      </x:c>
      <x:c r="D137" s="82" t="n">
        <x:v>0</x:v>
      </x:c>
      <x:c r="E137" s="66"/>
      <x:c r="F137" s="66"/>
      <x:c r="G137" s="65" t="str"/>
      <x:c r="H137" s="65" t="str">
        <x:v>已规范</x:v>
      </x:c>
      <x:c r="I137" s="65" t="str">
        <x:v>按既有规范清单统一</x:v>
      </x:c>
    </x:row>
    <x:row r="138" ht="32" customHeight="1">
      <x:c r="A138" s="65" t="str">
        <x:v>S134</x:v>
      </x:c>
      <x:c r="B138" s="65" t="str">
        <x:v>FIFA世界杯</x:v>
      </x:c>
      <x:c r="C138" s="65" t="str">
        <x:v>国际足联世界杯</x:v>
      </x:c>
      <x:c r="D138" s="82" t="n">
        <x:v>0</x:v>
      </x:c>
      <x:c r="E138" s="66"/>
      <x:c r="F138" s="66"/>
      <x:c r="G138" s="65" t="str"/>
      <x:c r="H138" s="65" t="str">
        <x:v>已规范</x:v>
      </x:c>
      <x:c r="I138" s="65" t="str">
        <x:v>按既有规范清单统一</x:v>
      </x:c>
    </x:row>
    <x:row r="139" ht="32" customHeight="1">
      <x:c r="A139" s="65" t="str">
        <x:v>S135</x:v>
      </x:c>
      <x:c r="B139" s="65" t="str">
        <x:v>Liga 1 Indonesia</x:v>
      </x:c>
      <x:c r="C139" s="65" t="str">
        <x:v>印度尼西亚超级联赛（印尼超/Liga 1 Indonesia）</x:v>
      </x:c>
      <x:c r="D139" s="82" t="n">
        <x:v>0</x:v>
      </x:c>
      <x:c r="E139" s="66"/>
      <x:c r="F139" s="66"/>
      <x:c r="G139" s="65" t="str"/>
      <x:c r="H139" s="65" t="str">
        <x:v>已规范</x:v>
      </x:c>
      <x:c r="I139" s="65" t="str">
        <x:v>按既有规范清单统一</x:v>
      </x:c>
    </x:row>
    <x:row r="140" ht="32" customHeight="1">
      <x:c r="A140" s="65" t="str">
        <x:v>S136</x:v>
      </x:c>
      <x:c r="B140" s="65" t="str">
        <x:v>Liga BetPlay DIMAYOR</x:v>
      </x:c>
      <x:c r="C140" s="65" t="str">
        <x:v>哥伦比亚甲级联赛（Liga BetPlay DIMAYOR）</x:v>
      </x:c>
      <x:c r="D140" s="82" t="n">
        <x:v>0</x:v>
      </x:c>
      <x:c r="E140" s="66"/>
      <x:c r="F140" s="66"/>
      <x:c r="G140" s="65" t="str"/>
      <x:c r="H140" s="65" t="str">
        <x:v>已规范</x:v>
      </x:c>
      <x:c r="I140" s="65" t="str">
        <x:v>按既有规范清单统一</x:v>
      </x:c>
    </x:row>
    <x:row r="141" ht="32" customHeight="1">
      <x:c r="A141" s="65" t="str">
        <x:v>S137</x:v>
      </x:c>
      <x:c r="B141" s="65" t="str">
        <x:v>Major League Baseball</x:v>
      </x:c>
      <x:c r="C141" s="65" t="str">
        <x:v>美国职业棒球大联盟（MLB）</x:v>
      </x:c>
      <x:c r="D141" s="82" t="n">
        <x:v>0</x:v>
      </x:c>
      <x:c r="E141" s="66"/>
      <x:c r="F141" s="66"/>
      <x:c r="G141" s="65" t="str"/>
      <x:c r="H141" s="65" t="str">
        <x:v>已规范</x:v>
      </x:c>
      <x:c r="I141" s="65" t="str">
        <x:v>按既有规范清单统一</x:v>
      </x:c>
    </x:row>
    <x:row r="142" ht="32" customHeight="1">
      <x:c r="A142" s="65" t="str">
        <x:v>S138</x:v>
      </x:c>
      <x:c r="B142" s="65" t="str">
        <x:v>MLB</x:v>
      </x:c>
      <x:c r="C142" s="65" t="str">
        <x:v>美国职业棒球大联盟（MLB）</x:v>
      </x:c>
      <x:c r="D142" s="82" t="n">
        <x:v>0</x:v>
      </x:c>
      <x:c r="E142" s="66"/>
      <x:c r="F142" s="66"/>
      <x:c r="G142" s="65" t="str"/>
      <x:c r="H142" s="65" t="str">
        <x:v>已规范</x:v>
      </x:c>
      <x:c r="I142" s="65" t="str">
        <x:v>按既有规范清单统一</x:v>
      </x:c>
    </x:row>
    <x:row r="143" ht="32" customHeight="1">
      <x:c r="A143" s="65" t="str">
        <x:v>S139</x:v>
      </x:c>
      <x:c r="B143" s="65" t="str">
        <x:v>Nippon Professional Baseball</x:v>
      </x:c>
      <x:c r="C143" s="65" t="str">
        <x:v>日本职业棒球联赛（NPB）</x:v>
      </x:c>
      <x:c r="D143" s="82" t="n">
        <x:v>0</x:v>
      </x:c>
      <x:c r="E143" s="66"/>
      <x:c r="F143" s="66"/>
      <x:c r="G143" s="65" t="str"/>
      <x:c r="H143" s="65" t="str">
        <x:v>已规范</x:v>
      </x:c>
      <x:c r="I143" s="65" t="str">
        <x:v>按既有规范清单统一</x:v>
      </x:c>
    </x:row>
    <x:row r="144" ht="32" customHeight="1">
      <x:c r="A144" s="65" t="str">
        <x:v>S140</x:v>
      </x:c>
      <x:c r="B144" s="65" t="str">
        <x:v>NPB</x:v>
      </x:c>
      <x:c r="C144" s="65" t="str">
        <x:v>日本职业棒球联赛（NPB）</x:v>
      </x:c>
      <x:c r="D144" s="82" t="n">
        <x:v>0</x:v>
      </x:c>
      <x:c r="E144" s="66"/>
      <x:c r="F144" s="66"/>
      <x:c r="G144" s="65" t="str"/>
      <x:c r="H144" s="65" t="str">
        <x:v>已规范</x:v>
      </x:c>
      <x:c r="I144" s="65" t="str">
        <x:v>按既有规范清单统一</x:v>
      </x:c>
    </x:row>
    <x:row r="145" ht="32" customHeight="1">
      <x:c r="A145" s="68" t="str">
        <x:v>S141</x:v>
      </x:c>
      <x:c r="B145" s="68" t="str">
        <x:v>Ykkösliiga</x:v>
      </x:c>
      <x:c r="C145" s="68" t="str">
        <x:v>芬兰足球甲级联赛（Ykkösliiga，芬兰第二级别）</x:v>
      </x:c>
      <x:c r="D145" s="83" t="n">
        <x:v>0</x:v>
      </x:c>
      <x:c r="E145" s="69"/>
      <x:c r="F145" s="69"/>
      <x:c r="G145" s="68" t="str"/>
      <x:c r="H145" s="68" t="str">
        <x:v>已规范</x:v>
      </x:c>
      <x:c r="I145" s="68" t="str">
        <x:v>按既有规范清单统一</x:v>
      </x:c>
    </x:row>
    <x:row r="146" ht="24" customHeight="1">
      <x:c r="A146" s="519" t="str">
        <x:v>S142</x:v>
      </x:c>
      <x:c r="B146" s="519" t="str">
        <x:v>UEFA Champions League</x:v>
      </x:c>
      <x:c r="C146" s="519" t="str">
        <x:v>欧洲冠军联赛（UEFA Champions League）</x:v>
      </x:c>
      <x:c r="D146" s="520" t="n">
        <x:v>10</x:v>
      </x:c>
      <x:c r="E146" s="521" t="n">
        <x:v>46217.95833333333</x:v>
      </x:c>
      <x:c r="F146" s="521" t="n">
        <x:v>46218.125</x:v>
      </x:c>
      <x:c r="G146" s="519" t="str">
        <x:v>2026-07-15|伊比利亚第比利斯（FC Iberia 1999）|塔林弗洛拉（Flora Tallinn）</x:v>
      </x:c>
      <x:c r="H146" s="519" t="str">
        <x:v>待确认</x:v>
      </x:c>
      <x:c r="I146" s="519" t="str">
        <x:v>本次官方赛程来源名称，待确认</x:v>
      </x:c>
    </x:row>
    <x:row r="147" ht="24" customHeight="1">
      <x:c r="A147" s="522" t="str">
        <x:v>S143</x:v>
      </x:c>
      <x:c r="B147" s="522" t="str">
        <x:v>FIFA World Cup</x:v>
      </x:c>
      <x:c r="C147" s="522" t="str">
        <x:v>国际足联世界杯</x:v>
      </x:c>
      <x:c r="D147" s="523" t="n">
        <x:v>1</x:v>
      </x:c>
      <x:c r="E147" s="524" t="n">
        <x:v>46218.125</x:v>
      </x:c>
      <x:c r="F147" s="524" t="n">
        <x:v>46218.125</x:v>
      </x:c>
      <x:c r="G147" s="522" t="str">
        <x:v>2026-07-15|法国|西班牙</x:v>
      </x:c>
      <x:c r="H147" s="522" t="str">
        <x:v>待确认</x:v>
      </x:c>
      <x:c r="I147" s="522" t="str">
        <x:v>本次官方赛程来源名称，待确认</x:v>
      </x:c>
    </x:row>
    <x:row r="148" ht="24" customHeight="1">
      <x:c r="A148" s="531" t="str">
        <x:v>S144</x:v>
      </x:c>
      <x:c r="B148" s="531" t="str">
        <x:v>Scotland, League Cup</x:v>
      </x:c>
      <x:c r="C148" s="531" t="str">
        <x:v>苏格兰联赛杯（Scottish League Cup）</x:v>
      </x:c>
      <x:c r="D148" s="532" t="n">
        <x:v>13</x:v>
      </x:c>
      <x:c r="E148" s="533" t="n">
        <x:v>46218.11458333333</x:v>
      </x:c>
      <x:c r="F148" s="533" t="n">
        <x:v>46218.11458333333</x:v>
      </x:c>
      <x:c r="G148" s="531" t="str">
        <x:v>2026-07-15|凯尔蒂赫斯（Kelty Hearts）|女王公园（Queen's Park）</x:v>
      </x:c>
      <x:c r="H148" s="531" t="str">
        <x:v>待确认</x:v>
      </x:c>
      <x:c r="I148" s="531" t="str">
        <x:v>本次官方赛程来源名称，待确认</x:v>
      </x:c>
    </x:row>
    <x:row r="149" ht="24" customHeight="1">
      <x:c r="A149" s="534" t="str">
        <x:v>S145</x:v>
      </x:c>
      <x:c r="B149" s="534" t="str">
        <x:v>Argentina, Primera B Metropolitana</x:v>
      </x:c>
      <x:c r="C149" s="534" t="str">
        <x:v>阿根廷大都会乙级联赛（Primera B Metropolitana）</x:v>
      </x:c>
      <x:c r="D149" s="535" t="n">
        <x:v>10</x:v>
      </x:c>
      <x:c r="E149" s="536" t="n">
        <x:v>46218.08333333333</x:v>
      </x:c>
      <x:c r="F149" s="536" t="n">
        <x:v>46218.25</x:v>
      </x:c>
      <x:c r="G149" s="534" t="str">
        <x:v>2026-07-15|阿根廷基尔梅斯（Argentino de Quilmes）|萨兰迪兵工厂（Arsenal de Sarandí）</x:v>
      </x:c>
      <x:c r="H149" s="534" t="str">
        <x:v>待确认</x:v>
      </x:c>
      <x:c r="I149" s="534" t="str">
        <x:v>本次官方赛程来源名称，待确认</x:v>
      </x:c>
    </x:row>
    <x:row r="150" ht="24" customHeight="1">
      <x:c r="A150" s="531" t="str">
        <x:v>S146</x:v>
      </x:c>
      <x:c r="B150" s="531" t="str">
        <x:v>Ecuador, LigaPro Primera A</x:v>
      </x:c>
      <x:c r="C150" s="531" t="str">
        <x:v>厄瓜多尔甲级联赛（LigaPro Serie A）</x:v>
      </x:c>
      <x:c r="D150" s="532" t="n">
        <x:v>1</x:v>
      </x:c>
      <x:c r="E150" s="533" t="n">
        <x:v>46218.22916666667</x:v>
      </x:c>
      <x:c r="F150" s="533" t="n">
        <x:v>46218.22916666667</x:v>
      </x:c>
      <x:c r="G150" s="531" t="str">
        <x:v>2026-07-15|马卡拉（CSD Macará）|穆舒克鲁纳（Mushuc Runa）</x:v>
      </x:c>
      <x:c r="H150" s="531" t="str">
        <x:v>待确认</x:v>
      </x:c>
      <x:c r="I150" s="531" t="str">
        <x:v>本次官方赛程来源名称，待确认</x:v>
      </x:c>
    </x:row>
    <x:row r="151" ht="24" customHeight="1">
      <x:c r="A151" s="534" t="str">
        <x:v>S147</x:v>
      </x:c>
      <x:c r="B151" s="534" t="str">
        <x:v>Australia, Australia Cup</x:v>
      </x:c>
      <x:c r="C151" s="534" t="str">
        <x:v>澳大利亚杯（Australia Cup）</x:v>
      </x:c>
      <x:c r="D151" s="535" t="n">
        <x:v>2</x:v>
      </x:c>
      <x:c r="E151" s="536" t="n">
        <x:v>46218.72916666667</x:v>
      </x:c>
      <x:c r="F151" s="536" t="n">
        <x:v>46218.75</x:v>
      </x:c>
      <x:c r="G151" s="534" t="str">
        <x:v>2026-07-15|马林海岸流浪者（Marlin Coast Rangers）|布伦瑞克尤文图斯（Brunswick Juventus）</x:v>
      </x:c>
      <x:c r="H151" s="534" t="str">
        <x:v>待确认</x:v>
      </x:c>
      <x:c r="I151" s="534" t="str">
        <x:v>本次官方赛程来源名称，待确认</x:v>
      </x:c>
    </x:row>
    <x:row r="152">
      <x:c r="A152" t="str">
        <x:v>S148</x:v>
      </x:c>
      <x:c r="B152" t="str">
        <x:v>World, Club Friendlies</x:v>
      </x:c>
      <x:c r="C152" t="str">
        <x:v>国际俱乐部友谊赛</x:v>
      </x:c>
      <x:c r="D152" t="n">
        <x:v>17</x:v>
      </x:c>
      <x:c r="E152" s="39" t="n">
        <x:v>46218.79166666667</x:v>
      </x:c>
      <x:c r="F152" s="39" t="n">
        <x:v>46219.41666666667</x:v>
      </x:c>
      <x:c r="G152" t="str">
        <x:v>2026-07-15|罗斯托夫（FC Rostov）|沃罗涅日火炬（Fakel Voronezh）</x:v>
      </x:c>
      <x:c r="H152" t="str">
        <x:v>待确认</x:v>
      </x:c>
      <x:c r="I152" t="str">
        <x:v>本次全量赛程来源名称，待确认</x:v>
      </x:c>
    </x:row>
    <x:row r="153">
      <x:c r="A153" t="str">
        <x:v>S149</x:v>
      </x:c>
      <x:c r="B153" t="str">
        <x:v>Kazakhstan, Cup</x:v>
      </x:c>
      <x:c r="C153" t="str">
        <x:v>哈萨克斯坦杯</x:v>
      </x:c>
      <x:c r="D153" t="n">
        <x:v>1</x:v>
      </x:c>
      <x:c r="E153" s="39" t="n">
        <x:v>46218.95833333333</x:v>
      </x:c>
      <x:c r="F153" s="39" t="n">
        <x:v>46218.95833333333</x:v>
      </x:c>
      <x:c r="G153" t="str">
        <x:v>2026-07-15|奥达巴斯（Ordabasy）|阿尔泰塞梅（Altai Semey）</x:v>
      </x:c>
      <x:c r="H153" t="str">
        <x:v>待确认</x:v>
      </x:c>
      <x:c r="I153" t="str">
        <x:v>本次全量赛程来源名称，待确认</x:v>
      </x:c>
    </x:row>
    <x:row r="154">
      <x:c r="A154" t="str">
        <x:v>S150</x:v>
      </x:c>
      <x:c r="B154" t="str">
        <x:v>Germany, Oberliga Bayern North</x:v>
      </x:c>
      <x:c r="C154" t="str">
        <x:v>德国巴伐利亚北部高级联赛</x:v>
      </x:c>
      <x:c r="D154" t="n">
        <x:v>1</x:v>
      </x:c>
      <x:c r="E154" s="39" t="n">
        <x:v>46219.02083333333</x:v>
      </x:c>
      <x:c r="F154" s="39" t="n">
        <x:v>46219.02083333333</x:v>
      </x:c>
      <x:c r="G154" t="str">
        <x:v>2026-07-16|DJK阿默塔尔（DJK Ammerthal）|ASV诺伊马克特（ASV Neumarkt）</x:v>
      </x:c>
      <x:c r="H154" t="str">
        <x:v>待确认</x:v>
      </x:c>
      <x:c r="I154" t="str">
        <x:v>本次全量赛程来源名称，待确认</x:v>
      </x:c>
    </x:row>
    <x:row r="155">
      <x:c r="A155" t="str">
        <x:v>S151</x:v>
      </x:c>
      <x:c r="B155" t="str">
        <x:v>Ecuador, Serie B</x:v>
      </x:c>
      <x:c r="C155" t="str">
        <x:v>厄瓜多尔乙级联赛</x:v>
      </x:c>
      <x:c r="D155" t="n">
        <x:v>1</x:v>
      </x:c>
      <x:c r="E155" s="39" t="n">
        <x:v>46219.14583333333</x:v>
      </x:c>
      <x:c r="F155" s="39" t="n">
        <x:v>46219.14583333333</x:v>
      </x:c>
      <x:c r="G155" t="str">
        <x:v>2026-07-16|维诺廷托（Vinotinto del Ecuador）|民族竞技（El Nacional）</x:v>
      </x:c>
      <x:c r="H155" t="str">
        <x:v>待确认</x:v>
      </x:c>
      <x:c r="I155" t="str">
        <x:v>本次全量赛程来源名称，待确认</x:v>
      </x:c>
    </x:row>
    <x:row r="156">
      <x:c r="A156" t="str">
        <x:v>S152</x:v>
      </x:c>
      <x:c r="B156" t="str">
        <x:v>USA, NWSL</x:v>
      </x:c>
      <x:c r="C156" t="str">
        <x:v>美国国家女子足球联赛（NWSL）</x:v>
      </x:c>
      <x:c r="D156" t="n">
        <x:v>2</x:v>
      </x:c>
      <x:c r="E156" s="39" t="n">
        <x:v>46219.29166666667</x:v>
      </x:c>
      <x:c r="F156" s="39" t="n">
        <x:v>46219.33333333333</x:v>
      </x:c>
      <x:c r="G156" t="str">
        <x:v>2026-07-16|奥兰多荣耀（Orlando Pride）|波士顿传承（Boston Legacy FC）</x:v>
      </x:c>
      <x:c r="H156" t="str">
        <x:v>待确认</x:v>
      </x:c>
      <x:c r="I156" t="str">
        <x:v>本次全量赛程来源名称，待确认</x:v>
      </x:c>
    </x:row>
    <x:row r="157">
      <x:c r="A157" t="str">
        <x:v>S153</x:v>
      </x:c>
      <x:c r="B157" t="str">
        <x:v>USA, MLS Next Pro</x:v>
      </x:c>
      <x:c r="C157" t="str">
        <x:v>美国MLS Next Pro联赛</x:v>
      </x:c>
      <x:c r="D157" t="n">
        <x:v>1</x:v>
      </x:c>
      <x:c r="E157" s="39" t="n">
        <x:v>46219.29166666667</x:v>
      </x:c>
      <x:c r="F157" s="39" t="n">
        <x:v>46219.29166666667</x:v>
      </x:c>
      <x:c r="G157" t="str">
        <x:v>2026-07-16|新英格兰革命二队（New England Revolution II）|哥伦布机员二队（Columbus Crew II）</x:v>
      </x:c>
      <x:c r="H157" t="str">
        <x:v>待确认</x:v>
      </x:c>
      <x:c r="I157" t="str">
        <x:v>本次全量赛程来源名称，待确认</x:v>
      </x:c>
    </x:row>
    <x:row r="158">
      <x:c r="A158" t="str">
        <x:v>S154</x:v>
      </x:c>
      <x:c r="B158" t="str">
        <x:v>Australia, South Australia State League 1</x:v>
      </x:c>
      <x:c r="C158" t="str">
        <x:v>澳大利亚南澳州甲级联赛</x:v>
      </x:c>
      <x:c r="D158" t="n">
        <x:v>1</x:v>
      </x:c>
      <x:c r="E158" s="39" t="n">
        <x:v>46219.73958333333</x:v>
      </x:c>
      <x:c r="F158" s="39" t="n">
        <x:v>46219.73958333333</x:v>
      </x:c>
      <x:c r="G158" t="str">
        <x:v>2026-07-16|富勒姆联（Fulham United）|坎伯兰联（Cumberland United）</x:v>
      </x:c>
      <x:c r="H158" t="str">
        <x:v>待确认</x:v>
      </x:c>
      <x:c r="I158" t="str">
        <x:v>本次全量赛程来源名称，待确认</x:v>
      </x:c>
    </x:row>
    <x:row r="159">
      <x:c r="A159" s="546" t="str">
        <x:v>S155</x:v>
      </x:c>
      <x:c r="B159" s="546" t="str">
        <x:v>国际俱乐部友谊赛</x:v>
      </x:c>
      <x:c r="C159" s="546" t="str">
        <x:v>国际俱乐部友谊赛</x:v>
      </x:c>
      <x:c r="D159" s="546" t="n">
        <x:v>10</x:v>
      </x:c>
      <x:c r="E159" s="547" t="n">
        <x:v>46219.833333333336</x:v>
      </x:c>
      <x:c r="F159" s="547" t="n">
        <x:v>46220.75</x:v>
      </x:c>
      <x:c r="G159" s="546" t="str">
        <x:v>2026-07-16|哥本哈根（FC Copenhagen）|维堡（Viborg）</x:v>
      </x:c>
      <x:c r="H159" s="546" t="str">
        <x:v>待确认</x:v>
      </x:c>
      <x:c r="I159" s="546" t="str">
        <x:v>本次多来源赛程发现新增；待后续人工确认规范命名</x:v>
      </x:c>
    </x:row>
    <x:row r="160">
      <x:c r="A160" s="546" t="str">
        <x:v>S156</x:v>
      </x:c>
      <x:c r="B160" s="546" t="str">
        <x:v>墨西哥超级联赛（Liga MX）</x:v>
      </x:c>
      <x:c r="C160" s="546" t="str">
        <x:v>墨西哥超级联赛（Liga MX）</x:v>
      </x:c>
      <x:c r="D160" s="546" t="n">
        <x:v>2</x:v>
      </x:c>
      <x:c r="E160" s="547" t="n">
        <x:v>46220.375</x:v>
      </x:c>
      <x:c r="F160" s="547" t="n">
        <x:v>46220.46527777778</x:v>
      </x:c>
      <x:c r="G160" s="546" t="str">
        <x:v>2026-07-17|内卡萨（Necaxa）|亚特兰特（Atlante）</x:v>
      </x:c>
      <x:c r="H160" s="546" t="str">
        <x:v>待确认</x:v>
      </x:c>
      <x:c r="I160" s="546" t="str">
        <x:v>本次多来源赛程发现新增；待后续人工确认规范命名</x:v>
      </x:c>
    </x:row>
    <x:row r="161">
      <x:c r="A161" s="546" t="str">
        <x:v>S157</x:v>
      </x:c>
      <x:c r="B161" s="546" t="str">
        <x:v>美国职业足球大联盟（MLS）</x:v>
      </x:c>
      <x:c r="C161" s="546" t="str">
        <x:v>美国职业足球大联盟（MLS）</x:v>
      </x:c>
      <x:c r="D161" s="546" t="n">
        <x:v>4</x:v>
      </x:c>
      <x:c r="E161" s="547" t="n">
        <x:v>46220.3125</x:v>
      </x:c>
      <x:c r="F161" s="547" t="n">
        <x:v>46220.4375</x:v>
      </x:c>
      <x:c r="G161" s="546" t="str">
        <x:v>2026-07-17|蒙特利尔CF（CF Montreal）|多伦多FC（Toronto FC）</x:v>
      </x:c>
      <x:c r="H161" s="546" t="str">
        <x:v>待确认</x:v>
      </x:c>
      <x:c r="I161" s="546" t="str">
        <x:v>本次多来源赛程发现新增；待后续人工确认规范命名</x:v>
      </x:c>
    </x:row>
    <x:row r="162">
      <x:c r="A162" s="546" t="str">
        <x:v>S158</x:v>
      </x:c>
      <x:c r="B162" s="546" t="str">
        <x:v>美国USL二级联赛季后赛</x:v>
      </x:c>
      <x:c r="C162" s="546" t="str">
        <x:v>美国USL二级联赛季后赛</x:v>
      </x:c>
      <x:c r="D162" s="546" t="n">
        <x:v>6</x:v>
      </x:c>
      <x:c r="E162" s="547" t="n">
        <x:v>46220.166666666664</x:v>
      </x:c>
      <x:c r="F162" s="547" t="n">
        <x:v>46220.375</x:v>
      </x:c>
      <x:c r="G162" s="546" t="str">
        <x:v>2026-07-17|劳德代尔堡联（Fort Lauderdale United）|蜂群FC（Swarm FC）</x:v>
      </x:c>
      <x:c r="H162" s="546" t="str">
        <x:v>待确认</x:v>
      </x:c>
      <x:c r="I162" s="546" t="str">
        <x:v>本次多来源赛程发现新增；待后续人工确认规范命名</x:v>
      </x:c>
    </x:row>
    <x:row r="163">
      <x:c r="A163" s="546" t="str">
        <x:v>S159</x:v>
      </x:c>
      <x:c r="B163" s="546" t="str">
        <x:v>巴西乙级联赛</x:v>
      </x:c>
      <x:c r="C163" s="546" t="str">
        <x:v>巴西乙级联赛</x:v>
      </x:c>
      <x:c r="D163" s="546" t="n">
        <x:v>1</x:v>
      </x:c>
      <x:c r="E163" s="547" t="n">
        <x:v>46220.291666666664</x:v>
      </x:c>
      <x:c r="F163" s="547" t="n">
        <x:v>46220.291666666664</x:v>
      </x:c>
      <x:c r="G163" s="546" t="str">
        <x:v>2026-07-17|雷加塔斯巴西（CRB）|累西腓航海（Nautico）</x:v>
      </x:c>
      <x:c r="H163" s="546" t="str">
        <x:v>待确认</x:v>
      </x:c>
      <x:c r="I163" s="546" t="str">
        <x:v>本次多来源赛程发现新增；待后续人工确认规范命名</x:v>
      </x:c>
    </x:row>
    <x:row r="164">
      <x:c r="A164" s="546" t="str">
        <x:v>S160</x:v>
      </x:c>
      <x:c r="B164" s="546" t="str">
        <x:v>加拿大超级联赛</x:v>
      </x:c>
      <x:c r="C164" s="546" t="str">
        <x:v>加拿大超级联赛</x:v>
      </x:c>
      <x:c r="D164" s="546" t="n">
        <x:v>1</x:v>
      </x:c>
      <x:c r="E164" s="547" t="n">
        <x:v>46220.291666666664</x:v>
      </x:c>
      <x:c r="F164" s="547" t="n">
        <x:v>46220.291666666664</x:v>
      </x:c>
      <x:c r="G164" s="546" t="str">
        <x:v>2026-07-17|弗尔热（Forge FC）|太平洋FC（Pacific FC）</x:v>
      </x:c>
      <x:c r="H164" s="546" t="str">
        <x:v>待确认</x:v>
      </x:c>
      <x:c r="I164" s="546" t="str">
        <x:v>本次多来源赛程发现新增；待后续人工确认规范命名</x:v>
      </x:c>
    </x:row>
    <x:row r="165">
      <x:c r="A165" s="546" t="str">
        <x:v>S161</x:v>
      </x:c>
      <x:c r="B165" s="546" t="str">
        <x:v>巴西甲级联赛</x:v>
      </x:c>
      <x:c r="C165" s="546" t="str">
        <x:v>巴西甲级联赛</x:v>
      </x:c>
      <x:c r="D165" s="546" t="n">
        <x:v>2</x:v>
      </x:c>
      <x:c r="E165" s="547" t="n">
        <x:v>46220.270833333336</x:v>
      </x:c>
      <x:c r="F165" s="547" t="n">
        <x:v>46220.270833333336</x:v>
      </x:c>
      <x:c r="G165" s="546" t="str">
        <x:v>2026-07-17|博塔弗戈（Botafogo）|桑托斯（Santos）</x:v>
      </x:c>
      <x:c r="H165" s="546" t="str">
        <x:v>待确认</x:v>
      </x:c>
      <x:c r="I165" s="546" t="str">
        <x:v>本次多来源赛程发现新增；待后续人工确认规范命名</x:v>
      </x:c>
    </x:row>
    <x:row r="166">
      <x:c r="A166" s="546" t="str">
        <x:v>S162</x:v>
      </x:c>
      <x:c r="B166" s="546" t="str">
        <x:v>欧足联欧罗巴联赛资格赛</x:v>
      </x:c>
      <x:c r="C166" s="546" t="str">
        <x:v>欧足联欧罗巴联赛资格赛</x:v>
      </x:c>
      <x:c r="D166" s="546" t="n">
        <x:v>6</x:v>
      </x:c>
      <x:c r="E166" s="547" t="n">
        <x:v>46220.0625</x:v>
      </x:c>
      <x:c r="F166" s="547" t="n">
        <x:v>46220.166666666664</x:v>
      </x:c>
      <x:c r="G166" s="546" t="str">
        <x:v>2026-07-17|德里城（Derry City）|索菲亚中央陆军（CSKA Sofia）</x:v>
      </x:c>
      <x:c r="H166" s="546" t="str">
        <x:v>待确认</x:v>
      </x:c>
      <x:c r="I166" s="546" t="str">
        <x:v>本次多来源赛程发现新增；待后续人工确认规范命名</x:v>
      </x:c>
    </x:row>
    <x:row r="167">
      <x:c r="A167" s="546" t="str">
        <x:v>S163</x:v>
      </x:c>
      <x:c r="B167" s="546" t="str">
        <x:v>冰岛甲级联赛</x:v>
      </x:c>
      <x:c r="C167" s="546" t="str">
        <x:v>冰岛甲级联赛</x:v>
      </x:c>
      <x:c r="D167" s="546" t="n">
        <x:v>1</x:v>
      </x:c>
      <x:c r="E167" s="547" t="n">
        <x:v>46220.135416666664</x:v>
      </x:c>
      <x:c r="F167" s="547" t="n">
        <x:v>46220.135416666664</x:v>
      </x:c>
      <x:c r="G167" s="546" t="str">
        <x:v>2026-07-17|阿费图尔丁（Afturelding）|雷克尼尔雷克雅未克（Leiknir Reykjavik）</x:v>
      </x:c>
      <x:c r="H167" s="546" t="str">
        <x:v>待确认</x:v>
      </x:c>
      <x:c r="I167" s="546" t="str">
        <x:v>本次多来源赛程发现新增；待后续人工确认规范命名</x:v>
      </x:c>
    </x:row>
    <x:row r="168">
      <x:c r="A168" s="546" t="str">
        <x:v>S164</x:v>
      </x:c>
      <x:c r="B168" s="546" t="str">
        <x:v>欧足联欧洲协会联赛资格赛</x:v>
      </x:c>
      <x:c r="C168" s="546" t="str">
        <x:v>欧足联欧洲协会联赛资格赛</x:v>
      </x:c>
      <x:c r="D168" s="546" t="n">
        <x:v>23</x:v>
      </x:c>
      <x:c r="E168" s="547" t="n">
        <x:v>46219.958333333336</x:v>
      </x:c>
      <x:c r="F168" s="547" t="n">
        <x:v>46220.125</x:v>
      </x:c>
      <x:c r="G168" s="546" t="str">
        <x:v>2026-07-16|阿斯塔纳（Astana）|地拉那迪纳摩城（Dinamo City）</x:v>
      </x:c>
      <x:c r="H168" s="546" t="str">
        <x:v>待确认</x:v>
      </x:c>
      <x:c r="I168" s="546" t="str">
        <x:v>本次多来源赛程发现新增；待后续人工确认规范命名</x:v>
      </x:c>
    </x:row>
    <x:row r="169">
      <x:c r="A169" s="546" t="str">
        <x:v>S165</x:v>
      </x:c>
      <x:c r="B169" s="546" t="str">
        <x:v>挪威超级联赛</x:v>
      </x:c>
      <x:c r="C169" s="546" t="str">
        <x:v>挪威超级联赛</x:v>
      </x:c>
      <x:c r="D169" s="546" t="n">
        <x:v>1</x:v>
      </x:c>
      <x:c r="E169" s="547" t="n">
        <x:v>46220.041666666664</x:v>
      </x:c>
      <x:c r="F169" s="547" t="n">
        <x:v>46220.041666666664</x:v>
      </x:c>
      <x:c r="G169" s="546" t="str">
        <x:v>2026-07-17|瓦勒伦加（Valerenga）|奥勒松（Aalesund）</x:v>
      </x:c>
      <x:c r="H169" s="546" t="str">
        <x:v>待确认</x:v>
      </x:c>
      <x:c r="I169" s="546" t="str">
        <x:v>本次多来源赛程发现新增；待后续人工确认规范命名</x:v>
      </x:c>
    </x:row>
    <x:row r="170">
      <x:c r="A170" s="546" t="str">
        <x:v>S166</x:v>
      </x:c>
      <x:c r="B170" s="546" t="str">
        <x:v>波兰超级杯</x:v>
      </x:c>
      <x:c r="C170" s="546" t="str">
        <x:v>波兰超级杯</x:v>
      </x:c>
      <x:c r="D170" s="546" t="n">
        <x:v>1</x:v>
      </x:c>
      <x:c r="E170" s="547" t="n">
        <x:v>46220.041666666664</x:v>
      </x:c>
      <x:c r="F170" s="547" t="n">
        <x:v>46220.041666666664</x:v>
      </x:c>
      <x:c r="G170" s="546" t="str">
        <x:v>2026-07-17|波兹南莱赫（Lech Poznan）|扎布热矿工（Gornik Zabrze）</x:v>
      </x:c>
      <x:c r="H170" s="546" t="str">
        <x:v>待确认</x:v>
      </x:c>
      <x:c r="I170" s="546" t="str">
        <x:v>本次多来源赛程发现新增；待后续人工确认规范命名</x:v>
      </x:c>
    </x:row>
    <x:row r="171">
      <x:c r="A171" s="546" t="str">
        <x:v>S167</x:v>
      </x:c>
      <x:c r="B171" s="546" t="str">
        <x:v>以色列超级杯</x:v>
      </x:c>
      <x:c r="C171" s="546" t="str">
        <x:v>以色列超级杯</x:v>
      </x:c>
      <x:c r="D171" s="546" t="n">
        <x:v>1</x:v>
      </x:c>
      <x:c r="E171" s="547" t="n">
        <x:v>46220.020833333336</x:v>
      </x:c>
      <x:c r="F171" s="547" t="n">
        <x:v>46220.020833333336</x:v>
      </x:c>
      <x:c r="G171" s="546" t="str">
        <x:v>2026-07-17|贝尔谢巴工人（Hapoel Beer Sheva）|特拉维夫马卡比（Maccabi Tel Aviv）</x:v>
      </x:c>
      <x:c r="H171" s="546" t="str">
        <x:v>待确认</x:v>
      </x:c>
      <x:c r="I171" s="546" t="str">
        <x:v>本次多来源赛程发现新增；待后续人工确认规范命名</x:v>
      </x:c>
    </x:row>
    <x:row r="172">
      <x:c r="A172" s="546" t="str">
        <x:v>S168</x:v>
      </x:c>
      <x:c r="B172" s="546" t="str">
        <x:v>乌兹别克斯坦超级联赛</x:v>
      </x:c>
      <x:c r="C172" s="546" t="str">
        <x:v>乌兹别克斯坦超级联赛</x:v>
      </x:c>
      <x:c r="D172" s="546" t="n">
        <x:v>3</x:v>
      </x:c>
      <x:c r="E172" s="547" t="n">
        <x:v>46219.958333333336</x:v>
      </x:c>
      <x:c r="F172" s="547" t="n">
        <x:v>46219.958333333336</x:v>
      </x:c>
      <x:c r="G172" s="546" t="str">
        <x:v>2026-07-16|本尤德科（Bunyodkor）|纳萨夫（Nasaf Qarshi）</x:v>
      </x:c>
      <x:c r="H172" s="546" t="str">
        <x:v>待确认</x:v>
      </x:c>
      <x:c r="I172" s="546" t="str">
        <x:v>本次多来源赛程发现新增；待后续人工确认规范命名</x:v>
      </x:c>
    </x:row>
    <x:row r="173">
      <x:c r="A173" t="str">
        <x:v>S169</x:v>
      </x:c>
      <x:c r="B173" t="str">
        <x:v>APF Primera C</x:v>
      </x:c>
      <x:c r="C173" t="str">
        <x:v>巴拉圭丙级联赛</x:v>
      </x:c>
      <x:c r="D173" t="n">
        <x:v>1</x:v>
      </x:c>
      <x:c r="E173" s="39" t="n">
        <x:v>46220.875</x:v>
      </x:c>
      <x:c r="F173" s="39" t="n">
        <x:v>46220.875</x:v>
      </x:c>
      <x:c r="G173" t="str">
        <x:v>2026-07-17|中文名待确认（Sport Colonial）|中文名待确认（Club Oriental）</x:v>
      </x:c>
      <x:c r="H173" t="str">
        <x:v>待确认</x:v>
      </x:c>
      <x:c r="I173" t="str">
        <x:v>本次多来源赛程发现新增；英文原名已保留，规范中文名待后续确认</x:v>
      </x:c>
    </x:row>
    <x:row r="174">
      <x:c r="A174" t="str">
        <x:v>S170</x:v>
      </x:c>
      <x:c r="B174" t="str">
        <x:v>Argentina - Copa Argentina</x:v>
      </x:c>
      <x:c r="C174" t="str">
        <x:v>阿根廷杯（Copa Argentina）</x:v>
      </x:c>
      <x:c r="D174" t="n">
        <x:v>1</x:v>
      </x:c>
      <x:c r="E174" s="39" t="n">
        <x:v>46221.239583333336</x:v>
      </x:c>
      <x:c r="F174" s="39" t="n">
        <x:v>46221.239583333336</x:v>
      </x:c>
      <x:c r="G174" t="str">
        <x:v>2026-07-18|中文名待确认（San Lorenzo de Almagro）|利斯特雷（Deportivo Riestra）</x:v>
      </x:c>
      <x:c r="H174" t="str">
        <x:v>待确认</x:v>
      </x:c>
      <x:c r="I174" t="str">
        <x:v>本次多来源赛程发现新增；英文原名已保留，规范中文名待后续确认</x:v>
      </x:c>
    </x:row>
    <x:row r="175">
      <x:c r="A175" t="str">
        <x:v>S171</x:v>
      </x:c>
      <x:c r="B175" t="str">
        <x:v>Argentina - Copa Argentina - Round of 32</x:v>
      </x:c>
      <x:c r="C175" t="str">
        <x:v>阿根廷杯32强</x:v>
      </x:c>
      <x:c r="D175" t="n">
        <x:v>1</x:v>
      </x:c>
      <x:c r="E175" s="39" t="n">
        <x:v>46221.364583333336</x:v>
      </x:c>
      <x:c r="F175" s="39" t="n">
        <x:v>46221.364583333336</x:v>
      </x:c>
      <x:c r="G175" t="str">
        <x:v>2026-07-18|河床（River Plate）|阿尔多斯维（Aldosivi）</x:v>
      </x:c>
      <x:c r="H175" t="str">
        <x:v>待确认</x:v>
      </x:c>
      <x:c r="I175" t="str">
        <x:v>本次多来源赛程发现新增；英文原名已保留，规范中文名待后续确认</x:v>
      </x:c>
    </x:row>
    <x:row r="176">
      <x:c r="A176" t="str">
        <x:v>S172</x:v>
      </x:c>
      <x:c r="B176" t="str">
        <x:v>Argentina - Primera C</x:v>
      </x:c>
      <x:c r="C176" t="str">
        <x:v>阿根廷丙级联赛</x:v>
      </x:c>
      <x:c r="D176" t="n">
        <x:v>4</x:v>
      </x:c>
      <x:c r="E176" s="39" t="n">
        <x:v>46221.083333333336</x:v>
      </x:c>
      <x:c r="F176" s="39" t="n">
        <x:v>46222.083333333336</x:v>
      </x:c>
      <x:c r="G176" t="str">
        <x:v>2026-07-18|中文名待确认（Puerto Nuevo）|中文名待确认（CA Fenix）</x:v>
      </x:c>
      <x:c r="H176" t="str">
        <x:v>待确认</x:v>
      </x:c>
      <x:c r="I176" t="str">
        <x:v>本次多来源赛程发现新增；英文原名已保留，规范中文名待后续确认</x:v>
      </x:c>
    </x:row>
    <x:row r="177">
      <x:c r="A177" t="str">
        <x:v>S173</x:v>
      </x:c>
      <x:c r="B177" t="str">
        <x:v>Argentina - Primera C - Zone A</x:v>
      </x:c>
      <x:c r="C177" t="str">
        <x:v>阿根廷丙级联赛A区</x:v>
      </x:c>
      <x:c r="D177" t="n">
        <x:v>2</x:v>
      </x:c>
      <x:c r="E177" s="39" t="n">
        <x:v>46221.083333333336</x:v>
      </x:c>
      <x:c r="F177" s="39" t="n">
        <x:v>46221.083333333336</x:v>
      </x:c>
      <x:c r="G177" t="str">
        <x:v>2026-07-18|中文名待确认（CA Lugano）|中文名待确认（Sportivo Barracas）</x:v>
      </x:c>
      <x:c r="H177" t="str">
        <x:v>待确认</x:v>
      </x:c>
      <x:c r="I177" t="str">
        <x:v>本次多来源赛程发现新增；英文原名已保留，规范中文名待后续确认</x:v>
      </x:c>
    </x:row>
    <x:row r="178">
      <x:c r="A178" t="str">
        <x:v>S174</x:v>
      </x:c>
      <x:c r="B178" t="str">
        <x:v>Argentina - Primera C - Zone B</x:v>
      </x:c>
      <x:c r="C178" t="str">
        <x:v>阿根廷丙级联赛B区</x:v>
      </x:c>
      <x:c r="D178" t="n">
        <x:v>2</x:v>
      </x:c>
      <x:c r="E178" s="39" t="n">
        <x:v>46221.083333333336</x:v>
      </x:c>
      <x:c r="F178" s="39" t="n">
        <x:v>46221.083333333336</x:v>
      </x:c>
      <x:c r="G178" t="str">
        <x:v>2026-07-18|中文名待确认（Yupanqui）|中文名待确认（Argentino Rosario）</x:v>
      </x:c>
      <x:c r="H178" t="str">
        <x:v>待确认</x:v>
      </x:c>
      <x:c r="I178" t="str">
        <x:v>本次多来源赛程发现新增；英文原名已保留，规范中文名待后续确认</x:v>
      </x:c>
    </x:row>
    <x:row r="179">
      <x:c r="A179" t="str">
        <x:v>S175</x:v>
      </x:c>
      <x:c r="B179" t="str">
        <x:v>Argentina - Primera Nacional</x:v>
      </x:c>
      <x:c r="C179" t="str">
        <x:v>阿根廷全国联赛</x:v>
      </x:c>
      <x:c r="D179" t="n">
        <x:v>7</x:v>
      </x:c>
      <x:c r="E179" s="39" t="n">
        <x:v>46221.083333333336</x:v>
      </x:c>
      <x:c r="F179" s="39" t="n">
        <x:v>46221.3125</x:v>
      </x:c>
      <x:c r="G179" t="str">
        <x:v>2026-07-18|中文名待确认（Deportivo Maipu）|中文名待确认（Club Atletico San Martin (Tucuman)）</x:v>
      </x:c>
      <x:c r="H179" t="str">
        <x:v>待确认</x:v>
      </x:c>
      <x:c r="I179" t="str">
        <x:v>本次多来源赛程发现新增；英文原名已保留，规范中文名待后续确认</x:v>
      </x:c>
    </x:row>
    <x:row r="180">
      <x:c r="A180" t="str">
        <x:v>S176</x:v>
      </x:c>
      <x:c r="B180" t="str">
        <x:v>Australia - NPL New South Wales</x:v>
      </x:c>
      <x:c r="C180" t="str">
        <x:v>澳大利亚新南威尔士州超级联赛</x:v>
      </x:c>
      <x:c r="D180" t="n">
        <x:v>7</x:v>
      </x:c>
      <x:c r="E180" s="39" t="n">
        <x:v>46221.541666666664</x:v>
      </x:c>
      <x:c r="F180" s="39" t="n">
        <x:v>46222.541666666664</x:v>
      </x:c>
      <x:c r="G180" t="str">
        <x:v>2026-07-18|西悉尼流浪者青年队（Western Sydney Wanderers Youth）|莱卡特老虎（APIA Leichhardt Tigers）</x:v>
      </x:c>
      <x:c r="H180" t="str">
        <x:v>待确认</x:v>
      </x:c>
      <x:c r="I180" t="str">
        <x:v>本次多来源赛程发现新增；英文原名已保留，规范中文名待后续确认</x:v>
      </x:c>
    </x:row>
    <x:row r="181">
      <x:c r="A181" t="str">
        <x:v>S177</x:v>
      </x:c>
      <x:c r="B181" t="str">
        <x:v>Australia - NPL South Australia</x:v>
      </x:c>
      <x:c r="C181" t="str">
        <x:v>澳大利亚南澳大利亚州超级联赛</x:v>
      </x:c>
      <x:c r="D181" t="n">
        <x:v>4</x:v>
      </x:c>
      <x:c r="E181" s="39" t="n">
        <x:v>46221.541666666664</x:v>
      </x:c>
      <x:c r="F181" s="39" t="n">
        <x:v>46222.6875</x:v>
      </x:c>
      <x:c r="G181" t="str">
        <x:v>2026-07-18|中文名待确认（Adelaide City）|中文名待确认（Croydon Kings）</x:v>
      </x:c>
      <x:c r="H181" t="str">
        <x:v>待确认</x:v>
      </x:c>
      <x:c r="I181" t="str">
        <x:v>本次多来源赛程发现新增；英文原名已保留，规范中文名待后续确认</x:v>
      </x:c>
    </x:row>
    <x:row r="182">
      <x:c r="A182" t="str">
        <x:v>S178</x:v>
      </x:c>
      <x:c r="B182" t="str">
        <x:v>Australia - NPL Tasmania</x:v>
      </x:c>
      <x:c r="C182" t="str">
        <x:v>澳大利亚塔斯马尼亚州超级联赛</x:v>
      </x:c>
      <x:c r="D182" t="n">
        <x:v>5</x:v>
      </x:c>
      <x:c r="E182" s="39" t="n">
        <x:v>46221.520833333336</x:v>
      </x:c>
      <x:c r="F182" s="39" t="n">
        <x:v>46222.520833333336</x:v>
      </x:c>
      <x:c r="G182" t="str">
        <x:v>2026-07-18|中文名待确认（Riverside Olympic）|中文名待确认（Clarence Zebras）</x:v>
      </x:c>
      <x:c r="H182" t="str">
        <x:v>待确认</x:v>
      </x:c>
      <x:c r="I182" t="str">
        <x:v>本次多来源赛程发现新增；英文原名已保留，规范中文名待后续确认</x:v>
      </x:c>
    </x:row>
    <x:row r="183">
      <x:c r="A183" t="str">
        <x:v>S179</x:v>
      </x:c>
      <x:c r="B183" t="str">
        <x:v>Australia - NPL Victoria</x:v>
      </x:c>
      <x:c r="C183" t="str">
        <x:v>澳大利亚维多利亚州女子国家超级联赛（NPL Victoria Women）</x:v>
      </x:c>
      <x:c r="D183" t="n">
        <x:v>5</x:v>
      </x:c>
      <x:c r="E183" s="39" t="n">
        <x:v>46221.5</x:v>
      </x:c>
      <x:c r="F183" s="39" t="n">
        <x:v>46221.666666666664</x:v>
      </x:c>
      <x:c r="G183" t="str">
        <x:v>2026-07-18|休城（Hume City）|欧克莱卡诺（Oakleigh Cannons）</x:v>
      </x:c>
      <x:c r="H183" t="str">
        <x:v>待确认</x:v>
      </x:c>
      <x:c r="I183" t="str">
        <x:v>本次多来源赛程发现新增；英文原名已保留，规范中文名待后续确认</x:v>
      </x:c>
    </x:row>
    <x:row r="184">
      <x:c r="A184" t="str">
        <x:v>S180</x:v>
      </x:c>
      <x:c r="B184" t="str">
        <x:v>Australia - NPL Western Australia</x:v>
      </x:c>
      <x:c r="C184" t="str">
        <x:v>澳大利亚西澳大利亚州超级联赛</x:v>
      </x:c>
      <x:c r="D184" t="n">
        <x:v>6</x:v>
      </x:c>
      <x:c r="E184" s="39" t="n">
        <x:v>46220.791666666664</x:v>
      </x:c>
      <x:c r="F184" s="39" t="n">
        <x:v>46221.708333333336</x:v>
      </x:c>
      <x:c r="G184" t="str">
        <x:v>2026-07-17|中文名待确认（Perth SC）|中文名待确认（Western Knights）</x:v>
      </x:c>
      <x:c r="H184" t="str">
        <x:v>待确认</x:v>
      </x:c>
      <x:c r="I184" t="str">
        <x:v>本次多来源赛程发现新增；英文原名已保留，规范中文名待后续确认</x:v>
      </x:c>
    </x:row>
    <x:row r="185">
      <x:c r="A185" t="str">
        <x:v>S181</x:v>
      </x:c>
      <x:c r="B185" t="str">
        <x:v>Australia - New South Wales League One</x:v>
      </x:c>
      <x:c r="C185" t="str">
        <x:v>澳大利亚新南威尔士州甲级联赛</x:v>
      </x:c>
      <x:c r="D185" t="n">
        <x:v>6</x:v>
      </x:c>
      <x:c r="E185" s="39" t="n">
        <x:v>46221.625</x:v>
      </x:c>
      <x:c r="F185" s="39" t="n">
        <x:v>46222.541666666664</x:v>
      </x:c>
      <x:c r="G185" t="str">
        <x:v>2026-07-18|中文名待确认（Inter Lions FC）|中文名待确认（Rydalmere）</x:v>
      </x:c>
      <x:c r="H185" t="str">
        <x:v>待确认</x:v>
      </x:c>
      <x:c r="I185" t="str">
        <x:v>本次多来源赛程发现新增；英文原名已保留，规范中文名待后续确认</x:v>
      </x:c>
    </x:row>
    <x:row r="186">
      <x:c r="A186" t="str">
        <x:v>S182</x:v>
      </x:c>
      <x:c r="B186" t="str">
        <x:v>Australia - NorZone Premier League</x:v>
      </x:c>
      <x:c r="C186" t="str">
        <x:v>澳大利亚北区超级联赛</x:v>
      </x:c>
      <x:c r="D186" t="n">
        <x:v>4</x:v>
      </x:c>
      <x:c r="E186" s="39" t="n">
        <x:v>46220.791666666664</x:v>
      </x:c>
      <x:c r="F186" s="39" t="n">
        <x:v>46222.6875</x:v>
      </x:c>
      <x:c r="G186" t="str">
        <x:v>2026-07-17|中文名待确认（Darwin Olympic）|中文名待确认（Palmerston Rovers FC）</x:v>
      </x:c>
      <x:c r="H186" t="str">
        <x:v>待确认</x:v>
      </x:c>
      <x:c r="I186" t="str">
        <x:v>本次多来源赛程发现新增；英文原名已保留，规范中文名待后续确认</x:v>
      </x:c>
    </x:row>
    <x:row r="187">
      <x:c r="A187" t="str">
        <x:v>S183</x:v>
      </x:c>
      <x:c r="B187" t="str">
        <x:v>Australia - Northern New South Wales</x:v>
      </x:c>
      <x:c r="C187" t="str">
        <x:v>澳大利亚新南威尔士州北部超级联赛</x:v>
      </x:c>
      <x:c r="D187" t="n">
        <x:v>6</x:v>
      </x:c>
      <x:c r="E187" s="39" t="n">
        <x:v>46221.5</x:v>
      </x:c>
      <x:c r="F187" s="39" t="n">
        <x:v>46222.541666666664</x:v>
      </x:c>
      <x:c r="G187" t="str">
        <x:v>2026-07-18|中文名待确认（Cooks Hill United FC）|中文名待确认（Broadmeadow Magic）</x:v>
      </x:c>
      <x:c r="H187" t="str">
        <x:v>待确认</x:v>
      </x:c>
      <x:c r="I187" t="str">
        <x:v>本次多来源赛程发现新增；英文原名已保留，规范中文名待后续确认</x:v>
      </x:c>
    </x:row>
    <x:row r="188">
      <x:c r="A188" t="str">
        <x:v>S184</x:v>
      </x:c>
      <x:c r="B188" t="str">
        <x:v>Australia - Queensland</x:v>
      </x:c>
      <x:c r="C188" t="str">
        <x:v>澳大利亚昆士兰州超级联赛</x:v>
      </x:c>
      <x:c r="D188" t="n">
        <x:v>6</x:v>
      </x:c>
      <x:c r="E188" s="39" t="n">
        <x:v>46221.541666666664</x:v>
      </x:c>
      <x:c r="F188" s="39" t="n">
        <x:v>46222.583333333336</x:v>
      </x:c>
      <x:c r="G188" t="str">
        <x:v>2026-07-18|中文名待确认（Gold Coast United FC）|中文名待确认（Lions FC）</x:v>
      </x:c>
      <x:c r="H188" t="str">
        <x:v>待确认</x:v>
      </x:c>
      <x:c r="I188" t="str">
        <x:v>本次多来源赛程发现新增；英文原名已保留，规范中文名待后续确认</x:v>
      </x:c>
    </x:row>
    <x:row r="189">
      <x:c r="A189" t="str">
        <x:v>S185</x:v>
      </x:c>
      <x:c r="B189" t="str">
        <x:v>Australia - Queensland Premier League</x:v>
      </x:c>
      <x:c r="C189" t="str">
        <x:v>澳大利亚昆士兰州超级联赛</x:v>
      </x:c>
      <x:c r="D189" t="n">
        <x:v>6</x:v>
      </x:c>
      <x:c r="E189" s="39" t="n">
        <x:v>46221.645833333336</x:v>
      </x:c>
      <x:c r="F189" s="39" t="n">
        <x:v>46222.583333333336</x:v>
      </x:c>
      <x:c r="G189" t="str">
        <x:v>2026-07-18|伊普斯维奇城（Ipswich FC）|中文名待确认（North Star FC）</x:v>
      </x:c>
      <x:c r="H189" t="str">
        <x:v>待确认</x:v>
      </x:c>
      <x:c r="I189" t="str">
        <x:v>本次多来源赛程发现新增；英文原名已保留，规范中文名待后续确认</x:v>
      </x:c>
    </x:row>
    <x:row r="190">
      <x:c r="A190" t="str">
        <x:v>S186</x:v>
      </x:c>
      <x:c r="B190" t="str">
        <x:v>Australia - South Australia State League 1</x:v>
      </x:c>
      <x:c r="C190" t="str">
        <x:v>澳大利亚南澳大利亚州甲级联赛</x:v>
      </x:c>
      <x:c r="D190" t="n">
        <x:v>5</x:v>
      </x:c>
      <x:c r="E190" s="39" t="n">
        <x:v>46221.5625</x:v>
      </x:c>
      <x:c r="F190" s="39" t="n">
        <x:v>46221.5625</x:v>
      </x:c>
      <x:c r="G190" t="str">
        <x:v>2026-07-18|中文名待确认（South Adelaide）|中文名待确认（The Cove）</x:v>
      </x:c>
      <x:c r="H190" t="str">
        <x:v>待确认</x:v>
      </x:c>
      <x:c r="I190" t="str">
        <x:v>本次多来源赛程发现新增；英文原名已保留，规范中文名待后续确认</x:v>
      </x:c>
    </x:row>
    <x:row r="191">
      <x:c r="A191" t="str">
        <x:v>S187</x:v>
      </x:c>
      <x:c r="B191" t="str">
        <x:v>Australia - Victoria Premier League One</x:v>
      </x:c>
      <x:c r="C191" t="str">
        <x:v>澳大利亚维多利亚州超级联赛1（VPL1）</x:v>
      </x:c>
      <x:c r="D191" t="n">
        <x:v>5</x:v>
      </x:c>
      <x:c r="E191" s="39" t="n">
        <x:v>46221.541666666664</x:v>
      </x:c>
      <x:c r="F191" s="39" t="n">
        <x:v>46222.5</x:v>
      </x:c>
      <x:c r="G191" t="str">
        <x:v>2026-07-18|北鹰阳光（North Sunshine Eagles SC）|埃尔特姆红背蛛（Eltham Redbacks）</x:v>
      </x:c>
      <x:c r="H191" t="str">
        <x:v>待确认</x:v>
      </x:c>
      <x:c r="I191" t="str">
        <x:v>本次多来源赛程发现新增；英文原名已保留，规范中文名待后续确认</x:v>
      </x:c>
    </x:row>
    <x:row r="192">
      <x:c r="A192" t="str">
        <x:v>S188</x:v>
      </x:c>
      <x:c r="B192" t="str">
        <x:v>Bolivia - División Profesional</x:v>
      </x:c>
      <x:c r="C192" t="str">
        <x:v>玻利维亚职业联赛</x:v>
      </x:c>
      <x:c r="D192" t="n">
        <x:v>1</x:v>
      </x:c>
      <x:c r="E192" s="39" t="n">
        <x:v>46221.333333333336</x:v>
      </x:c>
      <x:c r="F192" s="39" t="n">
        <x:v>46221.333333333336</x:v>
      </x:c>
      <x:c r="G192" t="str">
        <x:v>2026-07-18|玻利瓦尔（Club Bolívar）|瓜比拉（Guabirá）</x:v>
      </x:c>
      <x:c r="H192" t="str">
        <x:v>待确认</x:v>
      </x:c>
      <x:c r="I192" t="str">
        <x:v>本次多来源赛程发现新增；英文原名已保留，规范中文名待后续确认</x:v>
      </x:c>
    </x:row>
    <x:row r="193">
      <x:c r="A193" t="str">
        <x:v>S189</x:v>
      </x:c>
      <x:c r="B193" t="str">
        <x:v>Brasileirão Women</x:v>
      </x:c>
      <x:c r="C193" t="str">
        <x:v>巴西女子甲级联赛</x:v>
      </x:c>
      <x:c r="D193" t="n">
        <x:v>1</x:v>
      </x:c>
      <x:c r="E193" s="39" t="n">
        <x:v>46221.083333333336</x:v>
      </x:c>
      <x:c r="F193" s="39" t="n">
        <x:v>46221.083333333336</x:v>
      </x:c>
      <x:c r="G193" t="str">
        <x:v>2026-07-18|中文名待确认（Vitoria-BA (W)）|中文名待确认（Botafogo (W)）</x:v>
      </x:c>
      <x:c r="H193" t="str">
        <x:v>待确认</x:v>
      </x:c>
      <x:c r="I193" t="str">
        <x:v>本次多来源赛程发现新增；英文原名已保留，规范中文名待后续确认</x:v>
      </x:c>
    </x:row>
    <x:row r="194">
      <x:c r="A194" t="str">
        <x:v>S190</x:v>
      </x:c>
      <x:c r="B194" t="str">
        <x:v>Brazil - Brasileirão - Série B</x:v>
      </x:c>
      <x:c r="C194" t="str">
        <x:v>巴西乙级联赛</x:v>
      </x:c>
      <x:c r="D194" t="n">
        <x:v>5</x:v>
      </x:c>
      <x:c r="E194" s="39" t="n">
        <x:v>46221.25</x:v>
      </x:c>
      <x:c r="F194" s="39" t="n">
        <x:v>46221.333333333336</x:v>
      </x:c>
      <x:c r="G194" t="str">
        <x:v>2026-07-18|中文名待确认（São Bernardo）|中文名待确认（Avai）</x:v>
      </x:c>
      <x:c r="H194" t="str">
        <x:v>待确认</x:v>
      </x:c>
      <x:c r="I194" t="str">
        <x:v>本次多来源赛程发现新增；英文原名已保留，规范中文名待后续确认</x:v>
      </x:c>
    </x:row>
    <x:row r="195">
      <x:c r="A195" t="str">
        <x:v>S191</x:v>
      </x:c>
      <x:c r="B195" t="str">
        <x:v>Brazil - Brasileirão Série A</x:v>
      </x:c>
      <x:c r="C195" t="str">
        <x:v>巴西甲级联赛</x:v>
      </x:c>
      <x:c r="D195" t="n">
        <x:v>3</x:v>
      </x:c>
      <x:c r="E195" s="39" t="n">
        <x:v>46221.270833333336</x:v>
      </x:c>
      <x:c r="F195" s="39" t="n">
        <x:v>46221.291666666664</x:v>
      </x:c>
      <x:c r="G195" t="str">
        <x:v>2026-07-18|巴伊亚（Bahia）|沙佩科恩斯（Chapecoense）</x:v>
      </x:c>
      <x:c r="H195" t="str">
        <x:v>待确认</x:v>
      </x:c>
      <x:c r="I195" t="str">
        <x:v>本次多来源赛程发现新增；英文原名已保留，规范中文名待后续确认</x:v>
      </x:c>
    </x:row>
    <x:row r="196">
      <x:c r="A196" t="str">
        <x:v>S192</x:v>
      </x:c>
      <x:c r="B196" t="str">
        <x:v>Bulgaria - Parva Liga</x:v>
      </x:c>
      <x:c r="C196" t="str">
        <x:v>保加利亚甲级联赛</x:v>
      </x:c>
      <x:c r="D196" t="n">
        <x:v>4</x:v>
      </x:c>
      <x:c r="E196" s="39" t="n">
        <x:v>46221</x:v>
      </x:c>
      <x:c r="F196" s="39" t="n">
        <x:v>46222.09375</x:v>
      </x:c>
      <x:c r="G196" t="str">
        <x:v>2026-07-18|中文名待确认（Spartak Varna）|中文名待确认（CSKA 1948 Sofia）</x:v>
      </x:c>
      <x:c r="H196" t="str">
        <x:v>待确认</x:v>
      </x:c>
      <x:c r="I196" t="str">
        <x:v>本次多来源赛程发现新增；英文原名已保留，规范中文名待后续确认</x:v>
      </x:c>
    </x:row>
    <x:row r="197">
      <x:c r="A197" t="str">
        <x:v>S193</x:v>
      </x:c>
      <x:c r="B197" t="str">
        <x:v>Canada - Canadian Premier League</x:v>
      </x:c>
      <x:c r="C197" t="str">
        <x:v>加拿大超级联赛</x:v>
      </x:c>
      <x:c r="D197" t="n">
        <x:v>2</x:v>
      </x:c>
      <x:c r="E197" s="39" t="n">
        <x:v>46221.291666666664</x:v>
      </x:c>
      <x:c r="F197" s="39" t="n">
        <x:v>46221.291666666664</x:v>
      </x:c>
      <x:c r="G197" t="str">
        <x:v>2026-07-18|中文名待确认（Supra du Québec）|中文名待确认（Vancouver Fc）</x:v>
      </x:c>
      <x:c r="H197" t="str">
        <x:v>待确认</x:v>
      </x:c>
      <x:c r="I197" t="str">
        <x:v>本次多来源赛程发现新增；英文原名已保留，规范中文名待后续确认</x:v>
      </x:c>
    </x:row>
    <x:row r="198">
      <x:c r="A198" t="str">
        <x:v>S194</x:v>
      </x:c>
      <x:c r="B198" t="str">
        <x:v>Championship Women</x:v>
      </x:c>
      <x:c r="C198" t="str">
        <x:v>女子冠军联赛（国家待确认）</x:v>
      </x:c>
      <x:c r="D198" t="n">
        <x:v>1</x:v>
      </x:c>
      <x:c r="E198" s="39" t="n">
        <x:v>46221</x:v>
      </x:c>
      <x:c r="F198" s="39" t="n">
        <x:v>46221</x:v>
      </x:c>
      <x:c r="G198" t="str">
        <x:v>2026-07-18|中文名待确认（Coquimbo Unido (W)）|中文名待确认（Huachipato (W)）</x:v>
      </x:c>
      <x:c r="H198" t="str">
        <x:v>待确认</x:v>
      </x:c>
      <x:c r="I198" t="str">
        <x:v>本次多来源赛程发现新增；英文原名已保留，规范中文名待后续确认</x:v>
      </x:c>
    </x:row>
    <x:row r="199">
      <x:c r="A199" t="str">
        <x:v>S195</x:v>
      </x:c>
      <x:c r="B199" t="str">
        <x:v>China - League One</x:v>
      </x:c>
      <x:c r="C199" t="str">
        <x:v>甲级联赛（国家待确认）</x:v>
      </x:c>
      <x:c r="D199" t="n">
        <x:v>6</x:v>
      </x:c>
      <x:c r="E199" s="39" t="n">
        <x:v>46220.791666666664</x:v>
      </x:c>
      <x:c r="F199" s="39" t="n">
        <x:v>46221.8125</x:v>
      </x:c>
      <x:c r="G199" t="str">
        <x:v>2026-07-17|中文名待确认（Suzhou Dongwu）|中文名待确认（Shenzhen Juniors FC）</x:v>
      </x:c>
      <x:c r="H199" t="str">
        <x:v>待确认</x:v>
      </x:c>
      <x:c r="I199" t="str">
        <x:v>本次多来源赛程发现新增；英文原名已保留，规范中文名待后续确认</x:v>
      </x:c>
    </x:row>
    <x:row r="200">
      <x:c r="A200" t="str">
        <x:v>S196</x:v>
      </x:c>
      <x:c r="B200" t="str">
        <x:v>China - Super League</x:v>
      </x:c>
      <x:c r="C200" t="str">
        <x:v>超级联赛（国家待确认）</x:v>
      </x:c>
      <x:c r="D200" t="n">
        <x:v>6</x:v>
      </x:c>
      <x:c r="E200" s="39" t="n">
        <x:v>46220.791666666664</x:v>
      </x:c>
      <x:c r="F200" s="39" t="n">
        <x:v>46221.833333333336</x:v>
      </x:c>
      <x:c r="G200" t="str">
        <x:v>2026-07-17|中文名待确认（Qingdao West Coast）|成都蓉城（Chengdu Rongcheng）</x:v>
      </x:c>
      <x:c r="H200" t="str">
        <x:v>待确认</x:v>
      </x:c>
      <x:c r="I200" t="str">
        <x:v>本次多来源赛程发现新增；英文原名已保留，规范中文名待后续确认</x:v>
      </x:c>
    </x:row>
    <x:row r="201">
      <x:c r="A201" t="str">
        <x:v>S197</x:v>
      </x:c>
      <x:c r="B201" t="str">
        <x:v>Club Friendlies</x:v>
      </x:c>
      <x:c r="C201" t="str">
        <x:v>国际俱乐部友谊赛</x:v>
      </x:c>
      <x:c r="D201" t="n">
        <x:v>139</x:v>
      </x:c>
      <x:c r="E201" s="39" t="n">
        <x:v>46220.833333333336</x:v>
      </x:c>
      <x:c r="F201" s="39" t="n">
        <x:v>46221.833333333336</x:v>
      </x:c>
      <x:c r="G201" t="str">
        <x:v>2026-07-17|中日德兰（FC Midtjylland）|中文名待确认（Odense）</x:v>
      </x:c>
      <x:c r="H201" t="str">
        <x:v>待确认</x:v>
      </x:c>
      <x:c r="I201" t="str">
        <x:v>本次多来源赛程发现新增；英文原名已保留，规范中文名待后续确认</x:v>
      </x:c>
    </x:row>
    <x:row r="202">
      <x:c r="A202" t="str">
        <x:v>S198</x:v>
      </x:c>
      <x:c r="B202" t="str">
        <x:v>Club Friendlies - Club Friendlies</x:v>
      </x:c>
      <x:c r="C202" t="str">
        <x:v>国际俱乐部友谊赛</x:v>
      </x:c>
      <x:c r="D202" t="n">
        <x:v>27</x:v>
      </x:c>
      <x:c r="E202" s="39" t="n">
        <x:v>46220.791666666664</x:v>
      </x:c>
      <x:c r="F202" s="39" t="n">
        <x:v>46221.770833333336</x:v>
      </x:c>
      <x:c r="G202" t="str">
        <x:v>2026-07-17|中文名待确认（Aalborg）|中文名待确认（Silkeborg）</x:v>
      </x:c>
      <x:c r="H202" t="str">
        <x:v>待确认</x:v>
      </x:c>
      <x:c r="I202" t="str">
        <x:v>本次多来源赛程发现新增；英文原名已保留，规范中文名待后续确认</x:v>
      </x:c>
    </x:row>
    <x:row r="203">
      <x:c r="A203" t="str">
        <x:v>S199</x:v>
      </x:c>
      <x:c r="B203" t="str">
        <x:v>Club Friendlies - Club Friendlies 2026</x:v>
      </x:c>
      <x:c r="C203" t="str">
        <x:v>国际俱乐部友谊赛</x:v>
      </x:c>
      <x:c r="D203" t="n">
        <x:v>80</x:v>
      </x:c>
      <x:c r="E203" s="39" t="n">
        <x:v>46220.833333333336</x:v>
      </x:c>
      <x:c r="F203" s="39" t="n">
        <x:v>46222.75</x:v>
      </x:c>
      <x:c r="G203" t="str">
        <x:v>2026-07-17|中日德兰（FC Midtjylland）|中文名待确认（OB）</x:v>
      </x:c>
      <x:c r="H203" t="str">
        <x:v>待确认</x:v>
      </x:c>
      <x:c r="I203" t="str">
        <x:v>本次多来源赛程发现新增；英文原名已保留，规范中文名待后续确认</x:v>
      </x:c>
    </x:row>
    <x:row r="204">
      <x:c r="A204" t="str">
        <x:v>S200</x:v>
      </x:c>
      <x:c r="B204" t="str">
        <x:v>Copa Argentina - Round of 32</x:v>
      </x:c>
      <x:c r="C204" t="str">
        <x:v>阿根廷杯32强</x:v>
      </x:c>
      <x:c r="D204" t="n">
        <x:v>1</x:v>
      </x:c>
      <x:c r="E204" s="39" t="n">
        <x:v>46221.239583333336</x:v>
      </x:c>
      <x:c r="F204" s="39" t="n">
        <x:v>46221.239583333336</x:v>
      </x:c>
      <x:c r="G204" t="str">
        <x:v>2026-07-18|圣洛伦索（San Lorenzo）|中文名待确认（Riestra）</x:v>
      </x:c>
      <x:c r="H204" t="str">
        <x:v>待确认</x:v>
      </x:c>
      <x:c r="I204" t="str">
        <x:v>本次多来源赛程发现新增；英文原名已保留，规范中文名待后续确认</x:v>
      </x:c>
    </x:row>
    <x:row r="205">
      <x:c r="A205" t="str">
        <x:v>S201</x:v>
      </x:c>
      <x:c r="B205" t="str">
        <x:v>Copa Paulista</x:v>
      </x:c>
      <x:c r="C205" t="str">
        <x:v>巴西圣保罗州杯</x:v>
      </x:c>
      <x:c r="D205" t="n">
        <x:v>1</x:v>
      </x:c>
      <x:c r="E205" s="39" t="n">
        <x:v>46221.270833333336</x:v>
      </x:c>
      <x:c r="F205" s="39" t="n">
        <x:v>46221.270833333336</x:v>
      </x:c>
      <x:c r="G205" t="str">
        <x:v>2026-07-18|中文名待确认（Marília）|中文名待确认（Gremio Prudente）</x:v>
      </x:c>
      <x:c r="H205" t="str">
        <x:v>待确认</x:v>
      </x:c>
      <x:c r="I205" t="str">
        <x:v>本次多来源赛程发现新增；英文原名已保留，规范中文名待后续确认</x:v>
      </x:c>
    </x:row>
    <x:row r="206">
      <x:c r="A206" t="str">
        <x:v>S202</x:v>
      </x:c>
      <x:c r="B206" t="str">
        <x:v>Ecuador - Liga Pro</x:v>
      </x:c>
      <x:c r="C206" t="str">
        <x:v>厄瓜多尔甲级联赛</x:v>
      </x:c>
      <x:c r="D206" t="n">
        <x:v>1</x:v>
      </x:c>
      <x:c r="E206" s="39" t="n">
        <x:v>46221.333333333336</x:v>
      </x:c>
      <x:c r="F206" s="39" t="n">
        <x:v>46221.333333333336</x:v>
      </x:c>
      <x:c r="G206" t="str">
        <x:v>2026-07-18|中文名待确认（Delfin）|马卡拉（Macará）</x:v>
      </x:c>
      <x:c r="H206" t="str">
        <x:v>待确认</x:v>
      </x:c>
      <x:c r="I206" t="str">
        <x:v>本次多来源赛程发现新增；英文原名已保留，规范中文名待后续确认</x:v>
      </x:c>
    </x:row>
    <x:row r="207">
      <x:c r="A207" t="str">
        <x:v>S203</x:v>
      </x:c>
      <x:c r="B207" t="str">
        <x:v>Ecuador - Serie B</x:v>
      </x:c>
      <x:c r="C207" t="str">
        <x:v>巴西乙级联赛</x:v>
      </x:c>
      <x:c r="D207" t="n">
        <x:v>2</x:v>
      </x:c>
      <x:c r="E207" s="39" t="n">
        <x:v>46221.229166666664</x:v>
      </x:c>
      <x:c r="F207" s="39" t="n">
        <x:v>46222.1875</x:v>
      </x:c>
      <x:c r="G207" t="str">
        <x:v>2026-07-18|中文名待确认（LDU Portoviejo）|中文名待确认（Independiente Juniors）</x:v>
      </x:c>
      <x:c r="H207" t="str">
        <x:v>待确认</x:v>
      </x:c>
      <x:c r="I207" t="str">
        <x:v>本次多来源赛程发现新增；英文原名已保留，规范中文名待后续确认</x:v>
      </x:c>
    </x:row>
    <x:row r="208">
      <x:c r="A208" t="str">
        <x:v>S204</x:v>
      </x:c>
      <x:c r="B208" t="str">
        <x:v>Estonia - Meistriliiga</x:v>
      </x:c>
      <x:c r="C208" t="str">
        <x:v>爱沙尼亚甲级联赛</x:v>
      </x:c>
      <x:c r="D208" t="n">
        <x:v>2</x:v>
      </x:c>
      <x:c r="E208" s="39" t="n">
        <x:v>46221</x:v>
      </x:c>
      <x:c r="F208" s="39" t="n">
        <x:v>46221.916666666664</x:v>
      </x:c>
      <x:c r="G208" t="str">
        <x:v>2026-07-18|塔林弗洛拉（Flora Tallinn）|中文名待确认（Nõmme United）</x:v>
      </x:c>
      <x:c r="H208" t="str">
        <x:v>待确认</x:v>
      </x:c>
      <x:c r="I208" t="str">
        <x:v>本次多来源赛程发现新增；英文原名已保留，规范中文名待后续确认</x:v>
      </x:c>
    </x:row>
    <x:row r="209">
      <x:c r="A209" t="str">
        <x:v>S205</x:v>
      </x:c>
      <x:c r="B209" t="str">
        <x:v>FAI Cup</x:v>
      </x:c>
      <x:c r="C209" t="str">
        <x:v>爱尔兰足协杯</x:v>
      </x:c>
      <x:c r="D209" t="n">
        <x:v>1</x:v>
      </x:c>
      <x:c r="E209" s="39" t="n">
        <x:v>46221.114583333336</x:v>
      </x:c>
      <x:c r="F209" s="39" t="n">
        <x:v>46221.114583333336</x:v>
      </x:c>
      <x:c r="G209" t="str">
        <x:v>2026-07-18|中文名待确认（Treaty United）|中文名待确认（UC Dublin FC）</x:v>
      </x:c>
      <x:c r="H209" t="str">
        <x:v>待确认</x:v>
      </x:c>
      <x:c r="I209" t="str">
        <x:v>本次多来源赛程发现新增；英文原名已保留，规范中文名待后续确认</x:v>
      </x:c>
    </x:row>
    <x:row r="210">
      <x:c r="A210" t="str">
        <x:v>S206</x:v>
      </x:c>
      <x:c r="B210" t="str">
        <x:v>Finland - Ykkosliiga</x:v>
      </x:c>
      <x:c r="C210" t="str">
        <x:v>芬兰足球甲级联赛（Ykkösliiga，芬兰第二级别）</x:v>
      </x:c>
      <x:c r="D210" t="n">
        <x:v>3</x:v>
      </x:c>
      <x:c r="E210" s="39" t="n">
        <x:v>46221</x:v>
      </x:c>
      <x:c r="F210" s="39" t="n">
        <x:v>46221.875</x:v>
      </x:c>
      <x:c r="G210" t="str">
        <x:v>2026-07-18|中文名待确认（Klubi 04）|哈卡（FC Haka）</x:v>
      </x:c>
      <x:c r="H210" t="str">
        <x:v>待确认</x:v>
      </x:c>
      <x:c r="I210" t="str">
        <x:v>本次多来源赛程发现新增；英文原名已保留，规范中文名待后续确认</x:v>
      </x:c>
    </x:row>
    <x:row r="211">
      <x:c r="A211" t="str">
        <x:v>S207</x:v>
      </x:c>
      <x:c r="B211" t="str">
        <x:v>First Division - Apertura</x:v>
      </x:c>
      <x:c r="C211" t="str">
        <x:v>一级联赛（Apertura，国家待确认）</x:v>
      </x:c>
      <x:c r="D211" t="n">
        <x:v>2</x:v>
      </x:c>
      <x:c r="E211" s="39" t="n">
        <x:v>46221.333333333336</x:v>
      </x:c>
      <x:c r="F211" s="39" t="n">
        <x:v>46221.375</x:v>
      </x:c>
      <x:c r="G211" t="str">
        <x:v>2026-07-18|中文名待确认（Diriangén FC）|中文名待确认（San Marcos FC）</x:v>
      </x:c>
      <x:c r="H211" t="str">
        <x:v>待确认</x:v>
      </x:c>
      <x:c r="I211" t="str">
        <x:v>本次多来源赛程发现新增；英文原名已保留，规范中文名待后续确认</x:v>
      </x:c>
    </x:row>
    <x:row r="212">
      <x:c r="A212" t="str">
        <x:v>S208</x:v>
      </x:c>
      <x:c r="B212" t="str">
        <x:v>Germany - Oberliga: Bayern South</x:v>
      </x:c>
      <x:c r="C212" t="str">
        <x:v>德国巴伐利亚高级联赛南区</x:v>
      </x:c>
      <x:c r="D212" t="n">
        <x:v>3</x:v>
      </x:c>
      <x:c r="E212" s="39" t="n">
        <x:v>46221.041666666664</x:v>
      </x:c>
      <x:c r="F212" s="39" t="n">
        <x:v>46221.958333333336</x:v>
      </x:c>
      <x:c r="G212" t="str">
        <x:v>2026-07-18|中文名待确认（1860 Munich II）|中文名待确认（Geretsried）</x:v>
      </x:c>
      <x:c r="H212" t="str">
        <x:v>待确认</x:v>
      </x:c>
      <x:c r="I212" t="str">
        <x:v>本次多来源赛程发现新增；英文原名已保留，规范中文名待后续确认</x:v>
      </x:c>
    </x:row>
    <x:row r="213">
      <x:c r="A213" t="str">
        <x:v>S209</x:v>
      </x:c>
      <x:c r="B213" t="str">
        <x:v>Iceland - 2. Deild</x:v>
      </x:c>
      <x:c r="C213" t="str">
        <x:v>冰岛乙级联赛</x:v>
      </x:c>
      <x:c r="D213" t="n">
        <x:v>5</x:v>
      </x:c>
      <x:c r="E213" s="39" t="n">
        <x:v>46221.135416666664</x:v>
      </x:c>
      <x:c r="F213" s="39" t="n">
        <x:v>46222.041666666664</x:v>
      </x:c>
      <x:c r="G213" t="str">
        <x:v>2026-07-18|中文名待确认（KFG Gardabaer）|中文名待确认（Kari）</x:v>
      </x:c>
      <x:c r="H213" t="str">
        <x:v>待确认</x:v>
      </x:c>
      <x:c r="I213" t="str">
        <x:v>本次多来源赛程发现新增；英文原名已保留，规范中文名待后续确认</x:v>
      </x:c>
    </x:row>
    <x:row r="214">
      <x:c r="A214" t="str">
        <x:v>S210</x:v>
      </x:c>
      <x:c r="B214" t="str">
        <x:v>Iceland - Inkasso Deildin</x:v>
      </x:c>
      <x:c r="C214" t="str">
        <x:v>冰岛甲级联赛</x:v>
      </x:c>
      <x:c r="D214" t="n">
        <x:v>1</x:v>
      </x:c>
      <x:c r="E214" s="39" t="n">
        <x:v>46221.135416666664</x:v>
      </x:c>
      <x:c r="F214" s="39" t="n">
        <x:v>46221.135416666664</x:v>
      </x:c>
      <x:c r="G214" t="str">
        <x:v>2026-07-18|中文名待确认（Fylkir）|中文名待确认（Njardvik）</x:v>
      </x:c>
      <x:c r="H214" t="str">
        <x:v>待确认</x:v>
      </x:c>
      <x:c r="I214" t="str">
        <x:v>本次多来源赛程发现新增；英文原名已保留，规范中文名待后续确认</x:v>
      </x:c>
    </x:row>
    <x:row r="215">
      <x:c r="A215" t="str">
        <x:v>S211</x:v>
      </x:c>
      <x:c r="B215" t="str">
        <x:v>Iran - Division 1</x:v>
      </x:c>
      <x:c r="C215" t="str">
        <x:v>伊朗甲级联赛</x:v>
      </x:c>
      <x:c r="D215" t="n">
        <x:v>1</x:v>
      </x:c>
      <x:c r="E215" s="39" t="n">
        <x:v>46221</x:v>
      </x:c>
      <x:c r="F215" s="39" t="n">
        <x:v>46221</x:v>
      </x:c>
      <x:c r="G215" t="str">
        <x:v>2026-07-18|中文名待确认（Nassaji Mazandaran）|中文名待确认（Ario Eslamshahr）</x:v>
      </x:c>
      <x:c r="H215" t="str">
        <x:v>待确认</x:v>
      </x:c>
      <x:c r="I215" t="str">
        <x:v>本次多来源赛程发现新增；英文原名已保留，规范中文名待后续确认</x:v>
      </x:c>
    </x:row>
    <x:row r="216">
      <x:c r="A216" t="str">
        <x:v>S212</x:v>
      </x:c>
      <x:c r="B216" t="str">
        <x:v>Ireland - FAI Cup</x:v>
      </x:c>
      <x:c r="C216" t="str">
        <x:v>爱尔兰足协杯</x:v>
      </x:c>
      <x:c r="D216" t="n">
        <x:v>14</x:v>
      </x:c>
      <x:c r="E216" s="39" t="n">
        <x:v>46221.114583333336</x:v>
      </x:c>
      <x:c r="F216" s="39" t="n">
        <x:v>46222</x:v>
      </x:c>
      <x:c r="G216" t="str">
        <x:v>2026-07-18|中文名待确认（Waterford FC）|中文名待确认（Cobh Ramblers）</x:v>
      </x:c>
      <x:c r="H216" t="str">
        <x:v>待确认</x:v>
      </x:c>
      <x:c r="I216" t="str">
        <x:v>本次多来源赛程发现新增；英文原名已保留，规范中文名待后续确认</x:v>
      </x:c>
    </x:row>
    <x:row r="217">
      <x:c r="A217" t="str">
        <x:v>S213</x:v>
      </x:c>
      <x:c r="B217" t="str">
        <x:v>K League 2</x:v>
      </x:c>
      <x:c r="C217" t="str">
        <x:v>韩国K2联赛</x:v>
      </x:c>
      <x:c r="D217" t="n">
        <x:v>1</x:v>
      </x:c>
      <x:c r="E217" s="39" t="n">
        <x:v>46221.770833333336</x:v>
      </x:c>
      <x:c r="F217" s="39" t="n">
        <x:v>46221.770833333336</x:v>
      </x:c>
      <x:c r="G217" t="str">
        <x:v>2026-07-18|全南天龙（Jeonnam Dragons）|中文名待确认（Asan Mugunghwa FC）</x:v>
      </x:c>
      <x:c r="H217" t="str">
        <x:v>待确认</x:v>
      </x:c>
      <x:c r="I217" t="str">
        <x:v>本次多来源赛程发现新增；英文原名已保留，规范中文名待后续确认</x:v>
      </x:c>
    </x:row>
    <x:row r="218">
      <x:c r="A218" t="str">
        <x:v>S214</x:v>
      </x:c>
      <x:c r="B218" t="str">
        <x:v>Liga 1</x:v>
      </x:c>
      <x:c r="C218" t="str">
        <x:v>印度尼西亚超级联赛（印尼超/Liga 1 Indonesia）</x:v>
      </x:c>
      <x:c r="D218" t="n">
        <x:v>1</x:v>
      </x:c>
      <x:c r="E218" s="39" t="n">
        <x:v>46221.104166666664</x:v>
      </x:c>
      <x:c r="F218" s="39" t="n">
        <x:v>46221.104166666664</x:v>
      </x:c>
      <x:c r="G218" t="str">
        <x:v>2026-07-18|中文名待确认（FCSB）|中文名待确认（FC Arges Pitesti）</x:v>
      </x:c>
      <x:c r="H218" t="str">
        <x:v>待确认</x:v>
      </x:c>
      <x:c r="I218" t="str">
        <x:v>本次多来源赛程发现新增；英文原名已保留，规范中文名待后续确认</x:v>
      </x:c>
    </x:row>
    <x:row r="219">
      <x:c r="A219" t="str">
        <x:v>S215</x:v>
      </x:c>
      <x:c r="B219" t="str">
        <x:v>Liga 3</x:v>
      </x:c>
      <x:c r="C219" t="str">
        <x:v>三级联赛（国家待确认）</x:v>
      </x:c>
      <x:c r="D219" t="n">
        <x:v>1</x:v>
      </x:c>
      <x:c r="E219" s="39" t="n">
        <x:v>46221.166666666664</x:v>
      </x:c>
      <x:c r="F219" s="39" t="n">
        <x:v>46221.166666666664</x:v>
      </x:c>
      <x:c r="G219" t="str">
        <x:v>2026-07-18|中文名待确认（Cesar Vallejo Reserve）|中文名待确认（Deportivo Lute）</x:v>
      </x:c>
      <x:c r="H219" t="str">
        <x:v>待确认</x:v>
      </x:c>
      <x:c r="I219" t="str">
        <x:v>本次多来源赛程发现新增；英文原名已保留，规范中文名待后续确认</x:v>
      </x:c>
    </x:row>
    <x:row r="220">
      <x:c r="A220" t="str">
        <x:v>S216</x:v>
      </x:c>
      <x:c r="B220" t="str">
        <x:v>Liga MX U19 - Apertura</x:v>
      </x:c>
      <x:c r="C220" t="str">
        <x:v>墨西哥U19联赛（Apertura）</x:v>
      </x:c>
      <x:c r="D220" t="n">
        <x:v>3</x:v>
      </x:c>
      <x:c r="E220" s="39" t="n">
        <x:v>46221.0625</x:v>
      </x:c>
      <x:c r="F220" s="39" t="n">
        <x:v>46221.0625</x:v>
      </x:c>
      <x:c r="G220" t="str">
        <x:v>2026-07-18|莱昂（León）|阿特拉斯（Atlas）</x:v>
      </x:c>
      <x:c r="H220" t="str">
        <x:v>待确认</x:v>
      </x:c>
      <x:c r="I220" t="str">
        <x:v>本次多来源赛程发现新增；英文原名已保留，规范中文名待后续确认</x:v>
      </x:c>
    </x:row>
    <x:row r="221">
      <x:c r="A221" t="str">
        <x:v>S217</x:v>
      </x:c>
      <x:c r="B221" t="str">
        <x:v>Liga MX U21 - Apertura</x:v>
      </x:c>
      <x:c r="C221" t="str">
        <x:v>墨西哥U21联赛（Apertura）</x:v>
      </x:c>
      <x:c r="D221" t="n">
        <x:v>3</x:v>
      </x:c>
      <x:c r="E221" s="39" t="n">
        <x:v>46220.958333333336</x:v>
      </x:c>
      <x:c r="F221" s="39" t="n">
        <x:v>46220.958333333336</x:v>
      </x:c>
      <x:c r="G221" t="str">
        <x:v>2026-07-17|莱昂（León）|阿特拉斯（Atlas）</x:v>
      </x:c>
      <x:c r="H221" t="str">
        <x:v>待确认</x:v>
      </x:c>
      <x:c r="I221" t="str">
        <x:v>本次多来源赛程发现新增；英文原名已保留，规范中文名待后续确认</x:v>
      </x:c>
    </x:row>
    <x:row r="222">
      <x:c r="A222" t="str">
        <x:v>S218</x:v>
      </x:c>
      <x:c r="B222" t="str">
        <x:v>Liga Primera Juvenil - Apertura</x:v>
      </x:c>
      <x:c r="C222" t="str">
        <x:v>青年一级联赛（Apertura，国家待确认）</x:v>
      </x:c>
      <x:c r="D222" t="n">
        <x:v>1</x:v>
      </x:c>
      <x:c r="E222" s="39" t="n">
        <x:v>46221.208333333336</x:v>
      </x:c>
      <x:c r="F222" s="39" t="n">
        <x:v>46221.208333333336</x:v>
      </x:c>
      <x:c r="G222" t="str">
        <x:v>2026-07-18|中文名待确认（Diriangen U19）|中文名待确认（FC San Marcos U19）</x:v>
      </x:c>
      <x:c r="H222" t="str">
        <x:v>待确认</x:v>
      </x:c>
      <x:c r="I222" t="str">
        <x:v>本次多来源赛程发现新增；英文原名已保留，规范中文名待后续确认</x:v>
      </x:c>
    </x:row>
    <x:row r="223">
      <x:c r="A223" t="str">
        <x:v>S219</x:v>
      </x:c>
      <x:c r="B223" t="str">
        <x:v>Mexico - Liga MX - Apertura</x:v>
      </x:c>
      <x:c r="C223" t="str">
        <x:v>墨西哥超级联赛（Liga MX，Apertura）</x:v>
      </x:c>
      <x:c r="D223" t="n">
        <x:v>3</x:v>
      </x:c>
      <x:c r="E223" s="39" t="n">
        <x:v>46221.375</x:v>
      </x:c>
      <x:c r="F223" s="39" t="n">
        <x:v>46221.458333333336</x:v>
      </x:c>
      <x:c r="G223" t="str">
        <x:v>2026-07-18|莱昂（León）|阿特拉斯（Atlas）</x:v>
      </x:c>
      <x:c r="H223" t="str">
        <x:v>待确认</x:v>
      </x:c>
      <x:c r="I223" t="str">
        <x:v>本次多来源赛程发现新增；英文原名已保留，规范中文名待后续确认</x:v>
      </x:c>
    </x:row>
    <x:row r="224">
      <x:c r="A224" t="str">
        <x:v>S220</x:v>
      </x:c>
      <x:c r="B224" t="str">
        <x:v>Morocco - Botola Pro: Qualification</x:v>
      </x:c>
      <x:c r="C224" t="str">
        <x:v>摩洛哥甲级联赛资格赛</x:v>
      </x:c>
      <x:c r="D224" t="n">
        <x:v>2</x:v>
      </x:c>
      <x:c r="E224" s="39" t="n">
        <x:v>46221.125</x:v>
      </x:c>
      <x:c r="F224" s="39" t="n">
        <x:v>46222</x:v>
      </x:c>
      <x:c r="G224" t="str">
        <x:v>2026-07-18|中文名待确认（Jeunesse Massira）|中文名待确认（Union Touarga Sport）</x:v>
      </x:c>
      <x:c r="H224" t="str">
        <x:v>待确认</x:v>
      </x:c>
      <x:c r="I224" t="str">
        <x:v>本次多来源赛程发现新增；英文原名已保留，规范中文名待后续确认</x:v>
      </x:c>
    </x:row>
    <x:row r="225">
      <x:c r="A225" t="str">
        <x:v>S221</x:v>
      </x:c>
      <x:c r="B225" t="str">
        <x:v>National League</x:v>
      </x:c>
      <x:c r="C225" t="str">
        <x:v>国家联赛（具体国家待确认）</x:v>
      </x:c>
      <x:c r="D225" t="n">
        <x:v>14</x:v>
      </x:c>
      <x:c r="E225" s="39" t="n">
        <x:v>46221.333333333336</x:v>
      </x:c>
      <x:c r="F225" s="39" t="n">
        <x:v>46221.583333333336</x:v>
      </x:c>
      <x:c r="G225" t="str">
        <x:v>2026-07-18|中文名待确认（Selwyn United）|中文名待确认（Nelson Suburbs）</x:v>
      </x:c>
      <x:c r="H225" t="str">
        <x:v>待确认</x:v>
      </x:c>
      <x:c r="I225" t="str">
        <x:v>本次多来源赛程发现新增；英文原名已保留，规范中文名待后续确认</x:v>
      </x:c>
    </x:row>
    <x:row r="226">
      <x:c r="A226" t="str">
        <x:v>S222</x:v>
      </x:c>
      <x:c r="B226" t="str">
        <x:v>Norway - Eliteserien</x:v>
      </x:c>
      <x:c r="C226" t="str">
        <x:v>挪威超级联赛（Eliteserien）</x:v>
      </x:c>
      <x:c r="D226" t="n">
        <x:v>5</x:v>
      </x:c>
      <x:c r="E226" s="39" t="n">
        <x:v>46221.052083333336</x:v>
      </x:c>
      <x:c r="F226" s="39" t="n">
        <x:v>46222</x:v>
      </x:c>
      <x:c r="G226" t="str">
        <x:v>2026-07-18|中文名待确认（Bodo Glimt）|中文名待确认（Fredrikstad）</x:v>
      </x:c>
      <x:c r="H226" t="str">
        <x:v>待确认</x:v>
      </x:c>
      <x:c r="I226" t="str">
        <x:v>本次多来源赛程发现新增；英文原名已保留，规范中文名待后续确认</x:v>
      </x:c>
    </x:row>
    <x:row r="227">
      <x:c r="A227" t="str">
        <x:v>S223</x:v>
      </x:c>
      <x:c r="B227" t="str">
        <x:v>Paraguay - Division Intermedia</x:v>
      </x:c>
      <x:c r="C227" t="str">
        <x:v>巴拉圭乙级联赛</x:v>
      </x:c>
      <x:c r="D227" t="n">
        <x:v>4</x:v>
      </x:c>
      <x:c r="E227" s="39" t="n">
        <x:v>46221.270833333336</x:v>
      </x:c>
      <x:c r="F227" s="39" t="n">
        <x:v>46222.083333333336</x:v>
      </x:c>
      <x:c r="G227" t="str">
        <x:v>2026-07-18|中文名待确认（12 De Junio Vh）|中文名待确认（General Caballero JLM）</x:v>
      </x:c>
      <x:c r="H227" t="str">
        <x:v>待确认</x:v>
      </x:c>
      <x:c r="I227" t="str">
        <x:v>本次多来源赛程发现新增；英文原名已保留，规范中文名待后续确认</x:v>
      </x:c>
    </x:row>
    <x:row r="228">
      <x:c r="A228" t="str">
        <x:v>S224</x:v>
      </x:c>
      <x:c r="B228" t="str">
        <x:v>Paulista Women</x:v>
      </x:c>
      <x:c r="C228" t="str">
        <x:v>巴西圣保罗州女子联赛</x:v>
      </x:c>
      <x:c r="D228" t="n">
        <x:v>2</x:v>
      </x:c>
      <x:c r="E228" s="39" t="n">
        <x:v>46221.25</x:v>
      </x:c>
      <x:c r="F228" s="39" t="n">
        <x:v>46221.333333333336</x:v>
      </x:c>
      <x:c r="G228" t="str">
        <x:v>2026-07-18|中文名待确认（Corinthians (W)）|中文名待确认（Ferroviária (W)）</x:v>
      </x:c>
      <x:c r="H228" t="str">
        <x:v>待确认</x:v>
      </x:c>
      <x:c r="I228" t="str">
        <x:v>本次多来源赛程发现新增；英文原名已保留，规范中文名待后续确认</x:v>
      </x:c>
    </x:row>
    <x:row r="229">
      <x:c r="A229" t="str">
        <x:v>S225</x:v>
      </x:c>
      <x:c r="B229" t="str">
        <x:v>Peru - Liga 1 - Clausura</x:v>
      </x:c>
      <x:c r="C229" t="str">
        <x:v>秘鲁甲级联赛（Clausura）</x:v>
      </x:c>
      <x:c r="D229" t="n">
        <x:v>3</x:v>
      </x:c>
      <x:c r="E229" s="39" t="n">
        <x:v>46221.083333333336</x:v>
      </x:c>
      <x:c r="F229" s="39" t="n">
        <x:v>46221.375</x:v>
      </x:c>
      <x:c r="G229" t="str">
        <x:v>2026-07-18|中文名待确认（FC Cajamarca）|中文名待确认（Juan Pablo II College）</x:v>
      </x:c>
      <x:c r="H229" t="str">
        <x:v>待确认</x:v>
      </x:c>
      <x:c r="I229" t="str">
        <x:v>本次多来源赛程发现新增；英文原名已保留，规范中文名待后续确认</x:v>
      </x:c>
    </x:row>
    <x:row r="230">
      <x:c r="A230" t="str">
        <x:v>S226</x:v>
      </x:c>
      <x:c r="B230" t="str">
        <x:v>Premier League - PlayOffs - Losers stage</x:v>
      </x:c>
      <x:c r="C230" t="str">
        <x:v>超级联赛附加赛负方组（国家待确认）</x:v>
      </x:c>
      <x:c r="D230" t="n">
        <x:v>1</x:v>
      </x:c>
      <x:c r="E230" s="39" t="n">
        <x:v>46220.916666666664</x:v>
      </x:c>
      <x:c r="F230" s="39" t="n">
        <x:v>46220.916666666664</x:v>
      </x:c>
      <x:c r="G230" t="str">
        <x:v>2026-07-17|中文名待确认（Tadamon）|中文名待确认（Al-Abbassieh）</x:v>
      </x:c>
      <x:c r="H230" t="str">
        <x:v>待确认</x:v>
      </x:c>
      <x:c r="I230" t="str">
        <x:v>本次多来源赛程发现新增；英文原名已保留，规范中文名待后续确认</x:v>
      </x:c>
    </x:row>
    <x:row r="231">
      <x:c r="A231" t="str">
        <x:v>S227</x:v>
      </x:c>
      <x:c r="B231" t="str">
        <x:v>Primera Nacional</x:v>
      </x:c>
      <x:c r="C231" t="str">
        <x:v>阿根廷全国联赛</x:v>
      </x:c>
      <x:c r="D231" t="n">
        <x:v>3</x:v>
      </x:c>
      <x:c r="E231" s="39" t="n">
        <x:v>46221.083333333336</x:v>
      </x:c>
      <x:c r="F231" s="39" t="n">
        <x:v>46221.270833333336</x:v>
      </x:c>
      <x:c r="G231" t="str">
        <x:v>2026-07-18|中文名待确认（Almirante Brown）|中文名待确认（Estudiantes Buenos Aires）</x:v>
      </x:c>
      <x:c r="H231" t="str">
        <x:v>待确认</x:v>
      </x:c>
      <x:c r="I231" t="str">
        <x:v>本次多来源赛程发现新增；英文原名已保留，规范中文名待后续确认</x:v>
      </x:c>
    </x:row>
    <x:row r="232">
      <x:c r="A232" t="str">
        <x:v>S228</x:v>
      </x:c>
      <x:c r="B232" t="str">
        <x:v>Promocional Amateur</x:v>
      </x:c>
      <x:c r="C232" t="str">
        <x:v>阿根廷业余晋级联赛</x:v>
      </x:c>
      <x:c r="D232" t="n">
        <x:v>1</x:v>
      </x:c>
      <x:c r="E232" s="39" t="n">
        <x:v>46221.083333333336</x:v>
      </x:c>
      <x:c r="F232" s="39" t="n">
        <x:v>46221.083333333336</x:v>
      </x:c>
      <x:c r="G232" t="str">
        <x:v>2026-07-18|中文名待确认（Club Atlético Belgrano (Zarate)）|中文名待确认（Alumni (Los Hornos)）</x:v>
      </x:c>
      <x:c r="H232" t="str">
        <x:v>待确认</x:v>
      </x:c>
      <x:c r="I232" t="str">
        <x:v>本次多来源赛程发现新增；英文原名已保留，规范中文名待后续确认</x:v>
      </x:c>
    </x:row>
    <x:row r="233">
      <x:c r="A233" t="str">
        <x:v>S229</x:v>
      </x:c>
      <x:c r="B233" t="str">
        <x:v>Recopa - Final</x:v>
      </x:c>
      <x:c r="C233" t="str">
        <x:v>南美优胜者杯决赛</x:v>
      </x:c>
      <x:c r="D233" t="n">
        <x:v>1</x:v>
      </x:c>
      <x:c r="E233" s="39" t="n">
        <x:v>46221.416666666664</x:v>
      </x:c>
      <x:c r="F233" s="39" t="n">
        <x:v>46221.416666666664</x:v>
      </x:c>
      <x:c r="G233" t="str">
        <x:v>2026-07-18|中文名待确认（Club Sport Herediano）|萨普里萨（Deportivo Saprissa）</x:v>
      </x:c>
      <x:c r="H233" t="str">
        <x:v>待确认</x:v>
      </x:c>
      <x:c r="I233" t="str">
        <x:v>本次多来源赛程发现新增；英文原名已保留，规范中文名待后续确认</x:v>
      </x:c>
    </x:row>
    <x:row r="234">
      <x:c r="A234" t="str">
        <x:v>S230</x:v>
      </x:c>
      <x:c r="B234" t="str">
        <x:v>Republic of Korea - K League 1</x:v>
      </x:c>
      <x:c r="C234" t="str">
        <x:v>韩国K联赛1（K League 1）</x:v>
      </x:c>
      <x:c r="D234" t="n">
        <x:v>4</x:v>
      </x:c>
      <x:c r="E234" s="39" t="n">
        <x:v>46221.770833333336</x:v>
      </x:c>
      <x:c r="F234" s="39" t="n">
        <x:v>46221.770833333336</x:v>
      </x:c>
      <x:c r="G234" t="str">
        <x:v>2026-07-18|中文名待确认（Jeju United）|浦项制铁（Pohang Steelers）</x:v>
      </x:c>
      <x:c r="H234" t="str">
        <x:v>待确认</x:v>
      </x:c>
      <x:c r="I234" t="str">
        <x:v>本次多来源赛程发现新增；英文原名已保留，规范中文名待后续确认</x:v>
      </x:c>
    </x:row>
    <x:row r="235">
      <x:c r="A235" t="str">
        <x:v>S231</x:v>
      </x:c>
      <x:c r="B235" t="str">
        <x:v>Republic of Korea - K League 2</x:v>
      </x:c>
      <x:c r="C235" t="str">
        <x:v>韩国K2联赛</x:v>
      </x:c>
      <x:c r="D235" t="n">
        <x:v>8</x:v>
      </x:c>
      <x:c r="E235" s="39" t="n">
        <x:v>46221.770833333336</x:v>
      </x:c>
      <x:c r="F235" s="39" t="n">
        <x:v>46222.770833333336</x:v>
      </x:c>
      <x:c r="G235" t="str">
        <x:v>2026-07-18|水原FC（Suwon FC）|首尔衣恋（Seoul E-Land）</x:v>
      </x:c>
      <x:c r="H235" t="str">
        <x:v>待确认</x:v>
      </x:c>
      <x:c r="I235" t="str">
        <x:v>本次多来源赛程发现新增；英文原名已保留，规范中文名待后续确认</x:v>
      </x:c>
    </x:row>
    <x:row r="236">
      <x:c r="A236" t="str">
        <x:v>S232</x:v>
      </x:c>
      <x:c r="B236" t="str">
        <x:v>Republic of Korea - K League 3</x:v>
      </x:c>
      <x:c r="C236" t="str">
        <x:v>韩国K3联赛</x:v>
      </x:c>
      <x:c r="D236" t="n">
        <x:v>1</x:v>
      </x:c>
      <x:c r="E236" s="39" t="n">
        <x:v>46221.75</x:v>
      </x:c>
      <x:c r="F236" s="39" t="n">
        <x:v>46221.75</x:v>
      </x:c>
      <x:c r="G236" t="str">
        <x:v>2026-07-18|中文名待确认（Dangjin Citizen）|中文名待确认（Jeonbuk Motors II）</x:v>
      </x:c>
      <x:c r="H236" t="str">
        <x:v>待确认</x:v>
      </x:c>
      <x:c r="I236" t="str">
        <x:v>本次多来源赛程发现新增；英文原名已保留，规范中文名待后续确认</x:v>
      </x:c>
    </x:row>
    <x:row r="237">
      <x:c r="A237" t="str">
        <x:v>S233</x:v>
      </x:c>
      <x:c r="B237" t="str">
        <x:v>Romania - Liga 1</x:v>
      </x:c>
      <x:c r="C237" t="str">
        <x:v>印度尼西亚超级联赛（印尼超/Liga 1 Indonesia）</x:v>
      </x:c>
      <x:c r="D237" t="n">
        <x:v>4</x:v>
      </x:c>
      <x:c r="E237" s="39" t="n">
        <x:v>46220.979166666664</x:v>
      </x:c>
      <x:c r="F237" s="39" t="n">
        <x:v>46222.09375</x:v>
      </x:c>
      <x:c r="G237" t="str">
        <x:v>2026-07-17|中文名待确认（FC Voluntari）|中文名待确认（FC Botosani）</x:v>
      </x:c>
      <x:c r="H237" t="str">
        <x:v>待确认</x:v>
      </x:c>
      <x:c r="I237" t="str">
        <x:v>本次多来源赛程发现新增；英文原名已保留，规范中文名待后续确认</x:v>
      </x:c>
    </x:row>
    <x:row r="238">
      <x:c r="A238" t="str">
        <x:v>S234</x:v>
      </x:c>
      <x:c r="B238" t="str">
        <x:v>Serbia - Super Liga</x:v>
      </x:c>
      <x:c r="C238" t="str">
        <x:v>塞尔维亚超级联赛</x:v>
      </x:c>
      <x:c r="D238" t="n">
        <x:v>4</x:v>
      </x:c>
      <x:c r="E238" s="39" t="n">
        <x:v>46221.083333333336</x:v>
      </x:c>
      <x:c r="F238" s="39" t="n">
        <x:v>46222.083333333336</x:v>
      </x:c>
      <x:c r="G238" t="str">
        <x:v>2026-07-18|中文名待确认（Zeleznicar Pancevo）|中文名待确认（Radnicki NIS）</x:v>
      </x:c>
      <x:c r="H238" t="str">
        <x:v>待确认</x:v>
      </x:c>
      <x:c r="I238" t="str">
        <x:v>本次多来源赛程发现新增；英文原名已保留，规范中文名待后续确认</x:v>
      </x:c>
    </x:row>
    <x:row r="239">
      <x:c r="A239" t="str">
        <x:v>S235</x:v>
      </x:c>
      <x:c r="B239" t="str">
        <x:v>Slovenia - PrvaLiga - Regular Season</x:v>
      </x:c>
      <x:c r="C239" t="str">
        <x:v>斯洛文尼亚甲级联赛</x:v>
      </x:c>
      <x:c r="D239" t="n">
        <x:v>2</x:v>
      </x:c>
      <x:c r="E239" s="39" t="n">
        <x:v>46221</x:v>
      </x:c>
      <x:c r="F239" s="39" t="n">
        <x:v>46221.09375</x:v>
      </x:c>
      <x:c r="G239" t="str">
        <x:v>2026-07-18|中文名待确认（Nafta）|中文名待确认（Luka Koper）</x:v>
      </x:c>
      <x:c r="H239" t="str">
        <x:v>待确认</x:v>
      </x:c>
      <x:c r="I239" t="str">
        <x:v>本次多来源赛程发现新增；英文原名已保留，规范中文名待后续确认</x:v>
      </x:c>
    </x:row>
    <x:row r="240">
      <x:c r="A240" t="str">
        <x:v>S236</x:v>
      </x:c>
      <x:c r="B240" t="str">
        <x:v>Superliga Femenina</x:v>
      </x:c>
      <x:c r="C240" t="str">
        <x:v>女子超级联赛（国家待确认）</x:v>
      </x:c>
      <x:c r="D240" t="n">
        <x:v>1</x:v>
      </x:c>
      <x:c r="E240" s="39" t="n">
        <x:v>46221.208333333336</x:v>
      </x:c>
      <x:c r="F240" s="39" t="n">
        <x:v>46221.208333333336</x:v>
      </x:c>
      <x:c r="G240" t="str">
        <x:v>2026-07-18|中文名待确认（Espuce (W)）|中文名待确认（Macara (W)）</x:v>
      </x:c>
      <x:c r="H240" t="str">
        <x:v>待确认</x:v>
      </x:c>
      <x:c r="I240" t="str">
        <x:v>本次多来源赛程发现新增；英文原名已保留，规范中文名待后续确认</x:v>
      </x:c>
    </x:row>
    <x:row r="241">
      <x:c r="A241" t="str">
        <x:v>S237</x:v>
      </x:c>
      <x:c r="B241" t="str">
        <x:v>Supreme Division Women</x:v>
      </x:c>
      <x:c r="C241" t="str">
        <x:v>女子顶级联赛（国家待确认）</x:v>
      </x:c>
      <x:c r="D241" t="n">
        <x:v>2</x:v>
      </x:c>
      <x:c r="E241" s="39" t="n">
        <x:v>46220.958333333336</x:v>
      </x:c>
      <x:c r="F241" s="39" t="n">
        <x:v>46221.6875</x:v>
      </x:c>
      <x:c r="G241" t="str">
        <x:v>2026-07-17|中文名待确认（CSKA Moskva (W)）|中文名待确认（Fk Rostov (W)）</x:v>
      </x:c>
      <x:c r="H241" t="str">
        <x:v>待确认</x:v>
      </x:c>
      <x:c r="I241" t="str">
        <x:v>本次多来源赛程发现新增；英文原名已保留，规范中文名待后续确认</x:v>
      </x:c>
    </x:row>
    <x:row r="242">
      <x:c r="A242" t="str">
        <x:v>S238</x:v>
      </x:c>
      <x:c r="B242" t="str">
        <x:v>Sweden - Allsvenskan</x:v>
      </x:c>
      <x:c r="C242" t="str">
        <x:v>瑞典超级联赛（Allsvenskan）</x:v>
      </x:c>
      <x:c r="D242" t="n">
        <x:v>3</x:v>
      </x:c>
      <x:c r="E242" s="39" t="n">
        <x:v>46221.041666666664</x:v>
      </x:c>
      <x:c r="F242" s="39" t="n">
        <x:v>46221.875</x:v>
      </x:c>
      <x:c r="G242" t="str">
        <x:v>2026-07-18|米亚尔比AIF（Mjällby AIF）|瓦斯特拉斯（Västerås SK）</x:v>
      </x:c>
      <x:c r="H242" t="str">
        <x:v>待确认</x:v>
      </x:c>
      <x:c r="I242" t="str">
        <x:v>本次多来源赛程发现新增；英文原名已保留，规范中文名待后续确认</x:v>
      </x:c>
    </x:row>
    <x:row r="243">
      <x:c r="A243" t="str">
        <x:v>S239</x:v>
      </x:c>
      <x:c r="B243" t="str">
        <x:v>USA - MLS</x:v>
      </x:c>
      <x:c r="C243" t="str">
        <x:v>美国职业足球大联盟（MLS）</x:v>
      </x:c>
      <x:c r="D243" t="n">
        <x:v>2</x:v>
      </x:c>
      <x:c r="E243" s="39" t="n">
        <x:v>46221.34027777778</x:v>
      </x:c>
      <x:c r="F243" s="39" t="n">
        <x:v>46221.43402777778</x:v>
      </x:c>
      <x:c r="G243" t="str">
        <x:v>2026-07-18|纳什维尔SC（Nashville SC）|中文名待确认（Atlanta United）</x:v>
      </x:c>
      <x:c r="H243" t="str">
        <x:v>待确认</x:v>
      </x:c>
      <x:c r="I243" t="str">
        <x:v>本次多来源赛程发现新增；英文原名已保留，规范中文名待后续确认</x:v>
      </x:c>
    </x:row>
    <x:row r="244">
      <x:c r="A244" t="str">
        <x:v>S240</x:v>
      </x:c>
      <x:c r="B244" t="str">
        <x:v>USA - MLS Next Pro</x:v>
      </x:c>
      <x:c r="C244" t="str">
        <x:v>美国MLS Next Pro联赛</x:v>
      </x:c>
      <x:c r="D244" t="n">
        <x:v>10</x:v>
      </x:c>
      <x:c r="E244" s="39" t="n">
        <x:v>46221.291666666664</x:v>
      </x:c>
      <x:c r="F244" s="39" t="n">
        <x:v>46222.416666666664</x:v>
      </x:c>
      <x:c r="G244" t="str">
        <x:v>2026-07-18|中文名待确认（Toronto FC II）|中文名待确认（Fc Cincinnati II）</x:v>
      </x:c>
      <x:c r="H244" t="str">
        <x:v>待确认</x:v>
      </x:c>
      <x:c r="I244" t="str">
        <x:v>本次多来源赛程发现新增；英文原名已保留，规范中文名待后续确认</x:v>
      </x:c>
    </x:row>
    <x:row r="245">
      <x:c r="A245" t="str">
        <x:v>S241</x:v>
      </x:c>
      <x:c r="B245" t="str">
        <x:v>USA - NWSL</x:v>
      </x:c>
      <x:c r="C245" t="str">
        <x:v>美国国家女子足球联赛（NWSL）</x:v>
      </x:c>
      <x:c r="D245" t="n">
        <x:v>1</x:v>
      </x:c>
      <x:c r="E245" s="39" t="n">
        <x:v>46221.333333333336</x:v>
      </x:c>
      <x:c r="F245" s="39" t="n">
        <x:v>46221.333333333336</x:v>
      </x:c>
      <x:c r="G245" t="str">
        <x:v>2026-07-18|中文名待确认（Kansas City Current）|中文名待确认（San Diego Wave）</x:v>
      </x:c>
      <x:c r="H245" t="str">
        <x:v>待确认</x:v>
      </x:c>
      <x:c r="I245" t="str">
        <x:v>本次多来源赛程发现新增；英文原名已保留，规范中文名待后续确认</x:v>
      </x:c>
    </x:row>
    <x:row r="246">
      <x:c r="A246" t="str">
        <x:v>S242</x:v>
      </x:c>
      <x:c r="B246" t="str">
        <x:v>USA - USL League One - Regular Season</x:v>
      </x:c>
      <x:c r="C246" t="str">
        <x:v>美国USL甲级联赛</x:v>
      </x:c>
      <x:c r="D246" t="n">
        <x:v>1</x:v>
      </x:c>
      <x:c r="E246" s="39" t="n">
        <x:v>46221.395833333336</x:v>
      </x:c>
      <x:c r="F246" s="39" t="n">
        <x:v>46221.395833333336</x:v>
      </x:c>
      <x:c r="G246" t="str">
        <x:v>2026-07-18|中文名待确认（Boise）|中文名待确认（Portland Hearts of Pine）</x:v>
      </x:c>
      <x:c r="H246" t="str">
        <x:v>待确认</x:v>
      </x:c>
      <x:c r="I246" t="str">
        <x:v>本次多来源赛程发现新增；英文原名已保留，规范中文名待后续确认</x:v>
      </x:c>
    </x:row>
    <x:row r="247">
      <x:c r="A247" t="str">
        <x:v>S243</x:v>
      </x:c>
      <x:c r="B247" t="str">
        <x:v>USA - USL League Two: Play-off</x:v>
      </x:c>
      <x:c r="C247" t="str">
        <x:v>美国USL二级联赛季后赛</x:v>
      </x:c>
      <x:c r="D247" t="n">
        <x:v>10</x:v>
      </x:c>
      <x:c r="E247" s="39" t="n">
        <x:v>46221</x:v>
      </x:c>
      <x:c r="F247" s="39" t="n">
        <x:v>46221.4375</x:v>
      </x:c>
      <x:c r="G247" t="str">
        <x:v>2026-07-18|中文名待确认（Charlotte Independence 2）|中文名待确认（Appalachian）</x:v>
      </x:c>
      <x:c r="H247" t="str">
        <x:v>待确认</x:v>
      </x:c>
      <x:c r="I247" t="str">
        <x:v>本次多来源赛程发现新增；英文原名已保留，规范中文名待后续确认</x:v>
      </x:c>
    </x:row>
    <x:row r="248">
      <x:c r="A248" t="str">
        <x:v>S244</x:v>
      </x:c>
      <x:c r="B248" t="str">
        <x:v>Uruguay - Uruguayan Championship - Intermediate</x:v>
      </x:c>
      <x:c r="C248" t="str">
        <x:v>乌拉圭甲级联赛中间轮</x:v>
      </x:c>
      <x:c r="D248" t="n">
        <x:v>2</x:v>
      </x:c>
      <x:c r="E248" s="39" t="n">
        <x:v>46221.083333333336</x:v>
      </x:c>
      <x:c r="F248" s="39" t="n">
        <x:v>46221.270833333336</x:v>
      </x:c>
      <x:c r="G248" t="str">
        <x:v>2026-07-18|中文名待确认（Albion）|中文名待确认（Juventud）</x:v>
      </x:c>
      <x:c r="H248" t="str">
        <x:v>待确认</x:v>
      </x:c>
      <x:c r="I248" t="str">
        <x:v>本次多来源赛程发现新增；英文原名已保留，规范中文名待后续确认</x:v>
      </x:c>
    </x:row>
    <x:row r="249">
      <x:c r="A249" t="str">
        <x:v>S245</x:v>
      </x:c>
      <x:c r="B249" t="str">
        <x:v>Uzbekistan - Super League</x:v>
      </x:c>
      <x:c r="C249" t="str">
        <x:v>超级联赛（国家待确认）</x:v>
      </x:c>
      <x:c r="D249" t="n">
        <x:v>5</x:v>
      </x:c>
      <x:c r="E249" s="39" t="n">
        <x:v>46220.958333333336</x:v>
      </x:c>
      <x:c r="F249" s="39" t="n">
        <x:v>46221.958333333336</x:v>
      </x:c>
      <x:c r="G249" t="str">
        <x:v>2026-07-17|中文名待确认（Pakhtakor）|中文名待确认（Lokomotiv Tashkent）</x:v>
      </x:c>
      <x:c r="H249" t="str">
        <x:v>待确认</x:v>
      </x:c>
      <x:c r="I249" t="str">
        <x:v>本次多来源赛程发现新增；英文原名已保留，规范中文名待后续确认</x:v>
      </x:c>
    </x:row>
    <x:row r="250">
      <x:c r="A250" t="str">
        <x:v>S246</x:v>
      </x:c>
      <x:c r="B250" t="str">
        <x:v>Women League - Final</x:v>
      </x:c>
      <x:c r="C250" t="str">
        <x:v>女子联赛决赛（国家待确认）</x:v>
      </x:c>
      <x:c r="D250" t="n">
        <x:v>1</x:v>
      </x:c>
      <x:c r="E250" s="39" t="n">
        <x:v>46221.375</x:v>
      </x:c>
      <x:c r="F250" s="39" t="n">
        <x:v>46221.375</x:v>
      </x:c>
      <x:c r="G250" t="str">
        <x:v>2026-07-18|中文名待确认（Universitario Deportes (W)）|中文名待确认（Sporting Cristal (W)）</x:v>
      </x:c>
      <x:c r="H250" t="str">
        <x:v>待确认</x:v>
      </x:c>
      <x:c r="I250" t="str">
        <x:v>本次多来源赛程发现新增；英文原名已保留，规范中文名待后续确认</x:v>
      </x:c>
    </x:row>
    <x:row r="251">
      <x:c r="A251" t="str">
        <x:v>S247</x:v>
      </x:c>
      <x:c r="B251" t="str">
        <x:v>Yemeni League</x:v>
      </x:c>
      <x:c r="C251" t="str">
        <x:v>也门联赛</x:v>
      </x:c>
      <x:c r="D251" t="n">
        <x:v>2</x:v>
      </x:c>
      <x:c r="E251" s="39" t="n">
        <x:v>46220.875</x:v>
      </x:c>
      <x:c r="F251" s="39" t="n">
        <x:v>46220.875</x:v>
      </x:c>
      <x:c r="G251" t="str">
        <x:v>2026-07-17|中文名待确认（Mukallah FC）|中文名待确认（Al Orouba FC）</x:v>
      </x:c>
      <x:c r="H251" t="str">
        <x:v>待确认</x:v>
      </x:c>
      <x:c r="I251" t="str">
        <x:v>本次多来源赛程发现新增；英文原名已保留，规范中文名待后续确认</x:v>
      </x:c>
    </x:row>
    <x:row r="252">
      <x:c r="A252" t="str">
        <x:v>S248</x:v>
      </x:c>
      <x:c r="B252" t="str">
        <x:v>Ykkosliiga</x:v>
      </x:c>
      <x:c r="C252" t="str">
        <x:v>芬兰足球甲级联赛（Ykkösliiga，芬兰第二级别）</x:v>
      </x:c>
      <x:c r="D252" t="n">
        <x:v>1</x:v>
      </x:c>
      <x:c r="E252" s="39" t="n">
        <x:v>46221</x:v>
      </x:c>
      <x:c r="F252" s="39" t="n">
        <x:v>46221</x:v>
      </x:c>
      <x:c r="G252" t="str">
        <x:v>2026-07-18|中文名待确认（Kapa）|中文名待确认（SJK Akatemia）</x:v>
      </x:c>
      <x:c r="H252" t="str">
        <x:v>待确认</x:v>
      </x:c>
      <x:c r="I252" t="str">
        <x:v>本次多来源赛程发现新增；英文原名已保留，规范中文名待后续确认</x:v>
      </x:c>
    </x:row>
    <x:row r="253">
      <x:c r="A253" t="str">
        <x:v>S249</x:v>
      </x:c>
      <x:c r="B253" t="str">
        <x:v>赛事待确认</x:v>
      </x:c>
      <x:c r="C253" t="str">
        <x:v>乌兹别克斯坦超级联赛</x:v>
      </x:c>
      <x:c r="D253" t="n">
        <x:v>4</x:v>
      </x:c>
      <x:c r="E253" s="39" t="n">
        <x:v>46221.125</x:v>
      </x:c>
      <x:c r="F253" s="39" t="n">
        <x:v>46221.43402777778</x:v>
      </x:c>
      <x:c r="G253" t="str">
        <x:v>2026-07-18|中文名待确认（Mitre (Santiago del Estero)）|中文名待确认（Racing (Córdoba)）</x:v>
      </x:c>
      <x:c r="H253" t="str">
        <x:v>待确认</x:v>
      </x:c>
      <x:c r="I253" t="str">
        <x:v>本次多来源赛程发现新增；英文原名已保留，规范中文名待后续确认</x:v>
      </x:c>
    </x:row>
    <x:row r="254">
      <x:c r="A254" t="str">
        <x:v>S250</x:v>
      </x:c>
      <x:c r="B254" t="str">
        <x:v>2026 Brasileiro Serie B</x:v>
      </x:c>
      <x:c r="C254" t="str">
        <x:v>规范中文名待确认（2026 Brasileiro Serie B）</x:v>
      </x:c>
      <x:c r="D254" t="n">
        <x:v>1</x:v>
      </x:c>
      <x:c r="E254" s="39" t="n">
        <x:v>46222.125</x:v>
      </x:c>
      <x:c r="F254" s="39" t="n">
        <x:v>46222.125</x:v>
      </x:c>
      <x:c r="G254" t="str">
        <x:v>2026-07-19|中文名待确认（Sport）|中文名待确认（Operário PR）</x:v>
      </x:c>
      <x:c r="H254" t="str">
        <x:v>待确认</x:v>
      </x:c>
      <x:c r="I254" t="str">
        <x:v>本次多来源赛程发现新增；英文原名已保留，规范中文名待后续确认</x:v>
      </x:c>
    </x:row>
    <x:row r="255">
      <x:c r="A255" t="str">
        <x:v>S251</x:v>
      </x:c>
      <x:c r="B255" t="str">
        <x:v>Argentina - Primera B Metropolitana</x:v>
      </x:c>
      <x:c r="C255" t="str">
        <x:v>规范中文名待确认（Argentina - Primera B Metropolitana）</x:v>
      </x:c>
      <x:c r="D255" t="n">
        <x:v>10</x:v>
      </x:c>
      <x:c r="E255" s="39" t="n">
        <x:v>46222</x:v>
      </x:c>
      <x:c r="F255" s="39" t="n">
        <x:v>46222</x:v>
      </x:c>
      <x:c r="G255" t="str">
        <x:v>2026-07-19|维拉圣卡洛斯（Villa San Carlos）|中文名待确认（CASD Camioneros）</x:v>
      </x:c>
      <x:c r="H255" t="str">
        <x:v>待确认</x:v>
      </x:c>
      <x:c r="I255" t="str">
        <x:v>本次多来源赛程发现新增；英文原名已保留，规范中文名待后续确认</x:v>
      </x:c>
    </x:row>
    <x:row r="256">
      <x:c r="A256" t="str">
        <x:v>S252</x:v>
      </x:c>
      <x:c r="B256" t="str">
        <x:v>BRA - Copa Paulista</x:v>
      </x:c>
      <x:c r="C256" t="str">
        <x:v>规范中文名待确认（BRA - Copa Paulista）</x:v>
      </x:c>
      <x:c r="D256" t="n">
        <x:v>3</x:v>
      </x:c>
      <x:c r="E256" s="39" t="n">
        <x:v>46222.083333333336</x:v>
      </x:c>
      <x:c r="F256" s="39" t="n">
        <x:v>46222.083333333336</x:v>
      </x:c>
      <x:c r="G256" t="str">
        <x:v>2026-07-19|中文名待确认（Paulista FC）|中文名待确认（Primavera SP）</x:v>
      </x:c>
      <x:c r="H256" t="str">
        <x:v>待确认</x:v>
      </x:c>
      <x:c r="I256" t="str">
        <x:v>本次多来源赛程发现新增；英文原名已保留，规范中文名待后续确认</x:v>
      </x:c>
    </x:row>
    <x:row r="257">
      <x:c r="A257" t="str">
        <x:v>S253</x:v>
      </x:c>
      <x:c r="B257" t="str">
        <x:v>Bolivia - Primera Division</x:v>
      </x:c>
      <x:c r="C257" t="str">
        <x:v>玻利维亚甲级联赛</x:v>
      </x:c>
      <x:c r="D257" t="n">
        <x:v>2</x:v>
      </x:c>
      <x:c r="E257" s="39" t="n">
        <x:v>46222.125</x:v>
      </x:c>
      <x:c r="F257" s="39" t="n">
        <x:v>46222.125</x:v>
      </x:c>
      <x:c r="G257" t="str">
        <x:v>2026-07-19|阿拉维准备（Always Ready）|澳尼塔（Universitario de Vinto）</x:v>
      </x:c>
      <x:c r="H257" t="str">
        <x:v>待确认</x:v>
      </x:c>
      <x:c r="I257" t="str">
        <x:v>本次多来源赛程发现新增；英文原名已保留，规范中文名待后续确认</x:v>
      </x:c>
    </x:row>
    <x:row r="258">
      <x:c r="A258" t="str">
        <x:v>S254</x:v>
      </x:c>
      <x:c r="B258" t="str">
        <x:v>Brazil - Serie B</x:v>
      </x:c>
      <x:c r="C258" t="str">
        <x:v>巴西乙级联赛（Serie B）</x:v>
      </x:c>
      <x:c r="D258" t="n">
        <x:v>4</x:v>
      </x:c>
      <x:c r="E258" s="39" t="n">
        <x:v>46222.125</x:v>
      </x:c>
      <x:c r="F258" s="39" t="n">
        <x:v>46222.125</x:v>
      </x:c>
      <x:c r="G258" t="str">
        <x:v>2026-07-19|中文名待确认（Criciuma）|中文名待确认（Vila Nova）</x:v>
      </x:c>
      <x:c r="H258" t="str">
        <x:v>待确认</x:v>
      </x:c>
      <x:c r="I258" t="str">
        <x:v>本次多来源赛程发现新增；英文原名已保留，规范中文名待后续确认</x:v>
      </x:c>
    </x:row>
    <x:row r="259">
      <x:c r="A259" t="str">
        <x:v>S255</x:v>
      </x:c>
      <x:c r="B259" t="str">
        <x:v>Brazil - Serie D: Play-off</x:v>
      </x:c>
      <x:c r="C259" t="str">
        <x:v>巴西丁级联赛（Serie D）</x:v>
      </x:c>
      <x:c r="D259" t="n">
        <x:v>6</x:v>
      </x:c>
      <x:c r="E259" s="39" t="n">
        <x:v>46222.125</x:v>
      </x:c>
      <x:c r="F259" s="39" t="n">
        <x:v>46222.125</x:v>
      </x:c>
      <x:c r="G259" t="str">
        <x:v>2026-07-19|中文名待确认（Cianorte）|中文名待确认（ASA）</x:v>
      </x:c>
      <x:c r="H259" t="str">
        <x:v>待确认</x:v>
      </x:c>
      <x:c r="I259" t="str">
        <x:v>本次多来源赛程发现新增；英文原名已保留，规范中文名待后续确认</x:v>
      </x:c>
    </x:row>
    <x:row r="260">
      <x:c r="A260" t="str">
        <x:v>S256</x:v>
      </x:c>
      <x:c r="B260" t="str">
        <x:v>CAN - Northern Super League</x:v>
      </x:c>
      <x:c r="C260" t="str">
        <x:v>规范中文名待确认（CAN - Northern Super League）</x:v>
      </x:c>
      <x:c r="D260" t="n">
        <x:v>1</x:v>
      </x:c>
      <x:c r="E260" s="39" t="n">
        <x:v>46222.166666666664</x:v>
      </x:c>
      <x:c r="F260" s="39" t="n">
        <x:v>46222.166666666664</x:v>
      </x:c>
      <x:c r="G260" t="str">
        <x:v>2026-07-19|多伦多FC（Toronto FC）|中文名待确认（Vancouver Rise FC）</x:v>
      </x:c>
      <x:c r="H260" t="str">
        <x:v>待确认</x:v>
      </x:c>
      <x:c r="I260" t="str">
        <x:v>本次多来源赛程发现新增；英文原名已保留，规范中文名待后续确认</x:v>
      </x:c>
    </x:row>
    <x:row r="261">
      <x:c r="A261" t="str">
        <x:v>S257</x:v>
      </x:c>
      <x:c r="B261" t="str">
        <x:v>CHI - Primera B</x:v>
      </x:c>
      <x:c r="C261" t="str">
        <x:v>规范中文名待确认（CHI - Primera B）</x:v>
      </x:c>
      <x:c r="D261" t="n">
        <x:v>4</x:v>
      </x:c>
      <x:c r="E261" s="39" t="n">
        <x:v>46222.020833333336</x:v>
      </x:c>
      <x:c r="F261" s="39" t="n">
        <x:v>46222.020833333336</x:v>
      </x:c>
      <x:c r="G261" t="str">
        <x:v>2026-07-19|中文名待确认（Deportes Copiapo）|中文名待确认（Puerto Montt）</x:v>
      </x:c>
      <x:c r="H261" t="str">
        <x:v>待确认</x:v>
      </x:c>
      <x:c r="I261" t="str">
        <x:v>本次多来源赛程发现新增；英文原名已保留，规范中文名待后续确认</x:v>
      </x:c>
    </x:row>
    <x:row r="262">
      <x:c r="A262" t="str">
        <x:v>S258</x:v>
      </x:c>
      <x:c r="B262" t="str">
        <x:v>CHN - China League</x:v>
      </x:c>
      <x:c r="C262" t="str">
        <x:v>中国足球甲级联赛</x:v>
      </x:c>
      <x:c r="D262" t="n">
        <x:v>1</x:v>
      </x:c>
      <x:c r="E262" s="39" t="n">
        <x:v>46221.8125</x:v>
      </x:c>
      <x:c r="F262" s="39" t="n">
        <x:v>46221.8125</x:v>
      </x:c>
      <x:c r="G262" t="str">
        <x:v>2026-07-18|中文名待确认（Meizhou Hakka）|中文名待确认（Dalian K'un City）</x:v>
      </x:c>
      <x:c r="H262" t="str">
        <x:v>待确认</x:v>
      </x:c>
      <x:c r="I262" t="str">
        <x:v>本次多来源赛程发现新增；英文原名已保留，规范中文名待后续确认</x:v>
      </x:c>
    </x:row>
    <x:row r="263">
      <x:c r="A263" t="str">
        <x:v>S259</x:v>
      </x:c>
      <x:c r="B263" t="str">
        <x:v>CHN - Super League</x:v>
      </x:c>
      <x:c r="C263" t="str">
        <x:v>规范中文名待确认（CHN - Super League）</x:v>
      </x:c>
      <x:c r="D263" t="n">
        <x:v>2</x:v>
      </x:c>
      <x:c r="E263" s="39" t="n">
        <x:v>46221.791666666664</x:v>
      </x:c>
      <x:c r="F263" s="39" t="n">
        <x:v>46221.791666666664</x:v>
      </x:c>
      <x:c r="G263" t="str">
        <x:v>2026-07-18|中文名待确认（Chongqing Tongliang Long）|中文名待确认（Zhejiang Professional）</x:v>
      </x:c>
      <x:c r="H263" t="str">
        <x:v>待确认</x:v>
      </x:c>
      <x:c r="I263" t="str">
        <x:v>本次多来源赛程发现新增；英文原名已保留，规范中文名待后续确认</x:v>
      </x:c>
    </x:row>
    <x:row r="264">
      <x:c r="A264" t="str">
        <x:v>S260</x:v>
      </x:c>
      <x:c r="B264" t="str">
        <x:v>CRC - Primera Division Qualification</x:v>
      </x:c>
      <x:c r="C264" t="str">
        <x:v>规范中文名待确认（CRC - Primera Division Qualification）</x:v>
      </x:c>
      <x:c r="D264" t="n">
        <x:v>1</x:v>
      </x:c>
      <x:c r="E264" s="39" t="n">
        <x:v>46222.375</x:v>
      </x:c>
      <x:c r="F264" s="39" t="n">
        <x:v>46222.375</x:v>
      </x:c>
      <x:c r="G264" t="str">
        <x:v>2026-07-19|中文名待确认（Escorpiones）|中文名待确认（Guadalupe FC）</x:v>
      </x:c>
      <x:c r="H264" t="str">
        <x:v>待确认</x:v>
      </x:c>
      <x:c r="I264" t="str">
        <x:v>本次多来源赛程发现新增；英文原名已保留，规范中文名待后续确认</x:v>
      </x:c>
    </x:row>
    <x:row r="265">
      <x:c r="A265" t="str">
        <x:v>S261</x:v>
      </x:c>
      <x:c r="B265" t="str">
        <x:v>Canada - Premier League</x:v>
      </x:c>
      <x:c r="C265" t="str">
        <x:v>规范中文名待确认（Canada - Premier League）</x:v>
      </x:c>
      <x:c r="D265" t="n">
        <x:v>1</x:v>
      </x:c>
      <x:c r="E265" s="39" t="n">
        <x:v>46222.125</x:v>
      </x:c>
      <x:c r="F265" s="39" t="n">
        <x:v>46222.125</x:v>
      </x:c>
      <x:c r="G265" t="str">
        <x:v>2026-07-19|骑兵队（Cavalry FC）|中文名待确认（HFX Wanderers FC）</x:v>
      </x:c>
      <x:c r="H265" t="str">
        <x:v>待确认</x:v>
      </x:c>
      <x:c r="I265" t="str">
        <x:v>本次多来源赛程发现新增；英文原名已保留，规范中文名待后续确认</x:v>
      </x:c>
    </x:row>
    <x:row r="266">
      <x:c r="A266" t="str">
        <x:v>S262</x:v>
      </x:c>
      <x:c r="B266" t="str">
        <x:v>Championship (W)</x:v>
      </x:c>
      <x:c r="C266" t="str">
        <x:v>规范中文名待确认（Championship (W)）</x:v>
      </x:c>
      <x:c r="D266" t="n">
        <x:v>1</x:v>
      </x:c>
      <x:c r="E266" s="39" t="n">
        <x:v>46221.833333333336</x:v>
      </x:c>
      <x:c r="F266" s="39" t="n">
        <x:v>46221.833333333336</x:v>
      </x:c>
      <x:c r="G266" t="str">
        <x:v>2026-07-18|亚松森奥林匹亚（Olimpia）|中文名待确认（Sportivo 2 de Mayo (W)）</x:v>
      </x:c>
      <x:c r="H266" t="str">
        <x:v>待确认</x:v>
      </x:c>
      <x:c r="I266" t="str">
        <x:v>本次多来源赛程发现新增；英文原名已保留，规范中文名待后续确认</x:v>
      </x:c>
    </x:row>
    <x:row r="267">
      <x:c r="A267" t="str">
        <x:v>S263</x:v>
      </x:c>
      <x:c r="B267" t="str">
        <x:v>Clausura</x:v>
      </x:c>
      <x:c r="C267" t="str">
        <x:v>规范中文名待确认（Clausura）</x:v>
      </x:c>
      <x:c r="D267" t="n">
        <x:v>1</x:v>
      </x:c>
      <x:c r="E267" s="39" t="n">
        <x:v>46222.09375</x:v>
      </x:c>
      <x:c r="F267" s="39" t="n">
        <x:v>46222.09375</x:v>
      </x:c>
      <x:c r="G267" t="str">
        <x:v>2026-07-19|中文名待确认（ADT）|秘鲁体育大学（Universitario）</x:v>
      </x:c>
      <x:c r="H267" t="str">
        <x:v>待确认</x:v>
      </x:c>
      <x:c r="I267" t="str">
        <x:v>本次多来源赛程发现新增；英文原名已保留，规范中文名待后续确认</x:v>
      </x:c>
    </x:row>
    <x:row r="268">
      <x:c r="A268" t="str">
        <x:v>S264</x:v>
      </x:c>
      <x:c r="B268" t="str">
        <x:v>Club Friendlies - Featured Club Friendlies</x:v>
      </x:c>
      <x:c r="C268" t="str">
        <x:v>国际俱乐部友谊赛</x:v>
      </x:c>
      <x:c r="D268" t="n">
        <x:v>5</x:v>
      </x:c>
      <x:c r="E268" s="39" t="n">
        <x:v>46221.895833333336</x:v>
      </x:c>
      <x:c r="F268" s="39" t="n">
        <x:v>46221.895833333336</x:v>
      </x:c>
      <x:c r="G268" t="str">
        <x:v>2026-07-18|阿贾克斯（Ajax）|中文名待确认（Olympiacos）</x:v>
      </x:c>
      <x:c r="H268" t="str">
        <x:v>待确认</x:v>
      </x:c>
      <x:c r="I268" t="str">
        <x:v>本次多来源赛程发现新增；英文原名已保留，规范中文名待后续确认</x:v>
      </x:c>
    </x:row>
    <x:row r="269">
      <x:c r="A269" t="str">
        <x:v>S265</x:v>
      </x:c>
      <x:c r="B269" t="str">
        <x:v>Ecuador - Serie A</x:v>
      </x:c>
      <x:c r="C269" t="str">
        <x:v>规范中文名待确认（Ecuador - Serie A）</x:v>
      </x:c>
      <x:c r="D269" t="n">
        <x:v>3</x:v>
      </x:c>
      <x:c r="E269" s="39" t="n">
        <x:v>46222.125</x:v>
      </x:c>
      <x:c r="F269" s="39" t="n">
        <x:v>46222.125</x:v>
      </x:c>
      <x:c r="G269" t="str">
        <x:v>2026-07-19|昆卡体育（Deportivo Cuenca）|基多天主大学（Universidad Católica）</x:v>
      </x:c>
      <x:c r="H269" t="str">
        <x:v>待确认</x:v>
      </x:c>
      <x:c r="I269" t="str">
        <x:v>本次多来源赛程发现新增；英文原名已保留，规范中文名待后续确认</x:v>
      </x:c>
    </x:row>
    <x:row r="270">
      <x:c r="A270" t="str">
        <x:v>S266</x:v>
      </x:c>
      <x:c r="B270" t="str">
        <x:v>Eliteserien</x:v>
      </x:c>
      <x:c r="C270" t="str">
        <x:v>规范中文名待确认（Eliteserien）</x:v>
      </x:c>
      <x:c r="D270" t="n">
        <x:v>1</x:v>
      </x:c>
      <x:c r="E270" s="39" t="n">
        <x:v>46221.833333333336</x:v>
      </x:c>
      <x:c r="F270" s="39" t="n">
        <x:v>46221.833333333336</x:v>
      </x:c>
      <x:c r="G270" t="str">
        <x:v>2026-07-18|中文名待确认（Ham-kam）|中文名待确认（Tromso）</x:v>
      </x:c>
      <x:c r="H270" t="str">
        <x:v>待确认</x:v>
      </x:c>
      <x:c r="I270" t="str">
        <x:v>本次多来源赛程发现新增；英文原名已保留，规范中文名待后续确认</x:v>
      </x:c>
    </x:row>
    <x:row r="271">
      <x:c r="A271" t="str">
        <x:v>S267</x:v>
      </x:c>
      <x:c r="B271" t="str">
        <x:v>Estonia - Esiliiga</x:v>
      </x:c>
      <x:c r="C271" t="str">
        <x:v>规范中文名待确认（Estonia - Esiliiga）</x:v>
      </x:c>
      <x:c r="D271" t="n">
        <x:v>4</x:v>
      </x:c>
      <x:c r="E271" s="39" t="n">
        <x:v>46222</x:v>
      </x:c>
      <x:c r="F271" s="39" t="n">
        <x:v>46222</x:v>
      </x:c>
      <x:c r="G271" t="str">
        <x:v>2026-07-19|塔林弗洛拉（Flora Tallinn）|中文名待确认（Maardu Linnameeskond）</x:v>
      </x:c>
      <x:c r="H271" t="str">
        <x:v>待确认</x:v>
      </x:c>
      <x:c r="I271" t="str">
        <x:v>本次多来源赛程发现新增；英文原名已保留，规范中文名待后续确认</x:v>
      </x:c>
    </x:row>
    <x:row r="272">
      <x:c r="A272" t="str">
        <x:v>S268</x:v>
      </x:c>
      <x:c r="B272" t="str">
        <x:v>FIN - Kansallinen Liiga</x:v>
      </x:c>
      <x:c r="C272" t="str">
        <x:v>规范中文名待确认（FIN - Kansallinen Liiga）</x:v>
      </x:c>
      <x:c r="D272" t="n">
        <x:v>2</x:v>
      </x:c>
      <x:c r="E272" s="39" t="n">
        <x:v>46221.791666666664</x:v>
      </x:c>
      <x:c r="F272" s="39" t="n">
        <x:v>46221.791666666664</x:v>
      </x:c>
      <x:c r="G272" t="str">
        <x:v>2026-07-18|埃尔维斯（Ilves）|格尼斯坦（IF Gnistan）</x:v>
      </x:c>
      <x:c r="H272" t="str">
        <x:v>待确认</x:v>
      </x:c>
      <x:c r="I272" t="str">
        <x:v>本次多来源赛程发现新增；英文原名已保留，规范中文名待后续确认</x:v>
      </x:c>
    </x:row>
    <x:row r="273">
      <x:c r="A273" t="str">
        <x:v>S269</x:v>
      </x:c>
      <x:c r="B273" t="str">
        <x:v>FIN - Veikkausliiga</x:v>
      </x:c>
      <x:c r="C273" t="str">
        <x:v>规范中文名待确认（FIN - Veikkausliiga）</x:v>
      </x:c>
      <x:c r="D273" t="n">
        <x:v>2</x:v>
      </x:c>
      <x:c r="E273" s="39" t="n">
        <x:v>46221.833333333336</x:v>
      </x:c>
      <x:c r="F273" s="39" t="n">
        <x:v>46221.833333333336</x:v>
      </x:c>
      <x:c r="G273" t="str">
        <x:v>2026-07-18|赫尔辛基（HJK）|VPS瓦萨</x:v>
      </x:c>
      <x:c r="H273" t="str">
        <x:v>待确认</x:v>
      </x:c>
      <x:c r="I273" t="str">
        <x:v>本次多来源赛程发现新增；英文原名已保留，规范中文名待后续确认</x:v>
      </x:c>
    </x:row>
    <x:row r="274">
      <x:c r="A274" t="str">
        <x:v>S270</x:v>
      </x:c>
      <x:c r="B274" t="str">
        <x:v>FIN - Ykkonen</x:v>
      </x:c>
      <x:c r="C274" t="str">
        <x:v>规范中文名待确认（FIN - Ykkonen）</x:v>
      </x:c>
      <x:c r="D274" t="n">
        <x:v>1</x:v>
      </x:c>
      <x:c r="E274" s="39" t="n">
        <x:v>46221.875</x:v>
      </x:c>
      <x:c r="F274" s="39" t="n">
        <x:v>46221.875</x:v>
      </x:c>
      <x:c r="G274" t="str">
        <x:v>2026-07-18|中文名待确认（TPV）|中文名待确认（KuPS Akatemia）</x:v>
      </x:c>
      <x:c r="H274" t="str">
        <x:v>待确认</x:v>
      </x:c>
      <x:c r="I274" t="str">
        <x:v>本次多来源赛程发现新增；英文原名已保留，规范中文名待后续确认</x:v>
      </x:c>
    </x:row>
    <x:row r="275">
      <x:c r="A275" t="str">
        <x:v>S271</x:v>
      </x:c>
      <x:c r="B275" t="str">
        <x:v>FIN - Ykkosliiga</x:v>
      </x:c>
      <x:c r="C275" t="str">
        <x:v>规范中文名待确认（FIN - Ykkosliiga）</x:v>
      </x:c>
      <x:c r="D275" t="n">
        <x:v>1</x:v>
      </x:c>
      <x:c r="E275" s="39" t="n">
        <x:v>46221.916666666664</x:v>
      </x:c>
      <x:c r="F275" s="39" t="n">
        <x:v>46221.916666666664</x:v>
      </x:c>
      <x:c r="G275" t="str">
        <x:v>2026-07-18|科特卡（FC KTP）|中文名待确认（PK-35）</x:v>
      </x:c>
      <x:c r="H275" t="str">
        <x:v>待确认</x:v>
      </x:c>
      <x:c r="I275" t="str">
        <x:v>本次多来源赛程发现新增；英文原名已保留，规范中文名待后续确认</x:v>
      </x:c>
    </x:row>
    <x:row r="276">
      <x:c r="A276" t="str">
        <x:v>S272</x:v>
      </x:c>
      <x:c r="B276" t="str">
        <x:v>Finland - Veikkausliiga</x:v>
      </x:c>
      <x:c r="C276" t="str">
        <x:v>规范中文名待确认（Finland - Veikkausliiga）</x:v>
      </x:c>
      <x:c r="D276" t="n">
        <x:v>1</x:v>
      </x:c>
      <x:c r="E276" s="39" t="n">
        <x:v>46221.916666666664</x:v>
      </x:c>
      <x:c r="F276" s="39" t="n">
        <x:v>46221.916666666664</x:v>
      </x:c>
      <x:c r="G276" t="str">
        <x:v>2026-07-18|中文名待确认（AC Oulu）|格尼斯坦（IF Gnistan）</x:v>
      </x:c>
      <x:c r="H276" t="str">
        <x:v>待确认</x:v>
      </x:c>
      <x:c r="I276" t="str">
        <x:v>本次多来源赛程发现新增；英文原名已保留，规范中文名待后续确认</x:v>
      </x:c>
    </x:row>
    <x:row r="277">
      <x:c r="A277" t="str">
        <x:v>S273</x:v>
      </x:c>
      <x:c r="B277" t="str">
        <x:v>Finland - Ykkonen</x:v>
      </x:c>
      <x:c r="C277" t="str">
        <x:v>规范中文名待确认（Finland - Ykkonen）</x:v>
      </x:c>
      <x:c r="D277" t="n">
        <x:v>4</x:v>
      </x:c>
      <x:c r="E277" s="39" t="n">
        <x:v>46221.875</x:v>
      </x:c>
      <x:c r="F277" s="39" t="n">
        <x:v>46221.875</x:v>
      </x:c>
      <x:c r="G277" t="str">
        <x:v>2026-07-18|中文名待确认（PK Keski-Uusimaa）|中文名待确认（OLS）</x:v>
      </x:c>
      <x:c r="H277" t="str">
        <x:v>待确认</x:v>
      </x:c>
      <x:c r="I277" t="str">
        <x:v>本次多来源赛程发现新增；英文原名已保留，规范中文名待后续确认</x:v>
      </x:c>
    </x:row>
    <x:row r="278">
      <x:c r="A278" t="str">
        <x:v>S274</x:v>
      </x:c>
      <x:c r="B278" t="str">
        <x:v>Germany - Oberliga: Bayern North</x:v>
      </x:c>
      <x:c r="C278" t="str">
        <x:v>规范中文名待确认（Germany - Oberliga: Bayern North）</x:v>
      </x:c>
      <x:c r="D278" t="n">
        <x:v>4</x:v>
      </x:c>
      <x:c r="E278" s="39" t="n">
        <x:v>46221.833333333336</x:v>
      </x:c>
      <x:c r="F278" s="39" t="n">
        <x:v>46221.833333333336</x:v>
      </x:c>
      <x:c r="G278" t="str">
        <x:v>2026-07-18|中文名待确认（ASV Cham）|中文名待确认（SpVgg Bayern Hof）</x:v>
      </x:c>
      <x:c r="H278" t="str">
        <x:v>待确认</x:v>
      </x:c>
      <x:c r="I278" t="str">
        <x:v>本次多来源赛程发现新增；英文原名已保留，规范中文名待后续确认</x:v>
      </x:c>
    </x:row>
    <x:row r="279">
      <x:c r="A279" t="str">
        <x:v>S275</x:v>
      </x:c>
      <x:c r="B279" t="str">
        <x:v>Group Stage</x:v>
      </x:c>
      <x:c r="C279" t="str">
        <x:v>规范中文名待确认（Group Stage）</x:v>
      </x:c>
      <x:c r="D279" t="n">
        <x:v>2</x:v>
      </x:c>
      <x:c r="E279" s="39" t="n">
        <x:v>46221.916666666664</x:v>
      </x:c>
      <x:c r="F279" s="39" t="n">
        <x:v>46221.916666666664</x:v>
      </x:c>
      <x:c r="G279" t="str">
        <x:v>2026-07-18|科夫流浪者（Cove Rangers）|圣米伦（St. Mirren）</x:v>
      </x:c>
      <x:c r="H279" t="str">
        <x:v>待确认</x:v>
      </x:c>
      <x:c r="I279" t="str">
        <x:v>本次多来源赛程发现新增；英文原名已保留，规范中文名待后续确认</x:v>
      </x:c>
    </x:row>
    <x:row r="280">
      <x:c r="A280" t="str">
        <x:v>S276</x:v>
      </x:c>
      <x:c r="B280" t="str">
        <x:v>INT - Club Friendlies</x:v>
      </x:c>
      <x:c r="C280" t="str">
        <x:v>国际俱乐部友谊赛</x:v>
      </x:c>
      <x:c r="D280" t="n">
        <x:v>10</x:v>
      </x:c>
      <x:c r="E280" s="39" t="n">
        <x:v>46221.8125</x:v>
      </x:c>
      <x:c r="F280" s="39" t="n">
        <x:v>46221.8125</x:v>
      </x:c>
      <x:c r="G280" t="str">
        <x:v>2026-07-18|水晶宫（Crystal Palace）|斯文登（Swindon）</x:v>
      </x:c>
      <x:c r="H280" t="str">
        <x:v>待确认</x:v>
      </x:c>
      <x:c r="I280" t="str">
        <x:v>本次多来源赛程发现新增；英文原名已保留，规范中文名待后续确认</x:v>
      </x:c>
    </x:row>
    <x:row r="281">
      <x:c r="A281" t="str">
        <x:v>S277</x:v>
      </x:c>
      <x:c r="B281" t="str">
        <x:v>IRL - Women's Premier Division</x:v>
      </x:c>
      <x:c r="C281" t="str">
        <x:v>规范中文名待确认（IRL - Women's Premier Division）</x:v>
      </x:c>
      <x:c r="D281" t="n">
        <x:v>5</x:v>
      </x:c>
      <x:c r="E281" s="39" t="n">
        <x:v>46221.916666666664</x:v>
      </x:c>
      <x:c r="F281" s="39" t="n">
        <x:v>46221.916666666664</x:v>
      </x:c>
      <x:c r="G281" t="str">
        <x:v>2026-07-18|沙姆洛克流浪（Shamrock Rovers）|中文名待确认（Treaty United (W)）</x:v>
      </x:c>
      <x:c r="H281" t="str">
        <x:v>待确认</x:v>
      </x:c>
      <x:c r="I281" t="str">
        <x:v>本次多来源赛程发现新增；英文原名已保留，规范中文名待后续确认</x:v>
      </x:c>
    </x:row>
    <x:row r="282">
      <x:c r="A282" t="str">
        <x:v>S278</x:v>
      </x:c>
      <x:c r="B282" t="str">
        <x:v>ISL - 2. Deild</x:v>
      </x:c>
      <x:c r="C282" t="str">
        <x:v>规范中文名待确认（ISL - 2. Deild）</x:v>
      </x:c>
      <x:c r="D282" t="n">
        <x:v>1</x:v>
      </x:c>
      <x:c r="E282" s="39" t="n">
        <x:v>46221.916666666664</x:v>
      </x:c>
      <x:c r="F282" s="39" t="n">
        <x:v>46221.916666666664</x:v>
      </x:c>
      <x:c r="G282" t="str">
        <x:v>2026-07-18|中文名待确认（KFA）|中文名待确认（Selfoss）</x:v>
      </x:c>
      <x:c r="H282" t="str">
        <x:v>待确认</x:v>
      </x:c>
      <x:c r="I282" t="str">
        <x:v>本次多来源赛程发现新增；英文原名已保留，规范中文名待后续确认</x:v>
      </x:c>
    </x:row>
    <x:row r="283">
      <x:c r="A283" t="str">
        <x:v>S279</x:v>
      </x:c>
      <x:c r="B283" t="str">
        <x:v>Iceland - 1. Deild</x:v>
      </x:c>
      <x:c r="C283" t="str">
        <x:v>规范中文名待确认（Iceland - 1. Deild）</x:v>
      </x:c>
      <x:c r="D283" t="n">
        <x:v>3</x:v>
      </x:c>
      <x:c r="E283" s="39" t="n">
        <x:v>46221.916666666664</x:v>
      </x:c>
      <x:c r="F283" s="39" t="n">
        <x:v>46221.916666666664</x:v>
      </x:c>
      <x:c r="G283" t="str">
        <x:v>2026-07-18|中文名待确认（Grindavik）|中文名待确认（IR Reykjavik）</x:v>
      </x:c>
      <x:c r="H283" t="str">
        <x:v>待确认</x:v>
      </x:c>
      <x:c r="I283" t="str">
        <x:v>本次多来源赛程发现新增；英文原名已保留，规范中文名待后续确认</x:v>
      </x:c>
    </x:row>
    <x:row r="284">
      <x:c r="A284" t="str">
        <x:v>S280</x:v>
      </x:c>
      <x:c r="B284" t="str">
        <x:v>Iceland - Besta deildin</x:v>
      </x:c>
      <x:c r="C284" t="str">
        <x:v>规范中文名待确认（Iceland - Besta deildin）</x:v>
      </x:c>
      <x:c r="D284" t="n">
        <x:v>2</x:v>
      </x:c>
      <x:c r="E284" s="39" t="n">
        <x:v>46222</x:v>
      </x:c>
      <x:c r="F284" s="39" t="n">
        <x:v>46222</x:v>
      </x:c>
      <x:c r="G284" t="str">
        <x:v>2026-07-19|中文名待确认（Thor Akureyri）|雷克雅未克维京人（Víkingur Reykjavík）</x:v>
      </x:c>
      <x:c r="H284" t="str">
        <x:v>待确认</x:v>
      </x:c>
      <x:c r="I284" t="str">
        <x:v>本次多来源赛程发现新增；英文原名已保留，规范中文名待后续确认</x:v>
      </x:c>
    </x:row>
    <x:row r="285">
      <x:c r="A285" t="str">
        <x:v>S281</x:v>
      </x:c>
      <x:c r="B285" t="str">
        <x:v>International Friendlies - Friendlies</x:v>
      </x:c>
      <x:c r="C285" t="str">
        <x:v>规范中文名待确认（International Friendlies - Friendlies）</x:v>
      </x:c>
      <x:c r="D285" t="n">
        <x:v>1</x:v>
      </x:c>
      <x:c r="E285" s="39" t="n">
        <x:v>46221.833333333336</x:v>
      </x:c>
      <x:c r="F285" s="39" t="n">
        <x:v>46221.833333333336</x:v>
      </x:c>
      <x:c r="G285" t="str">
        <x:v>2026-07-18|中文名待确认（Vietnam）|中文名待确认（Myanmar）</x:v>
      </x:c>
      <x:c r="H285" t="str">
        <x:v>待确认</x:v>
      </x:c>
      <x:c r="I285" t="str">
        <x:v>本次多来源赛程发现新增；英文原名已保留，规范中文名待后续确认</x:v>
      </x:c>
    </x:row>
    <x:row r="286">
      <x:c r="A286" t="str">
        <x:v>S282</x:v>
      </x:c>
      <x:c r="B286" t="str">
        <x:v>Ireland - Women's Premier Division</x:v>
      </x:c>
      <x:c r="C286" t="str">
        <x:v>规范中文名待确认（Ireland - Women's Premier Division）</x:v>
      </x:c>
      <x:c r="D286" t="n">
        <x:v>1</x:v>
      </x:c>
      <x:c r="E286" s="39" t="n">
        <x:v>46221.916666666664</x:v>
      </x:c>
      <x:c r="F286" s="39" t="n">
        <x:v>46221.916666666664</x:v>
      </x:c>
      <x:c r="G286" t="str">
        <x:v>2026-07-18|中文名待确认（Waterford）|中文名待确认（Peamount United W）</x:v>
      </x:c>
      <x:c r="H286" t="str">
        <x:v>待确认</x:v>
      </x:c>
      <x:c r="I286" t="str">
        <x:v>本次多来源赛程发现新增；英文原名已保留，规范中文名待后续确认</x:v>
      </x:c>
    </x:row>
    <x:row r="287">
      <x:c r="A287" t="str">
        <x:v>S283</x:v>
      </x:c>
      <x:c r="B287" t="str">
        <x:v>Israel - Toto Cup Al: UEFA Qualifiers: Play-off</x:v>
      </x:c>
      <x:c r="C287" t="str">
        <x:v>规范中文名待确认（Israel - Toto Cup Al: UEFA Qualifiers: Play-off）</x:v>
      </x:c>
      <x:c r="D287" t="n">
        <x:v>1</x:v>
      </x:c>
      <x:c r="E287" s="39" t="n">
        <x:v>46222.0625</x:v>
      </x:c>
      <x:c r="F287" s="39" t="n">
        <x:v>46222.0625</x:v>
      </x:c>
      <x:c r="G287" t="str">
        <x:v>2026-07-19|中文名待确认（Beitar Jerusalem）|中文名待确认（Hapoel Tel Aviv）</x:v>
      </x:c>
      <x:c r="H287" t="str">
        <x:v>待确认</x:v>
      </x:c>
      <x:c r="I287" t="str">
        <x:v>本次多来源赛程发现新增；英文原名已保留，规范中文名待后续确认</x:v>
      </x:c>
    </x:row>
    <x:row r="288">
      <x:c r="A288" t="str">
        <x:v>S284</x:v>
      </x:c>
      <x:c r="B288" t="str">
        <x:v>KAZ - Premier League</x:v>
      </x:c>
      <x:c r="C288" t="str">
        <x:v>规范中文名待确认（KAZ - Premier League）</x:v>
      </x:c>
      <x:c r="D288" t="n">
        <x:v>1</x:v>
      </x:c>
      <x:c r="E288" s="39" t="n">
        <x:v>46221.958333333336</x:v>
      </x:c>
      <x:c r="F288" s="39" t="n">
        <x:v>46221.958333333336</x:v>
      </x:c>
      <x:c r="G288" t="str">
        <x:v>2026-07-18|中文名待确认（Kaisar Kyzylorda）|中文名待确认（Kaspiy Aktau）</x:v>
      </x:c>
      <x:c r="H288" t="str">
        <x:v>待确认</x:v>
      </x:c>
      <x:c r="I288" t="str">
        <x:v>本次多来源赛程发现新增；英文原名已保留，规范中文名待后续确认</x:v>
      </x:c>
    </x:row>
    <x:row r="289">
      <x:c r="A289" t="str">
        <x:v>S285</x:v>
      </x:c>
      <x:c r="B289" t="str">
        <x:v>Kazakhstan - Premier League</x:v>
      </x:c>
      <x:c r="C289" t="str">
        <x:v>规范中文名待确认（Kazakhstan - Premier League）</x:v>
      </x:c>
      <x:c r="D289" t="n">
        <x:v>4</x:v>
      </x:c>
      <x:c r="E289" s="39" t="n">
        <x:v>46221.833333333336</x:v>
      </x:c>
      <x:c r="F289" s="39" t="n">
        <x:v>46221.833333333336</x:v>
      </x:c>
      <x:c r="G289" t="str">
        <x:v>2026-07-18|中文名待确认（Okzhetpes Kokshetau）|中文名待确认（Zhetysu Taldykorgan）</x:v>
      </x:c>
      <x:c r="H289" t="str">
        <x:v>待确认</x:v>
      </x:c>
      <x:c r="I289" t="str">
        <x:v>本次多来源赛程发现新增；英文原名已保留，规范中文名待后续确认</x:v>
      </x:c>
    </x:row>
    <x:row r="290">
      <x:c r="A290" t="str">
        <x:v>S286</x:v>
      </x:c>
      <x:c r="B290" t="str">
        <x:v>Latvia - Virsliga</x:v>
      </x:c>
      <x:c r="C290" t="str">
        <x:v>规范中文名待确认（Latvia - Virsliga）</x:v>
      </x:c>
      <x:c r="D290" t="n">
        <x:v>1</x:v>
      </x:c>
      <x:c r="E290" s="39" t="n">
        <x:v>46222</x:v>
      </x:c>
      <x:c r="F290" s="39" t="n">
        <x:v>46222</x:v>
      </x:c>
      <x:c r="G290" t="str">
        <x:v>2026-07-19|里加FC（Riga FC）|中文名待确认（FK Tukums 2000）</x:v>
      </x:c>
      <x:c r="H290" t="str">
        <x:v>待确认</x:v>
      </x:c>
      <x:c r="I290" t="str">
        <x:v>本次多来源赛程发现新增；英文原名已保留，规范中文名待后续确认</x:v>
      </x:c>
    </x:row>
    <x:row r="291">
      <x:c r="A291" t="str">
        <x:v>S287</x:v>
      </x:c>
      <x:c r="B291" t="str">
        <x:v>League One</x:v>
      </x:c>
      <x:c r="C291" t="str">
        <x:v>规范中文名待确认（League One）</x:v>
      </x:c>
      <x:c r="D291" t="n">
        <x:v>1</x:v>
      </x:c>
      <x:c r="E291" s="39" t="n">
        <x:v>46221.833333333336</x:v>
      </x:c>
      <x:c r="F291" s="39" t="n">
        <x:v>46221.833333333336</x:v>
      </x:c>
      <x:c r="G291" t="str">
        <x:v>2026-07-18|中文名待确认（Dingnan United）|中文名待确认（Ningbo FC）</x:v>
      </x:c>
      <x:c r="H291" t="str">
        <x:v>待确认</x:v>
      </x:c>
      <x:c r="I291" t="str">
        <x:v>本次多来源赛程发现新增；英文原名已保留，规范中文名待后续确认</x:v>
      </x:c>
    </x:row>
    <x:row r="292">
      <x:c r="A292" t="str">
        <x:v>S288</x:v>
      </x:c>
      <x:c r="B292" t="str">
        <x:v>Lithuania - A Lyga</x:v>
      </x:c>
      <x:c r="C292" t="str">
        <x:v>规范中文名待确认（Lithuania - A Lyga）</x:v>
      </x:c>
      <x:c r="D292" t="n">
        <x:v>1</x:v>
      </x:c>
      <x:c r="E292" s="39" t="n">
        <x:v>46222</x:v>
      </x:c>
      <x:c r="F292" s="39" t="n">
        <x:v>46222</x:v>
      </x:c>
      <x:c r="G292" t="str">
        <x:v>2026-07-19|考纳斯扎尔吉里斯（Kauno Žalgiris）|中文名待确认（FA Siauliai）</x:v>
      </x:c>
      <x:c r="H292" t="str">
        <x:v>待确认</x:v>
      </x:c>
      <x:c r="I292" t="str">
        <x:v>本次多来源赛程发现新增；英文原名已保留，规范中文名待后续确认</x:v>
      </x:c>
    </x:row>
    <x:row r="293">
      <x:c r="A293" t="str">
        <x:v>S289</x:v>
      </x:c>
      <x:c r="B293" t="str">
        <x:v>MDA - Super Liga</x:v>
      </x:c>
      <x:c r="C293" t="str">
        <x:v>规范中文名待确认（MDA - Super Liga）</x:v>
      </x:c>
      <x:c r="D293" t="n">
        <x:v>1</x:v>
      </x:c>
      <x:c r="E293" s="39" t="n">
        <x:v>46221.958333333336</x:v>
      </x:c>
      <x:c r="F293" s="39" t="n">
        <x:v>46221.958333333336</x:v>
      </x:c>
      <x:c r="G293" t="str">
        <x:v>2026-07-18|中文名待确认（Dacia Buiucani）|中文名待确认（Politehnica UTM）</x:v>
      </x:c>
      <x:c r="H293" t="str">
        <x:v>待确认</x:v>
      </x:c>
      <x:c r="I293" t="str">
        <x:v>本次多来源赛程发现新增；英文原名已保留，规范中文名待后续确认</x:v>
      </x:c>
    </x:row>
    <x:row r="294">
      <x:c r="A294" t="str">
        <x:v>S290</x:v>
      </x:c>
      <x:c r="B294" t="str">
        <x:v>Mexico - Liga MX: Apertura</x:v>
      </x:c>
      <x:c r="C294" t="str">
        <x:v>墨西哥超级联赛（Liga MX）</x:v>
      </x:c>
      <x:c r="D294" t="n">
        <x:v>4</x:v>
      </x:c>
      <x:c r="E294" s="39" t="n">
        <x:v>46222.291666666664</x:v>
      </x:c>
      <x:c r="F294" s="39" t="n">
        <x:v>46222.291666666664</x:v>
      </x:c>
      <x:c r="G294" t="str">
        <x:v>2026-07-19|中文名待确认（Pumas）|帕丘卡（Pachuca）</x:v>
      </x:c>
      <x:c r="H294" t="str">
        <x:v>待确认</x:v>
      </x:c>
      <x:c r="I294" t="str">
        <x:v>本次多来源赛程发现新增；英文原名已保留，规范中文名待后续确认</x:v>
      </x:c>
    </x:row>
    <x:row r="295">
      <x:c r="A295" t="str">
        <x:v>S291</x:v>
      </x:c>
      <x:c r="B295" t="str">
        <x:v>Moldova - Super Liga</x:v>
      </x:c>
      <x:c r="C295" t="str">
        <x:v>规范中文名待确认（Moldova - Super Liga）</x:v>
      </x:c>
      <x:c r="D295" t="n">
        <x:v>1</x:v>
      </x:c>
      <x:c r="E295" s="39" t="n">
        <x:v>46222.041666666664</x:v>
      </x:c>
      <x:c r="F295" s="39" t="n">
        <x:v>46222.041666666664</x:v>
      </x:c>
      <x:c r="G295" t="str">
        <x:v>2026-07-19|中文名待确认（Zimbru）|中文名待确认（Real Sireti）</x:v>
      </x:c>
      <x:c r="H295" t="str">
        <x:v>待确认</x:v>
      </x:c>
      <x:c r="I295" t="str">
        <x:v>本次多来源赛程发现新增；英文原名已保留，规范中文名待后续确认</x:v>
      </x:c>
    </x:row>
    <x:row r="296">
      <x:c r="A296" t="str">
        <x:v>S292</x:v>
      </x:c>
      <x:c r="B296" t="str">
        <x:v>NOR - Eliteserien</x:v>
      </x:c>
      <x:c r="C296" t="str">
        <x:v>规范中文名待确认（NOR - Eliteserien）</x:v>
      </x:c>
      <x:c r="D296" t="n">
        <x:v>1</x:v>
      </x:c>
      <x:c r="E296" s="39" t="n">
        <x:v>46221.916666666664</x:v>
      </x:c>
      <x:c r="F296" s="39" t="n">
        <x:v>46221.916666666664</x:v>
      </x:c>
      <x:c r="G296" t="str">
        <x:v>2026-07-18|中文名待确认（Kristiansund）|萨普斯堡08（Sarpsborg 08）</x:v>
      </x:c>
      <x:c r="H296" t="str">
        <x:v>待确认</x:v>
      </x:c>
      <x:c r="I296" t="str">
        <x:v>本次多来源赛程发现新增；英文原名已保留，规范中文名待后续确认</x:v>
      </x:c>
    </x:row>
    <x:row r="297">
      <x:c r="A297" t="str">
        <x:v>S293</x:v>
      </x:c>
      <x:c r="B297" t="str">
        <x:v>Peru - Liga 1: Clausura</x:v>
      </x:c>
      <x:c r="C297" t="str">
        <x:v>秘鲁甲级联赛（Liga 1）</x:v>
      </x:c>
      <x:c r="D297" t="n">
        <x:v>3</x:v>
      </x:c>
      <x:c r="E297" s="39" t="n">
        <x:v>46222</x:v>
      </x:c>
      <x:c r="F297" s="39" t="n">
        <x:v>46222</x:v>
      </x:c>
      <x:c r="G297" t="str">
        <x:v>2026-07-19|中文名待确认（Club Deportivo Moquegua）|中文名待确认（Comerciantes Unidos）</x:v>
      </x:c>
      <x:c r="H297" t="str">
        <x:v>待确认</x:v>
      </x:c>
      <x:c r="I297" t="str">
        <x:v>本次多来源赛程发现新增；英文原名已保留，规范中文名待后续确认</x:v>
      </x:c>
    </x:row>
    <x:row r="298">
      <x:c r="A298" t="str">
        <x:v>S294</x:v>
      </x:c>
      <x:c r="B298" t="str">
        <x:v>Peru - Liga 2: Group A</x:v>
      </x:c>
      <x:c r="C298" t="str">
        <x:v>规范中文名待确认（Peru - Liga 2: Group A）</x:v>
      </x:c>
      <x:c r="D298" t="n">
        <x:v>1</x:v>
      </x:c>
      <x:c r="E298" s="39" t="n">
        <x:v>46222.375</x:v>
      </x:c>
      <x:c r="F298" s="39" t="n">
        <x:v>46222.375</x:v>
      </x:c>
      <x:c r="G298" t="str">
        <x:v>2026-07-19|中文名待确认（Carlos A. Mannucci）|中文名待确认（Deportivo Llacuabamba）</x:v>
      </x:c>
      <x:c r="H298" t="str">
        <x:v>待确认</x:v>
      </x:c>
      <x:c r="I298" t="str">
        <x:v>本次多来源赛程发现新增；英文原名已保留，规范中文名待后续确认</x:v>
      </x:c>
    </x:row>
    <x:row r="299">
      <x:c r="A299" t="str">
        <x:v>S295</x:v>
      </x:c>
      <x:c r="B299" t="str">
        <x:v>Peru - Liga 2: Group B</x:v>
      </x:c>
      <x:c r="C299" t="str">
        <x:v>规范中文名待确认（Peru - Liga 2: Group B）</x:v>
      </x:c>
      <x:c r="D299" t="n">
        <x:v>2</x:v>
      </x:c>
      <x:c r="E299" s="39" t="n">
        <x:v>46222.083333333336</x:v>
      </x:c>
      <x:c r="F299" s="39" t="n">
        <x:v>46222.083333333336</x:v>
      </x:c>
      <x:c r="G299" t="str">
        <x:v>2026-07-19|中文名待确认（Alianza Universidad）|中文名待确认（Ayacucho FC）</x:v>
      </x:c>
      <x:c r="H299" t="str">
        <x:v>待确认</x:v>
      </x:c>
      <x:c r="I299" t="str">
        <x:v>本次多来源赛程发现新增；英文原名已保留，规范中文名待后续确认</x:v>
      </x:c>
    </x:row>
    <x:row r="300">
      <x:c r="A300" t="str">
        <x:v>S296</x:v>
      </x:c>
      <x:c r="B300" t="str">
        <x:v>Premier League</x:v>
      </x:c>
      <x:c r="C300" t="str">
        <x:v>规范中文名待确认（Premier League）</x:v>
      </x:c>
      <x:c r="D300" t="n">
        <x:v>1</x:v>
      </x:c>
      <x:c r="E300" s="39" t="n">
        <x:v>46221.833333333336</x:v>
      </x:c>
      <x:c r="F300" s="39" t="n">
        <x:v>46221.833333333336</x:v>
      </x:c>
      <x:c r="G300" t="str">
        <x:v>2026-07-18|中文名待确认（Okzhetpes）|中文名待确认（Jetisu）</x:v>
      </x:c>
      <x:c r="H300" t="str">
        <x:v>待确认</x:v>
      </x:c>
      <x:c r="I300" t="str">
        <x:v>本次多来源赛程发现新增；英文原名已保留，规范中文名待后续确认</x:v>
      </x:c>
    </x:row>
    <x:row r="301">
      <x:c r="A301" t="str">
        <x:v>S297</x:v>
      </x:c>
      <x:c r="B301" t="str">
        <x:v>RUS - Super Cup</x:v>
      </x:c>
      <x:c r="C301" t="str">
        <x:v>规范中文名待确认（RUS - Super Cup）</x:v>
      </x:c>
      <x:c r="D301" t="n">
        <x:v>1</x:v>
      </x:c>
      <x:c r="E301" s="39" t="n">
        <x:v>46222.020833333336</x:v>
      </x:c>
      <x:c r="F301" s="39" t="n">
        <x:v>46222.020833333336</x:v>
      </x:c>
      <x:c r="G301" t="str">
        <x:v>2026-07-19|中文名待确认（Zenit）|中文名待确认（Spartak）</x:v>
      </x:c>
      <x:c r="H301" t="str">
        <x:v>待确认</x:v>
      </x:c>
      <x:c r="I301" t="str">
        <x:v>本次多来源赛程发现新增；英文原名已保留，规范中文名待后续确认</x:v>
      </x:c>
    </x:row>
    <x:row r="302">
      <x:c r="A302" t="str">
        <x:v>S298</x:v>
      </x:c>
      <x:c r="B302" t="str">
        <x:v>Regular Season</x:v>
      </x:c>
      <x:c r="C302" t="str">
        <x:v>规范中文名待确认（Regular Season）</x:v>
      </x:c>
      <x:c r="D302" t="n">
        <x:v>6</x:v>
      </x:c>
      <x:c r="E302" s="39" t="n">
        <x:v>46222.083333333336</x:v>
      </x:c>
      <x:c r="F302" s="39" t="n">
        <x:v>46222.083333333336</x:v>
      </x:c>
      <x:c r="G302" t="str">
        <x:v>2026-07-19|拉费雷雷（Deportivo Laferrere）|伊图萨因戈（Ituzaingó）</x:v>
      </x:c>
      <x:c r="H302" t="str">
        <x:v>待确认</x:v>
      </x:c>
      <x:c r="I302" t="str">
        <x:v>本次多来源赛程发现新增；英文原名已保留，规范中文名待后续确认</x:v>
      </x:c>
    </x:row>
    <x:row r="303">
      <x:c r="A303" t="str">
        <x:v>S299</x:v>
      </x:c>
      <x:c r="B303" t="str">
        <x:v>Republic of Korea - K-League 1</x:v>
      </x:c>
      <x:c r="C303" t="str">
        <x:v>规范中文名待确认（Republic of Korea - K-League 1）</x:v>
      </x:c>
      <x:c r="D303" t="n">
        <x:v>2</x:v>
      </x:c>
      <x:c r="E303" s="39" t="n">
        <x:v>46222.770833333336</x:v>
      </x:c>
      <x:c r="F303" s="39" t="n">
        <x:v>46222.770833333336</x:v>
      </x:c>
      <x:c r="G303" t="str">
        <x:v>2026-07-19|富川FC 1995（Bucheon FC 1995）|首尔FC（FC Seoul）</x:v>
      </x:c>
      <x:c r="H303" t="str">
        <x:v>待确认</x:v>
      </x:c>
      <x:c r="I303" t="str">
        <x:v>本次多来源赛程发现新增；英文原名已保留，规范中文名待后续确认</x:v>
      </x:c>
    </x:row>
    <x:row r="304">
      <x:c r="A304" t="str">
        <x:v>S300</x:v>
      </x:c>
      <x:c r="B304" t="str">
        <x:v>Scotland - Scottish League Cup: Group A</x:v>
      </x:c>
      <x:c r="C304" t="str">
        <x:v>规范中文名待确认（Scotland - Scottish League Cup: Group A）</x:v>
      </x:c>
      <x:c r="D304" t="n">
        <x:v>2</x:v>
      </x:c>
      <x:c r="E304" s="39" t="n">
        <x:v>46221.916666666664</x:v>
      </x:c>
      <x:c r="F304" s="39" t="n">
        <x:v>46221.916666666664</x:v>
      </x:c>
      <x:c r="G304" t="str">
        <x:v>2026-07-18|中文名待确认（Brora Rangers）|中文名待确认（Queen of the South）</x:v>
      </x:c>
      <x:c r="H304" t="str">
        <x:v>待确认</x:v>
      </x:c>
      <x:c r="I304" t="str">
        <x:v>本次多来源赛程发现新增；英文原名已保留，规范中文名待后续确认</x:v>
      </x:c>
    </x:row>
    <x:row r="305">
      <x:c r="A305" t="str">
        <x:v>S301</x:v>
      </x:c>
      <x:c r="B305" t="str">
        <x:v>Scotland - Scottish League Cup: Group B</x:v>
      </x:c>
      <x:c r="C305" t="str">
        <x:v>规范中文名待确认（Scotland - Scottish League Cup: Group B）</x:v>
      </x:c>
      <x:c r="D305" t="n">
        <x:v>2</x:v>
      </x:c>
      <x:c r="E305" s="39" t="n">
        <x:v>46221.916666666664</x:v>
      </x:c>
      <x:c r="F305" s="39" t="n">
        <x:v>46221.916666666664</x:v>
      </x:c>
      <x:c r="G305" t="str">
        <x:v>2026-07-18|斯特灵阿尔比恩（Stirling Albion）|蒙特罗斯（Montrose）</x:v>
      </x:c>
      <x:c r="H305" t="str">
        <x:v>待确认</x:v>
      </x:c>
      <x:c r="I305" t="str">
        <x:v>本次多来源赛程发现新增；英文原名已保留，规范中文名待后续确认</x:v>
      </x:c>
    </x:row>
    <x:row r="306">
      <x:c r="A306" t="str">
        <x:v>S302</x:v>
      </x:c>
      <x:c r="B306" t="str">
        <x:v>Scotland - Scottish League Cup: Group C</x:v>
      </x:c>
      <x:c r="C306" t="str">
        <x:v>规范中文名待确认（Scotland - Scottish League Cup: Group C）</x:v>
      </x:c>
      <x:c r="D306" t="n">
        <x:v>1</x:v>
      </x:c>
      <x:c r="E306" s="39" t="n">
        <x:v>46221.916666666664</x:v>
      </x:c>
      <x:c r="F306" s="39" t="n">
        <x:v>46221.916666666664</x:v>
      </x:c>
      <x:c r="G306" t="str">
        <x:v>2026-07-18|东基尔布赖德（East Kilbride）|邓巴顿（Dumbarton）</x:v>
      </x:c>
      <x:c r="H306" t="str">
        <x:v>待确认</x:v>
      </x:c>
      <x:c r="I306" t="str">
        <x:v>本次多来源赛程发现新增；英文原名已保留，规范中文名待后续确认</x:v>
      </x:c>
    </x:row>
    <x:row r="307">
      <x:c r="A307" t="str">
        <x:v>S303</x:v>
      </x:c>
      <x:c r="B307" t="str">
        <x:v>Scotland - Scottish League Cup: Group D</x:v>
      </x:c>
      <x:c r="C307" t="str">
        <x:v>规范中文名待确认（Scotland - Scottish League Cup: Group D）</x:v>
      </x:c>
      <x:c r="D307" t="n">
        <x:v>2</x:v>
      </x:c>
      <x:c r="E307" s="39" t="n">
        <x:v>46221.916666666664</x:v>
      </x:c>
      <x:c r="F307" s="39" t="n">
        <x:v>46221.916666666664</x:v>
      </x:c>
      <x:c r="G307" t="str">
        <x:v>2026-07-18|艾尔德里联（Airdrieonians）|安南竞技（Annan Athletic）</x:v>
      </x:c>
      <x:c r="H307" t="str">
        <x:v>待确认</x:v>
      </x:c>
      <x:c r="I307" t="str">
        <x:v>本次多来源赛程发现新增；英文原名已保留，规范中文名待后续确认</x:v>
      </x:c>
    </x:row>
    <x:row r="308">
      <x:c r="A308" t="str">
        <x:v>S304</x:v>
      </x:c>
      <x:c r="B308" t="str">
        <x:v>Scotland - Scottish League Cup: Group E</x:v>
      </x:c>
      <x:c r="C308" t="str">
        <x:v>规范中文名待确认（Scotland - Scottish League Cup: Group E）</x:v>
      </x:c>
      <x:c r="D308" t="n">
        <x:v>2</x:v>
      </x:c>
      <x:c r="E308" s="39" t="n">
        <x:v>46221.916666666664</x:v>
      </x:c>
      <x:c r="F308" s="39" t="n">
        <x:v>46221.916666666664</x:v>
      </x:c>
      <x:c r="G308" t="str">
        <x:v>2026-07-18|布里金城（Brechin City）|中文名待确认（Stenhousemuir）</x:v>
      </x:c>
      <x:c r="H308" t="str">
        <x:v>待确认</x:v>
      </x:c>
      <x:c r="I308" t="str">
        <x:v>本次多来源赛程发现新增；英文原名已保留，规范中文名待后续确认</x:v>
      </x:c>
    </x:row>
    <x:row r="309">
      <x:c r="A309" t="str">
        <x:v>S305</x:v>
      </x:c>
      <x:c r="B309" t="str">
        <x:v>Scotland - Scottish League Cup: Group F</x:v>
      </x:c>
      <x:c r="C309" t="str">
        <x:v>规范中文名待确认（Scotland - Scottish League Cup: Group F）</x:v>
      </x:c>
      <x:c r="D309" t="n">
        <x:v>1</x:v>
      </x:c>
      <x:c r="E309" s="39" t="n">
        <x:v>46221.916666666664</x:v>
      </x:c>
      <x:c r="F309" s="39" t="n">
        <x:v>46221.916666666664</x:v>
      </x:c>
      <x:c r="G309" t="str">
        <x:v>2026-07-18|中文名待确认（Linlithgow Rose）|中文名待确认（Inverness CT）</x:v>
      </x:c>
      <x:c r="H309" t="str">
        <x:v>待确认</x:v>
      </x:c>
      <x:c r="I309" t="str">
        <x:v>本次多来源赛程发现新增；英文原名已保留，规范中文名待后续确认</x:v>
      </x:c>
    </x:row>
    <x:row r="310">
      <x:c r="A310" t="str">
        <x:v>S306</x:v>
      </x:c>
      <x:c r="B310" t="str">
        <x:v>Scotland - Scottish League Cup: Group G</x:v>
      </x:c>
      <x:c r="C310" t="str">
        <x:v>规范中文名待确认（Scotland - Scottish League Cup: Group G）</x:v>
      </x:c>
      <x:c r="D310" t="n">
        <x:v>2</x:v>
      </x:c>
      <x:c r="E310" s="39" t="n">
        <x:v>46221.916666666664</x:v>
      </x:c>
      <x:c r="F310" s="39" t="n">
        <x:v>46221.916666666664</x:v>
      </x:c>
      <x:c r="G310" t="str">
        <x:v>2026-07-18|中文名待确认（Alloa Athletic）|中文名待确认（Stranraer）</x:v>
      </x:c>
      <x:c r="H310" t="str">
        <x:v>待确认</x:v>
      </x:c>
      <x:c r="I310" t="str">
        <x:v>本次多来源赛程发现新增；英文原名已保留，规范中文名待后续确认</x:v>
      </x:c>
    </x:row>
    <x:row r="311">
      <x:c r="A311" t="str">
        <x:v>S307</x:v>
      </x:c>
      <x:c r="B311" t="str">
        <x:v>Scotland - Scottish League Cup: Group H</x:v>
      </x:c>
      <x:c r="C311" t="str">
        <x:v>规范中文名待确认（Scotland - Scottish League Cup: Group H）</x:v>
      </x:c>
      <x:c r="D311" t="n">
        <x:v>2</x:v>
      </x:c>
      <x:c r="E311" s="39" t="n">
        <x:v>46221.916666666664</x:v>
      </x:c>
      <x:c r="F311" s="39" t="n">
        <x:v>46221.916666666664</x:v>
      </x:c>
      <x:c r="G311" t="str">
        <x:v>2026-07-18|埃尔金城（Elgin City）|基尔马诺克（Kilmarnock）</x:v>
      </x:c>
      <x:c r="H311" t="str">
        <x:v>待确认</x:v>
      </x:c>
      <x:c r="I311" t="str">
        <x:v>本次多来源赛程发现新增；英文原名已保留，规范中文名待后续确认</x:v>
      </x:c>
    </x:row>
    <x:row r="312">
      <x:c r="A312" t="str">
        <x:v>S308</x:v>
      </x:c>
      <x:c r="B312" t="str">
        <x:v>Slovenia - Prva Liga</x:v>
      </x:c>
      <x:c r="C312" t="str">
        <x:v>规范中文名待确认（Slovenia - Prva Liga）</x:v>
      </x:c>
      <x:c r="D312" t="n">
        <x:v>2</x:v>
      </x:c>
      <x:c r="E312" s="39" t="n">
        <x:v>46222</x:v>
      </x:c>
      <x:c r="F312" s="39" t="n">
        <x:v>46222</x:v>
      </x:c>
      <x:c r="G312" t="str">
        <x:v>2026-07-19|中文名待确认（Radomlje）|中文名待确认（Nk Brinje Grosuplje）</x:v>
      </x:c>
      <x:c r="H312" t="str">
        <x:v>待确认</x:v>
      </x:c>
      <x:c r="I312" t="str">
        <x:v>本次多来源赛程发现新增；英文原名已保留，规范中文名待后续确认</x:v>
      </x:c>
    </x:row>
    <x:row r="313">
      <x:c r="A313" t="str">
        <x:v>S309</x:v>
      </x:c>
      <x:c r="B313" t="str">
        <x:v>Superettan</x:v>
      </x:c>
      <x:c r="C313" t="str">
        <x:v>规范中文名待确认（Superettan）</x:v>
      </x:c>
      <x:c r="D313" t="n">
        <x:v>1</x:v>
      </x:c>
      <x:c r="E313" s="39" t="n">
        <x:v>46221.791666666664</x:v>
      </x:c>
      <x:c r="F313" s="39" t="n">
        <x:v>46221.791666666664</x:v>
      </x:c>
      <x:c r="G313" t="str">
        <x:v>2026-07-18|中文名待确认（IK Oddevold）|中文名待确认（Varbergs BoIS）</x:v>
      </x:c>
      <x:c r="H313" t="str">
        <x:v>待确认</x:v>
      </x:c>
      <x:c r="I313" t="str">
        <x:v>本次多来源赛程发现新增；英文原名已保留，规范中文名待后续确认</x:v>
      </x:c>
    </x:row>
    <x:row r="314">
      <x:c r="A314" t="str">
        <x:v>S310</x:v>
      </x:c>
      <x:c r="B314" t="str">
        <x:v>Sweden - Superettan</x:v>
      </x:c>
      <x:c r="C314" t="str">
        <x:v>规范中文名待确认（Sweden - Superettan）</x:v>
      </x:c>
      <x:c r="D314" t="n">
        <x:v>2</x:v>
      </x:c>
      <x:c r="E314" s="39" t="n">
        <x:v>46221.875</x:v>
      </x:c>
      <x:c r="F314" s="39" t="n">
        <x:v>46221.875</x:v>
      </x:c>
      <x:c r="G314" t="str">
        <x:v>2026-07-18|中文名待确认（Oestersunds FK）|中文名待确认（Landskrona BoIS）</x:v>
      </x:c>
      <x:c r="H314" t="str">
        <x:v>待确认</x:v>
      </x:c>
      <x:c r="I314" t="str">
        <x:v>本次多来源赛程发现新增；英文原名已保留，规范中文名待后续确认</x:v>
      </x:c>
    </x:row>
    <x:row r="315">
      <x:c r="A315" t="str">
        <x:v>S311</x:v>
      </x:c>
      <x:c r="B315" t="str">
        <x:v>USA - National Women's Soccer League</x:v>
      </x:c>
      <x:c r="C315" t="str">
        <x:v>美国国家女子足球联赛（NWSL）</x:v>
      </x:c>
      <x:c r="D315" t="n">
        <x:v>6</x:v>
      </x:c>
      <x:c r="E315" s="39" t="n">
        <x:v>46222</x:v>
      </x:c>
      <x:c r="F315" s="39" t="n">
        <x:v>46222</x:v>
      </x:c>
      <x:c r="G315" t="str">
        <x:v>2026-07-19|哥谭FC（Gotham FC）|中文名待确认（Seattle Reign FC）</x:v>
      </x:c>
      <x:c r="H315" t="str">
        <x:v>待确认</x:v>
      </x:c>
      <x:c r="I315" t="str">
        <x:v>本次多来源赛程发现新增；英文原名已保留，规范中文名待后续确认</x:v>
      </x:c>
    </x:row>
    <x:row r="316">
      <x:c r="A316" t="str">
        <x:v>S312</x:v>
      </x:c>
      <x:c r="B316" t="str">
        <x:v>USA - USL Championship</x:v>
      </x:c>
      <x:c r="C316" t="str">
        <x:v>美国USL冠军联赛</x:v>
      </x:c>
      <x:c r="D316" t="n">
        <x:v>8</x:v>
      </x:c>
      <x:c r="E316" s="39" t="n">
        <x:v>46222</x:v>
      </x:c>
      <x:c r="F316" s="39" t="n">
        <x:v>46222</x:v>
      </x:c>
      <x:c r="G316" t="str">
        <x:v>2026-07-19|匹兹堡河犬（Pittsburgh Riverhounds）|路易斯维尔城（Louisville City FC）</x:v>
      </x:c>
      <x:c r="H316" t="str">
        <x:v>待确认</x:v>
      </x:c>
      <x:c r="I316" t="str">
        <x:v>本次多来源赛程发现新增；英文原名已保留，规范中文名待后续确认</x:v>
      </x:c>
    </x:row>
    <x:row r="317">
      <x:c r="A317" t="str">
        <x:v>S313</x:v>
      </x:c>
      <x:c r="B317" t="str">
        <x:v>USA - USL League One</x:v>
      </x:c>
      <x:c r="C317" t="str">
        <x:v>美国USL甲级联赛</x:v>
      </x:c>
      <x:c r="D317" t="n">
        <x:v>3</x:v>
      </x:c>
      <x:c r="E317" s="39" t="n">
        <x:v>46222.291666666664</x:v>
      </x:c>
      <x:c r="F317" s="39" t="n">
        <x:v>46222.291666666664</x:v>
      </x:c>
      <x:c r="G317" t="str">
        <x:v>2026-07-19|中文名待确认（Cosmos）|科珀斯克里斯蒂FC（Corpus Christi FC）</x:v>
      </x:c>
      <x:c r="H317" t="str">
        <x:v>待确认</x:v>
      </x:c>
      <x:c r="I317" t="str">
        <x:v>本次多来源赛程发现新增；英文原名已保留，规范中文名待后续确认</x:v>
      </x:c>
    </x:row>
    <x:row r="318">
      <x:c r="A318" t="str">
        <x:v>S314</x:v>
      </x:c>
      <x:c r="B318" t="str">
        <x:v>Uruguay - Primera División: Intermedio Group A</x:v>
      </x:c>
      <x:c r="C318" t="str">
        <x:v>规范中文名待确认（Uruguay - Primera División: Intermedio Group A）</x:v>
      </x:c>
      <x:c r="D318" t="n">
        <x:v>1</x:v>
      </x:c>
      <x:c r="E318" s="39" t="n">
        <x:v>46222.125</x:v>
      </x:c>
      <x:c r="F318" s="39" t="n">
        <x:v>46222.125</x:v>
      </x:c>
      <x:c r="G318" t="str">
        <x:v>2026-07-19|中文名待确认（Club Atletico Penarol）|波士顿河（Boston River）</x:v>
      </x:c>
      <x:c r="H318" t="str">
        <x:v>待确认</x:v>
      </x:c>
      <x:c r="I318" t="str">
        <x:v>本次多来源赛程发现新增；英文原名已保留，规范中文名待后续确认</x:v>
      </x:c>
    </x:row>
    <x:row r="319">
      <x:c r="A319" t="str">
        <x:v>S315</x:v>
      </x:c>
      <x:c r="B319" t="str">
        <x:v>Uruguay - Primera División: Intermedio Group B</x:v>
      </x:c>
      <x:c r="C319" t="str">
        <x:v>规范中文名待确认（Uruguay - Primera División: Intermedio Group B）</x:v>
      </x:c>
      <x:c r="D319" t="n">
        <x:v>1</x:v>
      </x:c>
      <x:c r="E319" s="39" t="n">
        <x:v>46221.979166666664</x:v>
      </x:c>
      <x:c r="F319" s="39" t="n">
        <x:v>46221.979166666664</x:v>
      </x:c>
      <x:c r="G319" t="str">
        <x:v>2026-07-18|中文名待确认（Club Atletico Progreso）|马尔多纳多（Deportivo Maldonado）</x:v>
      </x:c>
      <x:c r="H319" t="str">
        <x:v>待确认</x:v>
      </x:c>
      <x:c r="I319" t="str">
        <x:v>本次多来源赛程发现新增；英文原名已保留，规范中文名待后续确认</x:v>
      </x:c>
    </x:row>
    <x:row r="320">
      <x:c r="A320" t="str">
        <x:v>S316</x:v>
      </x:c>
      <x:c r="B320" t="str">
        <x:v>Uruguay - Segunda División</x:v>
      </x:c>
      <x:c r="C320" t="str">
        <x:v>规范中文名待确认（Uruguay - Segunda División）</x:v>
      </x:c>
      <x:c r="D320" t="n">
        <x:v>3</x:v>
      </x:c>
      <x:c r="E320" s="39" t="n">
        <x:v>46221.916666666664</x:v>
      </x:c>
      <x:c r="F320" s="39" t="n">
        <x:v>46221.916666666664</x:v>
      </x:c>
      <x:c r="G320" t="str">
        <x:v>2026-07-18|中文名待确认（Uruguay Montevideo）|河床（River Plate）</x:v>
      </x:c>
      <x:c r="H320" t="str">
        <x:v>待确认</x:v>
      </x:c>
      <x:c r="I320" t="str">
        <x:v>本次多来源赛程发现新增；英文原名已保留，规范中文名待后续确认</x:v>
      </x:c>
    </x:row>
    <x:row r="321">
      <x:c r="A321" t="str">
        <x:v>S317</x:v>
      </x:c>
      <x:c r="B321" t="str">
        <x:v>Veikkausliiga</x:v>
      </x:c>
      <x:c r="C321" t="str">
        <x:v>规范中文名待确认（Veikkausliiga）</x:v>
      </x:c>
      <x:c r="D321" t="n">
        <x:v>1</x:v>
      </x:c>
      <x:c r="E321" s="39" t="n">
        <x:v>46221.833333333336</x:v>
      </x:c>
      <x:c r="F321" s="39" t="n">
        <x:v>46221.833333333336</x:v>
      </x:c>
      <x:c r="G321" t="str">
        <x:v>2026-07-18|中文名待确认（HJK Helsinki）|VPS瓦萨（Vaasa PS）</x:v>
      </x:c>
      <x:c r="H321" t="str">
        <x:v>待确认</x:v>
      </x:c>
      <x:c r="I321" t="str">
        <x:v>本次多来源赛程发现新增；英文原名已保留，规范中文名待后续确认</x:v>
      </x:c>
    </x:row>
    <x:row r="322">
      <x:c r="A322" t="str">
        <x:v>S318</x:v>
      </x:c>
      <x:c r="B322" t="str">
        <x:v>World Cup 2026 - Third Place Play-Off</x:v>
      </x:c>
      <x:c r="C322" t="str">
        <x:v>规范中文名待确认（World Cup 2026 - Third Place Play-Off）</x:v>
      </x:c>
      <x:c r="D322" t="n">
        <x:v>1</x:v>
      </x:c>
      <x:c r="E322" s="39" t="n">
        <x:v>46222.208333333336</x:v>
      </x:c>
      <x:c r="F322" s="39" t="n">
        <x:v>46222.208333333336</x:v>
      </x:c>
      <x:c r="G322" t="str">
        <x:v>2026-07-19|法国（France）|英格兰（England）</x:v>
      </x:c>
      <x:c r="H322" t="str">
        <x:v>待确认</x:v>
      </x:c>
      <x:c r="I322" t="str">
        <x:v>本次多来源赛程发现新增；英文原名已保留，规范中文名待后续确认</x:v>
      </x:c>
    </x:row>
  </x:sheetData>
  <x:mergeCells>
    <x:mergeCell ref="A1:I1"/>
    <x:mergeCell ref="A2:I2"/>
  </x:mergeCells>
  <x:conditionalFormatting sqref="H5:H145">
    <x:cfRule type="containsText" dxfId="4" priority="1" operator="containsText" text="待确认"/>
  </x:conditionalFormatting>
  <x:dataValidations count="1">
    <x:dataValidation type="list" sqref="H5:H145">
      <x:formula1>"已规范,已建议,待确认"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70c791bd3e40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14" hidden="0" customWidth="1"/>
    <x:col min="4" max="4" width="13" hidden="0" customWidth="1"/>
    <x:col min="5" max="5" width="14" hidden="0" customWidth="1"/>
    <x:col min="6" max="6" width="13" hidden="0" customWidth="1"/>
    <x:col min="7" max="7" width="14" hidden="0" customWidth="1"/>
    <x:col min="8" max="8" width="3" hidden="0" customWidth="1"/>
    <x:col min="9" max="9" width="9" hidden="0" customWidth="1"/>
    <x:col min="10" max="10" width="38" hidden="0" customWidth="1"/>
    <x:col min="11" max="11" width="14" hidden="0" customWidth="1"/>
    <x:col min="12" max="12" width="13" hidden="0" customWidth="1"/>
    <x:col min="13" max="13" width="14" hidden="0" customWidth="1"/>
    <x:col min="14" max="14" width="13" hidden="0" customWidth="1"/>
    <x:col min="15" max="15" width="14" hidden="0" customWidth="1"/>
  </x:cols>
  <x:sheetData>
    <x:row r="1" ht="34" customHeight="1">
      <x:c r="A1" s="4" t="str">
        <x:v>让球与大小球｜赛事及单队独立战绩</x:v>
      </x:c>
      <x:c r="B1" s="4" t="str">
        <x:v>让球与大小球｜赛事及单队独立战绩</x:v>
      </x:c>
      <x:c r="C1" s="4" t="str">
        <x:v>让球与大小球｜赛事及单队独立战绩</x:v>
      </x:c>
      <x:c r="D1" s="4" t="str">
        <x:v>让球与大小球｜赛事及单队独立战绩</x:v>
      </x:c>
      <x:c r="E1" s="4" t="str">
        <x:v>让球与大小球｜赛事及单队独立战绩</x:v>
      </x:c>
      <x:c r="F1" s="4" t="str">
        <x:v>让球与大小球｜赛事及单队独立战绩</x:v>
      </x:c>
      <x:c r="G1" s="4" t="str">
        <x:v>让球与大小球｜赛事及单队独立战绩</x:v>
      </x:c>
      <x:c r="H1" s="4" t="str">
        <x:v>让球与大小球｜赛事及单队独立战绩</x:v>
      </x:c>
      <x:c r="I1" s="4" t="str">
        <x:v>让球与大小球｜赛事及单队独立战绩</x:v>
      </x:c>
      <x:c r="J1" s="4" t="str">
        <x:v>让球与大小球｜赛事及单队独立战绩</x:v>
      </x:c>
      <x:c r="K1" s="4" t="str">
        <x:v>让球与大小球｜赛事及单队独立战绩</x:v>
      </x:c>
      <x:c r="L1" s="4" t="str">
        <x:v>让球与大小球｜赛事及单队独立战绩</x:v>
      </x:c>
      <x:c r="M1" s="4" t="str">
        <x:v>让球与大小球｜赛事及单队独立战绩</x:v>
      </x:c>
      <x:c r="N1" s="4" t="str">
        <x:v>让球与大小球｜赛事及单队独立战绩</x:v>
      </x:c>
      <x:c r="O1" s="4" t="str">
        <x:v>让球与大小球｜赛事及单队独立战绩</x:v>
      </x:c>
    </x:row>
    <x:row r="2">
      <x:c r="A2" s="72" t="str">
        <x:v>四张榜单独立排序：赛事让球、赛事大小球、球队让球、球队大小球。总盈亏仅作辅助合计，不参与主排名。</x:v>
      </x:c>
      <x:c r="B2" s="72" t="str">
        <x:v>四张榜单独立排序：赛事让球、赛事大小球、球队让球、球队大小球。总盈亏仅作辅助合计，不参与主排名。</x:v>
      </x:c>
      <x:c r="C2" s="72" t="str">
        <x:v>四张榜单独立排序：赛事让球、赛事大小球、球队让球、球队大小球。总盈亏仅作辅助合计，不参与主排名。</x:v>
      </x:c>
      <x:c r="D2" s="72" t="str">
        <x:v>四张榜单独立排序：赛事让球、赛事大小球、球队让球、球队大小球。总盈亏仅作辅助合计，不参与主排名。</x:v>
      </x:c>
      <x:c r="E2" s="72" t="str">
        <x:v>四张榜单独立排序：赛事让球、赛事大小球、球队让球、球队大小球。总盈亏仅作辅助合计，不参与主排名。</x:v>
      </x:c>
      <x:c r="F2" s="72" t="str">
        <x:v>四张榜单独立排序：赛事让球、赛事大小球、球队让球、球队大小球。总盈亏仅作辅助合计，不参与主排名。</x:v>
      </x:c>
      <x:c r="G2" s="72" t="str">
        <x:v>四张榜单独立排序：赛事让球、赛事大小球、球队让球、球队大小球。总盈亏仅作辅助合计，不参与主排名。</x:v>
      </x:c>
      <x:c r="H2" s="72" t="str">
        <x:v>四张榜单独立排序：赛事让球、赛事大小球、球队让球、球队大小球。总盈亏仅作辅助合计，不参与主排名。</x:v>
      </x:c>
      <x:c r="I2" s="72" t="str">
        <x:v>四张榜单独立排序：赛事让球、赛事大小球、球队让球、球队大小球。总盈亏仅作辅助合计，不参与主排名。</x:v>
      </x:c>
      <x:c r="J2" s="72" t="str">
        <x:v>四张榜单独立排序：赛事让球、赛事大小球、球队让球、球队大小球。总盈亏仅作辅助合计，不参与主排名。</x:v>
      </x:c>
      <x:c r="K2" s="72" t="str">
        <x:v>四张榜单独立排序：赛事让球、赛事大小球、球队让球、球队大小球。总盈亏仅作辅助合计，不参与主排名。</x:v>
      </x:c>
      <x:c r="L2" s="72" t="str">
        <x:v>四张榜单独立排序：赛事让球、赛事大小球、球队让球、球队大小球。总盈亏仅作辅助合计，不参与主排名。</x:v>
      </x:c>
      <x:c r="M2" s="72" t="str">
        <x:v>四张榜单独立排序：赛事让球、赛事大小球、球队让球、球队大小球。总盈亏仅作辅助合计，不参与主排名。</x:v>
      </x:c>
      <x:c r="N2" s="72" t="str">
        <x:v>四张榜单独立排序：赛事让球、赛事大小球、球队让球、球队大小球。总盈亏仅作辅助合计，不参与主排名。</x:v>
      </x:c>
      <x:c r="O2" s="72" t="str">
        <x:v>四张榜单独立排序：赛事让球、赛事大小球、球队让球、球队大小球。总盈亏仅作辅助合计，不参与主排名。</x:v>
      </x:c>
    </x:row>
    <x:row r="5">
      <x:c r="A5" s="87" t="str">
        <x:v>已结算比赛</x:v>
      </x:c>
      <x:c r="B5" s="88" t="str">
        <x:v>已结算比赛</x:v>
      </x:c>
      <x:c r="C5" s="89" t="str">
        <x:v>已结算比赛</x:v>
      </x:c>
      <x:c r="E5" s="87" t="str">
        <x:v>让球盈亏单位</x:v>
      </x:c>
      <x:c r="F5" s="88" t="str">
        <x:v>让球盈亏单位</x:v>
      </x:c>
      <x:c r="G5" s="89" t="str">
        <x:v>让球盈亏单位</x:v>
      </x:c>
      <x:c r="I5" s="162" t="str">
        <x:v>大小球盈亏单位</x:v>
      </x:c>
      <x:c r="J5" s="163" t="str">
        <x:v>大小球盈亏单位</x:v>
      </x:c>
      <x:c r="K5" s="164" t="str">
        <x:v>大小球盈亏单位</x:v>
      </x:c>
      <x:c r="M5" s="168" t="str">
        <x:v>合计（辅助）</x:v>
      </x:c>
      <x:c r="N5" s="169" t="str">
        <x:v>合计（辅助）</x:v>
      </x:c>
      <x:c r="O5" s="170" t="str">
        <x:v>合计（辅助）</x:v>
      </x:c>
    </x:row>
    <x:row r="6">
      <x:c r="A6" s="118" t="n">
        <x:v>1822</x:v>
      </x:c>
      <x:c r="B6" s="119"/>
      <x:c r="C6" s="120"/>
      <x:c r="D6"/>
      <x:c r="E6" s="145" t="n">
        <x:v>-65.5</x:v>
      </x:c>
      <x:c r="F6" s="146"/>
      <x:c r="G6" s="147"/>
      <x:c r="H6"/>
      <x:c r="I6" s="145" t="n">
        <x:v>-0.5</x:v>
      </x:c>
      <x:c r="J6" s="146"/>
      <x:c r="K6" s="147"/>
      <x:c r="L6"/>
      <x:c r="M6" s="145" t="n">
        <x:v>-66</x:v>
      </x:c>
      <x:c r="N6" s="146"/>
      <x:c r="O6" s="147"/>
    </x:row>
    <x:row r="7">
      <x:c r="A7" s="121"/>
      <x:c r="B7" s="122"/>
      <x:c r="C7" s="123"/>
      <x:c r="E7" s="148"/>
      <x:c r="F7" s="149"/>
      <x:c r="G7" s="150"/>
      <x:c r="I7" s="148"/>
      <x:c r="J7" s="149"/>
      <x:c r="K7" s="150"/>
      <x:c r="M7" s="148"/>
      <x:c r="N7" s="149"/>
      <x:c r="O7" s="150"/>
    </x:row>
    <x:row r="8">
      <x:c r="A8" s="124"/>
      <x:c r="B8" s="125"/>
      <x:c r="C8" s="126"/>
      <x:c r="E8" s="151"/>
      <x:c r="F8" s="152"/>
      <x:c r="G8" s="153"/>
      <x:c r="I8" s="151"/>
      <x:c r="J8" s="152"/>
      <x:c r="K8" s="153"/>
      <x:c r="M8" s="151"/>
      <x:c r="N8" s="152"/>
      <x:c r="O8" s="153"/>
    </x:row>
    <x:row r="45" ht="32" customHeight="1">
      <x:c r="A45" s="22" t="str">
        <x:v>排名</x:v>
      </x:c>
      <x:c r="B45" s="23" t="str">
        <x:v>赛事｜让球</x:v>
      </x:c>
      <x:c r="C45" s="23" t="str">
        <x:v>已结算场次</x:v>
      </x:c>
      <x:c r="D45" s="23" t="str">
        <x:v>让球注数</x:v>
      </x:c>
      <x:c r="E45" s="23" t="str">
        <x:v>让球盈亏</x:v>
      </x:c>
      <x:c r="F45" s="23" t="str">
        <x:v>正收益率</x:v>
      </x:c>
      <x:c r="G45" s="24" t="str">
        <x:v>场均盈亏</x:v>
      </x:c>
      <x:c r="I45" s="177" t="str">
        <x:v>排名</x:v>
      </x:c>
      <x:c r="J45" s="178" t="str">
        <x:v>赛事｜大小球</x:v>
      </x:c>
      <x:c r="K45" s="178" t="str">
        <x:v>已结算场次</x:v>
      </x:c>
      <x:c r="L45" s="178" t="str">
        <x:v>大小球注数</x:v>
      </x:c>
      <x:c r="M45" s="178" t="str">
        <x:v>大小球盈亏</x:v>
      </x:c>
      <x:c r="N45" s="178" t="str">
        <x:v>正收益率</x:v>
      </x:c>
      <x:c r="O45" s="179" t="str">
        <x:v>场均盈亏</x:v>
      </x:c>
    </x:row>
    <x:row r="46" ht="24" customHeight="1">
      <x:c r="A46" s="62" t="n">
        <x:v>1</x:v>
      </x:c>
      <x:c r="B46" s="62" t="str">
        <x:v>墨西哥超（Liga MX，Clausura）</x:v>
      </x:c>
      <x:c r="C46" s="81" t="n">
        <x:v>100</x:v>
      </x:c>
      <x:c r="D46" s="81" t="n">
        <x:v>100</x:v>
      </x:c>
      <x:c r="E46" s="64" t="n">
        <x:v>10.5</x:v>
      </x:c>
      <x:c r="F46" s="180" t="n">
        <x:v>0.51</x:v>
      </x:c>
      <x:c r="G46" s="64" t="n">
        <x:v>0.105</x:v>
      </x:c>
      <x:c r="H46"/>
      <x:c r="I46" s="62" t="n">
        <x:v>1</x:v>
      </x:c>
      <x:c r="J46" s="62" t="str">
        <x:v>印度超级联赛（Indian Super League）</x:v>
      </x:c>
      <x:c r="K46" s="81" t="n">
        <x:v>67</x:v>
      </x:c>
      <x:c r="L46" s="81" t="n">
        <x:v>67</x:v>
      </x:c>
      <x:c r="M46" s="64" t="n">
        <x:v>13.5</x:v>
      </x:c>
      <x:c r="N46" s="180" t="n">
        <x:v>0.582089552238806</x:v>
      </x:c>
      <x:c r="O46" s="64" t="n">
        <x:v>0.20149253731343283</x:v>
      </x:c>
    </x:row>
    <x:row r="47" ht="24" customHeight="1">
      <x:c r="A47" s="65" t="n">
        <x:v>2</x:v>
      </x:c>
      <x:c r="B47" s="65" t="str">
        <x:v>国际足联世界杯</x:v>
      </x:c>
      <x:c r="C47" s="82" t="n">
        <x:v>66</x:v>
      </x:c>
      <x:c r="D47" s="82" t="n">
        <x:v>65</x:v>
      </x:c>
      <x:c r="E47" s="67" t="n">
        <x:v>8.5</x:v>
      </x:c>
      <x:c r="F47" s="181" t="n">
        <x:v>0.5230769230769231</x:v>
      </x:c>
      <x:c r="G47" s="67" t="n">
        <x:v>0.13076923076923078</x:v>
      </x:c>
      <x:c r="H47"/>
      <x:c r="I47" s="65" t="n">
        <x:v>2</x:v>
      </x:c>
      <x:c r="J47" s="65" t="str">
        <x:v>中北美冠军杯（CONCACAF Champions Cup）</x:v>
      </x:c>
      <x:c r="K47" s="82" t="n">
        <x:v>29</x:v>
      </x:c>
      <x:c r="L47" s="82" t="n">
        <x:v>29</x:v>
      </x:c>
      <x:c r="M47" s="67" t="n">
        <x:v>10</x:v>
      </x:c>
      <x:c r="N47" s="181" t="n">
        <x:v>0.6551724137931034</x:v>
      </x:c>
      <x:c r="O47" s="67" t="n">
        <x:v>0.3448275862068966</x:v>
      </x:c>
    </x:row>
    <x:row r="48" ht="24" customHeight="1">
      <x:c r="A48" s="65" t="n">
        <x:v>3</x:v>
      </x:c>
      <x:c r="B48" s="65" t="str">
        <x:v>澳大利亚 维多利亚州超级联赛1（VPL1）</x:v>
      </x:c>
      <x:c r="C48" s="82" t="n">
        <x:v>123</x:v>
      </x:c>
      <x:c r="D48" s="82" t="n">
        <x:v>123</x:v>
      </x:c>
      <x:c r="E48" s="67" t="n">
        <x:v>6.5</x:v>
      </x:c>
      <x:c r="F48" s="181" t="n">
        <x:v>0.5040650406504065</x:v>
      </x:c>
      <x:c r="G48" s="67" t="n">
        <x:v>0.052845528455284556</x:v>
      </x:c>
      <x:c r="H48"/>
      <x:c r="I48" s="65" t="n">
        <x:v>3</x:v>
      </x:c>
      <x:c r="J48" s="65" t="str">
        <x:v>阿根廷职业联赛（Liga Profesional·Apertura）</x:v>
      </x:c>
      <x:c r="K48" s="82" t="n">
        <x:v>85</x:v>
      </x:c>
      <x:c r="L48" s="82" t="n">
        <x:v>85</x:v>
      </x:c>
      <x:c r="M48" s="67" t="n">
        <x:v>9.5</x:v>
      </x:c>
      <x:c r="N48" s="181" t="n">
        <x:v>0.5176470588235295</x:v>
      </x:c>
      <x:c r="O48" s="67" t="n">
        <x:v>0.11176470588235295</x:v>
      </x:c>
    </x:row>
    <x:row r="49" ht="24" customHeight="1">
      <x:c r="A49" s="65" t="n">
        <x:v>4</x:v>
      </x:c>
      <x:c r="B49" s="65" t="str">
        <x:v>墨西哥甲级扩展联赛（Liga de Expansión MX）</x:v>
      </x:c>
      <x:c r="C49" s="82" t="n">
        <x:v>49</x:v>
      </x:c>
      <x:c r="D49" s="82" t="n">
        <x:v>49</x:v>
      </x:c>
      <x:c r="E49" s="67" t="n">
        <x:v>6</x:v>
      </x:c>
      <x:c r="F49" s="181" t="n">
        <x:v>0.5306122448979592</x:v>
      </x:c>
      <x:c r="G49" s="67" t="n">
        <x:v>0.12244897959183673</x:v>
      </x:c>
      <x:c r="H49"/>
      <x:c r="I49" s="65" t="n">
        <x:v>4</x:v>
      </x:c>
      <x:c r="J49" s="65" t="str">
        <x:v>国际友谊赛</x:v>
      </x:c>
      <x:c r="K49" s="82" t="n">
        <x:v>28</x:v>
      </x:c>
      <x:c r="L49" s="82" t="n">
        <x:v>28</x:v>
      </x:c>
      <x:c r="M49" s="67" t="n">
        <x:v>8</x:v>
      </x:c>
      <x:c r="N49" s="181" t="n">
        <x:v>0.6071428571428571</x:v>
      </x:c>
      <x:c r="O49" s="67" t="n">
        <x:v>0.2857142857142857</x:v>
      </x:c>
    </x:row>
    <x:row r="50" ht="24" customHeight="1">
      <x:c r="A50" s="65" t="n">
        <x:v>5</x:v>
      </x:c>
      <x:c r="B50" s="65" t="str">
        <x:v>英格兰超级联赛（Premier League）</x:v>
      </x:c>
      <x:c r="C50" s="82" t="n">
        <x:v>58</x:v>
      </x:c>
      <x:c r="D50" s="82" t="n">
        <x:v>58</x:v>
      </x:c>
      <x:c r="E50" s="67" t="n">
        <x:v>5</x:v>
      </x:c>
      <x:c r="F50" s="181" t="n">
        <x:v>0.5</x:v>
      </x:c>
      <x:c r="G50" s="67" t="n">
        <x:v>0.08620689655172414</x:v>
      </x:c>
      <x:c r="H50"/>
      <x:c r="I50" s="65" t="n">
        <x:v>5</x:v>
      </x:c>
      <x:c r="J50" s="65" t="str">
        <x:v>英格兰冠军联赛（英冠）</x:v>
      </x:c>
      <x:c r="K50" s="82" t="n">
        <x:v>84</x:v>
      </x:c>
      <x:c r="L50" s="82" t="n">
        <x:v>84</x:v>
      </x:c>
      <x:c r="M50" s="67" t="n">
        <x:v>8</x:v>
      </x:c>
      <x:c r="N50" s="181" t="n">
        <x:v>0.5476190476190477</x:v>
      </x:c>
      <x:c r="O50" s="67" t="n">
        <x:v>0.09523809523809523</x:v>
      </x:c>
    </x:row>
    <x:row r="51" ht="24" customHeight="1">
      <x:c r="A51" s="65" t="n">
        <x:v>6</x:v>
      </x:c>
      <x:c r="B51" s="65" t="str">
        <x:v>印度超级联赛（Indian Super League）</x:v>
      </x:c>
      <x:c r="C51" s="82" t="n">
        <x:v>67</x:v>
      </x:c>
      <x:c r="D51" s="82" t="n">
        <x:v>67</x:v>
      </x:c>
      <x:c r="E51" s="67" t="n">
        <x:v>5</x:v>
      </x:c>
      <x:c r="F51" s="181" t="n">
        <x:v>0.4925373134328358</x:v>
      </x:c>
      <x:c r="G51" s="67" t="n">
        <x:v>0.07462686567164178</x:v>
      </x:c>
      <x:c r="H51"/>
      <x:c r="I51" s="65" t="n">
        <x:v>6</x:v>
      </x:c>
      <x:c r="J51" s="65" t="str">
        <x:v>巴西甲（Serie A）</x:v>
      </x:c>
      <x:c r="K51" s="82" t="n">
        <x:v>36</x:v>
      </x:c>
      <x:c r="L51" s="82" t="n">
        <x:v>36</x:v>
      </x:c>
      <x:c r="M51" s="67" t="n">
        <x:v>6.5</x:v>
      </x:c>
      <x:c r="N51" s="181" t="n">
        <x:v>0.6111111111111112</x:v>
      </x:c>
      <x:c r="O51" s="67" t="n">
        <x:v>0.18055555555555555</x:v>
      </x:c>
    </x:row>
    <x:row r="52" ht="24" customHeight="1">
      <x:c r="A52" s="65" t="n">
        <x:v>7</x:v>
      </x:c>
      <x:c r="B52" s="65" t="str">
        <x:v>南美解放者杯</x:v>
      </x:c>
      <x:c r="C52" s="82" t="n">
        <x:v>40</x:v>
      </x:c>
      <x:c r="D52" s="82" t="n">
        <x:v>40</x:v>
      </x:c>
      <x:c r="E52" s="67" t="n">
        <x:v>5</x:v>
      </x:c>
      <x:c r="F52" s="181" t="n">
        <x:v>0.475</x:v>
      </x:c>
      <x:c r="G52" s="67" t="n">
        <x:v>0.125</x:v>
      </x:c>
      <x:c r="H52"/>
      <x:c r="I52" s="65" t="n">
        <x:v>7</x:v>
      </x:c>
      <x:c r="J52" s="65" t="str">
        <x:v>德国乙级联赛（2. Bundesliga）</x:v>
      </x:c>
      <x:c r="K52" s="82" t="n">
        <x:v>66</x:v>
      </x:c>
      <x:c r="L52" s="82" t="n">
        <x:v>66</x:v>
      </x:c>
      <x:c r="M52" s="67" t="n">
        <x:v>4.5</x:v>
      </x:c>
      <x:c r="N52" s="181" t="n">
        <x:v>0.5303030303030303</x:v>
      </x:c>
      <x:c r="O52" s="67" t="n">
        <x:v>0.06818181818181818</x:v>
      </x:c>
    </x:row>
    <x:row r="53" ht="24" customHeight="1">
      <x:c r="A53" s="65" t="n">
        <x:v>8</x:v>
      </x:c>
      <x:c r="B53" s="65" t="str">
        <x:v>法甲（Ligue 1）</x:v>
      </x:c>
      <x:c r="C53" s="82" t="n">
        <x:v>4</x:v>
      </x:c>
      <x:c r="D53" s="82" t="n">
        <x:v>4</x:v>
      </x:c>
      <x:c r="E53" s="67" t="n">
        <x:v>4</x:v>
      </x:c>
      <x:c r="F53" s="181" t="n">
        <x:v>1</x:v>
      </x:c>
      <x:c r="G53" s="67" t="n">
        <x:v>1</x:v>
      </x:c>
      <x:c r="H53"/>
      <x:c r="I53" s="65" t="n">
        <x:v>8</x:v>
      </x:c>
      <x:c r="J53" s="65" t="str">
        <x:v>澳大利亚新南威尔士州超级联赛（NPL NSW）</x:v>
      </x:c>
      <x:c r="K53" s="82" t="n">
        <x:v>3</x:v>
      </x:c>
      <x:c r="L53" s="82" t="n">
        <x:v>3</x:v>
      </x:c>
      <x:c r="M53" s="67" t="n">
        <x:v>3</x:v>
      </x:c>
      <x:c r="N53" s="181" t="n">
        <x:v>1</x:v>
      </x:c>
      <x:c r="O53" s="67" t="n">
        <x:v>1</x:v>
      </x:c>
    </x:row>
    <x:row r="54" ht="24" customHeight="1">
      <x:c r="A54" s="65" t="n">
        <x:v>9</x:v>
      </x:c>
      <x:c r="B54" s="65" t="str">
        <x:v>阿根廷大都会乙级联赛（Primera B Metropolitana）</x:v>
      </x:c>
      <x:c r="C54" s="82" t="n">
        <x:v>10</x:v>
      </x:c>
      <x:c r="D54" s="82" t="n">
        <x:v>10</x:v>
      </x:c>
      <x:c r="E54" s="67" t="n">
        <x:v>4</x:v>
      </x:c>
      <x:c r="F54" s="181" t="n">
        <x:v>0.7</x:v>
      </x:c>
      <x:c r="G54" s="67" t="n">
        <x:v>0.4</x:v>
      </x:c>
      <x:c r="H54"/>
      <x:c r="I54" s="65" t="n">
        <x:v>9</x:v>
      </x:c>
      <x:c r="J54" s="65" t="str">
        <x:v>芬兰杯（Suomen Cup）</x:v>
      </x:c>
      <x:c r="K54" s="82" t="n">
        <x:v>3</x:v>
      </x:c>
      <x:c r="L54" s="82" t="n">
        <x:v>3</x:v>
      </x:c>
      <x:c r="M54" s="67" t="n">
        <x:v>3</x:v>
      </x:c>
      <x:c r="N54" s="181" t="n">
        <x:v>1</x:v>
      </x:c>
      <x:c r="O54" s="67" t="n">
        <x:v>1</x:v>
      </x:c>
    </x:row>
    <x:row r="55" ht="24" customHeight="1">
      <x:c r="A55" s="65" t="n">
        <x:v>10</x:v>
      </x:c>
      <x:c r="B55" s="65" t="str">
        <x:v>欧洲协会联赛（UEFA Europa Conference League）</x:v>
      </x:c>
      <x:c r="C55" s="82" t="n">
        <x:v>5</x:v>
      </x:c>
      <x:c r="D55" s="82" t="n">
        <x:v>3</x:v>
      </x:c>
      <x:c r="E55" s="67" t="n">
        <x:v>3</x:v>
      </x:c>
      <x:c r="F55" s="181" t="n">
        <x:v>1</x:v>
      </x:c>
      <x:c r="G55" s="67" t="n">
        <x:v>1</x:v>
      </x:c>
      <x:c r="H55"/>
      <x:c r="I55" s="65" t="n">
        <x:v>10</x:v>
      </x:c>
      <x:c r="J55" s="65" t="str">
        <x:v>苏格兰超级联赛</x:v>
      </x:c>
      <x:c r="K55" s="82" t="n">
        <x:v>3</x:v>
      </x:c>
      <x:c r="L55" s="82" t="n">
        <x:v>3</x:v>
      </x:c>
      <x:c r="M55" s="67" t="n">
        <x:v>3</x:v>
      </x:c>
      <x:c r="N55" s="181" t="n">
        <x:v>1</x:v>
      </x:c>
      <x:c r="O55" s="67" t="n">
        <x:v>1</x:v>
      </x:c>
    </x:row>
    <x:row r="56" ht="24" customHeight="1">
      <x:c r="A56" s="65" t="n">
        <x:v>11</x:v>
      </x:c>
      <x:c r="B56" s="65" t="str">
        <x:v>芬兰杯（Suomen Cup）</x:v>
      </x:c>
      <x:c r="C56" s="82" t="n">
        <x:v>3</x:v>
      </x:c>
      <x:c r="D56" s="82" t="n">
        <x:v>3</x:v>
      </x:c>
      <x:c r="E56" s="67" t="n">
        <x:v>3</x:v>
      </x:c>
      <x:c r="F56" s="181" t="n">
        <x:v>1</x:v>
      </x:c>
      <x:c r="G56" s="67" t="n">
        <x:v>1</x:v>
      </x:c>
      <x:c r="H56"/>
      <x:c r="I56" s="65" t="n">
        <x:v>11</x:v>
      </x:c>
      <x:c r="J56" s="65" t="str">
        <x:v>洪都拉斯甲级联赛（Clausura）</x:v>
      </x:c>
      <x:c r="K56" s="82" t="n">
        <x:v>5</x:v>
      </x:c>
      <x:c r="L56" s="82" t="n">
        <x:v>5</x:v>
      </x:c>
      <x:c r="M56" s="67" t="n">
        <x:v>3</x:v>
      </x:c>
      <x:c r="N56" s="181" t="n">
        <x:v>0.8</x:v>
      </x:c>
      <x:c r="O56" s="67" t="n">
        <x:v>0.6</x:v>
      </x:c>
    </x:row>
    <x:row r="57" ht="24" customHeight="1">
      <x:c r="A57" s="65" t="n">
        <x:v>12</x:v>
      </x:c>
      <x:c r="B57" s="65" t="str">
        <x:v>东盟锦标</x:v>
      </x:c>
      <x:c r="C57" s="82" t="n">
        <x:v>5</x:v>
      </x:c>
      <x:c r="D57" s="82" t="n">
        <x:v>5</x:v>
      </x:c>
      <x:c r="E57" s="67" t="n">
        <x:v>3</x:v>
      </x:c>
      <x:c r="F57" s="181" t="n">
        <x:v>0.8</x:v>
      </x:c>
      <x:c r="G57" s="67" t="n">
        <x:v>0.6</x:v>
      </x:c>
      <x:c r="H57"/>
      <x:c r="I57" s="65" t="n">
        <x:v>12</x:v>
      </x:c>
      <x:c r="J57" s="65" t="str">
        <x:v>阿根廷大都会乙级联赛（Primera B Metropolitana）</x:v>
      </x:c>
      <x:c r="K57" s="82" t="n">
        <x:v>10</x:v>
      </x:c>
      <x:c r="L57" s="82" t="n">
        <x:v>10</x:v>
      </x:c>
      <x:c r="M57" s="67" t="n">
        <x:v>3</x:v>
      </x:c>
      <x:c r="N57" s="181" t="n">
        <x:v>0.6</x:v>
      </x:c>
      <x:c r="O57" s="67" t="n">
        <x:v>0.3</x:v>
      </x:c>
    </x:row>
    <x:row r="58" ht="24" customHeight="1">
      <x:c r="A58" s="65" t="n">
        <x:v>13</x:v>
      </x:c>
      <x:c r="B58" s="65" t="str">
        <x:v>中国足球超级联赛</x:v>
      </x:c>
      <x:c r="C58" s="82" t="n">
        <x:v>22</x:v>
      </x:c>
      <x:c r="D58" s="82" t="n">
        <x:v>22</x:v>
      </x:c>
      <x:c r="E58" s="67" t="n">
        <x:v>3</x:v>
      </x:c>
      <x:c r="F58" s="181" t="n">
        <x:v>0.5</x:v>
      </x:c>
      <x:c r="G58" s="67" t="n">
        <x:v>0.13636363636363635</x:v>
      </x:c>
      <x:c r="H58"/>
      <x:c r="I58" s="65" t="n">
        <x:v>13</x:v>
      </x:c>
      <x:c r="J58" s="65" t="str">
        <x:v>南美解放者杯</x:v>
      </x:c>
      <x:c r="K58" s="82" t="n">
        <x:v>40</x:v>
      </x:c>
      <x:c r="L58" s="82" t="n">
        <x:v>39</x:v>
      </x:c>
      <x:c r="M58" s="67" t="n">
        <x:v>3</x:v>
      </x:c>
      <x:c r="N58" s="181" t="n">
        <x:v>0.5128205128205128</x:v>
      </x:c>
      <x:c r="O58" s="67" t="n">
        <x:v>0.07692307692307693</x:v>
      </x:c>
    </x:row>
    <x:row r="59" ht="24" customHeight="1">
      <x:c r="A59" s="65" t="n">
        <x:v>14</x:v>
      </x:c>
      <x:c r="B59" s="65" t="str">
        <x:v>欧洲冠军联赛（UEFA Champions League）</x:v>
      </x:c>
      <x:c r="C59" s="82" t="n">
        <x:v>27</x:v>
      </x:c>
      <x:c r="D59" s="82" t="n">
        <x:v>22</x:v>
      </x:c>
      <x:c r="E59" s="67" t="n">
        <x:v>3</x:v>
      </x:c>
      <x:c r="F59" s="181" t="n">
        <x:v>0.5</x:v>
      </x:c>
      <x:c r="G59" s="67" t="n">
        <x:v>0.13636363636363635</x:v>
      </x:c>
      <x:c r="H59"/>
      <x:c r="I59" s="65" t="n">
        <x:v>14</x:v>
      </x:c>
      <x:c r="J59" s="65" t="str">
        <x:v>澳大利亚维多利亚州超级联赛1（VPL1）</x:v>
      </x:c>
      <x:c r="K59" s="82" t="n">
        <x:v>18</x:v>
      </x:c>
      <x:c r="L59" s="82" t="n">
        <x:v>18</x:v>
      </x:c>
      <x:c r="M59" s="67" t="n">
        <x:v>2.5</x:v>
      </x:c>
      <x:c r="N59" s="181" t="n">
        <x:v>0.5555555555555556</x:v>
      </x:c>
      <x:c r="O59" s="67" t="n">
        <x:v>0.1388888888888889</x:v>
      </x:c>
    </x:row>
    <x:row r="60" ht="24" customHeight="1">
      <x:c r="A60" s="65" t="n">
        <x:v>15</x:v>
      </x:c>
      <x:c r="B60" s="65" t="str">
        <x:v>挪威超级联赛（Eliteserien）</x:v>
      </x:c>
      <x:c r="C60" s="82" t="n">
        <x:v>3</x:v>
      </x:c>
      <x:c r="D60" s="82" t="n">
        <x:v>3</x:v>
      </x:c>
      <x:c r="E60" s="67" t="n">
        <x:v>2.5</x:v>
      </x:c>
      <x:c r="F60" s="181" t="n">
        <x:v>1</x:v>
      </x:c>
      <x:c r="G60" s="67" t="n">
        <x:v>0.8333333333333334</x:v>
      </x:c>
      <x:c r="H60"/>
      <x:c r="I60" s="65" t="n">
        <x:v>15</x:v>
      </x:c>
      <x:c r="J60" s="65" t="str">
        <x:v>印度甲级联赛</x:v>
      </x:c>
      <x:c r="K60" s="82" t="n">
        <x:v>2</x:v>
      </x:c>
      <x:c r="L60" s="82" t="n">
        <x:v>2</x:v>
      </x:c>
      <x:c r="M60" s="67" t="n">
        <x:v>2</x:v>
      </x:c>
      <x:c r="N60" s="181" t="n">
        <x:v>1</x:v>
      </x:c>
      <x:c r="O60" s="67" t="n">
        <x:v>1</x:v>
      </x:c>
    </x:row>
    <x:row r="61" ht="24" customHeight="1">
      <x:c r="A61" s="65" t="n">
        <x:v>16</x:v>
      </x:c>
      <x:c r="B61" s="65" t="str">
        <x:v>南美杯（Copa Sudamericana）资格赛</x:v>
      </x:c>
      <x:c r="C61" s="82" t="n">
        <x:v>16</x:v>
      </x:c>
      <x:c r="D61" s="82" t="n">
        <x:v>16</x:v>
      </x:c>
      <x:c r="E61" s="67" t="n">
        <x:v>2.5</x:v>
      </x:c>
      <x:c r="F61" s="181" t="n">
        <x:v>0.5625</x:v>
      </x:c>
      <x:c r="G61" s="67" t="n">
        <x:v>0.15625</x:v>
      </x:c>
      <x:c r="H61"/>
      <x:c r="I61" s="65" t="n">
        <x:v>16</x:v>
      </x:c>
      <x:c r="J61" s="65" t="str">
        <x:v>土耳其超级联赛（土超）</x:v>
      </x:c>
      <x:c r="K61" s="82" t="n">
        <x:v>2</x:v>
      </x:c>
      <x:c r="L61" s="82" t="n">
        <x:v>2</x:v>
      </x:c>
      <x:c r="M61" s="67" t="n">
        <x:v>2</x:v>
      </x:c>
      <x:c r="N61" s="181" t="n">
        <x:v>1</x:v>
      </x:c>
      <x:c r="O61" s="67" t="n">
        <x:v>1</x:v>
      </x:c>
    </x:row>
    <x:row r="62" ht="24" customHeight="1">
      <x:c r="A62" s="65" t="n">
        <x:v>17</x:v>
      </x:c>
      <x:c r="B62" s="65" t="str">
        <x:v>OFC职业联赛</x:v>
      </x:c>
      <x:c r="C62" s="82" t="n">
        <x:v>2</x:v>
      </x:c>
      <x:c r="D62" s="82" t="n">
        <x:v>2</x:v>
      </x:c>
      <x:c r="E62" s="67" t="n">
        <x:v>2</x:v>
      </x:c>
      <x:c r="F62" s="181" t="n">
        <x:v>1</x:v>
      </x:c>
      <x:c r="G62" s="67" t="n">
        <x:v>1</x:v>
      </x:c>
      <x:c r="H62"/>
      <x:c r="I62" s="65" t="n">
        <x:v>17</x:v>
      </x:c>
      <x:c r="J62" s="65" t="str">
        <x:v>挪威甲级联赛（OBOS-ligaen）</x:v>
      </x:c>
      <x:c r="K62" s="82" t="n">
        <x:v>2</x:v>
      </x:c>
      <x:c r="L62" s="82" t="n">
        <x:v>2</x:v>
      </x:c>
      <x:c r="M62" s="67" t="n">
        <x:v>2</x:v>
      </x:c>
      <x:c r="N62" s="181" t="n">
        <x:v>1</x:v>
      </x:c>
      <x:c r="O62" s="67" t="n">
        <x:v>1</x:v>
      </x:c>
    </x:row>
    <x:row r="63" ht="24" customHeight="1">
      <x:c r="A63" s="65" t="n">
        <x:v>18</x:v>
      </x:c>
      <x:c r="B63" s="65" t="str">
        <x:v>欧联杯</x:v>
      </x:c>
      <x:c r="C63" s="82" t="n">
        <x:v>2</x:v>
      </x:c>
      <x:c r="D63" s="82" t="n">
        <x:v>2</x:v>
      </x:c>
      <x:c r="E63" s="67" t="n">
        <x:v>2</x:v>
      </x:c>
      <x:c r="F63" s="181" t="n">
        <x:v>1</x:v>
      </x:c>
      <x:c r="G63" s="67" t="n">
        <x:v>1</x:v>
      </x:c>
      <x:c r="H63"/>
      <x:c r="I63" s="65" t="n">
        <x:v>18</x:v>
      </x:c>
      <x:c r="J63" s="65" t="str">
        <x:v>澳大利亚 维多利亚州超1 U23</x:v>
      </x:c>
      <x:c r="K63" s="82" t="n">
        <x:v>4</x:v>
      </x:c>
      <x:c r="L63" s="82" t="n">
        <x:v>4</x:v>
      </x:c>
      <x:c r="M63" s="67" t="n">
        <x:v>2</x:v>
      </x:c>
      <x:c r="N63" s="181" t="n">
        <x:v>0.75</x:v>
      </x:c>
      <x:c r="O63" s="67" t="n">
        <x:v>0.5</x:v>
      </x:c>
    </x:row>
    <x:row r="64" ht="24" customHeight="1">
      <x:c r="A64" s="65" t="n">
        <x:v>19</x:v>
      </x:c>
      <x:c r="B64" s="65" t="str">
        <x:v>芬兰甲组联赛（Ykkösliiga）</x:v>
      </x:c>
      <x:c r="C64" s="82" t="n">
        <x:v>2</x:v>
      </x:c>
      <x:c r="D64" s="82" t="n">
        <x:v>2</x:v>
      </x:c>
      <x:c r="E64" s="67" t="n">
        <x:v>2</x:v>
      </x:c>
      <x:c r="F64" s="181" t="n">
        <x:v>1</x:v>
      </x:c>
      <x:c r="G64" s="67" t="n">
        <x:v>1</x:v>
      </x:c>
      <x:c r="H64"/>
      <x:c r="I64" s="65" t="n">
        <x:v>19</x:v>
      </x:c>
      <x:c r="J64" s="65" t="str">
        <x:v>美国USL冠军联赛（USL Championship）</x:v>
      </x:c>
      <x:c r="K64" s="82" t="n">
        <x:v>3</x:v>
      </x:c>
      <x:c r="L64" s="82" t="n">
        <x:v>3</x:v>
      </x:c>
      <x:c r="M64" s="67" t="n">
        <x:v>2</x:v>
      </x:c>
      <x:c r="N64" s="181" t="n">
        <x:v>0.6666666666666666</x:v>
      </x:c>
      <x:c r="O64" s="67" t="n">
        <x:v>0.6666666666666666</x:v>
      </x:c>
    </x:row>
    <x:row r="65" ht="24" customHeight="1">
      <x:c r="A65" s="65" t="n">
        <x:v>20</x:v>
      </x:c>
      <x:c r="B65" s="65" t="str">
        <x:v>莫里斯·雷维洛锦标赛（土伦杯）</x:v>
      </x:c>
      <x:c r="C65" s="82" t="n">
        <x:v>2</x:v>
      </x:c>
      <x:c r="D65" s="82" t="n">
        <x:v>2</x:v>
      </x:c>
      <x:c r="E65" s="67" t="n">
        <x:v>2</x:v>
      </x:c>
      <x:c r="F65" s="181" t="n">
        <x:v>1</x:v>
      </x:c>
      <x:c r="G65" s="67" t="n">
        <x:v>1</x:v>
      </x:c>
      <x:c r="H65"/>
      <x:c r="I65" s="65" t="n">
        <x:v>20</x:v>
      </x:c>
      <x:c r="J65" s="65" t="str">
        <x:v>欧洲冠军联赛（UEFA Champions League）</x:v>
      </x:c>
      <x:c r="K65" s="82" t="n">
        <x:v>27</x:v>
      </x:c>
      <x:c r="L65" s="82" t="n">
        <x:v>18</x:v>
      </x:c>
      <x:c r="M65" s="67" t="n">
        <x:v>2</x:v>
      </x:c>
      <x:c r="N65" s="181" t="n">
        <x:v>0.5555555555555556</x:v>
      </x:c>
      <x:c r="O65" s="67" t="n">
        <x:v>0.1111111111111111</x:v>
      </x:c>
    </x:row>
    <x:row r="66" ht="24" customHeight="1">
      <x:c r="A66" s="65" t="n">
        <x:v>21</x:v>
      </x:c>
      <x:c r="B66" s="65" t="str">
        <x:v>哥斯达黎加甲（Primera Division）</x:v>
      </x:c>
      <x:c r="C66" s="82" t="n">
        <x:v>5</x:v>
      </x:c>
      <x:c r="D66" s="82" t="n">
        <x:v>5</x:v>
      </x:c>
      <x:c r="E66" s="67" t="n">
        <x:v>2</x:v>
      </x:c>
      <x:c r="F66" s="181" t="n">
        <x:v>0.8</x:v>
      </x:c>
      <x:c r="G66" s="67" t="n">
        <x:v>0.4</x:v>
      </x:c>
      <x:c r="H66"/>
      <x:c r="I66" s="65" t="n">
        <x:v>21</x:v>
      </x:c>
      <x:c r="J66" s="65" t="str">
        <x:v>巴拉圭甲级联赛（División de Honor·Apertura）</x:v>
      </x:c>
      <x:c r="K66" s="82" t="n">
        <x:v>2</x:v>
      </x:c>
      <x:c r="L66" s="82" t="n">
        <x:v>2</x:v>
      </x:c>
      <x:c r="M66" s="67" t="n">
        <x:v>1.5</x:v>
      </x:c>
      <x:c r="N66" s="181" t="n">
        <x:v>1</x:v>
      </x:c>
      <x:c r="O66" s="67" t="n">
        <x:v>0.75</x:v>
      </x:c>
    </x:row>
    <x:row r="67" ht="24" customHeight="1">
      <x:c r="A67" s="65" t="n">
        <x:v>22</x:v>
      </x:c>
      <x:c r="B67" s="65" t="str">
        <x:v>亚冠二级联赛（AFC Champions League Two）</x:v>
      </x:c>
      <x:c r="C67" s="82" t="n">
        <x:v>8</x:v>
      </x:c>
      <x:c r="D67" s="82" t="n">
        <x:v>8</x:v>
      </x:c>
      <x:c r="E67" s="67" t="n">
        <x:v>1.5</x:v>
      </x:c>
      <x:c r="F67" s="181" t="n">
        <x:v>0.5</x:v>
      </x:c>
      <x:c r="G67" s="67" t="n">
        <x:v>0.1875</x:v>
      </x:c>
      <x:c r="H67"/>
      <x:c r="I67" s="65" t="n">
        <x:v>22</x:v>
      </x:c>
      <x:c r="J67" s="65" t="str">
        <x:v>韩国K2联赛</x:v>
      </x:c>
      <x:c r="K67" s="82" t="n">
        <x:v>7</x:v>
      </x:c>
      <x:c r="L67" s="82" t="n">
        <x:v>7</x:v>
      </x:c>
      <x:c r="M67" s="67" t="n">
        <x:v>1.5</x:v>
      </x:c>
      <x:c r="N67" s="181" t="n">
        <x:v>0.5714285714285714</x:v>
      </x:c>
      <x:c r="O67" s="67" t="n">
        <x:v>0.21428571428571427</x:v>
      </x:c>
    </x:row>
    <x:row r="68" ht="24" customHeight="1">
      <x:c r="A68" s="65" t="n">
        <x:v>23</x:v>
      </x:c>
      <x:c r="B68" s="65" t="str">
        <x:v>加拿大锦标赛（Canadian Championship）</x:v>
      </x:c>
      <x:c r="C68" s="82" t="n">
        <x:v>1</x:v>
      </x:c>
      <x:c r="D68" s="82" t="n">
        <x:v>1</x:v>
      </x:c>
      <x:c r="E68" s="67" t="n">
        <x:v>1</x:v>
      </x:c>
      <x:c r="F68" s="181" t="n">
        <x:v>1</x:v>
      </x:c>
      <x:c r="G68" s="67" t="n">
        <x:v>1</x:v>
      </x:c>
      <x:c r="H68"/>
      <x:c r="I68" s="65" t="n">
        <x:v>23</x:v>
      </x:c>
      <x:c r="J68" s="65" t="str">
        <x:v>埃及超级联赛（Egyptian Premier League）</x:v>
      </x:c>
      <x:c r="K68" s="82" t="n">
        <x:v>9</x:v>
      </x:c>
      <x:c r="L68" s="82" t="n">
        <x:v>9</x:v>
      </x:c>
      <x:c r="M68" s="67" t="n">
        <x:v>1.5</x:v>
      </x:c>
      <x:c r="N68" s="181" t="n">
        <x:v>0.5555555555555556</x:v>
      </x:c>
      <x:c r="O68" s="67" t="n">
        <x:v>0.16666666666666666</x:v>
      </x:c>
    </x:row>
    <x:row r="69" ht="24" customHeight="1">
      <x:c r="A69" s="65" t="n">
        <x:v>24</x:v>
      </x:c>
      <x:c r="B69" s="65" t="str">
        <x:v>厄瓜多尔杯（Copa Ecuador）</x:v>
      </x:c>
      <x:c r="C69" s="82" t="n">
        <x:v>1</x:v>
      </x:c>
      <x:c r="D69" s="82" t="n">
        <x:v>1</x:v>
      </x:c>
      <x:c r="E69" s="67" t="n">
        <x:v>1</x:v>
      </x:c>
      <x:c r="F69" s="181" t="n">
        <x:v>1</x:v>
      </x:c>
      <x:c r="G69" s="67" t="n">
        <x:v>1</x:v>
      </x:c>
      <x:c r="H69"/>
      <x:c r="I69" s="65" t="n">
        <x:v>24</x:v>
      </x:c>
      <x:c r="J69" s="65" t="str">
        <x:v>玻利维亚甲级联赛</x:v>
      </x:c>
      <x:c r="K69" s="82" t="n">
        <x:v>32</x:v>
      </x:c>
      <x:c r="L69" s="82" t="n">
        <x:v>30</x:v>
      </x:c>
      <x:c r="M69" s="67" t="n">
        <x:v>1.5</x:v>
      </x:c>
      <x:c r="N69" s="181" t="n">
        <x:v>0.5</x:v>
      </x:c>
      <x:c r="O69" s="67" t="n">
        <x:v>0.05</x:v>
      </x:c>
    </x:row>
    <x:row r="70" ht="24" customHeight="1">
      <x:c r="A70" s="65" t="n">
        <x:v>25</x:v>
      </x:c>
      <x:c r="B70" s="65" t="str">
        <x:v>土伦杯（Maurice Revello Tournament）</x:v>
      </x:c>
      <x:c r="C70" s="82" t="n">
        <x:v>1</x:v>
      </x:c>
      <x:c r="D70" s="82" t="n">
        <x:v>1</x:v>
      </x:c>
      <x:c r="E70" s="67" t="n">
        <x:v>1</x:v>
      </x:c>
      <x:c r="F70" s="181" t="n">
        <x:v>1</x:v>
      </x:c>
      <x:c r="G70" s="67" t="n">
        <x:v>1</x:v>
      </x:c>
      <x:c r="H70"/>
      <x:c r="I70" s="65" t="n">
        <x:v>25</x:v>
      </x:c>
      <x:c r="J70" s="65" t="str">
        <x:v>FIFA系列赛（澳大利亚赛区）</x:v>
      </x:c>
      <x:c r="K70" s="82" t="n">
        <x:v>1</x:v>
      </x:c>
      <x:c r="L70" s="82" t="n">
        <x:v>1</x:v>
      </x:c>
      <x:c r="M70" s="67" t="n">
        <x:v>1</x:v>
      </x:c>
      <x:c r="N70" s="181" t="n">
        <x:v>1</x:v>
      </x:c>
      <x:c r="O70" s="67" t="n">
        <x:v>1</x:v>
      </x:c>
    </x:row>
    <x:row r="71" ht="24" customHeight="1">
      <x:c r="A71" s="65" t="n">
        <x:v>26</x:v>
      </x:c>
      <x:c r="B71" s="65" t="str">
        <x:v>埃及乙级联赛A组（Egyptian Second Division A）</x:v>
      </x:c>
      <x:c r="C71" s="82" t="n">
        <x:v>1</x:v>
      </x:c>
      <x:c r="D71" s="82" t="n">
        <x:v>1</x:v>
      </x:c>
      <x:c r="E71" s="67" t="n">
        <x:v>1</x:v>
      </x:c>
      <x:c r="F71" s="181" t="n">
        <x:v>1</x:v>
      </x:c>
      <x:c r="G71" s="67" t="n">
        <x:v>1</x:v>
      </x:c>
      <x:c r="H71"/>
      <x:c r="I71" s="65" t="n">
        <x:v>26</x:v>
      </x:c>
      <x:c r="J71" s="65" t="str">
        <x:v>U21国际友谊赛</x:v>
      </x:c>
      <x:c r="K71" s="82" t="n">
        <x:v>1</x:v>
      </x:c>
      <x:c r="L71" s="82" t="n">
        <x:v>1</x:v>
      </x:c>
      <x:c r="M71" s="67" t="n">
        <x:v>1</x:v>
      </x:c>
      <x:c r="N71" s="181" t="n">
        <x:v>1</x:v>
      </x:c>
      <x:c r="O71" s="67" t="n">
        <x:v>1</x:v>
      </x:c>
    </x:row>
    <x:row r="72" ht="24" customHeight="1">
      <x:c r="A72" s="65" t="n">
        <x:v>27</x:v>
      </x:c>
      <x:c r="B72" s="65" t="str">
        <x:v>委内瑞拉甲级联赛（Liga FUTVE）</x:v>
      </x:c>
      <x:c r="C72" s="82" t="n">
        <x:v>1</x:v>
      </x:c>
      <x:c r="D72" s="82" t="n">
        <x:v>1</x:v>
      </x:c>
      <x:c r="E72" s="67" t="n">
        <x:v>1</x:v>
      </x:c>
      <x:c r="F72" s="181" t="n">
        <x:v>1</x:v>
      </x:c>
      <x:c r="G72" s="67" t="n">
        <x:v>1</x:v>
      </x:c>
      <x:c r="H72"/>
      <x:c r="I72" s="65" t="n">
        <x:v>27</x:v>
      </x:c>
      <x:c r="J72" s="65" t="str">
        <x:v>伊朗甲级联赛（Azadegan League）</x:v>
      </x:c>
      <x:c r="K72" s="82" t="n">
        <x:v>1</x:v>
      </x:c>
      <x:c r="L72" s="82" t="n">
        <x:v>1</x:v>
      </x:c>
      <x:c r="M72" s="67" t="n">
        <x:v>1</x:v>
      </x:c>
      <x:c r="N72" s="181" t="n">
        <x:v>1</x:v>
      </x:c>
      <x:c r="O72" s="67" t="n">
        <x:v>1</x:v>
      </x:c>
    </x:row>
    <x:row r="73" ht="24" customHeight="1">
      <x:c r="A73" s="65" t="n">
        <x:v>28</x:v>
      </x:c>
      <x:c r="B73" s="65" t="str">
        <x:v>巴西杯（Copa do Brasil）</x:v>
      </x:c>
      <x:c r="C73" s="82" t="n">
        <x:v>1</x:v>
      </x:c>
      <x:c r="D73" s="82" t="n">
        <x:v>1</x:v>
      </x:c>
      <x:c r="E73" s="67" t="n">
        <x:v>1</x:v>
      </x:c>
      <x:c r="F73" s="181" t="n">
        <x:v>1</x:v>
      </x:c>
      <x:c r="G73" s="67" t="n">
        <x:v>1</x:v>
      </x:c>
      <x:c r="H73"/>
      <x:c r="I73" s="65" t="n">
        <x:v>28</x:v>
      </x:c>
      <x:c r="J73" s="65" t="str">
        <x:v>加拿大锦标赛（Canadian Championship）</x:v>
      </x:c>
      <x:c r="K73" s="82" t="n">
        <x:v>1</x:v>
      </x:c>
      <x:c r="L73" s="82" t="n">
        <x:v>1</x:v>
      </x:c>
      <x:c r="M73" s="67" t="n">
        <x:v>1</x:v>
      </x:c>
      <x:c r="N73" s="181" t="n">
        <x:v>1</x:v>
      </x:c>
      <x:c r="O73" s="67" t="n">
        <x:v>1</x:v>
      </x:c>
    </x:row>
    <x:row r="74" ht="24" customHeight="1">
      <x:c r="A74" s="65" t="n">
        <x:v>29</x:v>
      </x:c>
      <x:c r="B74" s="65" t="str">
        <x:v>德国杯（DFB-Pokal）</x:v>
      </x:c>
      <x:c r="C74" s="82" t="n">
        <x:v>1</x:v>
      </x:c>
      <x:c r="D74" s="82" t="n">
        <x:v>1</x:v>
      </x:c>
      <x:c r="E74" s="67" t="n">
        <x:v>1</x:v>
      </x:c>
      <x:c r="F74" s="181" t="n">
        <x:v>1</x:v>
      </x:c>
      <x:c r="G74" s="67" t="n">
        <x:v>1</x:v>
      </x:c>
      <x:c r="H74"/>
      <x:c r="I74" s="65" t="n">
        <x:v>29</x:v>
      </x:c>
      <x:c r="J74" s="65" t="str">
        <x:v>厄瓜多尔杯（Copa Ecuador）</x:v>
      </x:c>
      <x:c r="K74" s="82" t="n">
        <x:v>1</x:v>
      </x:c>
      <x:c r="L74" s="82" t="n">
        <x:v>1</x:v>
      </x:c>
      <x:c r="M74" s="67" t="n">
        <x:v>1</x:v>
      </x:c>
      <x:c r="N74" s="181" t="n">
        <x:v>1</x:v>
      </x:c>
      <x:c r="O74" s="67" t="n">
        <x:v>1</x:v>
      </x:c>
    </x:row>
    <x:row r="75" ht="24" customHeight="1">
      <x:c r="A75" s="65" t="n">
        <x:v>30</x:v>
      </x:c>
      <x:c r="B75" s="65" t="str">
        <x:v>意大利杯（Coppa Italia）</x:v>
      </x:c>
      <x:c r="C75" s="82" t="n">
        <x:v>1</x:v>
      </x:c>
      <x:c r="D75" s="82" t="n">
        <x:v>1</x:v>
      </x:c>
      <x:c r="E75" s="67" t="n">
        <x:v>1</x:v>
      </x:c>
      <x:c r="F75" s="181" t="n">
        <x:v>1</x:v>
      </x:c>
      <x:c r="G75" s="67" t="n">
        <x:v>1</x:v>
      </x:c>
      <x:c r="H75"/>
      <x:c r="I75" s="65" t="n">
        <x:v>30</x:v>
      </x:c>
      <x:c r="J75" s="65" t="str">
        <x:v>哥斯达黎加乙级联赛（Liga de Ascenso Clausura Playoffs）</x:v>
      </x:c>
      <x:c r="K75" s="82" t="n">
        <x:v>1</x:v>
      </x:c>
      <x:c r="L75" s="82" t="n">
        <x:v>1</x:v>
      </x:c>
      <x:c r="M75" s="67" t="n">
        <x:v>1</x:v>
      </x:c>
      <x:c r="N75" s="181" t="n">
        <x:v>1</x:v>
      </x:c>
      <x:c r="O75" s="67" t="n">
        <x:v>1</x:v>
      </x:c>
    </x:row>
    <x:row r="76" ht="24" customHeight="1">
      <x:c r="A76" s="65" t="n">
        <x:v>31</x:v>
      </x:c>
      <x:c r="B76" s="65" t="str">
        <x:v>泰国联赛1</x:v>
      </x:c>
      <x:c r="C76" s="82" t="n">
        <x:v>1</x:v>
      </x:c>
      <x:c r="D76" s="82" t="n">
        <x:v>1</x:v>
      </x:c>
      <x:c r="E76" s="67" t="n">
        <x:v>1</x:v>
      </x:c>
      <x:c r="F76" s="181" t="n">
        <x:v>1</x:v>
      </x:c>
      <x:c r="G76" s="67" t="n">
        <x:v>1</x:v>
      </x:c>
      <x:c r="H76"/>
      <x:c r="I76" s="65" t="n">
        <x:v>31</x:v>
      </x:c>
      <x:c r="J76" s="65" t="str">
        <x:v>埃及乙A</x:v>
      </x:c>
      <x:c r="K76" s="82" t="n">
        <x:v>1</x:v>
      </x:c>
      <x:c r="L76" s="82" t="n">
        <x:v>1</x:v>
      </x:c>
      <x:c r="M76" s="67" t="n">
        <x:v>1</x:v>
      </x:c>
      <x:c r="N76" s="181" t="n">
        <x:v>1</x:v>
      </x:c>
      <x:c r="O76" s="67" t="n">
        <x:v>1</x:v>
      </x:c>
    </x:row>
    <x:row r="77" ht="24" customHeight="1">
      <x:c r="A77" s="65" t="n">
        <x:v>32</x:v>
      </x:c>
      <x:c r="B77" s="65" t="str">
        <x:v>突尼斯甲级联赛</x:v>
      </x:c>
      <x:c r="C77" s="82" t="n">
        <x:v>1</x:v>
      </x:c>
      <x:c r="D77" s="82" t="n">
        <x:v>1</x:v>
      </x:c>
      <x:c r="E77" s="67" t="n">
        <x:v>1</x:v>
      </x:c>
      <x:c r="F77" s="181" t="n">
        <x:v>1</x:v>
      </x:c>
      <x:c r="G77" s="67" t="n">
        <x:v>1</x:v>
      </x:c>
      <x:c r="H77"/>
      <x:c r="I77" s="65" t="n">
        <x:v>32</x:v>
      </x:c>
      <x:c r="J77" s="65" t="str">
        <x:v>埃及乙级联赛A组（Egyptian Second Division A）</x:v>
      </x:c>
      <x:c r="K77" s="82" t="n">
        <x:v>1</x:v>
      </x:c>
      <x:c r="L77" s="82" t="n">
        <x:v>1</x:v>
      </x:c>
      <x:c r="M77" s="67" t="n">
        <x:v>1</x:v>
      </x:c>
      <x:c r="N77" s="181" t="n">
        <x:v>1</x:v>
      </x:c>
      <x:c r="O77" s="67" t="n">
        <x:v>1</x:v>
      </x:c>
    </x:row>
    <x:row r="78" ht="24" customHeight="1">
      <x:c r="A78" s="65" t="n">
        <x:v>33</x:v>
      </x:c>
      <x:c r="B78" s="65" t="str">
        <x:v>美国USL杯（USL Cup）</x:v>
      </x:c>
      <x:c r="C78" s="82" t="n">
        <x:v>1</x:v>
      </x:c>
      <x:c r="D78" s="82" t="n">
        <x:v>1</x:v>
      </x:c>
      <x:c r="E78" s="67" t="n">
        <x:v>1</x:v>
      </x:c>
      <x:c r="F78" s="181" t="n">
        <x:v>1</x:v>
      </x:c>
      <x:c r="G78" s="67" t="n">
        <x:v>1</x:v>
      </x:c>
      <x:c r="H78"/>
      <x:c r="I78" s="65" t="n">
        <x:v>33</x:v>
      </x:c>
      <x:c r="J78" s="65" t="str">
        <x:v>委内瑞拉甲级联赛（Liga FUTVE）</x:v>
      </x:c>
      <x:c r="K78" s="82" t="n">
        <x:v>1</x:v>
      </x:c>
      <x:c r="L78" s="82" t="n">
        <x:v>1</x:v>
      </x:c>
      <x:c r="M78" s="67" t="n">
        <x:v>1</x:v>
      </x:c>
      <x:c r="N78" s="181" t="n">
        <x:v>1</x:v>
      </x:c>
      <x:c r="O78" s="67" t="n">
        <x:v>1</x:v>
      </x:c>
    </x:row>
    <x:row r="79" ht="24" customHeight="1">
      <x:c r="A79" s="65" t="n">
        <x:v>34</x:v>
      </x:c>
      <x:c r="B79" s="65" t="str">
        <x:v>美国公开杯（Lamar Hunt U.S. Open Cup）</x:v>
      </x:c>
      <x:c r="C79" s="82" t="n">
        <x:v>1</x:v>
      </x:c>
      <x:c r="D79" s="82" t="n">
        <x:v>1</x:v>
      </x:c>
      <x:c r="E79" s="67" t="n">
        <x:v>1</x:v>
      </x:c>
      <x:c r="F79" s="181" t="n">
        <x:v>1</x:v>
      </x:c>
      <x:c r="G79" s="67" t="n">
        <x:v>1</x:v>
      </x:c>
      <x:c r="H79"/>
      <x:c r="I79" s="65" t="n">
        <x:v>34</x:v>
      </x:c>
      <x:c r="J79" s="65" t="str">
        <x:v>摩洛哥甲级联赛（Botola Pro）</x:v>
      </x:c>
      <x:c r="K79" s="82" t="n">
        <x:v>1</x:v>
      </x:c>
      <x:c r="L79" s="82" t="n">
        <x:v>1</x:v>
      </x:c>
      <x:c r="M79" s="67" t="n">
        <x:v>1</x:v>
      </x:c>
      <x:c r="N79" s="181" t="n">
        <x:v>1</x:v>
      </x:c>
      <x:c r="O79" s="67" t="n">
        <x:v>1</x:v>
      </x:c>
    </x:row>
    <x:row r="80" ht="24" customHeight="1">
      <x:c r="A80" s="65" t="n">
        <x:v>35</x:v>
      </x:c>
      <x:c r="B80" s="65" t="str">
        <x:v>英甲</x:v>
      </x:c>
      <x:c r="C80" s="82" t="n">
        <x:v>1</x:v>
      </x:c>
      <x:c r="D80" s="82" t="n">
        <x:v>1</x:v>
      </x:c>
      <x:c r="E80" s="67" t="n">
        <x:v>1</x:v>
      </x:c>
      <x:c r="F80" s="181" t="n">
        <x:v>1</x:v>
      </x:c>
      <x:c r="G80" s="67" t="n">
        <x:v>1</x:v>
      </x:c>
      <x:c r="H80"/>
      <x:c r="I80" s="65" t="n">
        <x:v>35</x:v>
      </x:c>
      <x:c r="J80" s="65" t="str">
        <x:v>欧协联</x:v>
      </x:c>
      <x:c r="K80" s="82" t="n">
        <x:v>1</x:v>
      </x:c>
      <x:c r="L80" s="82" t="n">
        <x:v>1</x:v>
      </x:c>
      <x:c r="M80" s="67" t="n">
        <x:v>1</x:v>
      </x:c>
      <x:c r="N80" s="181" t="n">
        <x:v>1</x:v>
      </x:c>
      <x:c r="O80" s="67" t="n">
        <x:v>1</x:v>
      </x:c>
    </x:row>
    <x:row r="81" ht="24" customHeight="1">
      <x:c r="A81" s="65" t="n">
        <x:v>36</x:v>
      </x:c>
      <x:c r="B81" s="65" t="str">
        <x:v>荷乙（荷兰乙级联赛）</x:v>
      </x:c>
      <x:c r="C81" s="82" t="n">
        <x:v>1</x:v>
      </x:c>
      <x:c r="D81" s="82" t="n">
        <x:v>1</x:v>
      </x:c>
      <x:c r="E81" s="67" t="n">
        <x:v>1</x:v>
      </x:c>
      <x:c r="F81" s="181" t="n">
        <x:v>1</x:v>
      </x:c>
      <x:c r="G81" s="67" t="n">
        <x:v>1</x:v>
      </x:c>
      <x:c r="H81"/>
      <x:c r="I81" s="65" t="n">
        <x:v>36</x:v>
      </x:c>
      <x:c r="J81" s="65" t="str">
        <x:v>欧洲U17足球锦标赛</x:v>
      </x:c>
      <x:c r="K81" s="82" t="n">
        <x:v>1</x:v>
      </x:c>
      <x:c r="L81" s="82" t="n">
        <x:v>1</x:v>
      </x:c>
      <x:c r="M81" s="67" t="n">
        <x:v>1</x:v>
      </x:c>
      <x:c r="N81" s="181" t="n">
        <x:v>1</x:v>
      </x:c>
      <x:c r="O81" s="67" t="n">
        <x:v>1</x:v>
      </x:c>
    </x:row>
    <x:row r="82" ht="24" customHeight="1">
      <x:c r="A82" s="65" t="n">
        <x:v>37</x:v>
      </x:c>
      <x:c r="B82" s="65" t="str">
        <x:v>蒙古超级联赛（争冠组）</x:v>
      </x:c>
      <x:c r="C82" s="82" t="n">
        <x:v>1</x:v>
      </x:c>
      <x:c r="D82" s="82" t="n">
        <x:v>1</x:v>
      </x:c>
      <x:c r="E82" s="67" t="n">
        <x:v>1</x:v>
      </x:c>
      <x:c r="F82" s="181" t="n">
        <x:v>1</x:v>
      </x:c>
      <x:c r="G82" s="67" t="n">
        <x:v>1</x:v>
      </x:c>
      <x:c r="H82"/>
      <x:c r="I82" s="65" t="n">
        <x:v>37</x:v>
      </x:c>
      <x:c r="J82" s="65" t="str">
        <x:v>欧洲足联欧罗巴联赛（UEFA Europa League）</x:v>
      </x:c>
      <x:c r="K82" s="82" t="n">
        <x:v>1</x:v>
      </x:c>
      <x:c r="L82" s="82" t="n">
        <x:v>1</x:v>
      </x:c>
      <x:c r="M82" s="67" t="n">
        <x:v>1</x:v>
      </x:c>
      <x:c r="N82" s="181" t="n">
        <x:v>1</x:v>
      </x:c>
      <x:c r="O82" s="67" t="n">
        <x:v>1</x:v>
      </x:c>
    </x:row>
    <x:row r="83" ht="24" customHeight="1">
      <x:c r="A83" s="65" t="n">
        <x:v>38</x:v>
      </x:c>
      <x:c r="B83" s="65" t="str">
        <x:v>西班牙乙级联赛</x:v>
      </x:c>
      <x:c r="C83" s="82" t="n">
        <x:v>1</x:v>
      </x:c>
      <x:c r="D83" s="82" t="n">
        <x:v>1</x:v>
      </x:c>
      <x:c r="E83" s="67" t="n">
        <x:v>1</x:v>
      </x:c>
      <x:c r="F83" s="181" t="n">
        <x:v>1</x:v>
      </x:c>
      <x:c r="G83" s="67" t="n">
        <x:v>1</x:v>
      </x:c>
      <x:c r="H83"/>
      <x:c r="I83" s="65" t="n">
        <x:v>38</x:v>
      </x:c>
      <x:c r="J83" s="65" t="str">
        <x:v>泰国联赛1</x:v>
      </x:c>
      <x:c r="K83" s="82" t="n">
        <x:v>1</x:v>
      </x:c>
      <x:c r="L83" s="82" t="n">
        <x:v>1</x:v>
      </x:c>
      <x:c r="M83" s="67" t="n">
        <x:v>1</x:v>
      </x:c>
      <x:c r="N83" s="181" t="n">
        <x:v>1</x:v>
      </x:c>
      <x:c r="O83" s="67" t="n">
        <x:v>1</x:v>
      </x:c>
    </x:row>
    <x:row r="84" ht="24" customHeight="1">
      <x:c r="A84" s="65" t="n">
        <x:v>39</x:v>
      </x:c>
      <x:c r="B84" s="65" t="str">
        <x:v>越南V联赛1</x:v>
      </x:c>
      <x:c r="C84" s="82" t="n">
        <x:v>1</x:v>
      </x:c>
      <x:c r="D84" s="82" t="n">
        <x:v>1</x:v>
      </x:c>
      <x:c r="E84" s="67" t="n">
        <x:v>1</x:v>
      </x:c>
      <x:c r="F84" s="181" t="n">
        <x:v>1</x:v>
      </x:c>
      <x:c r="G84" s="67" t="n">
        <x:v>1</x:v>
      </x:c>
      <x:c r="H84"/>
      <x:c r="I84" s="65" t="n">
        <x:v>39</x:v>
      </x:c>
      <x:c r="J84" s="65" t="str">
        <x:v>澳大利亚新南威尔士州甲级联赛（NSW League One）</x:v>
      </x:c>
      <x:c r="K84" s="82" t="n">
        <x:v>1</x:v>
      </x:c>
      <x:c r="L84" s="82" t="n">
        <x:v>1</x:v>
      </x:c>
      <x:c r="M84" s="67" t="n">
        <x:v>1</x:v>
      </x:c>
      <x:c r="N84" s="181" t="n">
        <x:v>1</x:v>
      </x:c>
      <x:c r="O84" s="67" t="n">
        <x:v>1</x:v>
      </x:c>
    </x:row>
    <x:row r="85" ht="24" customHeight="1">
      <x:c r="A85" s="65" t="n">
        <x:v>40</x:v>
      </x:c>
      <x:c r="B85" s="65" t="str">
        <x:v>首都足总杯</x:v>
      </x:c>
      <x:c r="C85" s="82" t="n">
        <x:v>1</x:v>
      </x:c>
      <x:c r="D85" s="82" t="n">
        <x:v>1</x:v>
      </x:c>
      <x:c r="E85" s="67" t="n">
        <x:v>1</x:v>
      </x:c>
      <x:c r="F85" s="181" t="n">
        <x:v>1</x:v>
      </x:c>
      <x:c r="G85" s="67" t="n">
        <x:v>1</x:v>
      </x:c>
      <x:c r="H85"/>
      <x:c r="I85" s="65" t="n">
        <x:v>40</x:v>
      </x:c>
      <x:c r="J85" s="65" t="str">
        <x:v>澳大利亚昆士兰州超级联赛1（QPL1）</x:v>
      </x:c>
      <x:c r="K85" s="82" t="n">
        <x:v>1</x:v>
      </x:c>
      <x:c r="L85" s="82" t="n">
        <x:v>1</x:v>
      </x:c>
      <x:c r="M85" s="67" t="n">
        <x:v>1</x:v>
      </x:c>
      <x:c r="N85" s="181" t="n">
        <x:v>1</x:v>
      </x:c>
      <x:c r="O85" s="67" t="n">
        <x:v>1</x:v>
      </x:c>
    </x:row>
    <x:row r="86" ht="24" customHeight="1">
      <x:c r="A86" s="65" t="n">
        <x:v>41</x:v>
      </x:c>
      <x:c r="B86" s="65" t="str">
        <x:v>美国USL冠军联赛（USL Championship）</x:v>
      </x:c>
      <x:c r="C86" s="82" t="n">
        <x:v>3</x:v>
      </x:c>
      <x:c r="D86" s="82" t="n">
        <x:v>3</x:v>
      </x:c>
      <x:c r="E86" s="67" t="n">
        <x:v>1</x:v>
      </x:c>
      <x:c r="F86" s="181" t="n">
        <x:v>0.6666666666666666</x:v>
      </x:c>
      <x:c r="G86" s="67" t="n">
        <x:v>0.3333333333333333</x:v>
      </x:c>
      <x:c r="H86"/>
      <x:c r="I86" s="65" t="n">
        <x:v>41</x:v>
      </x:c>
      <x:c r="J86" s="65" t="str">
        <x:v>澳大利亚维多利亚州女子国家超级联赛（NPL Victoria Women）</x:v>
      </x:c>
      <x:c r="K86" s="82" t="n">
        <x:v>1</x:v>
      </x:c>
      <x:c r="L86" s="82" t="n">
        <x:v>1</x:v>
      </x:c>
      <x:c r="M86" s="67" t="n">
        <x:v>1</x:v>
      </x:c>
      <x:c r="N86" s="181" t="n">
        <x:v>1</x:v>
      </x:c>
      <x:c r="O86" s="67" t="n">
        <x:v>1</x:v>
      </x:c>
    </x:row>
    <x:row r="87" ht="24" customHeight="1">
      <x:c r="A87" s="65" t="n">
        <x:v>42</x:v>
      </x:c>
      <x:c r="B87" s="65" t="str">
        <x:v>芬兰甲级联赛（Ykkösliiga）</x:v>
      </x:c>
      <x:c r="C87" s="82" t="n">
        <x:v>3</x:v>
      </x:c>
      <x:c r="D87" s="82" t="n">
        <x:v>3</x:v>
      </x:c>
      <x:c r="E87" s="67" t="n">
        <x:v>1</x:v>
      </x:c>
      <x:c r="F87" s="181" t="n">
        <x:v>0.6666666666666666</x:v>
      </x:c>
      <x:c r="G87" s="67" t="n">
        <x:v>0.3333333333333333</x:v>
      </x:c>
      <x:c r="H87"/>
      <x:c r="I87" s="65" t="n">
        <x:v>42</x:v>
      </x:c>
      <x:c r="J87" s="65" t="str">
        <x:v>瑞典杯（Svenska Cupen）</x:v>
      </x:c>
      <x:c r="K87" s="82" t="n">
        <x:v>1</x:v>
      </x:c>
      <x:c r="L87" s="82" t="n">
        <x:v>1</x:v>
      </x:c>
      <x:c r="M87" s="67" t="n">
        <x:v>1</x:v>
      </x:c>
      <x:c r="N87" s="181" t="n">
        <x:v>1</x:v>
      </x:c>
      <x:c r="O87" s="67" t="n">
        <x:v>1</x:v>
      </x:c>
    </x:row>
    <x:row r="88" ht="24" customHeight="1">
      <x:c r="A88" s="65" t="n">
        <x:v>43</x:v>
      </x:c>
      <x:c r="B88" s="65" t="str">
        <x:v>丹麦超级联赛（Danish Superliga）</x:v>
      </x:c>
      <x:c r="C88" s="82" t="n">
        <x:v>2</x:v>
      </x:c>
      <x:c r="D88" s="82" t="n">
        <x:v>2</x:v>
      </x:c>
      <x:c r="E88" s="67" t="n">
        <x:v>1</x:v>
      </x:c>
      <x:c r="F88" s="181" t="n">
        <x:v>0.5</x:v>
      </x:c>
      <x:c r="G88" s="67" t="n">
        <x:v>0.5</x:v>
      </x:c>
      <x:c r="H88"/>
      <x:c r="I88" s="65" t="n">
        <x:v>43</x:v>
      </x:c>
      <x:c r="J88" s="65" t="str">
        <x:v>瑞典超级联赛（Allsvenskan）</x:v>
      </x:c>
      <x:c r="K88" s="82" t="n">
        <x:v>1</x:v>
      </x:c>
      <x:c r="L88" s="82" t="n">
        <x:v>1</x:v>
      </x:c>
      <x:c r="M88" s="67" t="n">
        <x:v>1</x:v>
      </x:c>
      <x:c r="N88" s="181" t="n">
        <x:v>1</x:v>
      </x:c>
      <x:c r="O88" s="67" t="n">
        <x:v>1</x:v>
      </x:c>
    </x:row>
    <x:row r="89" ht="24" customHeight="1">
      <x:c r="A89" s="65" t="n">
        <x:v>44</x:v>
      </x:c>
      <x:c r="B89" s="65" t="str">
        <x:v>巴西甲（Serie A）</x:v>
      </x:c>
      <x:c r="C89" s="82" t="n">
        <x:v>36</x:v>
      </x:c>
      <x:c r="D89" s="82" t="n">
        <x:v>36</x:v>
      </x:c>
      <x:c r="E89" s="67" t="n">
        <x:v>1</x:v>
      </x:c>
      <x:c r="F89" s="181" t="n">
        <x:v>0.5</x:v>
      </x:c>
      <x:c r="G89" s="67" t="n">
        <x:v>0.027777777777777776</x:v>
      </x:c>
      <x:c r="H89"/>
      <x:c r="I89" s="65" t="n">
        <x:v>44</x:v>
      </x:c>
      <x:c r="J89" s="65" t="str">
        <x:v>突尼斯甲级联赛</x:v>
      </x:c>
      <x:c r="K89" s="82" t="n">
        <x:v>1</x:v>
      </x:c>
      <x:c r="L89" s="82" t="n">
        <x:v>1</x:v>
      </x:c>
      <x:c r="M89" s="67" t="n">
        <x:v>1</x:v>
      </x:c>
      <x:c r="N89" s="181" t="n">
        <x:v>1</x:v>
      </x:c>
      <x:c r="O89" s="67" t="n">
        <x:v>1</x:v>
      </x:c>
    </x:row>
    <x:row r="90" ht="24" customHeight="1">
      <x:c r="A90" s="65" t="n">
        <x:v>45</x:v>
      </x:c>
      <x:c r="B90" s="65" t="str">
        <x:v>澳大利亚维多利亚州超级联赛1（VPL1）</x:v>
      </x:c>
      <x:c r="C90" s="82" t="n">
        <x:v>18</x:v>
      </x:c>
      <x:c r="D90" s="82" t="n">
        <x:v>18</x:v>
      </x:c>
      <x:c r="E90" s="67" t="n">
        <x:v>1</x:v>
      </x:c>
      <x:c r="F90" s="181" t="n">
        <x:v>0.5</x:v>
      </x:c>
      <x:c r="G90" s="67" t="n">
        <x:v>0.05555555555555555</x:v>
      </x:c>
      <x:c r="H90"/>
      <x:c r="I90" s="65" t="n">
        <x:v>45</x:v>
      </x:c>
      <x:c r="J90" s="65" t="str">
        <x:v>英格兰联赛杯</x:v>
      </x:c>
      <x:c r="K90" s="82" t="n">
        <x:v>1</x:v>
      </x:c>
      <x:c r="L90" s="82" t="n">
        <x:v>1</x:v>
      </x:c>
      <x:c r="M90" s="67" t="n">
        <x:v>1</x:v>
      </x:c>
      <x:c r="N90" s="181" t="n">
        <x:v>1</x:v>
      </x:c>
      <x:c r="O90" s="67" t="n">
        <x:v>1</x:v>
      </x:c>
    </x:row>
    <x:row r="91" ht="24" customHeight="1">
      <x:c r="A91" s="65" t="n">
        <x:v>46</x:v>
      </x:c>
      <x:c r="B91" s="65" t="str">
        <x:v>葡萄牙超级联赛（Liga Portugal Betclic）</x:v>
      </x:c>
      <x:c r="C91" s="82" t="n">
        <x:v>3</x:v>
      </x:c>
      <x:c r="D91" s="82" t="n">
        <x:v>3</x:v>
      </x:c>
      <x:c r="E91" s="67" t="n">
        <x:v>1</x:v>
      </x:c>
      <x:c r="F91" s="181" t="n">
        <x:v>0.3333333333333333</x:v>
      </x:c>
      <x:c r="G91" s="67" t="n">
        <x:v>0.3333333333333333</x:v>
      </x:c>
      <x:c r="H91"/>
      <x:c r="I91" s="65" t="n">
        <x:v>46</x:v>
      </x:c>
      <x:c r="J91" s="65" t="str">
        <x:v>英甲</x:v>
      </x:c>
      <x:c r="K91" s="82" t="n">
        <x:v>1</x:v>
      </x:c>
      <x:c r="L91" s="82" t="n">
        <x:v>1</x:v>
      </x:c>
      <x:c r="M91" s="67" t="n">
        <x:v>1</x:v>
      </x:c>
      <x:c r="N91" s="181" t="n">
        <x:v>1</x:v>
      </x:c>
      <x:c r="O91" s="67" t="n">
        <x:v>1</x:v>
      </x:c>
    </x:row>
    <x:row r="92" ht="24" customHeight="1">
      <x:c r="A92" s="65" t="n">
        <x:v>47</x:v>
      </x:c>
      <x:c r="B92" s="65" t="str">
        <x:v>中国足球甲级联赛</x:v>
      </x:c>
      <x:c r="C92" s="82" t="n">
        <x:v>1</x:v>
      </x:c>
      <x:c r="D92" s="82" t="n">
        <x:v>1</x:v>
      </x:c>
      <x:c r="E92" s="67" t="n">
        <x:v>0.5</x:v>
      </x:c>
      <x:c r="F92" s="181" t="n">
        <x:v>1</x:v>
      </x:c>
      <x:c r="G92" s="67" t="n">
        <x:v>0.5</x:v>
      </x:c>
      <x:c r="H92"/>
      <x:c r="I92" s="65" t="n">
        <x:v>47</x:v>
      </x:c>
      <x:c r="J92" s="65" t="str">
        <x:v>荷乙（荷兰乙级联赛）</x:v>
      </x:c>
      <x:c r="K92" s="82" t="n">
        <x:v>1</x:v>
      </x:c>
      <x:c r="L92" s="82" t="n">
        <x:v>1</x:v>
      </x:c>
      <x:c r="M92" s="67" t="n">
        <x:v>1</x:v>
      </x:c>
      <x:c r="N92" s="181" t="n">
        <x:v>1</x:v>
      </x:c>
      <x:c r="O92" s="67" t="n">
        <x:v>1</x:v>
      </x:c>
    </x:row>
    <x:row r="93" ht="24" customHeight="1">
      <x:c r="A93" s="65" t="n">
        <x:v>48</x:v>
      </x:c>
      <x:c r="B93" s="65" t="str">
        <x:v>约旦联赛</x:v>
      </x:c>
      <x:c r="C93" s="82" t="n">
        <x:v>1</x:v>
      </x:c>
      <x:c r="D93" s="82" t="n">
        <x:v>1</x:v>
      </x:c>
      <x:c r="E93" s="67" t="n">
        <x:v>0.5</x:v>
      </x:c>
      <x:c r="F93" s="181" t="n">
        <x:v>1</x:v>
      </x:c>
      <x:c r="G93" s="67" t="n">
        <x:v>0.5</x:v>
      </x:c>
      <x:c r="H93"/>
      <x:c r="I93" s="65" t="n">
        <x:v>48</x:v>
      </x:c>
      <x:c r="J93" s="65" t="str">
        <x:v>越南V联赛1</x:v>
      </x:c>
      <x:c r="K93" s="82" t="n">
        <x:v>1</x:v>
      </x:c>
      <x:c r="L93" s="82" t="n">
        <x:v>1</x:v>
      </x:c>
      <x:c r="M93" s="67" t="n">
        <x:v>1</x:v>
      </x:c>
      <x:c r="N93" s="181" t="n">
        <x:v>1</x:v>
      </x:c>
      <x:c r="O93" s="67" t="n">
        <x:v>1</x:v>
      </x:c>
    </x:row>
    <x:row r="94" ht="24" customHeight="1">
      <x:c r="A94" s="65" t="n">
        <x:v>49</x:v>
      </x:c>
      <x:c r="B94" s="65" t="str">
        <x:v>卡塔尔星联赛（Stars League）</x:v>
      </x:c>
      <x:c r="C94" s="82" t="n">
        <x:v>3</x:v>
      </x:c>
      <x:c r="D94" s="82" t="n">
        <x:v>3</x:v>
      </x:c>
      <x:c r="E94" s="67" t="n">
        <x:v>0.5</x:v>
      </x:c>
      <x:c r="F94" s="181" t="n">
        <x:v>0.6666666666666666</x:v>
      </x:c>
      <x:c r="G94" s="67" t="n">
        <x:v>0.16666666666666666</x:v>
      </x:c>
      <x:c r="H94"/>
      <x:c r="I94" s="65" t="n">
        <x:v>49</x:v>
      </x:c>
      <x:c r="J94" s="65" t="str">
        <x:v>阿根廷杯（Copa Argentina）</x:v>
      </x:c>
      <x:c r="K94" s="82" t="n">
        <x:v>1</x:v>
      </x:c>
      <x:c r="L94" s="82" t="n">
        <x:v>1</x:v>
      </x:c>
      <x:c r="M94" s="67" t="n">
        <x:v>1</x:v>
      </x:c>
      <x:c r="N94" s="181" t="n">
        <x:v>1</x:v>
      </x:c>
      <x:c r="O94" s="67" t="n">
        <x:v>1</x:v>
      </x:c>
    </x:row>
    <x:row r="95" ht="24" customHeight="1">
      <x:c r="A95" s="65" t="n">
        <x:v>50</x:v>
      </x:c>
      <x:c r="B95" s="65" t="str">
        <x:v>英格兰足总杯（FA Cup）</x:v>
      </x:c>
      <x:c r="C95" s="82" t="n">
        <x:v>3</x:v>
      </x:c>
      <x:c r="D95" s="82" t="n">
        <x:v>3</x:v>
      </x:c>
      <x:c r="E95" s="67" t="n">
        <x:v>0.5</x:v>
      </x:c>
      <x:c r="F95" s="181" t="n">
        <x:v>0.6666666666666666</x:v>
      </x:c>
      <x:c r="G95" s="67" t="n">
        <x:v>0.16666666666666666</x:v>
      </x:c>
      <x:c r="H95"/>
      <x:c r="I95" s="65" t="n">
        <x:v>50</x:v>
      </x:c>
      <x:c r="J95" s="65" t="str">
        <x:v>首都足总杯</x:v>
      </x:c>
      <x:c r="K95" s="82" t="n">
        <x:v>1</x:v>
      </x:c>
      <x:c r="L95" s="82" t="n">
        <x:v>1</x:v>
      </x:c>
      <x:c r="M95" s="67" t="n">
        <x:v>1</x:v>
      </x:c>
      <x:c r="N95" s="181" t="n">
        <x:v>1</x:v>
      </x:c>
      <x:c r="O95" s="67" t="n">
        <x:v>1</x:v>
      </x:c>
    </x:row>
    <x:row r="96" ht="24" customHeight="1">
      <x:c r="A96" s="65" t="n">
        <x:v>51</x:v>
      </x:c>
      <x:c r="B96" s="65" t="str">
        <x:v>巴拉圭甲级联赛（División de Honor·Apertura）</x:v>
      </x:c>
      <x:c r="C96" s="82" t="n">
        <x:v>2</x:v>
      </x:c>
      <x:c r="D96" s="82" t="n">
        <x:v>2</x:v>
      </x:c>
      <x:c r="E96" s="67" t="n">
        <x:v>0.5</x:v>
      </x:c>
      <x:c r="F96" s="181" t="n">
        <x:v>0.5</x:v>
      </x:c>
      <x:c r="G96" s="67" t="n">
        <x:v>0.25</x:v>
      </x:c>
      <x:c r="H96"/>
      <x:c r="I96" s="65" t="n">
        <x:v>51</x:v>
      </x:c>
      <x:c r="J96" s="65" t="str">
        <x:v>瑞典超级甲级联赛（Superettan）</x:v>
      </x:c>
      <x:c r="K96" s="82" t="n">
        <x:v>3</x:v>
      </x:c>
      <x:c r="L96" s="82" t="n">
        <x:v>3</x:v>
      </x:c>
      <x:c r="M96" s="67" t="n">
        <x:v>1</x:v>
      </x:c>
      <x:c r="N96" s="181" t="n">
        <x:v>0.6666666666666666</x:v>
      </x:c>
      <x:c r="O96" s="67" t="n">
        <x:v>0.3333333333333333</x:v>
      </x:c>
    </x:row>
    <x:row r="97" ht="24" customHeight="1">
      <x:c r="A97" s="65" t="n">
        <x:v>52</x:v>
      </x:c>
      <x:c r="B97" s="65" t="str">
        <x:v>荷兰甲级联赛（Eredivisie）</x:v>
      </x:c>
      <x:c r="C97" s="82" t="n">
        <x:v>2</x:v>
      </x:c>
      <x:c r="D97" s="82" t="n">
        <x:v>2</x:v>
      </x:c>
      <x:c r="E97" s="67" t="n">
        <x:v>0.5</x:v>
      </x:c>
      <x:c r="F97" s="181" t="n">
        <x:v>0.5</x:v>
      </x:c>
      <x:c r="G97" s="67" t="n">
        <x:v>0.25</x:v>
      </x:c>
      <x:c r="H97"/>
      <x:c r="I97" s="65" t="n">
        <x:v>52</x:v>
      </x:c>
      <x:c r="J97" s="65" t="str">
        <x:v>东盟锦标</x:v>
      </x:c>
      <x:c r="K97" s="82" t="n">
        <x:v>5</x:v>
      </x:c>
      <x:c r="L97" s="82" t="n">
        <x:v>5</x:v>
      </x:c>
      <x:c r="M97" s="67" t="n">
        <x:v>1</x:v>
      </x:c>
      <x:c r="N97" s="181" t="n">
        <x:v>0.6</x:v>
      </x:c>
      <x:c r="O97" s="67" t="n">
        <x:v>0.2</x:v>
      </x:c>
    </x:row>
    <x:row r="98" ht="24" customHeight="1">
      <x:c r="A98" s="65" t="n">
        <x:v>53</x:v>
      </x:c>
      <x:c r="B98" s="65" t="str">
        <x:v>印度甲级联赛</x:v>
      </x:c>
      <x:c r="C98" s="82" t="n">
        <x:v>2</x:v>
      </x:c>
      <x:c r="D98" s="82" t="n">
        <x:v>2</x:v>
      </x:c>
      <x:c r="E98" s="67" t="n">
        <x:v>0</x:v>
      </x:c>
      <x:c r="F98" s="181" t="n">
        <x:v>0.5</x:v>
      </x:c>
      <x:c r="G98" s="67" t="n">
        <x:v>0</x:v>
      </x:c>
      <x:c r="H98"/>
      <x:c r="I98" s="65" t="n">
        <x:v>53</x:v>
      </x:c>
      <x:c r="J98" s="65" t="str">
        <x:v>西甲（LaLiga）</x:v>
      </x:c>
      <x:c r="K98" s="82" t="n">
        <x:v>15</x:v>
      </x:c>
      <x:c r="L98" s="82" t="n">
        <x:v>15</x:v>
      </x:c>
      <x:c r="M98" s="67" t="n">
        <x:v>1</x:v>
      </x:c>
      <x:c r="N98" s="181" t="n">
        <x:v>0.5333333333333333</x:v>
      </x:c>
      <x:c r="O98" s="67" t="n">
        <x:v>0.06666666666666667</x:v>
      </x:c>
    </x:row>
    <x:row r="99" ht="24" customHeight="1">
      <x:c r="A99" s="65" t="n">
        <x:v>54</x:v>
      </x:c>
      <x:c r="B99" s="65" t="str">
        <x:v>土伦杯（莫里斯雷维洛锦标赛）</x:v>
      </x:c>
      <x:c r="C99" s="82" t="n">
        <x:v>2</x:v>
      </x:c>
      <x:c r="D99" s="82" t="n">
        <x:v>2</x:v>
      </x:c>
      <x:c r="E99" s="67" t="n">
        <x:v>0</x:v>
      </x:c>
      <x:c r="F99" s="181" t="n">
        <x:v>0.5</x:v>
      </x:c>
      <x:c r="G99" s="67" t="n">
        <x:v>0</x:v>
      </x:c>
      <x:c r="H99"/>
      <x:c r="I99" s="65" t="n">
        <x:v>54</x:v>
      </x:c>
      <x:c r="J99" s="65" t="str">
        <x:v>亚冠精英</x:v>
      </x:c>
      <x:c r="K99" s="82" t="n">
        <x:v>19</x:v>
      </x:c>
      <x:c r="L99" s="82" t="n">
        <x:v>19</x:v>
      </x:c>
      <x:c r="M99" s="67" t="n">
        <x:v>1</x:v>
      </x:c>
      <x:c r="N99" s="181" t="n">
        <x:v>0.5263157894736842</x:v>
      </x:c>
      <x:c r="O99" s="67" t="n">
        <x:v>0.05263157894736842</x:v>
      </x:c>
    </x:row>
    <x:row r="100" ht="24" customHeight="1">
      <x:c r="A100" s="65" t="n">
        <x:v>55</x:v>
      </x:c>
      <x:c r="B100" s="65" t="str">
        <x:v>挪威甲级联赛（OBOS-ligaen）</x:v>
      </x:c>
      <x:c r="C100" s="82" t="n">
        <x:v>2</x:v>
      </x:c>
      <x:c r="D100" s="82" t="n">
        <x:v>2</x:v>
      </x:c>
      <x:c r="E100" s="67" t="n">
        <x:v>0</x:v>
      </x:c>
      <x:c r="F100" s="181" t="n">
        <x:v>0.5</x:v>
      </x:c>
      <x:c r="G100" s="67" t="n">
        <x:v>0</x:v>
      </x:c>
      <x:c r="H100"/>
      <x:c r="I100" s="65" t="n">
        <x:v>55</x:v>
      </x:c>
      <x:c r="J100" s="65" t="str">
        <x:v>芬兰超级联赛（Veikkausliiga）</x:v>
      </x:c>
      <x:c r="K100" s="82" t="n">
        <x:v>12</x:v>
      </x:c>
      <x:c r="L100" s="82" t="n">
        <x:v>12</x:v>
      </x:c>
      <x:c r="M100" s="67" t="n">
        <x:v>1</x:v>
      </x:c>
      <x:c r="N100" s="181" t="n">
        <x:v>0.5</x:v>
      </x:c>
      <x:c r="O100" s="67" t="n">
        <x:v>0.08333333333333333</x:v>
      </x:c>
    </x:row>
    <x:row r="101" ht="24" customHeight="1">
      <x:c r="A101" s="65" t="n">
        <x:v>56</x:v>
      </x:c>
      <x:c r="B101" s="65" t="str">
        <x:v>澳大利亚昆士兰州国家超级联赛（NPL Queensland）</x:v>
      </x:c>
      <x:c r="C101" s="82" t="n">
        <x:v>2</x:v>
      </x:c>
      <x:c r="D101" s="82" t="n">
        <x:v>2</x:v>
      </x:c>
      <x:c r="E101" s="67" t="n">
        <x:v>0</x:v>
      </x:c>
      <x:c r="F101" s="181" t="n">
        <x:v>0.5</x:v>
      </x:c>
      <x:c r="G101" s="67" t="n">
        <x:v>0</x:v>
      </x:c>
      <x:c r="H101"/>
      <x:c r="I101" s="65" t="n">
        <x:v>56</x:v>
      </x:c>
      <x:c r="J101" s="65" t="str">
        <x:v>危地马拉甲级联赛（Liga Guate Banrural，Clausura）</x:v>
      </x:c>
      <x:c r="K101" s="82" t="n">
        <x:v>1</x:v>
      </x:c>
      <x:c r="L101" s="82" t="n">
        <x:v>1</x:v>
      </x:c>
      <x:c r="M101" s="67" t="n">
        <x:v>0.5</x:v>
      </x:c>
      <x:c r="N101" s="181" t="n">
        <x:v>1</x:v>
      </x:c>
      <x:c r="O101" s="67" t="n">
        <x:v>0.5</x:v>
      </x:c>
    </x:row>
    <x:row r="102" ht="24" customHeight="1">
      <x:c r="A102" s="65" t="n">
        <x:v>57</x:v>
      </x:c>
      <x:c r="B102" s="65" t="str">
        <x:v>澳大利亚杯（Australia Cup）</x:v>
      </x:c>
      <x:c r="C102" s="82" t="n">
        <x:v>2</x:v>
      </x:c>
      <x:c r="D102" s="82" t="n">
        <x:v>2</x:v>
      </x:c>
      <x:c r="E102" s="67" t="n">
        <x:v>0</x:v>
      </x:c>
      <x:c r="F102" s="181" t="n">
        <x:v>0.5</x:v>
      </x:c>
      <x:c r="G102" s="67" t="n">
        <x:v>0</x:v>
      </x:c>
      <x:c r="H102"/>
      <x:c r="I102" s="65" t="n">
        <x:v>57</x:v>
      </x:c>
      <x:c r="J102" s="65" t="str">
        <x:v>南美杯（Copa Sudamericana）资格赛</x:v>
      </x:c>
      <x:c r="K102" s="82" t="n">
        <x:v>16</x:v>
      </x:c>
      <x:c r="L102" s="82" t="n">
        <x:v>15</x:v>
      </x:c>
      <x:c r="M102" s="67" t="n">
        <x:v>0.5</x:v>
      </x:c>
      <x:c r="N102" s="181" t="n">
        <x:v>0.4</x:v>
      </x:c>
      <x:c r="O102" s="67" t="n">
        <x:v>0.03333333333333333</x:v>
      </x:c>
    </x:row>
    <x:row r="103" ht="24" customHeight="1">
      <x:c r="A103" s="65" t="n">
        <x:v>58</x:v>
      </x:c>
      <x:c r="B103" s="65" t="str">
        <x:v>越南国家杯（Cúp Quốc gia）</x:v>
      </x:c>
      <x:c r="C103" s="82" t="n">
        <x:v>2</x:v>
      </x:c>
      <x:c r="D103" s="82" t="n">
        <x:v>2</x:v>
      </x:c>
      <x:c r="E103" s="67" t="n">
        <x:v>0</x:v>
      </x:c>
      <x:c r="F103" s="181" t="n">
        <x:v>0.5</x:v>
      </x:c>
      <x:c r="G103" s="67" t="n">
        <x:v>0</x:v>
      </x:c>
      <x:c r="H103"/>
      <x:c r="I103" s="65" t="n">
        <x:v>58</x:v>
      </x:c>
      <x:c r="J103" s="65" t="str">
        <x:v>OFC职业联赛</x:v>
      </x:c>
      <x:c r="K103" s="82" t="n">
        <x:v>2</x:v>
      </x:c>
      <x:c r="L103" s="82" t="n">
        <x:v>2</x:v>
      </x:c>
      <x:c r="M103" s="67" t="n">
        <x:v>0</x:v>
      </x:c>
      <x:c r="N103" s="181" t="n">
        <x:v>0.5</x:v>
      </x:c>
      <x:c r="O103" s="67" t="n">
        <x:v>0</x:v>
      </x:c>
    </x:row>
    <x:row r="104" ht="24" customHeight="1">
      <x:c r="A104" s="65" t="n">
        <x:v>59</x:v>
      </x:c>
      <x:c r="B104" s="65" t="str">
        <x:v>瑞典超级联赛</x:v>
      </x:c>
      <x:c r="C104" s="82" t="n">
        <x:v>21</x:v>
      </x:c>
      <x:c r="D104" s="82" t="n">
        <x:v>21</x:v>
      </x:c>
      <x:c r="E104" s="67" t="n">
        <x:v>0</x:v>
      </x:c>
      <x:c r="F104" s="181" t="n">
        <x:v>0.47619047619047616</x:v>
      </x:c>
      <x:c r="G104" s="67" t="n">
        <x:v>0</x:v>
      </x:c>
      <x:c r="H104"/>
      <x:c r="I104" s="65" t="n">
        <x:v>59</x:v>
      </x:c>
      <x:c r="J104" s="65" t="str">
        <x:v>丹麦超级联赛（Danish Superliga）</x:v>
      </x:c>
      <x:c r="K104" s="82" t="n">
        <x:v>2</x:v>
      </x:c>
      <x:c r="L104" s="82" t="n">
        <x:v>2</x:v>
      </x:c>
      <x:c r="M104" s="67" t="n">
        <x:v>0</x:v>
      </x:c>
      <x:c r="N104" s="181" t="n">
        <x:v>0.5</x:v>
      </x:c>
      <x:c r="O104" s="67" t="n">
        <x:v>0</x:v>
      </x:c>
    </x:row>
    <x:row r="105" ht="24" customHeight="1">
      <x:c r="A105" s="65" t="n">
        <x:v>60</x:v>
      </x:c>
      <x:c r="B105" s="65" t="str">
        <x:v>芬兰超级联赛（Veikkausliiga）</x:v>
      </x:c>
      <x:c r="C105" s="82" t="n">
        <x:v>12</x:v>
      </x:c>
      <x:c r="D105" s="82" t="n">
        <x:v>12</x:v>
      </x:c>
      <x:c r="E105" s="67" t="n">
        <x:v>0</x:v>
      </x:c>
      <x:c r="F105" s="181" t="n">
        <x:v>0.3333333333333333</x:v>
      </x:c>
      <x:c r="G105" s="67" t="n">
        <x:v>0</x:v>
      </x:c>
      <x:c r="H105"/>
      <x:c r="I105" s="65" t="n">
        <x:v>60</x:v>
      </x:c>
      <x:c r="J105" s="65" t="str">
        <x:v>厄瓜多尔甲级联赛（LigaPro Serie A）</x:v>
      </x:c>
      <x:c r="K105" s="82" t="n">
        <x:v>6</x:v>
      </x:c>
      <x:c r="L105" s="82" t="n">
        <x:v>2</x:v>
      </x:c>
      <x:c r="M105" s="67" t="n">
        <x:v>0</x:v>
      </x:c>
      <x:c r="N105" s="181" t="n">
        <x:v>0.5</x:v>
      </x:c>
      <x:c r="O105" s="67" t="n">
        <x:v>0</x:v>
      </x:c>
    </x:row>
    <x:row r="106" ht="24" customHeight="1">
      <x:c r="A106" s="65" t="n">
        <x:v>61</x:v>
      </x:c>
      <x:c r="B106" s="65" t="str">
        <x:v>埃及乙A</x:v>
      </x:c>
      <x:c r="C106" s="82" t="n">
        <x:v>1</x:v>
      </x:c>
      <x:c r="D106" s="82" t="n">
        <x:v>1</x:v>
      </x:c>
      <x:c r="E106" s="67" t="n">
        <x:v>0</x:v>
      </x:c>
      <x:c r="F106" s="181" t="n">
        <x:v>0</x:v>
      </x:c>
      <x:c r="G106" s="67" t="n">
        <x:v>0</x:v>
      </x:c>
      <x:c r="H106"/>
      <x:c r="I106" s="65" t="n">
        <x:v>61</x:v>
      </x:c>
      <x:c r="J106" s="65" t="str">
        <x:v>土伦杯（莫里斯雷维洛锦标赛）</x:v>
      </x:c>
      <x:c r="K106" s="82" t="n">
        <x:v>2</x:v>
      </x:c>
      <x:c r="L106" s="82" t="n">
        <x:v>2</x:v>
      </x:c>
      <x:c r="M106" s="67" t="n">
        <x:v>0</x:v>
      </x:c>
      <x:c r="N106" s="181" t="n">
        <x:v>0.5</x:v>
      </x:c>
      <x:c r="O106" s="67" t="n">
        <x:v>0</x:v>
      </x:c>
    </x:row>
    <x:row r="107" ht="24" customHeight="1">
      <x:c r="A107" s="65" t="n">
        <x:v>62</x:v>
      </x:c>
      <x:c r="B107" s="65" t="str">
        <x:v>沙特职业联赛（Saudi Pro League）</x:v>
      </x:c>
      <x:c r="C107" s="82" t="n">
        <x:v>8</x:v>
      </x:c>
      <x:c r="D107" s="82" t="n">
        <x:v>8</x:v>
      </x:c>
      <x:c r="E107" s="67" t="n">
        <x:v>-0.5</x:v>
      </x:c>
      <x:c r="F107" s="181" t="n">
        <x:v>0.5</x:v>
      </x:c>
      <x:c r="G107" s="67" t="n">
        <x:v>-0.0625</x:v>
      </x:c>
      <x:c r="H107"/>
      <x:c r="I107" s="65" t="n">
        <x:v>62</x:v>
      </x:c>
      <x:c r="J107" s="65" t="str">
        <x:v>日职 明治安田J2·J3百年构想联赛</x:v>
      </x:c>
      <x:c r="K107" s="82" t="n">
        <x:v>38</x:v>
      </x:c>
      <x:c r="L107" s="82" t="n">
        <x:v>38</x:v>
      </x:c>
      <x:c r="M107" s="67" t="n">
        <x:v>0</x:v>
      </x:c>
      <x:c r="N107" s="181" t="n">
        <x:v>0.5</x:v>
      </x:c>
      <x:c r="O107" s="67" t="n">
        <x:v>0</x:v>
      </x:c>
    </x:row>
    <x:row r="108" ht="24" customHeight="1">
      <x:c r="A108" s="65" t="n">
        <x:v>63</x:v>
      </x:c>
      <x:c r="B108" s="65" t="str">
        <x:v>美职联（MLS）</x:v>
      </x:c>
      <x:c r="C108" s="82" t="n">
        <x:v>28</x:v>
      </x:c>
      <x:c r="D108" s="82" t="n">
        <x:v>28</x:v>
      </x:c>
      <x:c r="E108" s="67" t="n">
        <x:v>-0.5</x:v>
      </x:c>
      <x:c r="F108" s="181" t="n">
        <x:v>0.4642857142857143</x:v>
      </x:c>
      <x:c r="G108" s="67" t="n">
        <x:v>-0.017857142857142856</x:v>
      </x:c>
      <x:c r="H108"/>
      <x:c r="I108" s="65" t="n">
        <x:v>63</x:v>
      </x:c>
      <x:c r="J108" s="65" t="str">
        <x:v>日职联（J1 League）</x:v>
      </x:c>
      <x:c r="K108" s="82" t="n">
        <x:v>70</x:v>
      </x:c>
      <x:c r="L108" s="82" t="n">
        <x:v>70</x:v>
      </x:c>
      <x:c r="M108" s="67" t="n">
        <x:v>0</x:v>
      </x:c>
      <x:c r="N108" s="181" t="n">
        <x:v>0.5</x:v>
      </x:c>
      <x:c r="O108" s="67" t="n">
        <x:v>0</x:v>
      </x:c>
    </x:row>
    <x:row r="109" ht="24" customHeight="1">
      <x:c r="A109" s="65" t="n">
        <x:v>64</x:v>
      </x:c>
      <x:c r="B109" s="65" t="str">
        <x:v>韩国K2联赛</x:v>
      </x:c>
      <x:c r="C109" s="82" t="n">
        <x:v>7</x:v>
      </x:c>
      <x:c r="D109" s="82" t="n">
        <x:v>7</x:v>
      </x:c>
      <x:c r="E109" s="67" t="n">
        <x:v>-0.5</x:v>
      </x:c>
      <x:c r="F109" s="181" t="n">
        <x:v>0.42857142857142855</x:v>
      </x:c>
      <x:c r="G109" s="67" t="n">
        <x:v>-0.07142857142857142</x:v>
      </x:c>
      <x:c r="H109"/>
      <x:c r="I109" s="65" t="n">
        <x:v>64</x:v>
      </x:c>
      <x:c r="J109" s="65" t="str">
        <x:v>欧联杯</x:v>
      </x:c>
      <x:c r="K109" s="82" t="n">
        <x:v>2</x:v>
      </x:c>
      <x:c r="L109" s="82" t="n">
        <x:v>2</x:v>
      </x:c>
      <x:c r="M109" s="67" t="n">
        <x:v>0</x:v>
      </x:c>
      <x:c r="N109" s="181" t="n">
        <x:v>0.5</x:v>
      </x:c>
      <x:c r="O109" s="67" t="n">
        <x:v>0</x:v>
      </x:c>
    </x:row>
    <x:row r="110" ht="24" customHeight="1">
      <x:c r="A110" s="65" t="n">
        <x:v>65</x:v>
      </x:c>
      <x:c r="B110" s="65" t="str">
        <x:v>伊朗甲级联赛（Azadegan League）</x:v>
      </x:c>
      <x:c r="C110" s="82" t="n">
        <x:v>1</x:v>
      </x:c>
      <x:c r="D110" s="82" t="n">
        <x:v>1</x:v>
      </x:c>
      <x:c r="E110" s="67" t="n">
        <x:v>-0.5</x:v>
      </x:c>
      <x:c r="F110" s="181" t="n">
        <x:v>0</x:v>
      </x:c>
      <x:c r="G110" s="67" t="n">
        <x:v>-0.5</x:v>
      </x:c>
      <x:c r="H110"/>
      <x:c r="I110" s="65" t="n">
        <x:v>65</x:v>
      </x:c>
      <x:c r="J110" s="65" t="str">
        <x:v>澳大利亚新南威尔士州国家超级联赛（NPL NSW）</x:v>
      </x:c>
      <x:c r="K110" s="82" t="n">
        <x:v>4</x:v>
      </x:c>
      <x:c r="L110" s="82" t="n">
        <x:v>4</x:v>
      </x:c>
      <x:c r="M110" s="67" t="n">
        <x:v>0</x:v>
      </x:c>
      <x:c r="N110" s="181" t="n">
        <x:v>0.5</x:v>
      </x:c>
      <x:c r="O110" s="67" t="n">
        <x:v>0</x:v>
      </x:c>
    </x:row>
    <x:row r="111" ht="24" customHeight="1">
      <x:c r="A111" s="65" t="n">
        <x:v>66</x:v>
      </x:c>
      <x:c r="B111" s="65" t="str">
        <x:v>哥斯达黎加乙级联赛（Liga de Ascenso Clausura Playoffs）</x:v>
      </x:c>
      <x:c r="C111" s="82" t="n">
        <x:v>1</x:v>
      </x:c>
      <x:c r="D111" s="82" t="n">
        <x:v>1</x:v>
      </x:c>
      <x:c r="E111" s="67" t="n">
        <x:v>-0.5</x:v>
      </x:c>
      <x:c r="F111" s="181" t="n">
        <x:v>0</x:v>
      </x:c>
      <x:c r="G111" s="67" t="n">
        <x:v>-0.5</x:v>
      </x:c>
      <x:c r="H111"/>
      <x:c r="I111" s="65" t="n">
        <x:v>66</x:v>
      </x:c>
      <x:c r="J111" s="65" t="str">
        <x:v>澳大利亚杯（Australia Cup）</x:v>
      </x:c>
      <x:c r="K111" s="82" t="n">
        <x:v>2</x:v>
      </x:c>
      <x:c r="L111" s="82" t="n">
        <x:v>2</x:v>
      </x:c>
      <x:c r="M111" s="67" t="n">
        <x:v>0</x:v>
      </x:c>
      <x:c r="N111" s="181" t="n">
        <x:v>0.5</x:v>
      </x:c>
      <x:c r="O111" s="67" t="n">
        <x:v>0</x:v>
      </x:c>
    </x:row>
    <x:row r="112" ht="24" customHeight="1">
      <x:c r="A112" s="65" t="n">
        <x:v>67</x:v>
      </x:c>
      <x:c r="B112" s="65" t="str">
        <x:v>挪威杯（NM Cup）第4轮</x:v>
      </x:c>
      <x:c r="C112" s="82" t="n">
        <x:v>1</x:v>
      </x:c>
      <x:c r="D112" s="82" t="n">
        <x:v>1</x:v>
      </x:c>
      <x:c r="E112" s="67" t="n">
        <x:v>-0.5</x:v>
      </x:c>
      <x:c r="F112" s="181" t="n">
        <x:v>0</x:v>
      </x:c>
      <x:c r="G112" s="67" t="n">
        <x:v>-0.5</x:v>
      </x:c>
      <x:c r="H112"/>
      <x:c r="I112" s="65" t="n">
        <x:v>67</x:v>
      </x:c>
      <x:c r="J112" s="65" t="str">
        <x:v>荷兰甲级联赛（Eredivisie）</x:v>
      </x:c>
      <x:c r="K112" s="82" t="n">
        <x:v>2</x:v>
      </x:c>
      <x:c r="L112" s="82" t="n">
        <x:v>2</x:v>
      </x:c>
      <x:c r="M112" s="67" t="n">
        <x:v>0</x:v>
      </x:c>
      <x:c r="N112" s="181" t="n">
        <x:v>0.5</x:v>
      </x:c>
      <x:c r="O112" s="67" t="n">
        <x:v>0</x:v>
      </x:c>
    </x:row>
    <x:row r="113" ht="24" customHeight="1">
      <x:c r="A113" s="65" t="n">
        <x:v>68</x:v>
      </x:c>
      <x:c r="B113" s="65" t="str">
        <x:v>摩洛哥甲级联赛（Botola Pro）</x:v>
      </x:c>
      <x:c r="C113" s="82" t="n">
        <x:v>1</x:v>
      </x:c>
      <x:c r="D113" s="82" t="n">
        <x:v>1</x:v>
      </x:c>
      <x:c r="E113" s="67" t="n">
        <x:v>-0.5</x:v>
      </x:c>
      <x:c r="F113" s="181" t="n">
        <x:v>0</x:v>
      </x:c>
      <x:c r="G113" s="67" t="n">
        <x:v>-0.5</x:v>
      </x:c>
      <x:c r="H113"/>
      <x:c r="I113" s="65" t="n">
        <x:v>68</x:v>
      </x:c>
      <x:c r="J113" s="65" t="str">
        <x:v>越南国家杯（Cúp Quốc gia）</x:v>
      </x:c>
      <x:c r="K113" s="82" t="n">
        <x:v>2</x:v>
      </x:c>
      <x:c r="L113" s="82" t="n">
        <x:v>2</x:v>
      </x:c>
      <x:c r="M113" s="67" t="n">
        <x:v>0</x:v>
      </x:c>
      <x:c r="N113" s="181" t="n">
        <x:v>0.5</x:v>
      </x:c>
      <x:c r="O113" s="67" t="n">
        <x:v>0</x:v>
      </x:c>
    </x:row>
    <x:row r="114" ht="24" customHeight="1">
      <x:c r="A114" s="65" t="n">
        <x:v>69</x:v>
      </x:c>
      <x:c r="B114" s="65" t="str">
        <x:v>澳大利亚女足A联赛</x:v>
      </x:c>
      <x:c r="C114" s="82" t="n">
        <x:v>1</x:v>
      </x:c>
      <x:c r="D114" s="82" t="n">
        <x:v>1</x:v>
      </x:c>
      <x:c r="E114" s="67" t="n">
        <x:v>-0.5</x:v>
      </x:c>
      <x:c r="F114" s="181" t="n">
        <x:v>0</x:v>
      </x:c>
      <x:c r="G114" s="67" t="n">
        <x:v>-0.5</x:v>
      </x:c>
      <x:c r="H114"/>
      <x:c r="I114" s="65" t="n">
        <x:v>69</x:v>
      </x:c>
      <x:c r="J114" s="65" t="str">
        <x:v>哥斯达黎加甲（Primera Division）</x:v>
      </x:c>
      <x:c r="K114" s="82" t="n">
        <x:v>5</x:v>
      </x:c>
      <x:c r="L114" s="82" t="n">
        <x:v>5</x:v>
      </x:c>
      <x:c r="M114" s="67" t="n">
        <x:v>0</x:v>
      </x:c>
      <x:c r="N114" s="181" t="n">
        <x:v>0.4</x:v>
      </x:c>
      <x:c r="O114" s="67" t="n">
        <x:v>0</x:v>
      </x:c>
    </x:row>
    <x:row r="115" ht="24" customHeight="1">
      <x:c r="A115" s="65" t="n">
        <x:v>70</x:v>
      </x:c>
      <x:c r="B115" s="65" t="str">
        <x:v>澳大利亚新南威尔士州甲级联赛（NSW League One）</x:v>
      </x:c>
      <x:c r="C115" s="82" t="n">
        <x:v>1</x:v>
      </x:c>
      <x:c r="D115" s="82" t="n">
        <x:v>1</x:v>
      </x:c>
      <x:c r="E115" s="67" t="n">
        <x:v>-0.5</x:v>
      </x:c>
      <x:c r="F115" s="181" t="n">
        <x:v>0</x:v>
      </x:c>
      <x:c r="G115" s="67" t="n">
        <x:v>-0.5</x:v>
      </x:c>
      <x:c r="H115"/>
      <x:c r="I115" s="65" t="n">
        <x:v>70</x:v>
      </x:c>
      <x:c r="J115" s="65" t="str">
        <x:v>美国USL杯（USL Cup）</x:v>
      </x:c>
      <x:c r="K115" s="82" t="n">
        <x:v>1</x:v>
      </x:c>
      <x:c r="L115" s="82" t="n">
        <x:v>1</x:v>
      </x:c>
      <x:c r="M115" s="67" t="n">
        <x:v>0</x:v>
      </x:c>
      <x:c r="N115" s="181" t="n">
        <x:v>0</x:v>
      </x:c>
      <x:c r="O115" s="67" t="n">
        <x:v>0</x:v>
      </x:c>
    </x:row>
    <x:row r="116" ht="24" customHeight="1">
      <x:c r="A116" s="65" t="n">
        <x:v>71</x:v>
      </x:c>
      <x:c r="B116" s="65" t="str">
        <x:v>英格兰联赛杯</x:v>
      </x:c>
      <x:c r="C116" s="82" t="n">
        <x:v>1</x:v>
      </x:c>
      <x:c r="D116" s="82" t="n">
        <x:v>1</x:v>
      </x:c>
      <x:c r="E116" s="67" t="n">
        <x:v>-0.5</x:v>
      </x:c>
      <x:c r="F116" s="181" t="n">
        <x:v>0</x:v>
      </x:c>
      <x:c r="G116" s="67" t="n">
        <x:v>-0.5</x:v>
      </x:c>
      <x:c r="H116"/>
      <x:c r="I116" s="65" t="n">
        <x:v>71</x:v>
      </x:c>
      <x:c r="J116" s="65" t="str">
        <x:v>阿根廷杯</x:v>
      </x:c>
      <x:c r="K116" s="82" t="n">
        <x:v>1</x:v>
      </x:c>
      <x:c r="L116" s="82" t="n">
        <x:v>1</x:v>
      </x:c>
      <x:c r="M116" s="67" t="n">
        <x:v>0</x:v>
      </x:c>
      <x:c r="N116" s="181" t="n">
        <x:v>0</x:v>
      </x:c>
      <x:c r="O116" s="67" t="n">
        <x:v>0</x:v>
      </x:c>
    </x:row>
    <x:row r="117" ht="24" customHeight="1">
      <x:c r="A117" s="65" t="n">
        <x:v>72</x:v>
      </x:c>
      <x:c r="B117" s="65" t="str">
        <x:v>荷兰杯（KNVB Beker）</x:v>
      </x:c>
      <x:c r="C117" s="82" t="n">
        <x:v>1</x:v>
      </x:c>
      <x:c r="D117" s="82" t="n">
        <x:v>1</x:v>
      </x:c>
      <x:c r="E117" s="67" t="n">
        <x:v>-0.5</x:v>
      </x:c>
      <x:c r="F117" s="181" t="n">
        <x:v>0</x:v>
      </x:c>
      <x:c r="G117" s="67" t="n">
        <x:v>-0.5</x:v>
      </x:c>
      <x:c r="H117"/>
      <x:c r="I117" s="65" t="n">
        <x:v>72</x:v>
      </x:c>
      <x:c r="J117" s="65" t="str">
        <x:v>哥伦比亚乙级联赛（Primera B / Torneo BetPlay Apertura）</x:v>
      </x:c>
      <x:c r="K117" s="82" t="n">
        <x:v>8</x:v>
      </x:c>
      <x:c r="L117" s="82" t="n">
        <x:v>8</x:v>
      </x:c>
      <x:c r="M117" s="67" t="n">
        <x:v>-0.5</x:v>
      </x:c>
      <x:c r="N117" s="181" t="n">
        <x:v>0.5</x:v>
      </x:c>
      <x:c r="O117" s="67" t="n">
        <x:v>-0.0625</x:v>
      </x:c>
    </x:row>
    <x:row r="118" ht="24" customHeight="1">
      <x:c r="A118" s="65" t="n">
        <x:v>73</x:v>
      </x:c>
      <x:c r="B118" s="65" t="str">
        <x:v>莫里斯雷维洛锦标赛（Maurice Revello Tournament）</x:v>
      </x:c>
      <x:c r="C118" s="82" t="n">
        <x:v>1</x:v>
      </x:c>
      <x:c r="D118" s="82" t="n">
        <x:v>1</x:v>
      </x:c>
      <x:c r="E118" s="67" t="n">
        <x:v>-0.5</x:v>
      </x:c>
      <x:c r="F118" s="181" t="n">
        <x:v>0</x:v>
      </x:c>
      <x:c r="G118" s="67" t="n">
        <x:v>-0.5</x:v>
      </x:c>
      <x:c r="H118"/>
      <x:c r="I118" s="65" t="n">
        <x:v>73</x:v>
      </x:c>
      <x:c r="J118" s="65" t="str">
        <x:v>莫里斯·雷维洛锦标赛（土伦杯）</x:v>
      </x:c>
      <x:c r="K118" s="82" t="n">
        <x:v>2</x:v>
      </x:c>
      <x:c r="L118" s="82" t="n">
        <x:v>2</x:v>
      </x:c>
      <x:c r="M118" s="67" t="n">
        <x:v>-0.5</x:v>
      </x:c>
      <x:c r="N118" s="181" t="n">
        <x:v>0.5</x:v>
      </x:c>
      <x:c r="O118" s="67" t="n">
        <x:v>-0.25</x:v>
      </x:c>
    </x:row>
    <x:row r="119" ht="24" customHeight="1">
      <x:c r="A119" s="65" t="n">
        <x:v>74</x:v>
      </x:c>
      <x:c r="B119" s="65" t="str">
        <x:v>意大利甲级联赛（Serie A）</x:v>
      </x:c>
      <x:c r="C119" s="82" t="n">
        <x:v>68</x:v>
      </x:c>
      <x:c r="D119" s="82" t="n">
        <x:v>68</x:v>
      </x:c>
      <x:c r="E119" s="67" t="n">
        <x:v>-1</x:v>
      </x:c>
      <x:c r="F119" s="181" t="n">
        <x:v>0.47058823529411764</x:v>
      </x:c>
      <x:c r="G119" s="67" t="n">
        <x:v>-0.014705882352941176</x:v>
      </x:c>
      <x:c r="H119"/>
      <x:c r="I119" s="65" t="n">
        <x:v>74</x:v>
      </x:c>
      <x:c r="J119" s="65" t="str">
        <x:v>德国甲级联赛（德甲/Bundesliga）</x:v>
      </x:c>
      <x:c r="K119" s="82" t="n">
        <x:v>9</x:v>
      </x:c>
      <x:c r="L119" s="82" t="n">
        <x:v>9</x:v>
      </x:c>
      <x:c r="M119" s="67" t="n">
        <x:v>-0.5</x:v>
      </x:c>
      <x:c r="N119" s="181" t="n">
        <x:v>0.4444444444444444</x:v>
      </x:c>
      <x:c r="O119" s="67" t="n">
        <x:v>-0.05555555555555555</x:v>
      </x:c>
    </x:row>
    <x:row r="120" ht="24" customHeight="1">
      <x:c r="A120" s="65" t="n">
        <x:v>75</x:v>
      </x:c>
      <x:c r="B120" s="65" t="str">
        <x:v>苏格兰联赛杯（Scottish League Cup）</x:v>
      </x:c>
      <x:c r="C120" s="82" t="n">
        <x:v>13</x:v>
      </x:c>
      <x:c r="D120" s="82" t="n">
        <x:v>13</x:v>
      </x:c>
      <x:c r="E120" s="67" t="n">
        <x:v>-1</x:v>
      </x:c>
      <x:c r="F120" s="181" t="n">
        <x:v>0.46153846153846156</x:v>
      </x:c>
      <x:c r="G120" s="67" t="n">
        <x:v>-0.07692307692307693</x:v>
      </x:c>
      <x:c r="H120"/>
      <x:c r="I120" s="65" t="n">
        <x:v>75</x:v>
      </x:c>
      <x:c r="J120" s="65" t="str">
        <x:v>英格兰足总杯（FA Cup）</x:v>
      </x:c>
      <x:c r="K120" s="82" t="n">
        <x:v>3</x:v>
      </x:c>
      <x:c r="L120" s="82" t="n">
        <x:v>3</x:v>
      </x:c>
      <x:c r="M120" s="67" t="n">
        <x:v>-0.5</x:v>
      </x:c>
      <x:c r="N120" s="181" t="n">
        <x:v>0.3333333333333333</x:v>
      </x:c>
      <x:c r="O120" s="67" t="n">
        <x:v>-0.16666666666666666</x:v>
      </x:c>
    </x:row>
    <x:row r="121" ht="24" customHeight="1">
      <x:c r="A121" s="65" t="n">
        <x:v>76</x:v>
      </x:c>
      <x:c r="B121" s="65" t="str">
        <x:v>国际友谊赛</x:v>
      </x:c>
      <x:c r="C121" s="82" t="n">
        <x:v>28</x:v>
      </x:c>
      <x:c r="D121" s="82" t="n">
        <x:v>28</x:v>
      </x:c>
      <x:c r="E121" s="67" t="n">
        <x:v>-1</x:v>
      </x:c>
      <x:c r="F121" s="181" t="n">
        <x:v>0.42857142857142855</x:v>
      </x:c>
      <x:c r="G121" s="67" t="n">
        <x:v>-0.03571428571428571</x:v>
      </x:c>
      <x:c r="H121"/>
      <x:c r="I121" s="65" t="n">
        <x:v>76</x:v>
      </x:c>
      <x:c r="J121" s="65" t="str">
        <x:v>德国杯（DFB-Pokal）</x:v>
      </x:c>
      <x:c r="K121" s="82" t="n">
        <x:v>1</x:v>
      </x:c>
      <x:c r="L121" s="82" t="n">
        <x:v>1</x:v>
      </x:c>
      <x:c r="M121" s="67" t="n">
        <x:v>-0.5</x:v>
      </x:c>
      <x:c r="N121" s="181" t="n">
        <x:v>0</x:v>
      </x:c>
      <x:c r="O121" s="67" t="n">
        <x:v>-0.5</x:v>
      </x:c>
    </x:row>
    <x:row r="122" ht="24" customHeight="1">
      <x:c r="A122" s="65" t="n">
        <x:v>77</x:v>
      </x:c>
      <x:c r="B122" s="65" t="str">
        <x:v>亚冠精英</x:v>
      </x:c>
      <x:c r="C122" s="82" t="n">
        <x:v>19</x:v>
      </x:c>
      <x:c r="D122" s="82" t="n">
        <x:v>19</x:v>
      </x:c>
      <x:c r="E122" s="67" t="n">
        <x:v>-1</x:v>
      </x:c>
      <x:c r="F122" s="181" t="n">
        <x:v>0.42105263157894735</x:v>
      </x:c>
      <x:c r="G122" s="67" t="n">
        <x:v>-0.05263157894736842</x:v>
      </x:c>
      <x:c r="H122"/>
      <x:c r="I122" s="65" t="n">
        <x:v>77</x:v>
      </x:c>
      <x:c r="J122" s="65" t="str">
        <x:v>比利时杯（Belgian Cup）</x:v>
      </x:c>
      <x:c r="K122" s="82" t="n">
        <x:v>1</x:v>
      </x:c>
      <x:c r="L122" s="82" t="n">
        <x:v>1</x:v>
      </x:c>
      <x:c r="M122" s="67" t="n">
        <x:v>-0.5</x:v>
      </x:c>
      <x:c r="N122" s="181" t="n">
        <x:v>0</x:v>
      </x:c>
      <x:c r="O122" s="67" t="n">
        <x:v>-0.5</x:v>
      </x:c>
    </x:row>
    <x:row r="123" ht="24" customHeight="1">
      <x:c r="A123" s="65" t="n">
        <x:v>78</x:v>
      </x:c>
      <x:c r="B123" s="65" t="str">
        <x:v>洪都拉斯甲级联赛（Clausura）</x:v>
      </x:c>
      <x:c r="C123" s="82" t="n">
        <x:v>5</x:v>
      </x:c>
      <x:c r="D123" s="82" t="n">
        <x:v>5</x:v>
      </x:c>
      <x:c r="E123" s="67" t="n">
        <x:v>-1</x:v>
      </x:c>
      <x:c r="F123" s="181" t="n">
        <x:v>0.4</x:v>
      </x:c>
      <x:c r="G123" s="67" t="n">
        <x:v>-0.2</x:v>
      </x:c>
      <x:c r="H123"/>
      <x:c r="I123" s="65" t="n">
        <x:v>78</x:v>
      </x:c>
      <x:c r="J123" s="65" t="str">
        <x:v>蒙古超级联赛（争冠组）</x:v>
      </x:c>
      <x:c r="K123" s="82" t="n">
        <x:v>1</x:v>
      </x:c>
      <x:c r="L123" s="82" t="n">
        <x:v>1</x:v>
      </x:c>
      <x:c r="M123" s="67" t="n">
        <x:v>-0.5</x:v>
      </x:c>
      <x:c r="N123" s="181" t="n">
        <x:v>0</x:v>
      </x:c>
      <x:c r="O123" s="67" t="n">
        <x:v>-0.5</x:v>
      </x:c>
    </x:row>
    <x:row r="124" ht="24" customHeight="1">
      <x:c r="A124" s="65" t="n">
        <x:v>79</x:v>
      </x:c>
      <x:c r="B124" s="65" t="str">
        <x:v>埃及联赛杯（Egyptian League Cup）</x:v>
      </x:c>
      <x:c r="C124" s="82" t="n">
        <x:v>3</x:v>
      </x:c>
      <x:c r="D124" s="82" t="n">
        <x:v>3</x:v>
      </x:c>
      <x:c r="E124" s="67" t="n">
        <x:v>-1</x:v>
      </x:c>
      <x:c r="F124" s="181" t="n">
        <x:v>0.3333333333333333</x:v>
      </x:c>
      <x:c r="G124" s="67" t="n">
        <x:v>-0.3333333333333333</x:v>
      </x:c>
      <x:c r="H124"/>
      <x:c r="I124" s="65" t="n">
        <x:v>79</x:v>
      </x:c>
      <x:c r="J124" s="65" t="str">
        <x:v>苏格兰联赛杯（Scottish League Cup）</x:v>
      </x:c>
      <x:c r="K124" s="82" t="n">
        <x:v>13</x:v>
      </x:c>
      <x:c r="L124" s="82" t="n">
        <x:v>13</x:v>
      </x:c>
      <x:c r="M124" s="67" t="n">
        <x:v>-1</x:v>
      </x:c>
      <x:c r="N124" s="181" t="n">
        <x:v>0.46153846153846156</x:v>
      </x:c>
      <x:c r="O124" s="67" t="n">
        <x:v>-0.07692307692307693</x:v>
      </x:c>
    </x:row>
    <x:row r="125" ht="24" customHeight="1">
      <x:c r="A125" s="65" t="n">
        <x:v>80</x:v>
      </x:c>
      <x:c r="B125" s="65" t="str">
        <x:v>澳大利亚新南威尔士州超级联赛（NPL NSW）</x:v>
      </x:c>
      <x:c r="C125" s="82" t="n">
        <x:v>3</x:v>
      </x:c>
      <x:c r="D125" s="82" t="n">
        <x:v>3</x:v>
      </x:c>
      <x:c r="E125" s="67" t="n">
        <x:v>-1</x:v>
      </x:c>
      <x:c r="F125" s="181" t="n">
        <x:v>0.3333333333333333</x:v>
      </x:c>
      <x:c r="G125" s="67" t="n">
        <x:v>-0.3333333333333333</x:v>
      </x:c>
      <x:c r="H125"/>
      <x:c r="I125" s="65" t="n">
        <x:v>80</x:v>
      </x:c>
      <x:c r="J125" s="65" t="str">
        <x:v>挪威超级联赛（Eliteserien）</x:v>
      </x:c>
      <x:c r="K125" s="82" t="n">
        <x:v>3</x:v>
      </x:c>
      <x:c r="L125" s="82" t="n">
        <x:v>3</x:v>
      </x:c>
      <x:c r="M125" s="67" t="n">
        <x:v>-1</x:v>
      </x:c>
      <x:c r="N125" s="181" t="n">
        <x:v>0.3333333333333333</x:v>
      </x:c>
      <x:c r="O125" s="67" t="n">
        <x:v>-0.3333333333333333</x:v>
      </x:c>
    </x:row>
    <x:row r="126" ht="24" customHeight="1">
      <x:c r="A126" s="65" t="n">
        <x:v>81</x:v>
      </x:c>
      <x:c r="B126" s="65" t="str">
        <x:v>美国USL杯</x:v>
      </x:c>
      <x:c r="C126" s="82" t="n">
        <x:v>3</x:v>
      </x:c>
      <x:c r="D126" s="82" t="n">
        <x:v>3</x:v>
      </x:c>
      <x:c r="E126" s="67" t="n">
        <x:v>-1</x:v>
      </x:c>
      <x:c r="F126" s="181" t="n">
        <x:v>0.3333333333333333</x:v>
      </x:c>
      <x:c r="G126" s="67" t="n">
        <x:v>-0.3333333333333333</x:v>
      </x:c>
      <x:c r="H126"/>
      <x:c r="I126" s="65" t="n">
        <x:v>81</x:v>
      </x:c>
      <x:c r="J126" s="65" t="str">
        <x:v>欧洲协会联赛（UEFA Europa Conference League）</x:v>
      </x:c>
      <x:c r="K126" s="82" t="n">
        <x:v>5</x:v>
      </x:c>
      <x:c r="L126" s="82" t="n">
        <x:v>3</x:v>
      </x:c>
      <x:c r="M126" s="67" t="n">
        <x:v>-1</x:v>
      </x:c>
      <x:c r="N126" s="181" t="n">
        <x:v>0.3333333333333333</x:v>
      </x:c>
      <x:c r="O126" s="67" t="n">
        <x:v>-0.3333333333333333</x:v>
      </x:c>
    </x:row>
    <x:row r="127" ht="24" customHeight="1">
      <x:c r="A127" s="65" t="n">
        <x:v>82</x:v>
      </x:c>
      <x:c r="B127" s="65" t="str">
        <x:v>苏格兰超级联赛</x:v>
      </x:c>
      <x:c r="C127" s="82" t="n">
        <x:v>3</x:v>
      </x:c>
      <x:c r="D127" s="82" t="n">
        <x:v>3</x:v>
      </x:c>
      <x:c r="E127" s="67" t="n">
        <x:v>-1</x:v>
      </x:c>
      <x:c r="F127" s="181" t="n">
        <x:v>0.3333333333333333</x:v>
      </x:c>
      <x:c r="G127" s="67" t="n">
        <x:v>-0.3333333333333333</x:v>
      </x:c>
      <x:c r="H127"/>
      <x:c r="I127" s="65" t="n">
        <x:v>82</x:v>
      </x:c>
      <x:c r="J127" s="65" t="str">
        <x:v>中国足球甲级联赛</x:v>
      </x:c>
      <x:c r="K127" s="82" t="n">
        <x:v>1</x:v>
      </x:c>
      <x:c r="L127" s="82" t="n">
        <x:v>1</x:v>
      </x:c>
      <x:c r="M127" s="67" t="n">
        <x:v>-1</x:v>
      </x:c>
      <x:c r="N127" s="181" t="n">
        <x:v>0</x:v>
      </x:c>
      <x:c r="O127" s="67" t="n">
        <x:v>-1</x:v>
      </x:c>
    </x:row>
    <x:row r="128" ht="24" customHeight="1">
      <x:c r="A128" s="65" t="n">
        <x:v>83</x:v>
      </x:c>
      <x:c r="B128" s="65" t="str">
        <x:v>FIFA系列赛（澳大利亚赛区）</x:v>
      </x:c>
      <x:c r="C128" s="82" t="n">
        <x:v>1</x:v>
      </x:c>
      <x:c r="D128" s="82" t="n">
        <x:v>1</x:v>
      </x:c>
      <x:c r="E128" s="67" t="n">
        <x:v>-1</x:v>
      </x:c>
      <x:c r="F128" s="181" t="n">
        <x:v>0</x:v>
      </x:c>
      <x:c r="G128" s="67" t="n">
        <x:v>-1</x:v>
      </x:c>
      <x:c r="H128"/>
      <x:c r="I128" s="65" t="n">
        <x:v>83</x:v>
      </x:c>
      <x:c r="J128" s="65" t="str">
        <x:v>亚洲杯预选赛第三轮</x:v>
      </x:c>
      <x:c r="K128" s="82" t="n">
        <x:v>1</x:v>
      </x:c>
      <x:c r="L128" s="82" t="n">
        <x:v>1</x:v>
      </x:c>
      <x:c r="M128" s="67" t="n">
        <x:v>-1</x:v>
      </x:c>
      <x:c r="N128" s="181" t="n">
        <x:v>0</x:v>
      </x:c>
      <x:c r="O128" s="67" t="n">
        <x:v>-1</x:v>
      </x:c>
    </x:row>
    <x:row r="129" ht="24" customHeight="1">
      <x:c r="A129" s="65" t="n">
        <x:v>84</x:v>
      </x:c>
      <x:c r="B129" s="65" t="str">
        <x:v>U21国际友谊赛</x:v>
      </x:c>
      <x:c r="C129" s="82" t="n">
        <x:v>1</x:v>
      </x:c>
      <x:c r="D129" s="82" t="n">
        <x:v>1</x:v>
      </x:c>
      <x:c r="E129" s="67" t="n">
        <x:v>-1</x:v>
      </x:c>
      <x:c r="F129" s="181" t="n">
        <x:v>0</x:v>
      </x:c>
      <x:c r="G129" s="67" t="n">
        <x:v>-1</x:v>
      </x:c>
      <x:c r="H129"/>
      <x:c r="I129" s="65" t="n">
        <x:v>84</x:v>
      </x:c>
      <x:c r="J129" s="65" t="str">
        <x:v>土伦杯（Maurice Revello Tournament）</x:v>
      </x:c>
      <x:c r="K129" s="82" t="n">
        <x:v>1</x:v>
      </x:c>
      <x:c r="L129" s="82" t="n">
        <x:v>1</x:v>
      </x:c>
      <x:c r="M129" s="67" t="n">
        <x:v>-1</x:v>
      </x:c>
      <x:c r="N129" s="181" t="n">
        <x:v>0</x:v>
      </x:c>
      <x:c r="O129" s="67" t="n">
        <x:v>-1</x:v>
      </x:c>
    </x:row>
    <x:row r="130" ht="24" customHeight="1">
      <x:c r="A130" s="65" t="n">
        <x:v>85</x:v>
      </x:c>
      <x:c r="B130" s="65" t="str">
        <x:v>亚洲杯预选赛第三轮</x:v>
      </x:c>
      <x:c r="C130" s="82" t="n">
        <x:v>1</x:v>
      </x:c>
      <x:c r="D130" s="82" t="n">
        <x:v>1</x:v>
      </x:c>
      <x:c r="E130" s="67" t="n">
        <x:v>-1</x:v>
      </x:c>
      <x:c r="F130" s="181" t="n">
        <x:v>0</x:v>
      </x:c>
      <x:c r="G130" s="67" t="n">
        <x:v>-1</x:v>
      </x:c>
      <x:c r="H130"/>
      <x:c r="I130" s="65" t="n">
        <x:v>85</x:v>
      </x:c>
      <x:c r="J130" s="65" t="str">
        <x:v>巴西杯（Copa do Brasil）</x:v>
      </x:c>
      <x:c r="K130" s="82" t="n">
        <x:v>1</x:v>
      </x:c>
      <x:c r="L130" s="82" t="n">
        <x:v>1</x:v>
      </x:c>
      <x:c r="M130" s="67" t="n">
        <x:v>-1</x:v>
      </x:c>
      <x:c r="N130" s="181" t="n">
        <x:v>0</x:v>
      </x:c>
      <x:c r="O130" s="67" t="n">
        <x:v>-1</x:v>
      </x:c>
    </x:row>
    <x:row r="131" ht="24" customHeight="1">
      <x:c r="A131" s="65" t="n">
        <x:v>86</x:v>
      </x:c>
      <x:c r="B131" s="65" t="str">
        <x:v>危地马拉甲级联赛（Liga Guate Banrural，Clausura）</x:v>
      </x:c>
      <x:c r="C131" s="82" t="n">
        <x:v>1</x:v>
      </x:c>
      <x:c r="D131" s="82" t="n">
        <x:v>1</x:v>
      </x:c>
      <x:c r="E131" s="67" t="n">
        <x:v>-1</x:v>
      </x:c>
      <x:c r="F131" s="181" t="n">
        <x:v>0</x:v>
      </x:c>
      <x:c r="G131" s="67" t="n">
        <x:v>-1</x:v>
      </x:c>
      <x:c r="H131"/>
      <x:c r="I131" s="65" t="n">
        <x:v>86</x:v>
      </x:c>
      <x:c r="J131" s="65" t="str">
        <x:v>意大利杯（Coppa Italia）</x:v>
      </x:c>
      <x:c r="K131" s="82" t="n">
        <x:v>1</x:v>
      </x:c>
      <x:c r="L131" s="82" t="n">
        <x:v>1</x:v>
      </x:c>
      <x:c r="M131" s="67" t="n">
        <x:v>-1</x:v>
      </x:c>
      <x:c r="N131" s="181" t="n">
        <x:v>0</x:v>
      </x:c>
      <x:c r="O131" s="67" t="n">
        <x:v>-1</x:v>
      </x:c>
    </x:row>
    <x:row r="132" ht="24" customHeight="1">
      <x:c r="A132" s="65" t="n">
        <x:v>87</x:v>
      </x:c>
      <x:c r="B132" s="65" t="str">
        <x:v>日本JFL杯</x:v>
      </x:c>
      <x:c r="C132" s="82" t="n">
        <x:v>1</x:v>
      </x:c>
      <x:c r="D132" s="82" t="n">
        <x:v>1</x:v>
      </x:c>
      <x:c r="E132" s="67" t="n">
        <x:v>-1</x:v>
      </x:c>
      <x:c r="F132" s="181" t="n">
        <x:v>0</x:v>
      </x:c>
      <x:c r="G132" s="67" t="n">
        <x:v>-1</x:v>
      </x:c>
      <x:c r="H132"/>
      <x:c r="I132" s="65" t="n">
        <x:v>87</x:v>
      </x:c>
      <x:c r="J132" s="65" t="str">
        <x:v>挪威杯（NM Cup）第4轮</x:v>
      </x:c>
      <x:c r="K132" s="82" t="n">
        <x:v>1</x:v>
      </x:c>
      <x:c r="L132" s="82" t="n">
        <x:v>1</x:v>
      </x:c>
      <x:c r="M132" s="67" t="n">
        <x:v>-1</x:v>
      </x:c>
      <x:c r="N132" s="181" t="n">
        <x:v>0</x:v>
      </x:c>
      <x:c r="O132" s="67" t="n">
        <x:v>-1</x:v>
      </x:c>
    </x:row>
    <x:row r="133" ht="24" customHeight="1">
      <x:c r="A133" s="65" t="n">
        <x:v>88</x:v>
      </x:c>
      <x:c r="B133" s="65" t="str">
        <x:v>欧协联</x:v>
      </x:c>
      <x:c r="C133" s="82" t="n">
        <x:v>1</x:v>
      </x:c>
      <x:c r="D133" s="82" t="n">
        <x:v>1</x:v>
      </x:c>
      <x:c r="E133" s="67" t="n">
        <x:v>-1</x:v>
      </x:c>
      <x:c r="F133" s="181" t="n">
        <x:v>0</x:v>
      </x:c>
      <x:c r="G133" s="67" t="n">
        <x:v>-1</x:v>
      </x:c>
      <x:c r="H133"/>
      <x:c r="I133" s="65" t="n">
        <x:v>88</x:v>
      </x:c>
      <x:c r="J133" s="65" t="str">
        <x:v>日本JFL杯</x:v>
      </x:c>
      <x:c r="K133" s="82" t="n">
        <x:v>1</x:v>
      </x:c>
      <x:c r="L133" s="82" t="n">
        <x:v>1</x:v>
      </x:c>
      <x:c r="M133" s="67" t="n">
        <x:v>-1</x:v>
      </x:c>
      <x:c r="N133" s="181" t="n">
        <x:v>0</x:v>
      </x:c>
      <x:c r="O133" s="67" t="n">
        <x:v>-1</x:v>
      </x:c>
    </x:row>
    <x:row r="134" ht="24" customHeight="1">
      <x:c r="A134" s="65" t="n">
        <x:v>89</x:v>
      </x:c>
      <x:c r="B134" s="65" t="str">
        <x:v>欧洲U17足球锦标赛</x:v>
      </x:c>
      <x:c r="C134" s="82" t="n">
        <x:v>1</x:v>
      </x:c>
      <x:c r="D134" s="82" t="n">
        <x:v>1</x:v>
      </x:c>
      <x:c r="E134" s="67" t="n">
        <x:v>-1</x:v>
      </x:c>
      <x:c r="F134" s="181" t="n">
        <x:v>0</x:v>
      </x:c>
      <x:c r="G134" s="67" t="n">
        <x:v>-1</x:v>
      </x:c>
      <x:c r="H134"/>
      <x:c r="I134" s="65" t="n">
        <x:v>89</x:v>
      </x:c>
      <x:c r="J134" s="65" t="str">
        <x:v>澳大利亚多克蒂杯（Dockerty Cup）</x:v>
      </x:c>
      <x:c r="K134" s="82" t="n">
        <x:v>1</x:v>
      </x:c>
      <x:c r="L134" s="82" t="n">
        <x:v>1</x:v>
      </x:c>
      <x:c r="M134" s="67" t="n">
        <x:v>-1</x:v>
      </x:c>
      <x:c r="N134" s="181" t="n">
        <x:v>0</x:v>
      </x:c>
      <x:c r="O134" s="67" t="n">
        <x:v>-1</x:v>
      </x:c>
    </x:row>
    <x:row r="135" ht="24" customHeight="1">
      <x:c r="A135" s="65" t="n">
        <x:v>90</x:v>
      </x:c>
      <x:c r="B135" s="65" t="str">
        <x:v>欧洲足联欧罗巴联赛（UEFA Europa League）</x:v>
      </x:c>
      <x:c r="C135" s="82" t="n">
        <x:v>1</x:v>
      </x:c>
      <x:c r="D135" s="82" t="n">
        <x:v>1</x:v>
      </x:c>
      <x:c r="E135" s="67" t="n">
        <x:v>-1</x:v>
      </x:c>
      <x:c r="F135" s="181" t="n">
        <x:v>0</x:v>
      </x:c>
      <x:c r="G135" s="67" t="n">
        <x:v>-1</x:v>
      </x:c>
      <x:c r="H135"/>
      <x:c r="I135" s="65" t="n">
        <x:v>90</x:v>
      </x:c>
      <x:c r="J135" s="65" t="str">
        <x:v>澳大利亚女足A联赛</x:v>
      </x:c>
      <x:c r="K135" s="82" t="n">
        <x:v>1</x:v>
      </x:c>
      <x:c r="L135" s="82" t="n">
        <x:v>1</x:v>
      </x:c>
      <x:c r="M135" s="67" t="n">
        <x:v>-1</x:v>
      </x:c>
      <x:c r="N135" s="181" t="n">
        <x:v>0</x:v>
      </x:c>
      <x:c r="O135" s="67" t="n">
        <x:v>-1</x:v>
      </x:c>
    </x:row>
    <x:row r="136" ht="24" customHeight="1">
      <x:c r="A136" s="65" t="n">
        <x:v>91</x:v>
      </x:c>
      <x:c r="B136" s="65" t="str">
        <x:v>比利时杯（Belgian Cup）</x:v>
      </x:c>
      <x:c r="C136" s="82" t="n">
        <x:v>1</x:v>
      </x:c>
      <x:c r="D136" s="82" t="n">
        <x:v>1</x:v>
      </x:c>
      <x:c r="E136" s="67" t="n">
        <x:v>-1</x:v>
      </x:c>
      <x:c r="F136" s="181" t="n">
        <x:v>0</x:v>
      </x:c>
      <x:c r="G136" s="67" t="n">
        <x:v>-1</x:v>
      </x:c>
      <x:c r="H136"/>
      <x:c r="I136" s="65" t="n">
        <x:v>91</x:v>
      </x:c>
      <x:c r="J136" s="65" t="str">
        <x:v>约旦联赛</x:v>
      </x:c>
      <x:c r="K136" s="82" t="n">
        <x:v>1</x:v>
      </x:c>
      <x:c r="L136" s="82" t="n">
        <x:v>1</x:v>
      </x:c>
      <x:c r="M136" s="67" t="n">
        <x:v>-1</x:v>
      </x:c>
      <x:c r="N136" s="181" t="n">
        <x:v>0</x:v>
      </x:c>
      <x:c r="O136" s="67" t="n">
        <x:v>-1</x:v>
      </x:c>
    </x:row>
    <x:row r="137" ht="24" customHeight="1">
      <x:c r="A137" s="65" t="n">
        <x:v>92</x:v>
      </x:c>
      <x:c r="B137" s="65" t="str">
        <x:v>澳大利亚多克蒂杯（Dockerty Cup）</x:v>
      </x:c>
      <x:c r="C137" s="82" t="n">
        <x:v>1</x:v>
      </x:c>
      <x:c r="D137" s="82" t="n">
        <x:v>1</x:v>
      </x:c>
      <x:c r="E137" s="67" t="n">
        <x:v>-1</x:v>
      </x:c>
      <x:c r="F137" s="181" t="n">
        <x:v>0</x:v>
      </x:c>
      <x:c r="G137" s="67" t="n">
        <x:v>-1</x:v>
      </x:c>
      <x:c r="H137"/>
      <x:c r="I137" s="65" t="n">
        <x:v>92</x:v>
      </x:c>
      <x:c r="J137" s="65" t="str">
        <x:v>美国USL甲级联赛（USL League One）</x:v>
      </x:c>
      <x:c r="K137" s="82" t="n">
        <x:v>4</x:v>
      </x:c>
      <x:c r="L137" s="82" t="n">
        <x:v>1</x:v>
      </x:c>
      <x:c r="M137" s="67" t="n">
        <x:v>-1</x:v>
      </x:c>
      <x:c r="N137" s="181" t="n">
        <x:v>0</x:v>
      </x:c>
      <x:c r="O137" s="67" t="n">
        <x:v>-1</x:v>
      </x:c>
    </x:row>
    <x:row r="138" ht="24" customHeight="1">
      <x:c r="A138" s="65" t="n">
        <x:v>93</x:v>
      </x:c>
      <x:c r="B138" s="65" t="str">
        <x:v>澳大利亚昆士兰州超级联赛1（QPL1）</x:v>
      </x:c>
      <x:c r="C138" s="82" t="n">
        <x:v>1</x:v>
      </x:c>
      <x:c r="D138" s="82" t="n">
        <x:v>1</x:v>
      </x:c>
      <x:c r="E138" s="67" t="n">
        <x:v>-1</x:v>
      </x:c>
      <x:c r="F138" s="181" t="n">
        <x:v>0</x:v>
      </x:c>
      <x:c r="G138" s="67" t="n">
        <x:v>-1</x:v>
      </x:c>
      <x:c r="H138"/>
      <x:c r="I138" s="65" t="n">
        <x:v>93</x:v>
      </x:c>
      <x:c r="J138" s="65" t="str">
        <x:v>美国公开杯（Lamar Hunt U.S. Open Cup）</x:v>
      </x:c>
      <x:c r="K138" s="82" t="n">
        <x:v>1</x:v>
      </x:c>
      <x:c r="L138" s="82" t="n">
        <x:v>1</x:v>
      </x:c>
      <x:c r="M138" s="67" t="n">
        <x:v>-1</x:v>
      </x:c>
      <x:c r="N138" s="181" t="n">
        <x:v>0</x:v>
      </x:c>
      <x:c r="O138" s="67" t="n">
        <x:v>-1</x:v>
      </x:c>
    </x:row>
    <x:row r="139" ht="24" customHeight="1">
      <x:c r="A139" s="65" t="n">
        <x:v>94</x:v>
      </x:c>
      <x:c r="B139" s="65" t="str">
        <x:v>澳大利亚维多利亚州女子国家超级联赛（NPL Victoria Women）</x:v>
      </x:c>
      <x:c r="C139" s="82" t="n">
        <x:v>1</x:v>
      </x:c>
      <x:c r="D139" s="82" t="n">
        <x:v>1</x:v>
      </x:c>
      <x:c r="E139" s="67" t="n">
        <x:v>-1</x:v>
      </x:c>
      <x:c r="F139" s="181" t="n">
        <x:v>0</x:v>
      </x:c>
      <x:c r="G139" s="67" t="n">
        <x:v>-1</x:v>
      </x:c>
      <x:c r="H139"/>
      <x:c r="I139" s="65" t="n">
        <x:v>94</x:v>
      </x:c>
      <x:c r="J139" s="65" t="str">
        <x:v>荷兰杯（KNVB Beker）</x:v>
      </x:c>
      <x:c r="K139" s="82" t="n">
        <x:v>1</x:v>
      </x:c>
      <x:c r="L139" s="82" t="n">
        <x:v>1</x:v>
      </x:c>
      <x:c r="M139" s="67" t="n">
        <x:v>-1</x:v>
      </x:c>
      <x:c r="N139" s="181" t="n">
        <x:v>0</x:v>
      </x:c>
      <x:c r="O139" s="67" t="n">
        <x:v>-1</x:v>
      </x:c>
    </x:row>
    <x:row r="140" ht="24" customHeight="1">
      <x:c r="A140" s="65" t="n">
        <x:v>95</x:v>
      </x:c>
      <x:c r="B140" s="65" t="str">
        <x:v>瑞典杯（Svenska Cupen）</x:v>
      </x:c>
      <x:c r="C140" s="82" t="n">
        <x:v>1</x:v>
      </x:c>
      <x:c r="D140" s="82" t="n">
        <x:v>1</x:v>
      </x:c>
      <x:c r="E140" s="67" t="n">
        <x:v>-1</x:v>
      </x:c>
      <x:c r="F140" s="181" t="n">
        <x:v>0</x:v>
      </x:c>
      <x:c r="G140" s="67" t="n">
        <x:v>-1</x:v>
      </x:c>
      <x:c r="H140"/>
      <x:c r="I140" s="65" t="n">
        <x:v>95</x:v>
      </x:c>
      <x:c r="J140" s="65" t="str">
        <x:v>莫里斯雷维洛锦标赛（Maurice Revello Tournament）</x:v>
      </x:c>
      <x:c r="K140" s="82" t="n">
        <x:v>1</x:v>
      </x:c>
      <x:c r="L140" s="82" t="n">
        <x:v>1</x:v>
      </x:c>
      <x:c r="M140" s="67" t="n">
        <x:v>-1</x:v>
      </x:c>
      <x:c r="N140" s="181" t="n">
        <x:v>0</x:v>
      </x:c>
      <x:c r="O140" s="67" t="n">
        <x:v>-1</x:v>
      </x:c>
    </x:row>
    <x:row r="141" ht="24" customHeight="1">
      <x:c r="A141" s="65" t="n">
        <x:v>96</x:v>
      </x:c>
      <x:c r="B141" s="65" t="str">
        <x:v>瑞典超级联赛（Allsvenskan）</x:v>
      </x:c>
      <x:c r="C141" s="82" t="n">
        <x:v>1</x:v>
      </x:c>
      <x:c r="D141" s="82" t="n">
        <x:v>1</x:v>
      </x:c>
      <x:c r="E141" s="67" t="n">
        <x:v>-1</x:v>
      </x:c>
      <x:c r="F141" s="181" t="n">
        <x:v>0</x:v>
      </x:c>
      <x:c r="G141" s="67" t="n">
        <x:v>-1</x:v>
      </x:c>
      <x:c r="H141"/>
      <x:c r="I141" s="65" t="n">
        <x:v>96</x:v>
      </x:c>
      <x:c r="J141" s="65" t="str">
        <x:v>西班牙乙级联赛</x:v>
      </x:c>
      <x:c r="K141" s="82" t="n">
        <x:v>1</x:v>
      </x:c>
      <x:c r="L141" s="82" t="n">
        <x:v>1</x:v>
      </x:c>
      <x:c r="M141" s="67" t="n">
        <x:v>-1</x:v>
      </x:c>
      <x:c r="N141" s="181" t="n">
        <x:v>0</x:v>
      </x:c>
      <x:c r="O141" s="67" t="n">
        <x:v>-1</x:v>
      </x:c>
    </x:row>
    <x:row r="142" ht="24" customHeight="1">
      <x:c r="A142" s="65" t="n">
        <x:v>97</x:v>
      </x:c>
      <x:c r="B142" s="65" t="str">
        <x:v>美国USL甲级联赛（USL League One）</x:v>
      </x:c>
      <x:c r="C142" s="82" t="n">
        <x:v>4</x:v>
      </x:c>
      <x:c r="D142" s="82" t="n">
        <x:v>1</x:v>
      </x:c>
      <x:c r="E142" s="67" t="n">
        <x:v>-1</x:v>
      </x:c>
      <x:c r="F142" s="181" t="n">
        <x:v>0</x:v>
      </x:c>
      <x:c r="G142" s="67" t="n">
        <x:v>-1</x:v>
      </x:c>
      <x:c r="H142"/>
      <x:c r="I142" s="65" t="n">
        <x:v>97</x:v>
      </x:c>
      <x:c r="J142" s="65" t="str">
        <x:v>韩国K3/K4锦标赛</x:v>
      </x:c>
      <x:c r="K142" s="82" t="n">
        <x:v>1</x:v>
      </x:c>
      <x:c r="L142" s="82" t="n">
        <x:v>1</x:v>
      </x:c>
      <x:c r="M142" s="67" t="n">
        <x:v>-1</x:v>
      </x:c>
      <x:c r="N142" s="181" t="n">
        <x:v>0</x:v>
      </x:c>
      <x:c r="O142" s="67" t="n">
        <x:v>-1</x:v>
      </x:c>
    </x:row>
    <x:row r="143" ht="24" customHeight="1">
      <x:c r="A143" s="65" t="n">
        <x:v>98</x:v>
      </x:c>
      <x:c r="B143" s="65" t="str">
        <x:v>阿根廷杯</x:v>
      </x:c>
      <x:c r="C143" s="82" t="n">
        <x:v>1</x:v>
      </x:c>
      <x:c r="D143" s="82" t="n">
        <x:v>1</x:v>
      </x:c>
      <x:c r="E143" s="67" t="n">
        <x:v>-1</x:v>
      </x:c>
      <x:c r="F143" s="181" t="n">
        <x:v>0</x:v>
      </x:c>
      <x:c r="G143" s="67" t="n">
        <x:v>-1</x:v>
      </x:c>
      <x:c r="H143"/>
      <x:c r="I143" s="65" t="n">
        <x:v>98</x:v>
      </x:c>
      <x:c r="J143" s="65" t="str">
        <x:v>墨西哥女子甲级联赛</x:v>
      </x:c>
      <x:c r="K143" s="82" t="n">
        <x:v>1</x:v>
      </x:c>
      <x:c r="L143" s="82" t="n">
        <x:v>1</x:v>
      </x:c>
      <x:c r="M143" s="67" t="n">
        <x:v>-1</x:v>
      </x:c>
      <x:c r="N143" s="181" t="n">
        <x:v>0</x:v>
      </x:c>
      <x:c r="O143" s="67" t="n">
        <x:v>-1</x:v>
      </x:c>
    </x:row>
    <x:row r="144" ht="24" customHeight="1">
      <x:c r="A144" s="65" t="n">
        <x:v>99</x:v>
      </x:c>
      <x:c r="B144" s="65" t="str">
        <x:v>阿根廷杯（Copa Argentina）</x:v>
      </x:c>
      <x:c r="C144" s="82" t="n">
        <x:v>1</x:v>
      </x:c>
      <x:c r="D144" s="82" t="n">
        <x:v>1</x:v>
      </x:c>
      <x:c r="E144" s="67" t="n">
        <x:v>-1</x:v>
      </x:c>
      <x:c r="F144" s="181" t="n">
        <x:v>0</x:v>
      </x:c>
      <x:c r="G144" s="67" t="n">
        <x:v>-1</x:v>
      </x:c>
      <x:c r="H144"/>
      <x:c r="I144" s="65" t="n">
        <x:v>99</x:v>
      </x:c>
      <x:c r="J144" s="65" t="str">
        <x:v>沙特职业联赛（Saudi Pro League）</x:v>
      </x:c>
      <x:c r="K144" s="82" t="n">
        <x:v>8</x:v>
      </x:c>
      <x:c r="L144" s="82" t="n">
        <x:v>8</x:v>
      </x:c>
      <x:c r="M144" s="67" t="n">
        <x:v>-1.5</x:v>
      </x:c>
      <x:c r="N144" s="181" t="n">
        <x:v>0.375</x:v>
      </x:c>
      <x:c r="O144" s="67" t="n">
        <x:v>-0.1875</x:v>
      </x:c>
    </x:row>
    <x:row r="145" ht="24" customHeight="1">
      <x:c r="A145" s="65" t="n">
        <x:v>100</x:v>
      </x:c>
      <x:c r="B145" s="65" t="str">
        <x:v>韩国K3/K4锦标赛</x:v>
      </x:c>
      <x:c r="C145" s="82" t="n">
        <x:v>1</x:v>
      </x:c>
      <x:c r="D145" s="82" t="n">
        <x:v>1</x:v>
      </x:c>
      <x:c r="E145" s="67" t="n">
        <x:v>-1</x:v>
      </x:c>
      <x:c r="F145" s="181" t="n">
        <x:v>0</x:v>
      </x:c>
      <x:c r="G145" s="67" t="n">
        <x:v>-1</x:v>
      </x:c>
      <x:c r="H145"/>
      <x:c r="I145" s="65" t="n">
        <x:v>100</x:v>
      </x:c>
      <x:c r="J145" s="65" t="str">
        <x:v>卡塔尔星联赛（Stars League）</x:v>
      </x:c>
      <x:c r="K145" s="82" t="n">
        <x:v>3</x:v>
      </x:c>
      <x:c r="L145" s="82" t="n">
        <x:v>3</x:v>
      </x:c>
      <x:c r="M145" s="67" t="n">
        <x:v>-1.5</x:v>
      </x:c>
      <x:c r="N145" s="181" t="n">
        <x:v>0.3333333333333333</x:v>
      </x:c>
      <x:c r="O145" s="67" t="n">
        <x:v>-0.5</x:v>
      </x:c>
    </x:row>
    <x:row r="146" ht="24" customHeight="1">
      <x:c r="A146" s="65" t="n">
        <x:v>101</x:v>
      </x:c>
      <x:c r="B146" s="65" t="str">
        <x:v>墨西哥女子甲级联赛</x:v>
      </x:c>
      <x:c r="C146" s="82" t="n">
        <x:v>1</x:v>
      </x:c>
      <x:c r="D146" s="82" t="n">
        <x:v>1</x:v>
      </x:c>
      <x:c r="E146" s="67" t="n">
        <x:v>-1</x:v>
      </x:c>
      <x:c r="F146" s="181" t="n">
        <x:v>0</x:v>
      </x:c>
      <x:c r="G146" s="67" t="n">
        <x:v>-1</x:v>
      </x:c>
      <x:c r="H146"/>
      <x:c r="I146" s="65" t="n">
        <x:v>101</x:v>
      </x:c>
      <x:c r="J146" s="65" t="str">
        <x:v>澳大利亚昆士兰州国家超级联赛（NPL Queensland）</x:v>
      </x:c>
      <x:c r="K146" s="82" t="n">
        <x:v>2</x:v>
      </x:c>
      <x:c r="L146" s="82" t="n">
        <x:v>2</x:v>
      </x:c>
      <x:c r="M146" s="67" t="n">
        <x:v>-1.5</x:v>
      </x:c>
      <x:c r="N146" s="181" t="n">
        <x:v>0</x:v>
      </x:c>
      <x:c r="O146" s="67" t="n">
        <x:v>-0.75</x:v>
      </x:c>
    </x:row>
    <x:row r="147" ht="24" customHeight="1">
      <x:c r="A147" s="65" t="n">
        <x:v>102</x:v>
      </x:c>
      <x:c r="B147" s="65" t="str">
        <x:v>埃及超级联赛（Egyptian Premier League）</x:v>
      </x:c>
      <x:c r="C147" s="82" t="n">
        <x:v>9</x:v>
      </x:c>
      <x:c r="D147" s="82" t="n">
        <x:v>9</x:v>
      </x:c>
      <x:c r="E147" s="67" t="n">
        <x:v>-1.5</x:v>
      </x:c>
      <x:c r="F147" s="181" t="n">
        <x:v>0.3333333333333333</x:v>
      </x:c>
      <x:c r="G147" s="67" t="n">
        <x:v>-0.16666666666666666</x:v>
      </x:c>
      <x:c r="H147"/>
      <x:c r="I147" s="65" t="n">
        <x:v>102</x:v>
      </x:c>
      <x:c r="J147" s="65" t="str">
        <x:v>葡萄牙超级联赛（Liga Portugal Betclic）</x:v>
      </x:c>
      <x:c r="K147" s="82" t="n">
        <x:v>3</x:v>
      </x:c>
      <x:c r="L147" s="82" t="n">
        <x:v>3</x:v>
      </x:c>
      <x:c r="M147" s="67" t="n">
        <x:v>-1.5</x:v>
      </x:c>
      <x:c r="N147" s="181" t="n">
        <x:v>0</x:v>
      </x:c>
      <x:c r="O147" s="67" t="n">
        <x:v>-0.5</x:v>
      </x:c>
    </x:row>
    <x:row r="148" ht="24" customHeight="1">
      <x:c r="A148" s="65" t="n">
        <x:v>103</x:v>
      </x:c>
      <x:c r="B148" s="65" t="str">
        <x:v>瑞典超级甲级联赛（Superettan）</x:v>
      </x:c>
      <x:c r="C148" s="82" t="n">
        <x:v>3</x:v>
      </x:c>
      <x:c r="D148" s="82" t="n">
        <x:v>3</x:v>
      </x:c>
      <x:c r="E148" s="67" t="n">
        <x:v>-1.5</x:v>
      </x:c>
      <x:c r="F148" s="181" t="n">
        <x:v>0.3333333333333333</x:v>
      </x:c>
      <x:c r="G148" s="67" t="n">
        <x:v>-0.5</x:v>
      </x:c>
      <x:c r="H148"/>
      <x:c r="I148" s="65" t="n">
        <x:v>103</x:v>
      </x:c>
      <x:c r="J148" s="65" t="str">
        <x:v>印度尼西亚超级联赛（印尼超/Liga 1 Indonesia）</x:v>
      </x:c>
      <x:c r="K148" s="82" t="n">
        <x:v>121</x:v>
      </x:c>
      <x:c r="L148" s="82" t="n">
        <x:v>121</x:v>
      </x:c>
      <x:c r="M148" s="67" t="n">
        <x:v>-2</x:v>
      </x:c>
      <x:c r="N148" s="181" t="n">
        <x:v>0.47107438016528924</x:v>
      </x:c>
      <x:c r="O148" s="67" t="n">
        <x:v>-0.01652892561983471</x:v>
      </x:c>
    </x:row>
    <x:row r="149" ht="24" customHeight="1">
      <x:c r="A149" s="65" t="n">
        <x:v>104</x:v>
      </x:c>
      <x:c r="B149" s="65" t="str">
        <x:v>澳大利亚 维多利亚州超1 U23</x:v>
      </x:c>
      <x:c r="C149" s="82" t="n">
        <x:v>4</x:v>
      </x:c>
      <x:c r="D149" s="82" t="n">
        <x:v>4</x:v>
      </x:c>
      <x:c r="E149" s="67" t="n">
        <x:v>-1.5</x:v>
      </x:c>
      <x:c r="F149" s="181" t="n">
        <x:v>0.25</x:v>
      </x:c>
      <x:c r="G149" s="67" t="n">
        <x:v>-0.375</x:v>
      </x:c>
      <x:c r="H149"/>
      <x:c r="I149" s="65" t="n">
        <x:v>104</x:v>
      </x:c>
      <x:c r="J149" s="65" t="str">
        <x:v>亚冠二级联赛（AFC Champions League Two）</x:v>
      </x:c>
      <x:c r="K149" s="82" t="n">
        <x:v>8</x:v>
      </x:c>
      <x:c r="L149" s="82" t="n">
        <x:v>8</x:v>
      </x:c>
      <x:c r="M149" s="67" t="n">
        <x:v>-2</x:v>
      </x:c>
      <x:c r="N149" s="181" t="n">
        <x:v>0.375</x:v>
      </x:c>
      <x:c r="O149" s="67" t="n">
        <x:v>-0.25</x:v>
      </x:c>
    </x:row>
    <x:row r="150" ht="24" customHeight="1">
      <x:c r="A150" s="65" t="n">
        <x:v>105</x:v>
      </x:c>
      <x:c r="B150" s="65" t="str">
        <x:v>厄瓜多尔甲级联赛（LigaPro Serie A）</x:v>
      </x:c>
      <x:c r="C150" s="82" t="n">
        <x:v>6</x:v>
      </x:c>
      <x:c r="D150" s="82" t="n">
        <x:v>2</x:v>
      </x:c>
      <x:c r="E150" s="67" t="n">
        <x:v>-1.5</x:v>
      </x:c>
      <x:c r="F150" s="181" t="n">
        <x:v>0</x:v>
      </x:c>
      <x:c r="G150" s="67" t="n">
        <x:v>-0.75</x:v>
      </x:c>
      <x:c r="H150"/>
      <x:c r="I150" s="65" t="n">
        <x:v>105</x:v>
      </x:c>
      <x:c r="J150" s="65" t="str">
        <x:v>哥斯达黎加杯（Copa Costa Rica）</x:v>
      </x:c>
      <x:c r="K150" s="82" t="n">
        <x:v>4</x:v>
      </x:c>
      <x:c r="L150" s="82" t="n">
        <x:v>4</x:v>
      </x:c>
      <x:c r="M150" s="67" t="n">
        <x:v>-2</x:v>
      </x:c>
      <x:c r="N150" s="181" t="n">
        <x:v>0.25</x:v>
      </x:c>
      <x:c r="O150" s="67" t="n">
        <x:v>-0.5</x:v>
      </x:c>
    </x:row>
    <x:row r="151" ht="24" customHeight="1">
      <x:c r="A151" s="65" t="n">
        <x:v>106</x:v>
      </x:c>
      <x:c r="B151" s="65" t="str">
        <x:v>哥伦比亚乙级联赛（Primera B / Torneo BetPlay Apertura）</x:v>
      </x:c>
      <x:c r="C151" s="82" t="n">
        <x:v>8</x:v>
      </x:c>
      <x:c r="D151" s="82" t="n">
        <x:v>8</x:v>
      </x:c>
      <x:c r="E151" s="67" t="n">
        <x:v>-2</x:v>
      </x:c>
      <x:c r="F151" s="181" t="n">
        <x:v>0.375</x:v>
      </x:c>
      <x:c r="G151" s="67" t="n">
        <x:v>-0.25</x:v>
      </x:c>
      <x:c r="H151"/>
      <x:c r="I151" s="65" t="n">
        <x:v>106</x:v>
      </x:c>
      <x:c r="J151" s="65" t="str">
        <x:v>美国USL杯</x:v>
      </x:c>
      <x:c r="K151" s="82" t="n">
        <x:v>3</x:v>
      </x:c>
      <x:c r="L151" s="82" t="n">
        <x:v>3</x:v>
      </x:c>
      <x:c r="M151" s="67" t="n">
        <x:v>-2</x:v>
      </x:c>
      <x:c r="N151" s="181" t="n">
        <x:v>0</x:v>
      </x:c>
      <x:c r="O151" s="67" t="n">
        <x:v>-0.6666666666666666</x:v>
      </x:c>
    </x:row>
    <x:row r="152" ht="24" customHeight="1">
      <x:c r="A152" s="65" t="n">
        <x:v>107</x:v>
      </x:c>
      <x:c r="B152" s="65" t="str">
        <x:v>澳大利亚新南威尔士州国家超级联赛（NPL NSW）</x:v>
      </x:c>
      <x:c r="C152" s="82" t="n">
        <x:v>4</x:v>
      </x:c>
      <x:c r="D152" s="82" t="n">
        <x:v>4</x:v>
      </x:c>
      <x:c r="E152" s="67" t="n">
        <x:v>-2</x:v>
      </x:c>
      <x:c r="F152" s="181" t="n">
        <x:v>0.25</x:v>
      </x:c>
      <x:c r="G152" s="67" t="n">
        <x:v>-0.5</x:v>
      </x:c>
      <x:c r="H152"/>
      <x:c r="I152" s="65" t="n">
        <x:v>107</x:v>
      </x:c>
      <x:c r="J152" s="65" t="str">
        <x:v>芬兰甲组联赛（Ykkösliiga）</x:v>
      </x:c>
      <x:c r="K152" s="82" t="n">
        <x:v>2</x:v>
      </x:c>
      <x:c r="L152" s="82" t="n">
        <x:v>2</x:v>
      </x:c>
      <x:c r="M152" s="67" t="n">
        <x:v>-2</x:v>
      </x:c>
      <x:c r="N152" s="181" t="n">
        <x:v>0</x:v>
      </x:c>
      <x:c r="O152" s="67" t="n">
        <x:v>-1</x:v>
      </x:c>
    </x:row>
    <x:row r="153" ht="24" customHeight="1">
      <x:c r="A153" s="65" t="n">
        <x:v>108</x:v>
      </x:c>
      <x:c r="B153" s="65" t="str">
        <x:v>土耳其超级联赛（土超）</x:v>
      </x:c>
      <x:c r="C153" s="82" t="n">
        <x:v>2</x:v>
      </x:c>
      <x:c r="D153" s="82" t="n">
        <x:v>2</x:v>
      </x:c>
      <x:c r="E153" s="67" t="n">
        <x:v>-2</x:v>
      </x:c>
      <x:c r="F153" s="181" t="n">
        <x:v>0</x:v>
      </x:c>
      <x:c r="G153" s="67" t="n">
        <x:v>-1</x:v>
      </x:c>
      <x:c r="H153"/>
      <x:c r="I153" s="65" t="n">
        <x:v>108</x:v>
      </x:c>
      <x:c r="J153" s="65" t="str">
        <x:v>芬兰甲级联赛（Ykkösliiga）</x:v>
      </x:c>
      <x:c r="K153" s="82" t="n">
        <x:v>3</x:v>
      </x:c>
      <x:c r="L153" s="82" t="n">
        <x:v>3</x:v>
      </x:c>
      <x:c r="M153" s="67" t="n">
        <x:v>-2.5</x:v>
      </x:c>
      <x:c r="N153" s="181" t="n">
        <x:v>0</x:v>
      </x:c>
      <x:c r="O153" s="67" t="n">
        <x:v>-0.8333333333333334</x:v>
      </x:c>
    </x:row>
    <x:row r="154" ht="24" customHeight="1">
      <x:c r="A154" s="65" t="n">
        <x:v>109</x:v>
      </x:c>
      <x:c r="B154" s="65" t="str">
        <x:v>日职联（J1 League）</x:v>
      </x:c>
      <x:c r="C154" s="82" t="n">
        <x:v>70</x:v>
      </x:c>
      <x:c r="D154" s="82" t="n">
        <x:v>70</x:v>
      </x:c>
      <x:c r="E154" s="67" t="n">
        <x:v>-2.5</x:v>
      </x:c>
      <x:c r="F154" s="181" t="n">
        <x:v>0.45714285714285713</x:v>
      </x:c>
      <x:c r="G154" s="67" t="n">
        <x:v>-0.03571428571428571</x:v>
      </x:c>
      <x:c r="H154"/>
      <x:c r="I154" s="65" t="n">
        <x:v>109</x:v>
      </x:c>
      <x:c r="J154" s="65" t="str">
        <x:v>墨西哥甲级扩展联赛（Liga de Expansión MX）</x:v>
      </x:c>
      <x:c r="K154" s="82" t="n">
        <x:v>49</x:v>
      </x:c>
      <x:c r="L154" s="82" t="n">
        <x:v>49</x:v>
      </x:c>
      <x:c r="M154" s="67" t="n">
        <x:v>-3</x:v>
      </x:c>
      <x:c r="N154" s="181" t="n">
        <x:v>0.4489795918367347</x:v>
      </x:c>
      <x:c r="O154" s="67" t="n">
        <x:v>-0.061224489795918366</x:v>
      </x:c>
    </x:row>
    <x:row r="155" ht="24" customHeight="1">
      <x:c r="A155" s="65" t="n">
        <x:v>110</x:v>
      </x:c>
      <x:c r="B155" s="65" t="str">
        <x:v>印度尼西亚超级联赛（印尼超/Liga 1 Indonesia）</x:v>
      </x:c>
      <x:c r="C155" s="82" t="n">
        <x:v>121</x:v>
      </x:c>
      <x:c r="D155" s="82" t="n">
        <x:v>121</x:v>
      </x:c>
      <x:c r="E155" s="67" t="n">
        <x:v>-2.5</x:v>
      </x:c>
      <x:c r="F155" s="181" t="n">
        <x:v>0.45454545454545453</x:v>
      </x:c>
      <x:c r="G155" s="67" t="n">
        <x:v>-0.02066115702479339</x:v>
      </x:c>
      <x:c r="H155"/>
      <x:c r="I155" s="65" t="n">
        <x:v>110</x:v>
      </x:c>
      <x:c r="J155" s="65" t="str">
        <x:v>瑞典超级联赛</x:v>
      </x:c>
      <x:c r="K155" s="82" t="n">
        <x:v>21</x:v>
      </x:c>
      <x:c r="L155" s="82" t="n">
        <x:v>21</x:v>
      </x:c>
      <x:c r="M155" s="67" t="n">
        <x:v>-3</x:v>
      </x:c>
      <x:c r="N155" s="181" t="n">
        <x:v>0.42857142857142855</x:v>
      </x:c>
      <x:c r="O155" s="67" t="n">
        <x:v>-0.14285714285714285</x:v>
      </x:c>
    </x:row>
    <x:row r="156" ht="24" customHeight="1">
      <x:c r="A156" s="65" t="n">
        <x:v>111</x:v>
      </x:c>
      <x:c r="B156" s="65" t="str">
        <x:v>美国足球冠军联赛（USL Championship）</x:v>
      </x:c>
      <x:c r="C156" s="82" t="n">
        <x:v>10</x:v>
      </x:c>
      <x:c r="D156" s="82" t="n">
        <x:v>7</x:v>
      </x:c>
      <x:c r="E156" s="67" t="n">
        <x:v>-3</x:v>
      </x:c>
      <x:c r="F156" s="181" t="n">
        <x:v>0.2857142857142857</x:v>
      </x:c>
      <x:c r="G156" s="67" t="n">
        <x:v>-0.42857142857142855</x:v>
      </x:c>
      <x:c r="H156"/>
      <x:c r="I156" s="65" t="n">
        <x:v>111</x:v>
      </x:c>
      <x:c r="J156" s="65" t="str">
        <x:v>乌拉圭甲级联赛（Campeonato Uruguayo·Primera División）</x:v>
      </x:c>
      <x:c r="K156" s="82" t="n">
        <x:v>11</x:v>
      </x:c>
      <x:c r="L156" s="82" t="n">
        <x:v>11</x:v>
      </x:c>
      <x:c r="M156" s="67" t="n">
        <x:v>-3</x:v>
      </x:c>
      <x:c r="N156" s="181" t="n">
        <x:v>0.2727272727272727</x:v>
      </x:c>
      <x:c r="O156" s="67" t="n">
        <x:v>-0.2727272727272727</x:v>
      </x:c>
    </x:row>
    <x:row r="157" ht="24" customHeight="1">
      <x:c r="A157" s="65" t="n">
        <x:v>112</x:v>
      </x:c>
      <x:c r="B157" s="65" t="str">
        <x:v>西甲（LaLiga）</x:v>
      </x:c>
      <x:c r="C157" s="82" t="n">
        <x:v>15</x:v>
      </x:c>
      <x:c r="D157" s="82" t="n">
        <x:v>15</x:v>
      </x:c>
      <x:c r="E157" s="67" t="n">
        <x:v>-3.5</x:v>
      </x:c>
      <x:c r="F157" s="181" t="n">
        <x:v>0.3333333333333333</x:v>
      </x:c>
      <x:c r="G157" s="67" t="n">
        <x:v>-0.23333333333333334</x:v>
      </x:c>
      <x:c r="H157"/>
      <x:c r="I157" s="65" t="n">
        <x:v>112</x:v>
      </x:c>
      <x:c r="J157" s="65" t="str">
        <x:v>埃及联赛杯（Egyptian League Cup）</x:v>
      </x:c>
      <x:c r="K157" s="82" t="n">
        <x:v>3</x:v>
      </x:c>
      <x:c r="L157" s="82" t="n">
        <x:v>3</x:v>
      </x:c>
      <x:c r="M157" s="67" t="n">
        <x:v>-3</x:v>
      </x:c>
      <x:c r="N157" s="181" t="n">
        <x:v>0</x:v>
      </x:c>
      <x:c r="O157" s="67" t="n">
        <x:v>-1</x:v>
      </x:c>
    </x:row>
    <x:row r="158" ht="24" customHeight="1">
      <x:c r="A158" s="65" t="n">
        <x:v>113</x:v>
      </x:c>
      <x:c r="B158" s="65" t="str">
        <x:v>哥斯达黎加杯（Copa Costa Rica）</x:v>
      </x:c>
      <x:c r="C158" s="82" t="n">
        <x:v>4</x:v>
      </x:c>
      <x:c r="D158" s="82" t="n">
        <x:v>4</x:v>
      </x:c>
      <x:c r="E158" s="67" t="n">
        <x:v>-4</x:v>
      </x:c>
      <x:c r="F158" s="181" t="n">
        <x:v>0</x:v>
      </x:c>
      <x:c r="G158" s="67" t="n">
        <x:v>-1</x:v>
      </x:c>
      <x:c r="H158"/>
      <x:c r="I158" s="65" t="n">
        <x:v>113</x:v>
      </x:c>
      <x:c r="J158" s="65" t="str">
        <x:v>墨西哥超（Liga MX，Clausura）</x:v>
      </x:c>
      <x:c r="K158" s="82" t="n">
        <x:v>100</x:v>
      </x:c>
      <x:c r="L158" s="82" t="n">
        <x:v>100</x:v>
      </x:c>
      <x:c r="M158" s="67" t="n">
        <x:v>-3.5</x:v>
      </x:c>
      <x:c r="N158" s="181" t="n">
        <x:v>0.47</x:v>
      </x:c>
      <x:c r="O158" s="67" t="n">
        <x:v>-0.035</x:v>
      </x:c>
    </x:row>
    <x:row r="159" ht="24" customHeight="1">
      <x:c r="A159" s="65" t="n">
        <x:v>114</x:v>
      </x:c>
      <x:c r="B159" s="65" t="str">
        <x:v>德国甲级联赛（德甲/Bundesliga）</x:v>
      </x:c>
      <x:c r="C159" s="82" t="n">
        <x:v>9</x:v>
      </x:c>
      <x:c r="D159" s="82" t="n">
        <x:v>9</x:v>
      </x:c>
      <x:c r="E159" s="67" t="n">
        <x:v>-4.5</x:v>
      </x:c>
      <x:c r="F159" s="181" t="n">
        <x:v>0.2222222222222222</x:v>
      </x:c>
      <x:c r="G159" s="67" t="n">
        <x:v>-0.5</x:v>
      </x:c>
      <x:c r="H159"/>
      <x:c r="I159" s="65" t="n">
        <x:v>114</x:v>
      </x:c>
      <x:c r="J159" s="65" t="str">
        <x:v>韩国K联赛1（K League 1）</x:v>
      </x:c>
      <x:c r="K159" s="82" t="n">
        <x:v>22</x:v>
      </x:c>
      <x:c r="L159" s="82" t="n">
        <x:v>22</x:v>
      </x:c>
      <x:c r="M159" s="67" t="n">
        <x:v>-3.5</x:v>
      </x:c>
      <x:c r="N159" s="181" t="n">
        <x:v>0.45454545454545453</x:v>
      </x:c>
      <x:c r="O159" s="67" t="n">
        <x:v>-0.1590909090909091</x:v>
      </x:c>
    </x:row>
    <x:row r="160" ht="24" customHeight="1">
      <x:c r="A160" s="65" t="n">
        <x:v>115</x:v>
      </x:c>
      <x:c r="B160" s="65" t="str">
        <x:v>日职 明治安田J2·J3百年构想联赛</x:v>
      </x:c>
      <x:c r="C160" s="82" t="n">
        <x:v>38</x:v>
      </x:c>
      <x:c r="D160" s="82" t="n">
        <x:v>38</x:v>
      </x:c>
      <x:c r="E160" s="67" t="n">
        <x:v>-5</x:v>
      </x:c>
      <x:c r="F160" s="181" t="n">
        <x:v>0.39473684210526316</x:v>
      </x:c>
      <x:c r="G160" s="67" t="n">
        <x:v>-0.13157894736842105</x:v>
      </x:c>
      <x:c r="H160"/>
      <x:c r="I160" s="65" t="n">
        <x:v>115</x:v>
      </x:c>
      <x:c r="J160" s="65" t="str">
        <x:v>英格兰超级联赛（Premier League）</x:v>
      </x:c>
      <x:c r="K160" s="82" t="n">
        <x:v>58</x:v>
      </x:c>
      <x:c r="L160" s="82" t="n">
        <x:v>58</x:v>
      </x:c>
      <x:c r="M160" s="67" t="n">
        <x:v>-3.5</x:v>
      </x:c>
      <x:c r="N160" s="181" t="n">
        <x:v>0.43103448275862066</x:v>
      </x:c>
      <x:c r="O160" s="67" t="n">
        <x:v>-0.0603448275862069</x:v>
      </x:c>
    </x:row>
    <x:row r="161" ht="24" customHeight="1">
      <x:c r="A161" s="65" t="n">
        <x:v>116</x:v>
      </x:c>
      <x:c r="B161" s="65" t="str">
        <x:v>韩国K联赛1（K League 1）</x:v>
      </x:c>
      <x:c r="C161" s="82" t="n">
        <x:v>22</x:v>
      </x:c>
      <x:c r="D161" s="82" t="n">
        <x:v>22</x:v>
      </x:c>
      <x:c r="E161" s="67" t="n">
        <x:v>-6</x:v>
      </x:c>
      <x:c r="F161" s="181" t="n">
        <x:v>0.36363636363636365</x:v>
      </x:c>
      <x:c r="G161" s="67" t="n">
        <x:v>-0.2727272727272727</x:v>
      </x:c>
      <x:c r="H161"/>
      <x:c r="I161" s="65" t="n">
        <x:v>116</x:v>
      </x:c>
      <x:c r="J161" s="65" t="str">
        <x:v>哥伦比亚杯（Copa Colombia）</x:v>
      </x:c>
      <x:c r="K161" s="82" t="n">
        <x:v>15</x:v>
      </x:c>
      <x:c r="L161" s="82" t="n">
        <x:v>14</x:v>
      </x:c>
      <x:c r="M161" s="67" t="n">
        <x:v>-4</x:v>
      </x:c>
      <x:c r="N161" s="181" t="n">
        <x:v>0.35714285714285715</x:v>
      </x:c>
      <x:c r="O161" s="67" t="n">
        <x:v>-0.2857142857142857</x:v>
      </x:c>
    </x:row>
    <x:row r="162" ht="24" customHeight="1">
      <x:c r="A162" s="65" t="n">
        <x:v>117</x:v>
      </x:c>
      <x:c r="B162" s="65" t="str">
        <x:v>乌拉圭甲级联赛（Campeonato Uruguayo·Primera División）</x:v>
      </x:c>
      <x:c r="C162" s="82" t="n">
        <x:v>11</x:v>
      </x:c>
      <x:c r="D162" s="82" t="n">
        <x:v>11</x:v>
      </x:c>
      <x:c r="E162" s="67" t="n">
        <x:v>-6.5</x:v>
      </x:c>
      <x:c r="F162" s="181" t="n">
        <x:v>0.09090909090909091</x:v>
      </x:c>
      <x:c r="G162" s="67" t="n">
        <x:v>-0.5909090909090909</x:v>
      </x:c>
      <x:c r="H162"/>
      <x:c r="I162" s="65" t="n">
        <x:v>117</x:v>
      </x:c>
      <x:c r="J162" s="65" t="str">
        <x:v>法甲（Ligue 1）</x:v>
      </x:c>
      <x:c r="K162" s="82" t="n">
        <x:v>4</x:v>
      </x:c>
      <x:c r="L162" s="82" t="n">
        <x:v>4</x:v>
      </x:c>
      <x:c r="M162" s="67" t="n">
        <x:v>-4</x:v>
      </x:c>
      <x:c r="N162" s="181" t="n">
        <x:v>0</x:v>
      </x:c>
      <x:c r="O162" s="67" t="n">
        <x:v>-1</x:v>
      </x:c>
    </x:row>
    <x:row r="163" ht="24" customHeight="1">
      <x:c r="A163" s="65" t="n">
        <x:v>118</x:v>
      </x:c>
      <x:c r="B163" s="65" t="str">
        <x:v>玻利维亚甲级联赛</x:v>
      </x:c>
      <x:c r="C163" s="82" t="n">
        <x:v>32</x:v>
      </x:c>
      <x:c r="D163" s="82" t="n">
        <x:v>30</x:v>
      </x:c>
      <x:c r="E163" s="67" t="n">
        <x:v>-7</x:v>
      </x:c>
      <x:c r="F163" s="181" t="n">
        <x:v>0.36666666666666664</x:v>
      </x:c>
      <x:c r="G163" s="67" t="n">
        <x:v>-0.23333333333333334</x:v>
      </x:c>
      <x:c r="H163"/>
      <x:c r="I163" s="65" t="n">
        <x:v>118</x:v>
      </x:c>
      <x:c r="J163" s="65" t="str">
        <x:v>美国足球冠军联赛（USL Championship）</x:v>
      </x:c>
      <x:c r="K163" s="82" t="n">
        <x:v>10</x:v>
      </x:c>
      <x:c r="L163" s="82" t="n">
        <x:v>7</x:v>
      </x:c>
      <x:c r="M163" s="67" t="n">
        <x:v>-4.5</x:v>
      </x:c>
      <x:c r="N163" s="181" t="n">
        <x:v>0.14285714285714285</x:v>
      </x:c>
      <x:c r="O163" s="67" t="n">
        <x:v>-0.6428571428571429</x:v>
      </x:c>
    </x:row>
    <x:row r="164" ht="24" customHeight="1">
      <x:c r="A164" s="65" t="n">
        <x:v>119</x:v>
      </x:c>
      <x:c r="B164" s="65" t="str">
        <x:v>中北美冠军杯（CONCACAF Champions Cup）</x:v>
      </x:c>
      <x:c r="C164" s="82" t="n">
        <x:v>29</x:v>
      </x:c>
      <x:c r="D164" s="82" t="n">
        <x:v>29</x:v>
      </x:c>
      <x:c r="E164" s="67" t="n">
        <x:v>-8</x:v>
      </x:c>
      <x:c r="F164" s="181" t="n">
        <x:v>0.3448275862068966</x:v>
      </x:c>
      <x:c r="G164" s="67" t="n">
        <x:v>-0.27586206896551724</x:v>
      </x:c>
      <x:c r="H164"/>
      <x:c r="I164" s="65" t="n">
        <x:v>119</x:v>
      </x:c>
      <x:c r="J164" s="65" t="str">
        <x:v>中国足球超级联赛</x:v>
      </x:c>
      <x:c r="K164" s="82" t="n">
        <x:v>22</x:v>
      </x:c>
      <x:c r="L164" s="82" t="n">
        <x:v>22</x:v>
      </x:c>
      <x:c r="M164" s="67" t="n">
        <x:v>-5.5</x:v>
      </x:c>
      <x:c r="N164" s="181" t="n">
        <x:v>0.3181818181818182</x:v>
      </x:c>
      <x:c r="O164" s="67" t="n">
        <x:v>-0.25</x:v>
      </x:c>
    </x:row>
    <x:row r="165" ht="24" customHeight="1">
      <x:c r="A165" s="65" t="n">
        <x:v>120</x:v>
      </x:c>
      <x:c r="B165" s="65" t="str">
        <x:v>哥伦比亚杯（Copa Colombia）</x:v>
      </x:c>
      <x:c r="C165" s="82" t="n">
        <x:v>15</x:v>
      </x:c>
      <x:c r="D165" s="82" t="n">
        <x:v>15</x:v>
      </x:c>
      <x:c r="E165" s="67" t="n">
        <x:v>-8.5</x:v>
      </x:c>
      <x:c r="F165" s="181" t="n">
        <x:v>0.13333333333333333</x:v>
      </x:c>
      <x:c r="G165" s="67" t="n">
        <x:v>-0.5666666666666667</x:v>
      </x:c>
      <x:c r="H165"/>
      <x:c r="I165" s="65" t="n">
        <x:v>120</x:v>
      </x:c>
      <x:c r="J165" s="65" t="str">
        <x:v>意大利甲级联赛（Serie A）</x:v>
      </x:c>
      <x:c r="K165" s="82" t="n">
        <x:v>68</x:v>
      </x:c>
      <x:c r="L165" s="82" t="n">
        <x:v>68</x:v>
      </x:c>
      <x:c r="M165" s="67" t="n">
        <x:v>-6</x:v>
      </x:c>
      <x:c r="N165" s="181" t="n">
        <x:v>0.45588235294117646</x:v>
      </x:c>
      <x:c r="O165" s="67" t="n">
        <x:v>-0.08823529411764706</x:v>
      </x:c>
    </x:row>
    <x:row r="166" ht="24" customHeight="1">
      <x:c r="A166" s="68" t="n">
        <x:v>121</x:v>
      </x:c>
      <x:c r="B166" s="68" t="str">
        <x:v>澳大利亚A联赛（A-League Men）</x:v>
      </x:c>
      <x:c r="C166" s="83" t="n">
        <x:v>61</x:v>
      </x:c>
      <x:c r="D166" s="83" t="n">
        <x:v>61</x:v>
      </x:c>
      <x:c r="E166" s="70" t="n">
        <x:v>-11</x:v>
      </x:c>
      <x:c r="F166" s="182" t="n">
        <x:v>0.36065573770491804</x:v>
      </x:c>
      <x:c r="G166" s="70" t="n">
        <x:v>-0.18032786885245902</x:v>
      </x:c>
      <x:c r="H166"/>
      <x:c r="I166" s="68" t="n">
        <x:v>121</x:v>
      </x:c>
      <x:c r="J166" s="68" t="str">
        <x:v>哥伦比亚甲级联赛（Liga BetPlay DIMAYOR）</x:v>
      </x:c>
      <x:c r="K166" s="83" t="n">
        <x:v>111</x:v>
      </x:c>
      <x:c r="L166" s="83" t="n">
        <x:v>111</x:v>
      </x:c>
      <x:c r="M166" s="70" t="n">
        <x:v>-6.5</x:v>
      </x:c>
      <x:c r="N166" s="182" t="n">
        <x:v>0.46846846846846846</x:v>
      </x:c>
      <x:c r="O166" s="70" t="n">
        <x:v>-0.05855855855855856</x:v>
      </x:c>
    </x:row>
    <x:row r="167">
      <x:c r="A167" t="n">
        <x:v>122</x:v>
      </x:c>
      <x:c r="B167" t="str">
        <x:v>阿根廷职业联赛（Liga Profesional·Apertura）</x:v>
      </x:c>
      <x:c r="C167" t="n">
        <x:v>85</x:v>
      </x:c>
      <x:c r="D167" t="n">
        <x:v>85</x:v>
      </x:c>
      <x:c r="E167" t="n">
        <x:v>-13.5</x:v>
      </x:c>
      <x:c r="F167" t="n">
        <x:v>0.38823529411764707</x:v>
      </x:c>
      <x:c r="G167" t="n">
        <x:v>-0.1588235294117647</x:v>
      </x:c>
      <x:c r="H167"/>
      <x:c r="I167" t="n">
        <x:v>122</x:v>
      </x:c>
      <x:c r="J167" t="str">
        <x:v>国际足联世界杯</x:v>
      </x:c>
      <x:c r="K167" t="n">
        <x:v>66</x:v>
      </x:c>
      <x:c r="L167" t="n">
        <x:v>65</x:v>
      </x:c>
      <x:c r="M167" t="n">
        <x:v>-7</x:v>
      </x:c>
      <x:c r="N167" t="n">
        <x:v>0.4461538461538462</x:v>
      </x:c>
      <x:c r="O167" t="n">
        <x:v>-0.1076923076923077</x:v>
      </x:c>
    </x:row>
    <x:row r="168">
      <x:c r="A168" t="n">
        <x:v>123</x:v>
      </x:c>
      <x:c r="B168" t="str">
        <x:v>英格兰冠军联赛（英冠）</x:v>
      </x:c>
      <x:c r="C168" t="n">
        <x:v>84</x:v>
      </x:c>
      <x:c r="D168" t="n">
        <x:v>84</x:v>
      </x:c>
      <x:c r="E168" t="n">
        <x:v>-13.5</x:v>
      </x:c>
      <x:c r="F168" t="n">
        <x:v>0.38095238095238093</x:v>
      </x:c>
      <x:c r="G168" t="n">
        <x:v>-0.16071428571428573</x:v>
      </x:c>
      <x:c r="H168"/>
      <x:c r="I168" t="n">
        <x:v>123</x:v>
      </x:c>
      <x:c r="J168" t="str">
        <x:v>澳大利亚 维多利亚州超级联赛1（VPL1）</x:v>
      </x:c>
      <x:c r="K168" t="n">
        <x:v>123</x:v>
      </x:c>
      <x:c r="L168" t="n">
        <x:v>123</x:v>
      </x:c>
      <x:c r="M168" t="n">
        <x:v>-7.5</x:v>
      </x:c>
      <x:c r="N168" t="n">
        <x:v>0.45528455284552843</x:v>
      </x:c>
      <x:c r="O168" t="n">
        <x:v>-0.06097560975609756</x:v>
      </x:c>
    </x:row>
    <x:row r="169" ht="32" customHeight="1">
      <x:c r="A169" s="22" t="str">
        <x:v>排名</x:v>
      </x:c>
      <x:c r="B169" s="23" t="str">
        <x:v>球队｜让球</x:v>
      </x:c>
      <x:c r="C169" s="23" t="str">
        <x:v>参与场次</x:v>
      </x:c>
      <x:c r="D169" s="23" t="str">
        <x:v>让球注数</x:v>
      </x:c>
      <x:c r="E169" s="23" t="str">
        <x:v>让球盈亏</x:v>
      </x:c>
      <x:c r="F169" s="23" t="str">
        <x:v>正收益率</x:v>
      </x:c>
      <x:c r="G169" s="24" t="str">
        <x:v>场均盈亏</x:v>
      </x:c>
      <x:c r="I169" s="177" t="str">
        <x:v>排名</x:v>
      </x:c>
      <x:c r="J169" s="178" t="str">
        <x:v>球队｜大小球</x:v>
      </x:c>
      <x:c r="K169" s="178" t="str">
        <x:v>参与场次</x:v>
      </x:c>
      <x:c r="L169" s="178" t="str">
        <x:v>大小球注数</x:v>
      </x:c>
      <x:c r="M169" s="178" t="str">
        <x:v>大小球盈亏</x:v>
      </x:c>
      <x:c r="N169" s="178" t="str">
        <x:v>正收益率</x:v>
      </x:c>
      <x:c r="O169" s="179" t="str">
        <x:v>场均盈亏</x:v>
      </x:c>
    </x:row>
    <x:row r="170" ht="24" customHeight="1">
      <x:c r="A170" s="62" t="n">
        <x:v>1</x:v>
      </x:c>
      <x:c r="B170" s="62" t="str">
        <x:v>南墨尔本</x:v>
      </x:c>
      <x:c r="C170" s="81" t="n">
        <x:v>5</x:v>
      </x:c>
      <x:c r="D170" s="81" t="n">
        <x:v>5</x:v>
      </x:c>
      <x:c r="E170" s="64" t="n">
        <x:v>5</x:v>
      </x:c>
      <x:c r="F170" s="180" t="n">
        <x:v>1</x:v>
      </x:c>
      <x:c r="G170" s="64" t="n">
        <x:v>1</x:v>
      </x:c>
      <x:c r="H170"/>
      <x:c r="I170" s="62" t="n">
        <x:v>1</x:v>
      </x:c>
      <x:c r="J170" s="62" t="str">
        <x:v>巴兰基亚青年</x:v>
      </x:c>
      <x:c r="K170" s="81" t="n">
        <x:v>9</x:v>
      </x:c>
      <x:c r="L170" s="81" t="n">
        <x:v>9</x:v>
      </x:c>
      <x:c r="M170" s="64" t="n">
        <x:v>6</x:v>
      </x:c>
      <x:c r="N170" s="180" t="n">
        <x:v>0.8888888888888888</x:v>
      </x:c>
      <x:c r="O170" s="64" t="n">
        <x:v>0.6666666666666666</x:v>
      </x:c>
    </x:row>
    <x:row r="171" ht="24" customHeight="1">
      <x:c r="A171" s="65" t="n">
        <x:v>2</x:v>
      </x:c>
      <x:c r="B171" s="65" t="str">
        <x:v>帕丘卡</x:v>
      </x:c>
      <x:c r="C171" s="82" t="n">
        <x:v>6</x:v>
      </x:c>
      <x:c r="D171" s="82" t="n">
        <x:v>6</x:v>
      </x:c>
      <x:c r="E171" s="67" t="n">
        <x:v>5</x:v>
      </x:c>
      <x:c r="F171" s="181" t="n">
        <x:v>1</x:v>
      </x:c>
      <x:c r="G171" s="67" t="n">
        <x:v>0.8333333333333334</x:v>
      </x:c>
      <x:c r="H171"/>
      <x:c r="I171" s="65" t="n">
        <x:v>2</x:v>
      </x:c>
      <x:c r="J171" s="65" t="str">
        <x:v>旁遮普FC</x:v>
      </x:c>
      <x:c r="K171" s="82" t="n">
        <x:v>5</x:v>
      </x:c>
      <x:c r="L171" s="82" t="n">
        <x:v>5</x:v>
      </x:c>
      <x:c r="M171" s="67" t="n">
        <x:v>5</x:v>
      </x:c>
      <x:c r="N171" s="181" t="n">
        <x:v>1</x:v>
      </x:c>
      <x:c r="O171" s="67" t="n">
        <x:v>1</x:v>
      </x:c>
    </x:row>
    <x:row r="172" ht="24" customHeight="1">
      <x:c r="A172" s="65" t="n">
        <x:v>3</x:v>
      </x:c>
      <x:c r="B172" s="65" t="str">
        <x:v>本特利绿茵</x:v>
      </x:c>
      <x:c r="C172" s="82" t="n">
        <x:v>5</x:v>
      </x:c>
      <x:c r="D172" s="82" t="n">
        <x:v>5</x:v>
      </x:c>
      <x:c r="E172" s="67" t="n">
        <x:v>4.5</x:v>
      </x:c>
      <x:c r="F172" s="181" t="n">
        <x:v>1</x:v>
      </x:c>
      <x:c r="G172" s="67" t="n">
        <x:v>0.9</x:v>
      </x:c>
      <x:c r="H172"/>
      <x:c r="I172" s="65" t="n">
        <x:v>3</x:v>
      </x:c>
      <x:c r="J172" s="65" t="str">
        <x:v>拉努斯（Lanús）</x:v>
      </x:c>
      <x:c r="K172" s="82" t="n">
        <x:v>9</x:v>
      </x:c>
      <x:c r="L172" s="82" t="n">
        <x:v>9</x:v>
      </x:c>
      <x:c r="M172" s="67" t="n">
        <x:v>5</x:v>
      </x:c>
      <x:c r="N172" s="181" t="n">
        <x:v>0.6666666666666666</x:v>
      </x:c>
      <x:c r="O172" s="67" t="n">
        <x:v>0.5555555555555556</x:v>
      </x:c>
    </x:row>
    <x:row r="173" ht="24" customHeight="1">
      <x:c r="A173" s="65" t="n">
        <x:v>4</x:v>
      </x:c>
      <x:c r="B173" s="65" t="str">
        <x:v>瑞典</x:v>
      </x:c>
      <x:c r="C173" s="82" t="n">
        <x:v>4</x:v>
      </x:c>
      <x:c r="D173" s="82" t="n">
        <x:v>4</x:v>
      </x:c>
      <x:c r="E173" s="67" t="n">
        <x:v>4</x:v>
      </x:c>
      <x:c r="F173" s="181" t="n">
        <x:v>1</x:v>
      </x:c>
      <x:c r="G173" s="67" t="n">
        <x:v>1</x:v>
      </x:c>
      <x:c r="H173"/>
      <x:c r="I173" s="65" t="n">
        <x:v>4</x:v>
      </x:c>
      <x:c r="J173" s="65" t="str">
        <x:v>伯明翰城</x:v>
      </x:c>
      <x:c r="K173" s="82" t="n">
        <x:v>4</x:v>
      </x:c>
      <x:c r="L173" s="82" t="n">
        <x:v>4</x:v>
      </x:c>
      <x:c r="M173" s="67" t="n">
        <x:v>4</x:v>
      </x:c>
      <x:c r="N173" s="181" t="n">
        <x:v>1</x:v>
      </x:c>
      <x:c r="O173" s="67" t="n">
        <x:v>1</x:v>
      </x:c>
    </x:row>
    <x:row r="174" ht="24" customHeight="1">
      <x:c r="A174" s="65" t="n">
        <x:v>5</x:v>
      </x:c>
      <x:c r="B174" s="65" t="str">
        <x:v>马都拉联</x:v>
      </x:c>
      <x:c r="C174" s="82" t="n">
        <x:v>6</x:v>
      </x:c>
      <x:c r="D174" s="82" t="n">
        <x:v>6</x:v>
      </x:c>
      <x:c r="E174" s="67" t="n">
        <x:v>4</x:v>
      </x:c>
      <x:c r="F174" s="181" t="n">
        <x:v>0.8333333333333334</x:v>
      </x:c>
      <x:c r="G174" s="67" t="n">
        <x:v>0.6666666666666666</x:v>
      </x:c>
      <x:c r="H174"/>
      <x:c r="I174" s="65" t="n">
        <x:v>5</x:v>
      </x:c>
      <x:c r="J174" s="65" t="str">
        <x:v>清奈泰坦（Chennaiyin FC）</x:v>
      </x:c>
      <x:c r="K174" s="82" t="n">
        <x:v>4</x:v>
      </x:c>
      <x:c r="L174" s="82" t="n">
        <x:v>4</x:v>
      </x:c>
      <x:c r="M174" s="67" t="n">
        <x:v>4</x:v>
      </x:c>
      <x:c r="N174" s="181" t="n">
        <x:v>1</x:v>
      </x:c>
      <x:c r="O174" s="67" t="n">
        <x:v>1</x:v>
      </x:c>
    </x:row>
    <x:row r="175" ht="24" customHeight="1">
      <x:c r="A175" s="65" t="n">
        <x:v>6</x:v>
      </x:c>
      <x:c r="B175" s="65" t="str">
        <x:v>克雷莫纳</x:v>
      </x:c>
      <x:c r="C175" s="82" t="n">
        <x:v>5</x:v>
      </x:c>
      <x:c r="D175" s="82" t="n">
        <x:v>5</x:v>
      </x:c>
      <x:c r="E175" s="67" t="n">
        <x:v>4</x:v>
      </x:c>
      <x:c r="F175" s="181" t="n">
        <x:v>0.8</x:v>
      </x:c>
      <x:c r="G175" s="67" t="n">
        <x:v>0.8</x:v>
      </x:c>
      <x:c r="H175"/>
      <x:c r="I175" s="65" t="n">
        <x:v>6</x:v>
      </x:c>
      <x:c r="J175" s="65" t="str">
        <x:v>奥迪萨FC</x:v>
      </x:c>
      <x:c r="K175" s="82" t="n">
        <x:v>6</x:v>
      </x:c>
      <x:c r="L175" s="82" t="n">
        <x:v>6</x:v>
      </x:c>
      <x:c r="M175" s="67" t="n">
        <x:v>4</x:v>
      </x:c>
      <x:c r="N175" s="181" t="n">
        <x:v>0.8333333333333334</x:v>
      </x:c>
      <x:c r="O175" s="67" t="n">
        <x:v>0.6666666666666666</x:v>
      </x:c>
    </x:row>
    <x:row r="176" ht="24" customHeight="1">
      <x:c r="A176" s="65" t="n">
        <x:v>7</x:v>
      </x:c>
      <x:c r="B176" s="65" t="str">
        <x:v>华雷斯</x:v>
      </x:c>
      <x:c r="C176" s="82" t="n">
        <x:v>7</x:v>
      </x:c>
      <x:c r="D176" s="82" t="n">
        <x:v>7</x:v>
      </x:c>
      <x:c r="E176" s="67" t="n">
        <x:v>4</x:v>
      </x:c>
      <x:c r="F176" s="181" t="n">
        <x:v>0.7142857142857143</x:v>
      </x:c>
      <x:c r="G176" s="67" t="n">
        <x:v>0.5714285714285714</x:v>
      </x:c>
      <x:c r="H176"/>
      <x:c r="I176" s="65" t="n">
        <x:v>7</x:v>
      </x:c>
      <x:c r="J176" s="65" t="str">
        <x:v>布里斯托尔城</x:v>
      </x:c>
      <x:c r="K176" s="82" t="n">
        <x:v>6</x:v>
      </x:c>
      <x:c r="L176" s="82" t="n">
        <x:v>6</x:v>
      </x:c>
      <x:c r="M176" s="67" t="n">
        <x:v>4</x:v>
      </x:c>
      <x:c r="N176" s="181" t="n">
        <x:v>0.8333333333333334</x:v>
      </x:c>
      <x:c r="O176" s="67" t="n">
        <x:v>0.6666666666666666</x:v>
      </x:c>
    </x:row>
    <x:row r="177" ht="24" customHeight="1">
      <x:c r="A177" s="65" t="n">
        <x:v>8</x:v>
      </x:c>
      <x:c r="B177" s="65" t="str">
        <x:v>町田泽维亚（FC Machida Zelvia）</x:v>
      </x:c>
      <x:c r="C177" s="82" t="n">
        <x:v>4</x:v>
      </x:c>
      <x:c r="D177" s="82" t="n">
        <x:v>4</x:v>
      </x:c>
      <x:c r="E177" s="67" t="n">
        <x:v>3.5</x:v>
      </x:c>
      <x:c r="F177" s="181" t="n">
        <x:v>1</x:v>
      </x:c>
      <x:c r="G177" s="67" t="n">
        <x:v>0.875</x:v>
      </x:c>
      <x:c r="H177"/>
      <x:c r="I177" s="65" t="n">
        <x:v>8</x:v>
      </x:c>
      <x:c r="J177" s="65" t="str">
        <x:v>法国</x:v>
      </x:c>
      <x:c r="K177" s="82" t="n">
        <x:v>6</x:v>
      </x:c>
      <x:c r="L177" s="82" t="n">
        <x:v>6</x:v>
      </x:c>
      <x:c r="M177" s="67" t="n">
        <x:v>4</x:v>
      </x:c>
      <x:c r="N177" s="181" t="n">
        <x:v>0.8333333333333334</x:v>
      </x:c>
      <x:c r="O177" s="67" t="n">
        <x:v>0.6666666666666666</x:v>
      </x:c>
    </x:row>
    <x:row r="178" ht="24" customHeight="1">
      <x:c r="A178" s="65" t="n">
        <x:v>9</x:v>
      </x:c>
      <x:c r="B178" s="65" t="str">
        <x:v>马可尼（Marconi Stallions）</x:v>
      </x:c>
      <x:c r="C178" s="82" t="n">
        <x:v>6</x:v>
      </x:c>
      <x:c r="D178" s="82" t="n">
        <x:v>6</x:v>
      </x:c>
      <x:c r="E178" s="67" t="n">
        <x:v>3.5</x:v>
      </x:c>
      <x:c r="F178" s="181" t="n">
        <x:v>0.8333333333333334</x:v>
      </x:c>
      <x:c r="G178" s="67" t="n">
        <x:v>0.5833333333333334</x:v>
      </x:c>
      <x:c r="H178"/>
      <x:c r="I178" s="65" t="n">
        <x:v>9</x:v>
      </x:c>
      <x:c r="J178" s="65" t="str">
        <x:v>德瓦联</x:v>
      </x:c>
      <x:c r="K178" s="82" t="n">
        <x:v>5</x:v>
      </x:c>
      <x:c r="L178" s="82" t="n">
        <x:v>5</x:v>
      </x:c>
      <x:c r="M178" s="67" t="n">
        <x:v>4</x:v>
      </x:c>
      <x:c r="N178" s="181" t="n">
        <x:v>0.8</x:v>
      </x:c>
      <x:c r="O178" s="67" t="n">
        <x:v>0.8</x:v>
      </x:c>
    </x:row>
    <x:row r="179" ht="24" customHeight="1">
      <x:c r="A179" s="65" t="n">
        <x:v>10</x:v>
      </x:c>
      <x:c r="B179" s="65" t="str">
        <x:v>PSM马卡萨（PSM Makassar）</x:v>
      </x:c>
      <x:c r="C179" s="82" t="n">
        <x:v>7</x:v>
      </x:c>
      <x:c r="D179" s="82" t="n">
        <x:v>7</x:v>
      </x:c>
      <x:c r="E179" s="67" t="n">
        <x:v>3.5</x:v>
      </x:c>
      <x:c r="F179" s="181" t="n">
        <x:v>0.7142857142857143</x:v>
      </x:c>
      <x:c r="G179" s="67" t="n">
        <x:v>0.5</x:v>
      </x:c>
      <x:c r="H179"/>
      <x:c r="I179" s="65" t="n">
        <x:v>10</x:v>
      </x:c>
      <x:c r="J179" s="65" t="str">
        <x:v>马萨特兰</x:v>
      </x:c>
      <x:c r="K179" s="82" t="n">
        <x:v>5</x:v>
      </x:c>
      <x:c r="L179" s="82" t="n">
        <x:v>5</x:v>
      </x:c>
      <x:c r="M179" s="67" t="n">
        <x:v>4</x:v>
      </x:c>
      <x:c r="N179" s="181" t="n">
        <x:v>0.8</x:v>
      </x:c>
      <x:c r="O179" s="67" t="n">
        <x:v>0.8</x:v>
      </x:c>
    </x:row>
    <x:row r="180" ht="24" customHeight="1">
      <x:c r="A180" s="65" t="n">
        <x:v>11</x:v>
      </x:c>
      <x:c r="B180" s="65" t="str">
        <x:v>老虎大学（Tigres UANL）</x:v>
      </x:c>
      <x:c r="C180" s="82" t="n">
        <x:v>12</x:v>
      </x:c>
      <x:c r="D180" s="82" t="n">
        <x:v>12</x:v>
      </x:c>
      <x:c r="E180" s="67" t="n">
        <x:v>3.5</x:v>
      </x:c>
      <x:c r="F180" s="181" t="n">
        <x:v>0.6666666666666666</x:v>
      </x:c>
      <x:c r="G180" s="67" t="n">
        <x:v>0.2916666666666667</x:v>
      </x:c>
      <x:c r="H180"/>
      <x:c r="I180" s="65" t="n">
        <x:v>11</x:v>
      </x:c>
      <x:c r="J180" s="65" t="str">
        <x:v>帕尔马</x:v>
      </x:c>
      <x:c r="K180" s="82" t="n">
        <x:v>4</x:v>
      </x:c>
      <x:c r="L180" s="82" t="n">
        <x:v>4</x:v>
      </x:c>
      <x:c r="M180" s="67" t="n">
        <x:v>3.5</x:v>
      </x:c>
      <x:c r="N180" s="181" t="n">
        <x:v>1</x:v>
      </x:c>
      <x:c r="O180" s="67" t="n">
        <x:v>0.875</x:v>
      </x:c>
    </x:row>
    <x:row r="181" ht="24" customHeight="1">
      <x:c r="A181" s="65" t="n">
        <x:v>12</x:v>
      </x:c>
      <x:c r="B181" s="65" t="str">
        <x:v>蓝十字</x:v>
      </x:c>
      <x:c r="C181" s="82" t="n">
        <x:v>8</x:v>
      </x:c>
      <x:c r="D181" s="82" t="n">
        <x:v>8</x:v>
      </x:c>
      <x:c r="E181" s="67" t="n">
        <x:v>3.5</x:v>
      </x:c>
      <x:c r="F181" s="181" t="n">
        <x:v>0.625</x:v>
      </x:c>
      <x:c r="G181" s="67" t="n">
        <x:v>0.4375</x:v>
      </x:c>
      <x:c r="H181"/>
      <x:c r="I181" s="65" t="n">
        <x:v>12</x:v>
      </x:c>
      <x:c r="J181" s="65" t="str">
        <x:v>桑德兰（Sunderland）</x:v>
      </x:c>
      <x:c r="K181" s="82" t="n">
        <x:v>4</x:v>
      </x:c>
      <x:c r="L181" s="82" t="n">
        <x:v>4</x:v>
      </x:c>
      <x:c r="M181" s="67" t="n">
        <x:v>3.5</x:v>
      </x:c>
      <x:c r="N181" s="181" t="n">
        <x:v>1</x:v>
      </x:c>
      <x:c r="O181" s="67" t="n">
        <x:v>0.875</x:v>
      </x:c>
    </x:row>
    <x:row r="182" ht="24" customHeight="1">
      <x:c r="A182" s="65" t="n">
        <x:v>13</x:v>
      </x:c>
      <x:c r="B182" s="65" t="str">
        <x:v>佛得角</x:v>
      </x:c>
      <x:c r="C182" s="82" t="n">
        <x:v>3</x:v>
      </x:c>
      <x:c r="D182" s="82" t="n">
        <x:v>3</x:v>
      </x:c>
      <x:c r="E182" s="67" t="n">
        <x:v>3</x:v>
      </x:c>
      <x:c r="F182" s="181" t="n">
        <x:v>1</x:v>
      </x:c>
      <x:c r="G182" s="67" t="n">
        <x:v>1</x:v>
      </x:c>
      <x:c r="H182"/>
      <x:c r="I182" s="65" t="n">
        <x:v>13</x:v>
      </x:c>
      <x:c r="J182" s="65" t="str">
        <x:v>牛津联</x:v>
      </x:c>
      <x:c r="K182" s="82" t="n">
        <x:v>4</x:v>
      </x:c>
      <x:c r="L182" s="82" t="n">
        <x:v>4</x:v>
      </x:c>
      <x:c r="M182" s="67" t="n">
        <x:v>3.5</x:v>
      </x:c>
      <x:c r="N182" s="181" t="n">
        <x:v>1</x:v>
      </x:c>
      <x:c r="O182" s="67" t="n">
        <x:v>0.875</x:v>
      </x:c>
    </x:row>
    <x:row r="183" ht="24" customHeight="1">
      <x:c r="A183" s="65" t="n">
        <x:v>14</x:v>
      </x:c>
      <x:c r="B183" s="65" t="str">
        <x:v>切尔西</x:v>
      </x:c>
      <x:c r="C183" s="82" t="n">
        <x:v>3</x:v>
      </x:c>
      <x:c r="D183" s="82" t="n">
        <x:v>3</x:v>
      </x:c>
      <x:c r="E183" s="67" t="n">
        <x:v>3</x:v>
      </x:c>
      <x:c r="F183" s="181" t="n">
        <x:v>1</x:v>
      </x:c>
      <x:c r="G183" s="67" t="n">
        <x:v>1</x:v>
      </x:c>
      <x:c r="H183"/>
      <x:c r="I183" s="65" t="n">
        <x:v>14</x:v>
      </x:c>
      <x:c r="J183" s="65" t="str">
        <x:v>帕尔梅拉斯（Palmeiras）</x:v>
      </x:c>
      <x:c r="K183" s="82" t="n">
        <x:v>6</x:v>
      </x:c>
      <x:c r="L183" s="82" t="n">
        <x:v>6</x:v>
      </x:c>
      <x:c r="M183" s="67" t="n">
        <x:v>3.5</x:v>
      </x:c>
      <x:c r="N183" s="181" t="n">
        <x:v>0.8333333333333334</x:v>
      </x:c>
      <x:c r="O183" s="67" t="n">
        <x:v>0.5833333333333334</x:v>
      </x:c>
    </x:row>
    <x:row r="184" ht="24" customHeight="1">
      <x:c r="A184" s="65" t="n">
        <x:v>15</x:v>
      </x:c>
      <x:c r="B184" s="65" t="str">
        <x:v>厄瓜多尔</x:v>
      </x:c>
      <x:c r="C184" s="82" t="n">
        <x:v>3</x:v>
      </x:c>
      <x:c r="D184" s="82" t="n">
        <x:v>3</x:v>
      </x:c>
      <x:c r="E184" s="67" t="n">
        <x:v>3</x:v>
      </x:c>
      <x:c r="F184" s="181" t="n">
        <x:v>1</x:v>
      </x:c>
      <x:c r="G184" s="67" t="n">
        <x:v>1</x:v>
      </x:c>
      <x:c r="H184"/>
      <x:c r="I184" s="65" t="n">
        <x:v>15</x:v>
      </x:c>
      <x:c r="J184" s="65" t="str">
        <x:v>卡利美洲（América de Cali）</x:v>
      </x:c>
      <x:c r="K184" s="82" t="n">
        <x:v>9</x:v>
      </x:c>
      <x:c r="L184" s="82" t="n">
        <x:v>9</x:v>
      </x:c>
      <x:c r="M184" s="67" t="n">
        <x:v>3.5</x:v>
      </x:c>
      <x:c r="N184" s="181" t="n">
        <x:v>0.6666666666666666</x:v>
      </x:c>
      <x:c r="O184" s="67" t="n">
        <x:v>0.3888888888888889</x:v>
      </x:c>
    </x:row>
    <x:row r="185" ht="24" customHeight="1">
      <x:c r="A185" s="65" t="n">
        <x:v>16</x:v>
      </x:c>
      <x:c r="B185" s="65" t="str">
        <x:v>哥伦布机员（Columbus Crew）</x:v>
      </x:c>
      <x:c r="C185" s="82" t="n">
        <x:v>3</x:v>
      </x:c>
      <x:c r="D185" s="82" t="n">
        <x:v>3</x:v>
      </x:c>
      <x:c r="E185" s="67" t="n">
        <x:v>3</x:v>
      </x:c>
      <x:c r="F185" s="181" t="n">
        <x:v>1</x:v>
      </x:c>
      <x:c r="G185" s="67" t="n">
        <x:v>1</x:v>
      </x:c>
      <x:c r="H185"/>
      <x:c r="I185" s="65" t="n">
        <x:v>16</x:v>
      </x:c>
      <x:c r="J185" s="65" t="str">
        <x:v>APIA莱卡特老虎</x:v>
      </x:c>
      <x:c r="K185" s="82" t="n">
        <x:v>3</x:v>
      </x:c>
      <x:c r="L185" s="82" t="n">
        <x:v>3</x:v>
      </x:c>
      <x:c r="M185" s="67" t="n">
        <x:v>3</x:v>
      </x:c>
      <x:c r="N185" s="181" t="n">
        <x:v>1</x:v>
      </x:c>
      <x:c r="O185" s="67" t="n">
        <x:v>1</x:v>
      </x:c>
    </x:row>
    <x:row r="186" ht="24" customHeight="1">
      <x:c r="A186" s="65" t="n">
        <x:v>17</x:v>
      </x:c>
      <x:c r="B186" s="65" t="str">
        <x:v>喀拉拉邦冲击波</x:v>
      </x:c>
      <x:c r="C186" s="82" t="n">
        <x:v>3</x:v>
      </x:c>
      <x:c r="D186" s="82" t="n">
        <x:v>3</x:v>
      </x:c>
      <x:c r="E186" s="67" t="n">
        <x:v>3</x:v>
      </x:c>
      <x:c r="F186" s="181" t="n">
        <x:v>1</x:v>
      </x:c>
      <x:c r="G186" s="67" t="n">
        <x:v>1</x:v>
      </x:c>
      <x:c r="H186"/>
      <x:c r="I186" s="65" t="n">
        <x:v>17</x:v>
      </x:c>
      <x:c r="J186" s="65" t="str">
        <x:v>FC东京（FC Tokyo）</x:v>
      </x:c>
      <x:c r="K186" s="82" t="n">
        <x:v>3</x:v>
      </x:c>
      <x:c r="L186" s="82" t="n">
        <x:v>3</x:v>
      </x:c>
      <x:c r="M186" s="67" t="n">
        <x:v>3</x:v>
      </x:c>
      <x:c r="N186" s="181" t="n">
        <x:v>1</x:v>
      </x:c>
      <x:c r="O186" s="67" t="n">
        <x:v>1</x:v>
      </x:c>
    </x:row>
    <x:row r="187" ht="24" customHeight="1">
      <x:c r="A187" s="65" t="n">
        <x:v>18</x:v>
      </x:c>
      <x:c r="B187" s="65" t="str">
        <x:v>圣塔菲独立（Independiente Santa Fe）</x:v>
      </x:c>
      <x:c r="C187" s="82" t="n">
        <x:v>3</x:v>
      </x:c>
      <x:c r="D187" s="82" t="n">
        <x:v>3</x:v>
      </x:c>
      <x:c r="E187" s="67" t="n">
        <x:v>3</x:v>
      </x:c>
      <x:c r="F187" s="181" t="n">
        <x:v>1</x:v>
      </x:c>
      <x:c r="G187" s="67" t="n">
        <x:v>1</x:v>
      </x:c>
      <x:c r="H187"/>
      <x:c r="I187" s="65" t="n">
        <x:v>18</x:v>
      </x:c>
      <x:c r="J187" s="65" t="str">
        <x:v>亚特兰大（Atalanta）</x:v>
      </x:c>
      <x:c r="K187" s="82" t="n">
        <x:v>3</x:v>
      </x:c>
      <x:c r="L187" s="82" t="n">
        <x:v>3</x:v>
      </x:c>
      <x:c r="M187" s="67" t="n">
        <x:v>3</x:v>
      </x:c>
      <x:c r="N187" s="181" t="n">
        <x:v>1</x:v>
      </x:c>
      <x:c r="O187" s="67" t="n">
        <x:v>1</x:v>
      </x:c>
    </x:row>
    <x:row r="188" ht="24" customHeight="1">
      <x:c r="A188" s="65" t="n">
        <x:v>19</x:v>
      </x:c>
      <x:c r="B188" s="65" t="str">
        <x:v>帕丘卡（Pachuca）</x:v>
      </x:c>
      <x:c r="C188" s="82" t="n">
        <x:v>3</x:v>
      </x:c>
      <x:c r="D188" s="82" t="n">
        <x:v>3</x:v>
      </x:c>
      <x:c r="E188" s="67" t="n">
        <x:v>3</x:v>
      </x:c>
      <x:c r="F188" s="181" t="n">
        <x:v>1</x:v>
      </x:c>
      <x:c r="G188" s="67" t="n">
        <x:v>1</x:v>
      </x:c>
      <x:c r="H188"/>
      <x:c r="I188" s="65" t="n">
        <x:v>19</x:v>
      </x:c>
      <x:c r="J188" s="65" t="str">
        <x:v>伊拉克</x:v>
      </x:c>
      <x:c r="K188" s="82" t="n">
        <x:v>3</x:v>
      </x:c>
      <x:c r="L188" s="82" t="n">
        <x:v>3</x:v>
      </x:c>
      <x:c r="M188" s="67" t="n">
        <x:v>3</x:v>
      </x:c>
      <x:c r="N188" s="181" t="n">
        <x:v>1</x:v>
      </x:c>
      <x:c r="O188" s="67" t="n">
        <x:v>1</x:v>
      </x:c>
    </x:row>
    <x:row r="189" ht="24" customHeight="1">
      <x:c r="A189" s="65" t="n">
        <x:v>20</x:v>
      </x:c>
      <x:c r="B189" s="65" t="str">
        <x:v>摩洛哥</x:v>
      </x:c>
      <x:c r="C189" s="82" t="n">
        <x:v>4</x:v>
      </x:c>
      <x:c r="D189" s="82" t="n">
        <x:v>4</x:v>
      </x:c>
      <x:c r="E189" s="67" t="n">
        <x:v>3</x:v>
      </x:c>
      <x:c r="F189" s="181" t="n">
        <x:v>1</x:v>
      </x:c>
      <x:c r="G189" s="67" t="n">
        <x:v>0.75</x:v>
      </x:c>
      <x:c r="H189"/>
      <x:c r="I189" s="65" t="n">
        <x:v>20</x:v>
      </x:c>
      <x:c r="J189" s="65" t="str">
        <x:v>佛得角</x:v>
      </x:c>
      <x:c r="K189" s="82" t="n">
        <x:v>3</x:v>
      </x:c>
      <x:c r="L189" s="82" t="n">
        <x:v>3</x:v>
      </x:c>
      <x:c r="M189" s="67" t="n">
        <x:v>3</x:v>
      </x:c>
      <x:c r="N189" s="181" t="n">
        <x:v>1</x:v>
      </x:c>
      <x:c r="O189" s="67" t="n">
        <x:v>1</x:v>
      </x:c>
    </x:row>
    <x:row r="190" ht="24" customHeight="1">
      <x:c r="A190" s="65" t="n">
        <x:v>21</x:v>
      </x:c>
      <x:c r="B190" s="65" t="str">
        <x:v>青岛海牛</x:v>
      </x:c>
      <x:c r="C190" s="82" t="n">
        <x:v>3</x:v>
      </x:c>
      <x:c r="D190" s="82" t="n">
        <x:v>3</x:v>
      </x:c>
      <x:c r="E190" s="67" t="n">
        <x:v>3</x:v>
      </x:c>
      <x:c r="F190" s="181" t="n">
        <x:v>1</x:v>
      </x:c>
      <x:c r="G190" s="67" t="n">
        <x:v>1</x:v>
      </x:c>
      <x:c r="H190"/>
      <x:c r="I190" s="65" t="n">
        <x:v>21</x:v>
      </x:c>
      <x:c r="J190" s="65" t="str">
        <x:v>最强者（The Strongest）</x:v>
      </x:c>
      <x:c r="K190" s="82" t="n">
        <x:v>4</x:v>
      </x:c>
      <x:c r="L190" s="82" t="n">
        <x:v>3</x:v>
      </x:c>
      <x:c r="M190" s="67" t="n">
        <x:v>3</x:v>
      </x:c>
      <x:c r="N190" s="181" t="n">
        <x:v>1</x:v>
      </x:c>
      <x:c r="O190" s="67" t="n">
        <x:v>1</x:v>
      </x:c>
    </x:row>
    <x:row r="191" ht="24" customHeight="1">
      <x:c r="A191" s="65" t="n">
        <x:v>22</x:v>
      </x:c>
      <x:c r="B191" s="65" t="str">
        <x:v>黑德堡联（Heidelberg United）</x:v>
      </x:c>
      <x:c r="C191" s="82" t="n">
        <x:v>3</x:v>
      </x:c>
      <x:c r="D191" s="82" t="n">
        <x:v>3</x:v>
      </x:c>
      <x:c r="E191" s="67" t="n">
        <x:v>3</x:v>
      </x:c>
      <x:c r="F191" s="181" t="n">
        <x:v>1</x:v>
      </x:c>
      <x:c r="G191" s="67" t="n">
        <x:v>1</x:v>
      </x:c>
      <x:c r="H191"/>
      <x:c r="I191" s="65" t="n">
        <x:v>22</x:v>
      </x:c>
      <x:c r="J191" s="65" t="str">
        <x:v>利斯特雷（Deportivo Riestra）</x:v>
      </x:c>
      <x:c r="K191" s="82" t="n">
        <x:v>3</x:v>
      </x:c>
      <x:c r="L191" s="82" t="n">
        <x:v>3</x:v>
      </x:c>
      <x:c r="M191" s="67" t="n">
        <x:v>3</x:v>
      </x:c>
      <x:c r="N191" s="181" t="n">
        <x:v>1</x:v>
      </x:c>
      <x:c r="O191" s="67" t="n">
        <x:v>1</x:v>
      </x:c>
    </x:row>
    <x:row r="192" ht="24" customHeight="1">
      <x:c r="A192" s="65" t="n">
        <x:v>23</x:v>
      </x:c>
      <x:c r="B192" s="65" t="str">
        <x:v>佛罗伦萨</x:v>
      </x:c>
      <x:c r="C192" s="82" t="n">
        <x:v>5</x:v>
      </x:c>
      <x:c r="D192" s="82" t="n">
        <x:v>5</x:v>
      </x:c>
      <x:c r="E192" s="67" t="n">
        <x:v>3</x:v>
      </x:c>
      <x:c r="F192" s="181" t="n">
        <x:v>0.8</x:v>
      </x:c>
      <x:c r="G192" s="67" t="n">
        <x:v>0.6</x:v>
      </x:c>
      <x:c r="H192"/>
      <x:c r="I192" s="65" t="n">
        <x:v>23</x:v>
      </x:c>
      <x:c r="J192" s="65" t="str">
        <x:v>奥迪萨（Odisha FC）</x:v>
      </x:c>
      <x:c r="K192" s="82" t="n">
        <x:v>3</x:v>
      </x:c>
      <x:c r="L192" s="82" t="n">
        <x:v>3</x:v>
      </x:c>
      <x:c r="M192" s="67" t="n">
        <x:v>3</x:v>
      </x:c>
      <x:c r="N192" s="181" t="n">
        <x:v>1</x:v>
      </x:c>
      <x:c r="O192" s="67" t="n">
        <x:v>1</x:v>
      </x:c>
    </x:row>
    <x:row r="193" ht="24" customHeight="1">
      <x:c r="A193" s="65" t="n">
        <x:v>24</x:v>
      </x:c>
      <x:c r="B193" s="65" t="str">
        <x:v>拉普拉塔大学生（Estudiantes de La Plata）</x:v>
      </x:c>
      <x:c r="C193" s="82" t="n">
        <x:v>5</x:v>
      </x:c>
      <x:c r="D193" s="82" t="n">
        <x:v>5</x:v>
      </x:c>
      <x:c r="E193" s="67" t="n">
        <x:v>3</x:v>
      </x:c>
      <x:c r="F193" s="181" t="n">
        <x:v>0.8</x:v>
      </x:c>
      <x:c r="G193" s="67" t="n">
        <x:v>0.6</x:v>
      </x:c>
      <x:c r="H193"/>
      <x:c r="I193" s="65" t="n">
        <x:v>24</x:v>
      </x:c>
      <x:c r="J193" s="65" t="str">
        <x:v>女王公园巡游者（QPR）</x:v>
      </x:c>
      <x:c r="K193" s="82" t="n">
        <x:v>3</x:v>
      </x:c>
      <x:c r="L193" s="82" t="n">
        <x:v>3</x:v>
      </x:c>
      <x:c r="M193" s="67" t="n">
        <x:v>3</x:v>
      </x:c>
      <x:c r="N193" s="181" t="n">
        <x:v>1</x:v>
      </x:c>
      <x:c r="O193" s="67" t="n">
        <x:v>1</x:v>
      </x:c>
    </x:row>
    <x:row r="194" ht="24" customHeight="1">
      <x:c r="A194" s="65" t="n">
        <x:v>25</x:v>
      </x:c>
      <x:c r="B194" s="65" t="str">
        <x:v>水晶宫（Crystal Palace）</x:v>
      </x:c>
      <x:c r="C194" s="82" t="n">
        <x:v>5</x:v>
      </x:c>
      <x:c r="D194" s="82" t="n">
        <x:v>5</x:v>
      </x:c>
      <x:c r="E194" s="67" t="n">
        <x:v>3</x:v>
      </x:c>
      <x:c r="F194" s="181" t="n">
        <x:v>0.8</x:v>
      </x:c>
      <x:c r="G194" s="67" t="n">
        <x:v>0.6</x:v>
      </x:c>
      <x:c r="H194"/>
      <x:c r="I194" s="65" t="n">
        <x:v>25</x:v>
      </x:c>
      <x:c r="J194" s="65" t="str">
        <x:v>女王公园巡游者（QPR/Queens Park Rangers）</x:v>
      </x:c>
      <x:c r="K194" s="82" t="n">
        <x:v>3</x:v>
      </x:c>
      <x:c r="L194" s="82" t="n">
        <x:v>3</x:v>
      </x:c>
      <x:c r="M194" s="67" t="n">
        <x:v>3</x:v>
      </x:c>
      <x:c r="N194" s="181" t="n">
        <x:v>1</x:v>
      </x:c>
      <x:c r="O194" s="67" t="n">
        <x:v>1</x:v>
      </x:c>
    </x:row>
    <x:row r="195" ht="24" customHeight="1">
      <x:c r="A195" s="65" t="n">
        <x:v>26</x:v>
      </x:c>
      <x:c r="B195" s="65" t="str">
        <x:v>喀什国际（Inter Kashi）</x:v>
      </x:c>
      <x:c r="C195" s="82" t="n">
        <x:v>4</x:v>
      </x:c>
      <x:c r="D195" s="82" t="n">
        <x:v>4</x:v>
      </x:c>
      <x:c r="E195" s="67" t="n">
        <x:v>3</x:v>
      </x:c>
      <x:c r="F195" s="181" t="n">
        <x:v>0.75</x:v>
      </x:c>
      <x:c r="G195" s="67" t="n">
        <x:v>0.75</x:v>
      </x:c>
      <x:c r="H195"/>
      <x:c r="I195" s="65" t="n">
        <x:v>26</x:v>
      </x:c>
      <x:c r="J195" s="65" t="str">
        <x:v>布伦特福德（Brentford）</x:v>
      </x:c>
      <x:c r="K195" s="82" t="n">
        <x:v>3</x:v>
      </x:c>
      <x:c r="L195" s="82" t="n">
        <x:v>3</x:v>
      </x:c>
      <x:c r="M195" s="67" t="n">
        <x:v>3</x:v>
      </x:c>
      <x:c r="N195" s="181" t="n">
        <x:v>1</x:v>
      </x:c>
      <x:c r="O195" s="67" t="n">
        <x:v>1</x:v>
      </x:c>
    </x:row>
    <x:row r="196" ht="24" customHeight="1">
      <x:c r="A196" s="65" t="n">
        <x:v>27</x:v>
      </x:c>
      <x:c r="B196" s="65" t="str">
        <x:v>班菲尔德</x:v>
      </x:c>
      <x:c r="C196" s="82" t="n">
        <x:v>4</x:v>
      </x:c>
      <x:c r="D196" s="82" t="n">
        <x:v>4</x:v>
      </x:c>
      <x:c r="E196" s="67" t="n">
        <x:v>3</x:v>
      </x:c>
      <x:c r="F196" s="181" t="n">
        <x:v>0.75</x:v>
      </x:c>
      <x:c r="G196" s="67" t="n">
        <x:v>0.75</x:v>
      </x:c>
      <x:c r="H196"/>
      <x:c r="I196" s="65" t="n">
        <x:v>27</x:v>
      </x:c>
      <x:c r="J196" s="65" t="str">
        <x:v>挪威</x:v>
      </x:c>
      <x:c r="K196" s="82" t="n">
        <x:v>3</x:v>
      </x:c>
      <x:c r="L196" s="82" t="n">
        <x:v>3</x:v>
      </x:c>
      <x:c r="M196" s="67" t="n">
        <x:v>3</x:v>
      </x:c>
      <x:c r="N196" s="181" t="n">
        <x:v>1</x:v>
      </x:c>
      <x:c r="O196" s="67" t="n">
        <x:v>1</x:v>
      </x:c>
    </x:row>
    <x:row r="197" ht="24" customHeight="1">
      <x:c r="A197" s="65" t="n">
        <x:v>28</x:v>
      </x:c>
      <x:c r="B197" s="65" t="str">
        <x:v>卡利美洲（América de Cali）</x:v>
      </x:c>
      <x:c r="C197" s="82" t="n">
        <x:v>9</x:v>
      </x:c>
      <x:c r="D197" s="82" t="n">
        <x:v>9</x:v>
      </x:c>
      <x:c r="E197" s="67" t="n">
        <x:v>3</x:v>
      </x:c>
      <x:c r="F197" s="181" t="n">
        <x:v>0.6666666666666666</x:v>
      </x:c>
      <x:c r="G197" s="67" t="n">
        <x:v>0.3333333333333333</x:v>
      </x:c>
      <x:c r="H197"/>
      <x:c r="I197" s="65" t="n">
        <x:v>28</x:v>
      </x:c>
      <x:c r="J197" s="65" t="str">
        <x:v>朴茨茅斯（Portsmouth）</x:v>
      </x:c>
      <x:c r="K197" s="82" t="n">
        <x:v>4</x:v>
      </x:c>
      <x:c r="L197" s="82" t="n">
        <x:v>3</x:v>
      </x:c>
      <x:c r="M197" s="67" t="n">
        <x:v>3</x:v>
      </x:c>
      <x:c r="N197" s="181" t="n">
        <x:v>1</x:v>
      </x:c>
      <x:c r="O197" s="67" t="n">
        <x:v>1</x:v>
      </x:c>
    </x:row>
    <x:row r="198" ht="24" customHeight="1">
      <x:c r="A198" s="65" t="n">
        <x:v>29</x:v>
      </x:c>
      <x:c r="B198" s="65" t="str">
        <x:v>APIA莱卡特老虎</x:v>
      </x:c>
      <x:c r="C198" s="82" t="n">
        <x:v>3</x:v>
      </x:c>
      <x:c r="D198" s="82" t="n">
        <x:v>3</x:v>
      </x:c>
      <x:c r="E198" s="67" t="n">
        <x:v>2.5</x:v>
      </x:c>
      <x:c r="F198" s="181" t="n">
        <x:v>1</x:v>
      </x:c>
      <x:c r="G198" s="67" t="n">
        <x:v>0.8333333333333334</x:v>
      </x:c>
      <x:c r="H198"/>
      <x:c r="I198" s="65" t="n">
        <x:v>29</x:v>
      </x:c>
      <x:c r="J198" s="65" t="str">
        <x:v>沃特福德（Watford）</x:v>
      </x:c>
      <x:c r="K198" s="82" t="n">
        <x:v>3</x:v>
      </x:c>
      <x:c r="L198" s="82" t="n">
        <x:v>3</x:v>
      </x:c>
      <x:c r="M198" s="67" t="n">
        <x:v>3</x:v>
      </x:c>
      <x:c r="N198" s="181" t="n">
        <x:v>1</x:v>
      </x:c>
      <x:c r="O198" s="67" t="n">
        <x:v>1</x:v>
      </x:c>
    </x:row>
    <x:row r="199" ht="24" customHeight="1">
      <x:c r="A199" s="65" t="n">
        <x:v>30</x:v>
      </x:c>
      <x:c r="B199" s="65" t="str">
        <x:v>布里斯托尔城（Bristol City）</x:v>
      </x:c>
      <x:c r="C199" s="82" t="n">
        <x:v>3</x:v>
      </x:c>
      <x:c r="D199" s="82" t="n">
        <x:v>3</x:v>
      </x:c>
      <x:c r="E199" s="67" t="n">
        <x:v>2.5</x:v>
      </x:c>
      <x:c r="F199" s="181" t="n">
        <x:v>1</x:v>
      </x:c>
      <x:c r="G199" s="67" t="n">
        <x:v>0.8333333333333334</x:v>
      </x:c>
      <x:c r="H199"/>
      <x:c r="I199" s="65" t="n">
        <x:v>30</x:v>
      </x:c>
      <x:c r="J199" s="65" t="str">
        <x:v>热那亚（Genoa）</x:v>
      </x:c>
      <x:c r="K199" s="82" t="n">
        <x:v>3</x:v>
      </x:c>
      <x:c r="L199" s="82" t="n">
        <x:v>3</x:v>
      </x:c>
      <x:c r="M199" s="67" t="n">
        <x:v>3</x:v>
      </x:c>
      <x:c r="N199" s="181" t="n">
        <x:v>1</x:v>
      </x:c>
      <x:c r="O199" s="67" t="n">
        <x:v>1</x:v>
      </x:c>
    </x:row>
    <x:row r="200" ht="24" customHeight="1">
      <x:c r="A200" s="65" t="n">
        <x:v>31</x:v>
      </x:c>
      <x:c r="B200" s="65" t="str">
        <x:v>帕斯度（Deportivo Pasto）</x:v>
      </x:c>
      <x:c r="C200" s="82" t="n">
        <x:v>3</x:v>
      </x:c>
      <x:c r="D200" s="82" t="n">
        <x:v>3</x:v>
      </x:c>
      <x:c r="E200" s="67" t="n">
        <x:v>2.5</x:v>
      </x:c>
      <x:c r="F200" s="181" t="n">
        <x:v>1</x:v>
      </x:c>
      <x:c r="G200" s="67" t="n">
        <x:v>0.8333333333333334</x:v>
      </x:c>
      <x:c r="H200"/>
      <x:c r="I200" s="65" t="n">
        <x:v>31</x:v>
      </x:c>
      <x:c r="J200" s="65" t="str">
        <x:v>麦克阿瑟FC（Macarthur FC）</x:v>
      </x:c>
      <x:c r="K200" s="82" t="n">
        <x:v>3</x:v>
      </x:c>
      <x:c r="L200" s="82" t="n">
        <x:v>3</x:v>
      </x:c>
      <x:c r="M200" s="67" t="n">
        <x:v>3</x:v>
      </x:c>
      <x:c r="N200" s="181" t="n">
        <x:v>1</x:v>
      </x:c>
      <x:c r="O200" s="67" t="n">
        <x:v>1</x:v>
      </x:c>
    </x:row>
    <x:row r="201" ht="24" customHeight="1">
      <x:c r="A201" s="65" t="n">
        <x:v>32</x:v>
      </x:c>
      <x:c r="B201" s="65" t="str">
        <x:v>格林古利（Green Gully SC）</x:v>
      </x:c>
      <x:c r="C201" s="82" t="n">
        <x:v>3</x:v>
      </x:c>
      <x:c r="D201" s="82" t="n">
        <x:v>3</x:v>
      </x:c>
      <x:c r="E201" s="67" t="n">
        <x:v>2.5</x:v>
      </x:c>
      <x:c r="F201" s="181" t="n">
        <x:v>1</x:v>
      </x:c>
      <x:c r="G201" s="67" t="n">
        <x:v>0.8333333333333334</x:v>
      </x:c>
      <x:c r="H201"/>
      <x:c r="I201" s="65" t="n">
        <x:v>32</x:v>
      </x:c>
      <x:c r="J201" s="65" t="str">
        <x:v>塞内加尔</x:v>
      </x:c>
      <x:c r="K201" s="82" t="n">
        <x:v>5</x:v>
      </x:c>
      <x:c r="L201" s="82" t="n">
        <x:v>5</x:v>
      </x:c>
      <x:c r="M201" s="67" t="n">
        <x:v>3</x:v>
      </x:c>
      <x:c r="N201" s="181" t="n">
        <x:v>0.8</x:v>
      </x:c>
      <x:c r="O201" s="67" t="n">
        <x:v>0.6</x:v>
      </x:c>
    </x:row>
    <x:row r="202" ht="24" customHeight="1">
      <x:c r="A202" s="65" t="n">
        <x:v>33</x:v>
      </x:c>
      <x:c r="B202" s="65" t="str">
        <x:v>科特迪瓦</x:v>
      </x:c>
      <x:c r="C202" s="82" t="n">
        <x:v>5</x:v>
      </x:c>
      <x:c r="D202" s="82" t="n">
        <x:v>5</x:v>
      </x:c>
      <x:c r="E202" s="67" t="n">
        <x:v>2.5</x:v>
      </x:c>
      <x:c r="F202" s="181" t="n">
        <x:v>0.8</x:v>
      </x:c>
      <x:c r="G202" s="67" t="n">
        <x:v>0.5</x:v>
      </x:c>
      <x:c r="H202"/>
      <x:c r="I202" s="65" t="n">
        <x:v>33</x:v>
      </x:c>
      <x:c r="J202" s="65" t="str">
        <x:v>天狼星（IK Sirius）</x:v>
      </x:c>
      <x:c r="K202" s="82" t="n">
        <x:v>5</x:v>
      </x:c>
      <x:c r="L202" s="82" t="n">
        <x:v>5</x:v>
      </x:c>
      <x:c r="M202" s="67" t="n">
        <x:v>3</x:v>
      </x:c>
      <x:c r="N202" s="181" t="n">
        <x:v>0.8</x:v>
      </x:c>
      <x:c r="O202" s="67" t="n">
        <x:v>0.6</x:v>
      </x:c>
    </x:row>
    <x:row r="203" ht="24" customHeight="1">
      <x:c r="A203" s="65" t="n">
        <x:v>34</x:v>
      </x:c>
      <x:c r="B203" s="65" t="str">
        <x:v>佩斯克谏义里</x:v>
      </x:c>
      <x:c r="C203" s="82" t="n">
        <x:v>4</x:v>
      </x:c>
      <x:c r="D203" s="82" t="n">
        <x:v>4</x:v>
      </x:c>
      <x:c r="E203" s="67" t="n">
        <x:v>2.5</x:v>
      </x:c>
      <x:c r="F203" s="181" t="n">
        <x:v>0.75</x:v>
      </x:c>
      <x:c r="G203" s="67" t="n">
        <x:v>0.625</x:v>
      </x:c>
      <x:c r="H203"/>
      <x:c r="I203" s="65" t="n">
        <x:v>34</x:v>
      </x:c>
      <x:c r="J203" s="65" t="str">
        <x:v>科特迪瓦</x:v>
      </x:c>
      <x:c r="K203" s="82" t="n">
        <x:v>5</x:v>
      </x:c>
      <x:c r="L203" s="82" t="n">
        <x:v>5</x:v>
      </x:c>
      <x:c r="M203" s="67" t="n">
        <x:v>3</x:v>
      </x:c>
      <x:c r="N203" s="181" t="n">
        <x:v>0.8</x:v>
      </x:c>
      <x:c r="O203" s="67" t="n">
        <x:v>0.6</x:v>
      </x:c>
    </x:row>
    <x:row r="204" ht="24" customHeight="1">
      <x:c r="A204" s="65" t="n">
        <x:v>35</x:v>
      </x:c>
      <x:c r="B204" s="65" t="str">
        <x:v>利物浦（Liverpool）</x:v>
      </x:c>
      <x:c r="C204" s="82" t="n">
        <x:v>4</x:v>
      </x:c>
      <x:c r="D204" s="82" t="n">
        <x:v>4</x:v>
      </x:c>
      <x:c r="E204" s="67" t="n">
        <x:v>2.5</x:v>
      </x:c>
      <x:c r="F204" s="181" t="n">
        <x:v>0.75</x:v>
      </x:c>
      <x:c r="G204" s="67" t="n">
        <x:v>0.625</x:v>
      </x:c>
      <x:c r="H204"/>
      <x:c r="I204" s="65" t="n">
        <x:v>35</x:v>
      </x:c>
      <x:c r="J204" s="65" t="str">
        <x:v>米尔沃尔</x:v>
      </x:c>
      <x:c r="K204" s="82" t="n">
        <x:v>5</x:v>
      </x:c>
      <x:c r="L204" s="82" t="n">
        <x:v>5</x:v>
      </x:c>
      <x:c r="M204" s="67" t="n">
        <x:v>3</x:v>
      </x:c>
      <x:c r="N204" s="181" t="n">
        <x:v>0.8</x:v>
      </x:c>
      <x:c r="O204" s="67" t="n">
        <x:v>0.6</x:v>
      </x:c>
    </x:row>
    <x:row r="205" ht="24" customHeight="1">
      <x:c r="A205" s="65" t="n">
        <x:v>36</x:v>
      </x:c>
      <x:c r="B205" s="65" t="str">
        <x:v>阿尔及利亚</x:v>
      </x:c>
      <x:c r="C205" s="82" t="n">
        <x:v>4</x:v>
      </x:c>
      <x:c r="D205" s="82" t="n">
        <x:v>4</x:v>
      </x:c>
      <x:c r="E205" s="67" t="n">
        <x:v>2.5</x:v>
      </x:c>
      <x:c r="F205" s="181" t="n">
        <x:v>0.75</x:v>
      </x:c>
      <x:c r="G205" s="67" t="n">
        <x:v>0.625</x:v>
      </x:c>
      <x:c r="H205"/>
      <x:c r="I205" s="65" t="n">
        <x:v>36</x:v>
      </x:c>
      <x:c r="J205" s="65" t="str">
        <x:v>莫亨巴根超级巨人（Mohun Bagan Super Giant）</x:v>
      </x:c>
      <x:c r="K205" s="82" t="n">
        <x:v>5</x:v>
      </x:c>
      <x:c r="L205" s="82" t="n">
        <x:v>5</x:v>
      </x:c>
      <x:c r="M205" s="67" t="n">
        <x:v>3</x:v>
      </x:c>
      <x:c r="N205" s="181" t="n">
        <x:v>0.8</x:v>
      </x:c>
      <x:c r="O205" s="67" t="n">
        <x:v>0.6</x:v>
      </x:c>
    </x:row>
    <x:row r="206" ht="24" customHeight="1">
      <x:c r="A206" s="65" t="n">
        <x:v>37</x:v>
      </x:c>
      <x:c r="B206" s="65" t="str">
        <x:v>佩西加雅加达（Persija Jakarta）</x:v>
      </x:c>
      <x:c r="C206" s="82" t="n">
        <x:v>7</x:v>
      </x:c>
      <x:c r="D206" s="82" t="n">
        <x:v>7</x:v>
      </x:c>
      <x:c r="E206" s="67" t="n">
        <x:v>2.5</x:v>
      </x:c>
      <x:c r="F206" s="181" t="n">
        <x:v>0.7142857142857143</x:v>
      </x:c>
      <x:c r="G206" s="67" t="n">
        <x:v>0.35714285714285715</x:v>
      </x:c>
      <x:c r="H206"/>
      <x:c r="I206" s="65" t="n">
        <x:v>37</x:v>
      </x:c>
      <x:c r="J206" s="65" t="str">
        <x:v>巴克伦佛（PSBS Biak Numfor）</x:v>
      </x:c>
      <x:c r="K206" s="82" t="n">
        <x:v>4</x:v>
      </x:c>
      <x:c r="L206" s="82" t="n">
        <x:v>4</x:v>
      </x:c>
      <x:c r="M206" s="67" t="n">
        <x:v>3</x:v>
      </x:c>
      <x:c r="N206" s="181" t="n">
        <x:v>0.75</x:v>
      </x:c>
      <x:c r="O206" s="67" t="n">
        <x:v>0.75</x:v>
      </x:c>
    </x:row>
    <x:row r="207" ht="24" customHeight="1">
      <x:c r="A207" s="65" t="n">
        <x:v>38</x:v>
      </x:c>
      <x:c r="B207" s="65" t="str">
        <x:v>比利时</x:v>
      </x:c>
      <x:c r="C207" s="82" t="n">
        <x:v>6</x:v>
      </x:c>
      <x:c r="D207" s="82" t="n">
        <x:v>6</x:v>
      </x:c>
      <x:c r="E207" s="67" t="n">
        <x:v>2.5</x:v>
      </x:c>
      <x:c r="F207" s="181" t="n">
        <x:v>0.6666666666666666</x:v>
      </x:c>
      <x:c r="G207" s="67" t="n">
        <x:v>0.4166666666666667</x:v>
      </x:c>
      <x:c r="H207"/>
      <x:c r="I207" s="65" t="n">
        <x:v>38</x:v>
      </x:c>
      <x:c r="J207" s="65" t="str">
        <x:v>布伦瑞克（Eintracht Braunschweig）</x:v>
      </x:c>
      <x:c r="K207" s="82" t="n">
        <x:v>4</x:v>
      </x:c>
      <x:c r="L207" s="82" t="n">
        <x:v>4</x:v>
      </x:c>
      <x:c r="M207" s="67" t="n">
        <x:v>3</x:v>
      </x:c>
      <x:c r="N207" s="181" t="n">
        <x:v>0.75</x:v>
      </x:c>
      <x:c r="O207" s="67" t="n">
        <x:v>0.75</x:v>
      </x:c>
    </x:row>
    <x:row r="208" ht="24" customHeight="1">
      <x:c r="A208" s="65" t="n">
        <x:v>39</x:v>
      </x:c>
      <x:c r="B208" s="65" t="str">
        <x:v>VPS瓦萨（Vaasan Palloseura）</x:v>
      </x:c>
      <x:c r="C208" s="82" t="n">
        <x:v>2</x:v>
      </x:c>
      <x:c r="D208" s="82" t="n">
        <x:v>2</x:v>
      </x:c>
      <x:c r="E208" s="67" t="n">
        <x:v>2</x:v>
      </x:c>
      <x:c r="F208" s="181" t="n">
        <x:v>1</x:v>
      </x:c>
      <x:c r="G208" s="67" t="n">
        <x:v>1</x:v>
      </x:c>
      <x:c r="H208"/>
      <x:c r="I208" s="65" t="n">
        <x:v>39</x:v>
      </x:c>
      <x:c r="J208" s="65" t="str">
        <x:v>布林狮子（Bulleen Lions）</x:v>
      </x:c>
      <x:c r="K208" s="82" t="n">
        <x:v>7</x:v>
      </x:c>
      <x:c r="L208" s="82" t="n">
        <x:v>7</x:v>
      </x:c>
      <x:c r="M208" s="67" t="n">
        <x:v>3</x:v>
      </x:c>
      <x:c r="N208" s="181" t="n">
        <x:v>0.7142857142857143</x:v>
      </x:c>
      <x:c r="O208" s="67" t="n">
        <x:v>0.42857142857142855</x:v>
      </x:c>
    </x:row>
    <x:row r="209" ht="24" customHeight="1">
      <x:c r="A209" s="65" t="n">
        <x:v>40</x:v>
      </x:c>
      <x:c r="B209" s="65" t="str">
        <x:v>上海申花（Shanghai Shenhua）</x:v>
      </x:c>
      <x:c r="C209" s="82" t="n">
        <x:v>2</x:v>
      </x:c>
      <x:c r="D209" s="82" t="n">
        <x:v>2</x:v>
      </x:c>
      <x:c r="E209" s="67" t="n">
        <x:v>2</x:v>
      </x:c>
      <x:c r="F209" s="181" t="n">
        <x:v>1</x:v>
      </x:c>
      <x:c r="G209" s="67" t="n">
        <x:v>1</x:v>
      </x:c>
      <x:c r="H209"/>
      <x:c r="I209" s="65" t="n">
        <x:v>40</x:v>
      </x:c>
      <x:c r="J209" s="65" t="str">
        <x:v>巴塞罗那</x:v>
      </x:c>
      <x:c r="K209" s="82" t="n">
        <x:v>3</x:v>
      </x:c>
      <x:c r="L209" s="82" t="n">
        <x:v>3</x:v>
      </x:c>
      <x:c r="M209" s="67" t="n">
        <x:v>2.5</x:v>
      </x:c>
      <x:c r="N209" s="181" t="n">
        <x:v>1</x:v>
      </x:c>
      <x:c r="O209" s="67" t="n">
        <x:v>0.8333333333333334</x:v>
      </x:c>
    </x:row>
    <x:row r="210" ht="24" customHeight="1">
      <x:c r="A210" s="65" t="n">
        <x:v>41</x:v>
      </x:c>
      <x:c r="B210" s="65" t="str">
        <x:v>丹德农迅雷（Dandenong Thunder）</x:v>
      </x:c>
      <x:c r="C210" s="82" t="n">
        <x:v>2</x:v>
      </x:c>
      <x:c r="D210" s="82" t="n">
        <x:v>2</x:v>
      </x:c>
      <x:c r="E210" s="67" t="n">
        <x:v>2</x:v>
      </x:c>
      <x:c r="F210" s="181" t="n">
        <x:v>1</x:v>
      </x:c>
      <x:c r="G210" s="67" t="n">
        <x:v>1</x:v>
      </x:c>
      <x:c r="H210"/>
      <x:c r="I210" s="65" t="n">
        <x:v>41</x:v>
      </x:c>
      <x:c r="J210" s="65" t="str">
        <x:v>布里斯班狮吼（Brisbane Roar）</x:v>
      </x:c>
      <x:c r="K210" s="82" t="n">
        <x:v>3</x:v>
      </x:c>
      <x:c r="L210" s="82" t="n">
        <x:v>3</x:v>
      </x:c>
      <x:c r="M210" s="67" t="n">
        <x:v>2.5</x:v>
      </x:c>
      <x:c r="N210" s="181" t="n">
        <x:v>1</x:v>
      </x:c>
      <x:c r="O210" s="67" t="n">
        <x:v>0.8333333333333334</x:v>
      </x:c>
    </x:row>
    <x:row r="211" ht="24" customHeight="1">
      <x:c r="A211" s="65" t="n">
        <x:v>42</x:v>
      </x:c>
      <x:c r="B211" s="65" t="str">
        <x:v>伯明翰军团（Birmingham Legion FC）</x:v>
      </x:c>
      <x:c r="C211" s="82" t="n">
        <x:v>2</x:v>
      </x:c>
      <x:c r="D211" s="82" t="n">
        <x:v>2</x:v>
      </x:c>
      <x:c r="E211" s="67" t="n">
        <x:v>2</x:v>
      </x:c>
      <x:c r="F211" s="181" t="n">
        <x:v>1</x:v>
      </x:c>
      <x:c r="G211" s="67" t="n">
        <x:v>1</x:v>
      </x:c>
      <x:c r="H211"/>
      <x:c r="I211" s="65" t="n">
        <x:v>42</x:v>
      </x:c>
      <x:c r="J211" s="65" t="str">
        <x:v>德里体育俱乐部（SC Delhi）</x:v>
      </x:c>
      <x:c r="K211" s="82" t="n">
        <x:v>3</x:v>
      </x:c>
      <x:c r="L211" s="82" t="n">
        <x:v>3</x:v>
      </x:c>
      <x:c r="M211" s="67" t="n">
        <x:v>2.5</x:v>
      </x:c>
      <x:c r="N211" s="181" t="n">
        <x:v>1</x:v>
      </x:c>
      <x:c r="O211" s="67" t="n">
        <x:v>0.8333333333333334</x:v>
      </x:c>
    </x:row>
    <x:row r="212" ht="24" customHeight="1">
      <x:c r="A212" s="65" t="n">
        <x:v>43</x:v>
      </x:c>
      <x:c r="B212" s="65" t="str">
        <x:v>伯明翰城（Birmingham City）</x:v>
      </x:c>
      <x:c r="C212" s="82" t="n">
        <x:v>3</x:v>
      </x:c>
      <x:c r="D212" s="82" t="n">
        <x:v>2</x:v>
      </x:c>
      <x:c r="E212" s="67" t="n">
        <x:v>2</x:v>
      </x:c>
      <x:c r="F212" s="181" t="n">
        <x:v>1</x:v>
      </x:c>
      <x:c r="G212" s="67" t="n">
        <x:v>1</x:v>
      </x:c>
      <x:c r="H212"/>
      <x:c r="I212" s="65" t="n">
        <x:v>43</x:v>
      </x:c>
      <x:c r="J212" s="65" t="str">
        <x:v>科尔多瓦中央（Central Córdoba SdE）</x:v>
      </x:c>
      <x:c r="K212" s="82" t="n">
        <x:v>3</x:v>
      </x:c>
      <x:c r="L212" s="82" t="n">
        <x:v>3</x:v>
      </x:c>
      <x:c r="M212" s="67" t="n">
        <x:v>2.5</x:v>
      </x:c>
      <x:c r="N212" s="181" t="n">
        <x:v>1</x:v>
      </x:c>
      <x:c r="O212" s="67" t="n">
        <x:v>0.8333333333333334</x:v>
      </x:c>
    </x:row>
    <x:row r="213" ht="24" customHeight="1">
      <x:c r="A213" s="65" t="n">
        <x:v>44</x:v>
      </x:c>
      <x:c r="B213" s="65" t="str">
        <x:v>最强者</x:v>
      </x:c>
      <x:c r="C213" s="82" t="n">
        <x:v>2</x:v>
      </x:c>
      <x:c r="D213" s="82" t="n">
        <x:v>2</x:v>
      </x:c>
      <x:c r="E213" s="67" t="n">
        <x:v>2</x:v>
      </x:c>
      <x:c r="F213" s="181" t="n">
        <x:v>1</x:v>
      </x:c>
      <x:c r="G213" s="67" t="n">
        <x:v>1</x:v>
      </x:c>
      <x:c r="H213"/>
      <x:c r="I213" s="65" t="n">
        <x:v>44</x:v>
      </x:c>
      <x:c r="J213" s="65" t="str">
        <x:v>竞技俱乐部（Racing Club）</x:v>
      </x:c>
      <x:c r="K213" s="82" t="n">
        <x:v>3</x:v>
      </x:c>
      <x:c r="L213" s="82" t="n">
        <x:v>3</x:v>
      </x:c>
      <x:c r="M213" s="67" t="n">
        <x:v>2.5</x:v>
      </x:c>
      <x:c r="N213" s="181" t="n">
        <x:v>1</x:v>
      </x:c>
      <x:c r="O213" s="67" t="n">
        <x:v>0.8333333333333334</x:v>
      </x:c>
    </x:row>
    <x:row r="214" ht="24" customHeight="1">
      <x:c r="A214" s="65" t="n">
        <x:v>45</x:v>
      </x:c>
      <x:c r="B214" s="65" t="str">
        <x:v>卡利亚里（Cagliari Calcio）</x:v>
      </x:c>
      <x:c r="C214" s="82" t="n">
        <x:v>2</x:v>
      </x:c>
      <x:c r="D214" s="82" t="n">
        <x:v>2</x:v>
      </x:c>
      <x:c r="E214" s="67" t="n">
        <x:v>2</x:v>
      </x:c>
      <x:c r="F214" s="181" t="n">
        <x:v>1</x:v>
      </x:c>
      <x:c r="G214" s="67" t="n">
        <x:v>1</x:v>
      </x:c>
      <x:c r="H214"/>
      <x:c r="I214" s="65" t="n">
        <x:v>45</x:v>
      </x:c>
      <x:c r="J214" s="65" t="str">
        <x:v>西布罗姆维奇</x:v>
      </x:c>
      <x:c r="K214" s="82" t="n">
        <x:v>3</x:v>
      </x:c>
      <x:c r="L214" s="82" t="n">
        <x:v>3</x:v>
      </x:c>
      <x:c r="M214" s="67" t="n">
        <x:v>2.5</x:v>
      </x:c>
      <x:c r="N214" s="181" t="n">
        <x:v>1</x:v>
      </x:c>
      <x:c r="O214" s="67" t="n">
        <x:v>0.8333333333333334</x:v>
      </x:c>
    </x:row>
    <x:row r="215" ht="24" customHeight="1">
      <x:c r="A215" s="65" t="n">
        <x:v>46</x:v>
      </x:c>
      <x:c r="B215" s="65" t="str">
        <x:v>名古屋鲸鱼</x:v>
      </x:c>
      <x:c r="C215" s="82" t="n">
        <x:v>2</x:v>
      </x:c>
      <x:c r="D215" s="82" t="n">
        <x:v>2</x:v>
      </x:c>
      <x:c r="E215" s="67" t="n">
        <x:v>2</x:v>
      </x:c>
      <x:c r="F215" s="181" t="n">
        <x:v>1</x:v>
      </x:c>
      <x:c r="G215" s="67" t="n">
        <x:v>1</x:v>
      </x:c>
      <x:c r="H215"/>
      <x:c r="I215" s="65" t="n">
        <x:v>46</x:v>
      </x:c>
      <x:c r="J215" s="65" t="str">
        <x:v>里奥内格罗老鹰</x:v>
      </x:c>
      <x:c r="K215" s="82" t="n">
        <x:v>3</x:v>
      </x:c>
      <x:c r="L215" s="82" t="n">
        <x:v>3</x:v>
      </x:c>
      <x:c r="M215" s="67" t="n">
        <x:v>2.5</x:v>
      </x:c>
      <x:c r="N215" s="181" t="n">
        <x:v>1</x:v>
      </x:c>
      <x:c r="O215" s="67" t="n">
        <x:v>0.8333333333333334</x:v>
      </x:c>
    </x:row>
    <x:row r="216" ht="24" customHeight="1">
      <x:c r="A216" s="65" t="n">
        <x:v>47</x:v>
      </x:c>
      <x:c r="B216" s="65" t="str">
        <x:v>圣路易斯城</x:v>
      </x:c>
      <x:c r="C216" s="82" t="n">
        <x:v>2</x:v>
      </x:c>
      <x:c r="D216" s="82" t="n">
        <x:v>2</x:v>
      </x:c>
      <x:c r="E216" s="67" t="n">
        <x:v>2</x:v>
      </x:c>
      <x:c r="F216" s="181" t="n">
        <x:v>1</x:v>
      </x:c>
      <x:c r="G216" s="67" t="n">
        <x:v>1</x:v>
      </x:c>
      <x:c r="H216"/>
      <x:c r="I216" s="65" t="n">
        <x:v>47</x:v>
      </x:c>
      <x:c r="J216" s="65" t="str">
        <x:v>全北现代</x:v>
      </x:c>
      <x:c r="K216" s="82" t="n">
        <x:v>5</x:v>
      </x:c>
      <x:c r="L216" s="82" t="n">
        <x:v>5</x:v>
      </x:c>
      <x:c r="M216" s="67" t="n">
        <x:v>2.5</x:v>
      </x:c>
      <x:c r="N216" s="181" t="n">
        <x:v>0.8</x:v>
      </x:c>
      <x:c r="O216" s="67" t="n">
        <x:v>0.5</x:v>
      </x:c>
    </x:row>
    <x:row r="217" ht="24" customHeight="1">
      <x:c r="A217" s="65" t="n">
        <x:v>48</x:v>
      </x:c>
      <x:c r="B217" s="65" t="str">
        <x:v>埃尔帕索机车（El Paso Locomotive FC）</x:v>
      </x:c>
      <x:c r="C217" s="82" t="n">
        <x:v>2</x:v>
      </x:c>
      <x:c r="D217" s="82" t="n">
        <x:v>2</x:v>
      </x:c>
      <x:c r="E217" s="67" t="n">
        <x:v>2</x:v>
      </x:c>
      <x:c r="F217" s="181" t="n">
        <x:v>1</x:v>
      </x:c>
      <x:c r="G217" s="67" t="n">
        <x:v>1</x:v>
      </x:c>
      <x:c r="H217"/>
      <x:c r="I217" s="65" t="n">
        <x:v>48</x:v>
      </x:c>
      <x:c r="J217" s="65" t="str">
        <x:v>南墨尔本（South Melbourne）</x:v>
      </x:c>
      <x:c r="K217" s="82" t="n">
        <x:v>5</x:v>
      </x:c>
      <x:c r="L217" s="82" t="n">
        <x:v>5</x:v>
      </x:c>
      <x:c r="M217" s="67" t="n">
        <x:v>2.5</x:v>
      </x:c>
      <x:c r="N217" s="181" t="n">
        <x:v>0.8</x:v>
      </x:c>
      <x:c r="O217" s="67" t="n">
        <x:v>0.5</x:v>
      </x:c>
    </x:row>
    <x:row r="218" ht="24" customHeight="1">
      <x:c r="A218" s="65" t="n">
        <x:v>49</x:v>
      </x:c>
      <x:c r="B218" s="65" t="str">
        <x:v>塔司塔坦格朗（Persita Tangerang）</x:v>
      </x:c>
      <x:c r="C218" s="82" t="n">
        <x:v>2</x:v>
      </x:c>
      <x:c r="D218" s="82" t="n">
        <x:v>2</x:v>
      </x:c>
      <x:c r="E218" s="67" t="n">
        <x:v>2</x:v>
      </x:c>
      <x:c r="F218" s="181" t="n">
        <x:v>1</x:v>
      </x:c>
      <x:c r="G218" s="67" t="n">
        <x:v>1</x:v>
      </x:c>
      <x:c r="H218"/>
      <x:c r="I218" s="65" t="n">
        <x:v>49</x:v>
      </x:c>
      <x:c r="J218" s="65" t="str">
        <x:v>福塔雷绍查（Fortaleza CEIF）</x:v>
      </x:c>
      <x:c r="K218" s="82" t="n">
        <x:v>7</x:v>
      </x:c>
      <x:c r="L218" s="82" t="n">
        <x:v>7</x:v>
      </x:c>
      <x:c r="M218" s="67" t="n">
        <x:v>2.5</x:v>
      </x:c>
      <x:c r="N218" s="181" t="n">
        <x:v>0.7142857142857143</x:v>
      </x:c>
      <x:c r="O218" s="67" t="n">
        <x:v>0.35714285714285715</x:v>
      </x:c>
    </x:row>
    <x:row r="219" ht="24" customHeight="1">
      <x:c r="A219" s="65" t="n">
        <x:v>50</x:v>
      </x:c>
      <x:c r="B219" s="65" t="str">
        <x:v>塔巴蒂奥</x:v>
      </x:c>
      <x:c r="C219" s="82" t="n">
        <x:v>2</x:v>
      </x:c>
      <x:c r="D219" s="82" t="n">
        <x:v>2</x:v>
      </x:c>
      <x:c r="E219" s="67" t="n">
        <x:v>2</x:v>
      </x:c>
      <x:c r="F219" s="181" t="n">
        <x:v>1</x:v>
      </x:c>
      <x:c r="G219" s="67" t="n">
        <x:v>1</x:v>
      </x:c>
      <x:c r="H219"/>
      <x:c r="I219" s="65" t="n">
        <x:v>50</x:v>
      </x:c>
      <x:c r="J219" s="65" t="str">
        <x:v>维罗纳</x:v>
      </x:c>
      <x:c r="K219" s="82" t="n">
        <x:v>7</x:v>
      </x:c>
      <x:c r="L219" s="82" t="n">
        <x:v>7</x:v>
      </x:c>
      <x:c r="M219" s="67" t="n">
        <x:v>2.5</x:v>
      </x:c>
      <x:c r="N219" s="181" t="n">
        <x:v>0.7142857142857143</x:v>
      </x:c>
      <x:c r="O219" s="67" t="n">
        <x:v>0.35714285714285715</x:v>
      </x:c>
    </x:row>
    <x:row r="220" ht="24" customHeight="1">
      <x:c r="A220" s="65" t="n">
        <x:v>51</x:v>
      </x:c>
      <x:c r="B220" s="65" t="str">
        <x:v>塞曼巴东</x:v>
      </x:c>
      <x:c r="C220" s="82" t="n">
        <x:v>2</x:v>
      </x:c>
      <x:c r="D220" s="82" t="n">
        <x:v>2</x:v>
      </x:c>
      <x:c r="E220" s="67" t="n">
        <x:v>2</x:v>
      </x:c>
      <x:c r="F220" s="181" t="n">
        <x:v>1</x:v>
      </x:c>
      <x:c r="G220" s="67" t="n">
        <x:v>1</x:v>
      </x:c>
      <x:c r="H220"/>
      <x:c r="I220" s="65" t="n">
        <x:v>51</x:v>
      </x:c>
      <x:c r="J220" s="65" t="str">
        <x:v>老虎大学</x:v>
      </x:c>
      <x:c r="K220" s="82" t="n">
        <x:v>7</x:v>
      </x:c>
      <x:c r="L220" s="82" t="n">
        <x:v>7</x:v>
      </x:c>
      <x:c r="M220" s="67" t="n">
        <x:v>2.5</x:v>
      </x:c>
      <x:c r="N220" s="181" t="n">
        <x:v>0.7142857142857143</x:v>
      </x:c>
      <x:c r="O220" s="67" t="n">
        <x:v>0.35714285714285715</x:v>
      </x:c>
    </x:row>
    <x:row r="221" ht="24" customHeight="1">
      <x:c r="A221" s="65" t="n">
        <x:v>52</x:v>
      </x:c>
      <x:c r="B221" s="65" t="str">
        <x:v>多拉多斯</x:v>
      </x:c>
      <x:c r="C221" s="82" t="n">
        <x:v>2</x:v>
      </x:c>
      <x:c r="D221" s="82" t="n">
        <x:v>2</x:v>
      </x:c>
      <x:c r="E221" s="67" t="n">
        <x:v>2</x:v>
      </x:c>
      <x:c r="F221" s="181" t="n">
        <x:v>1</x:v>
      </x:c>
      <x:c r="G221" s="67" t="n">
        <x:v>1</x:v>
      </x:c>
      <x:c r="H221"/>
      <x:c r="I221" s="65" t="n">
        <x:v>52</x:v>
      </x:c>
      <x:c r="J221" s="65" t="str">
        <x:v>PSM马卡萨</x:v>
      </x:c>
      <x:c r="K221" s="82" t="n">
        <x:v>6</x:v>
      </x:c>
      <x:c r="L221" s="82" t="n">
        <x:v>6</x:v>
      </x:c>
      <x:c r="M221" s="67" t="n">
        <x:v>2.5</x:v>
      </x:c>
      <x:c r="N221" s="181" t="n">
        <x:v>0.6666666666666666</x:v>
      </x:c>
      <x:c r="O221" s="67" t="n">
        <x:v>0.4166666666666667</x:v>
      </x:c>
    </x:row>
    <x:row r="222" ht="24" customHeight="1">
      <x:c r="A222" s="65" t="n">
        <x:v>53</x:v>
      </x:c>
      <x:c r="B222" s="65" t="str">
        <x:v>大田市民（Daejeon Hana Citizen）</x:v>
      </x:c>
      <x:c r="C222" s="82" t="n">
        <x:v>2</x:v>
      </x:c>
      <x:c r="D222" s="82" t="n">
        <x:v>2</x:v>
      </x:c>
      <x:c r="E222" s="67" t="n">
        <x:v>2</x:v>
      </x:c>
      <x:c r="F222" s="181" t="n">
        <x:v>1</x:v>
      </x:c>
      <x:c r="G222" s="67" t="n">
        <x:v>1</x:v>
      </x:c>
      <x:c r="H222"/>
      <x:c r="I222" s="65" t="n">
        <x:v>53</x:v>
      </x:c>
      <x:c r="J222" s="65" t="str">
        <x:v>拉尼罗斯（Llaneros FC）</x:v>
      </x:c>
      <x:c r="K222" s="82" t="n">
        <x:v>7</x:v>
      </x:c>
      <x:c r="L222" s="82" t="n">
        <x:v>6</x:v>
      </x:c>
      <x:c r="M222" s="67" t="n">
        <x:v>2.5</x:v>
      </x:c>
      <x:c r="N222" s="181" t="n">
        <x:v>0.6666666666666666</x:v>
      </x:c>
      <x:c r="O222" s="67" t="n">
        <x:v>0.4166666666666667</x:v>
      </x:c>
    </x:row>
    <x:row r="223" ht="24" customHeight="1">
      <x:c r="A223" s="65" t="n">
        <x:v>54</x:v>
      </x:c>
      <x:c r="B223" s="65" t="str">
        <x:v>婆罗洲FC</x:v>
      </x:c>
      <x:c r="C223" s="82" t="n">
        <x:v>2</x:v>
      </x:c>
      <x:c r="D223" s="82" t="n">
        <x:v>2</x:v>
      </x:c>
      <x:c r="E223" s="67" t="n">
        <x:v>2</x:v>
      </x:c>
      <x:c r="F223" s="181" t="n">
        <x:v>1</x:v>
      </x:c>
      <x:c r="G223" s="67" t="n">
        <x:v>1</x:v>
      </x:c>
      <x:c r="H223"/>
      <x:c r="I223" s="65" t="n">
        <x:v>54</x:v>
      </x:c>
      <x:c r="J223" s="65" t="str">
        <x:v>VPS瓦萨（Vaasan Palloseura）</x:v>
      </x:c>
      <x:c r="K223" s="82" t="n">
        <x:v>2</x:v>
      </x:c>
      <x:c r="L223" s="82" t="n">
        <x:v>2</x:v>
      </x:c>
      <x:c r="M223" s="67" t="n">
        <x:v>2</x:v>
      </x:c>
      <x:c r="N223" s="181" t="n">
        <x:v>1</x:v>
      </x:c>
      <x:c r="O223" s="67" t="n">
        <x:v>1</x:v>
      </x:c>
    </x:row>
    <x:row r="224" ht="24" customHeight="1">
      <x:c r="A224" s="65" t="n">
        <x:v>55</x:v>
      </x:c>
      <x:c r="B224" s="65" t="str">
        <x:v>婆罗洲FC萨马林达</x:v>
      </x:c>
      <x:c r="C224" s="82" t="n">
        <x:v>2</x:v>
      </x:c>
      <x:c r="D224" s="82" t="n">
        <x:v>2</x:v>
      </x:c>
      <x:c r="E224" s="67" t="n">
        <x:v>2</x:v>
      </x:c>
      <x:c r="F224" s="181" t="n">
        <x:v>1</x:v>
      </x:c>
      <x:c r="G224" s="67" t="n">
        <x:v>1</x:v>
      </x:c>
      <x:c r="H224"/>
      <x:c r="I224" s="65" t="n">
        <x:v>55</x:v>
      </x:c>
      <x:c r="J224" s="65" t="str">
        <x:v>上海海港（Shanghai Port）</x:v>
      </x:c>
      <x:c r="K224" s="82" t="n">
        <x:v>2</x:v>
      </x:c>
      <x:c r="L224" s="82" t="n">
        <x:v>2</x:v>
      </x:c>
      <x:c r="M224" s="67" t="n">
        <x:v>2</x:v>
      </x:c>
      <x:c r="N224" s="181" t="n">
        <x:v>1</x:v>
      </x:c>
      <x:c r="O224" s="67" t="n">
        <x:v>1</x:v>
      </x:c>
    </x:row>
    <x:row r="225" ht="24" customHeight="1">
      <x:c r="A225" s="65" t="n">
        <x:v>56</x:v>
      </x:c>
      <x:c r="B225" s="65" t="str">
        <x:v>巴杨卡拉泗水联（Bhayangkara FC）</x:v>
      </x:c>
      <x:c r="C225" s="82" t="n">
        <x:v>2</x:v>
      </x:c>
      <x:c r="D225" s="82" t="n">
        <x:v>2</x:v>
      </x:c>
      <x:c r="E225" s="67" t="n">
        <x:v>2</x:v>
      </x:c>
      <x:c r="F225" s="181" t="n">
        <x:v>1</x:v>
      </x:c>
      <x:c r="G225" s="67" t="n">
        <x:v>1</x:v>
      </x:c>
      <x:c r="H225"/>
      <x:c r="I225" s="65" t="n">
        <x:v>56</x:v>
      </x:c>
      <x:c r="J225" s="65" t="str">
        <x:v>上海申花（Shanghai Shenhua）</x:v>
      </x:c>
      <x:c r="K225" s="82" t="n">
        <x:v>2</x:v>
      </x:c>
      <x:c r="L225" s="82" t="n">
        <x:v>2</x:v>
      </x:c>
      <x:c r="M225" s="67" t="n">
        <x:v>2</x:v>
      </x:c>
      <x:c r="N225" s="181" t="n">
        <x:v>1</x:v>
      </x:c>
      <x:c r="O225" s="67" t="n">
        <x:v>1</x:v>
      </x:c>
    </x:row>
    <x:row r="226" ht="24" customHeight="1">
      <x:c r="A226" s="65" t="n">
        <x:v>57</x:v>
      </x:c>
      <x:c r="B226" s="65" t="str">
        <x:v>巴西国际（Internacional）</x:v>
      </x:c>
      <x:c r="C226" s="82" t="n">
        <x:v>2</x:v>
      </x:c>
      <x:c r="D226" s="82" t="n">
        <x:v>2</x:v>
      </x:c>
      <x:c r="E226" s="67" t="n">
        <x:v>2</x:v>
      </x:c>
      <x:c r="F226" s="181" t="n">
        <x:v>1</x:v>
      </x:c>
      <x:c r="G226" s="67" t="n">
        <x:v>1</x:v>
      </x:c>
      <x:c r="H226"/>
      <x:c r="I226" s="65" t="n">
        <x:v>57</x:v>
      </x:c>
      <x:c r="J226" s="65" t="str">
        <x:v>丹德农市（Dandenong City SC）</x:v>
      </x:c>
      <x:c r="K226" s="82" t="n">
        <x:v>2</x:v>
      </x:c>
      <x:c r="L226" s="82" t="n">
        <x:v>2</x:v>
      </x:c>
      <x:c r="M226" s="67" t="n">
        <x:v>2</x:v>
      </x:c>
      <x:c r="N226" s="181" t="n">
        <x:v>1</x:v>
      </x:c>
      <x:c r="O226" s="67" t="n">
        <x:v>1</x:v>
      </x:c>
    </x:row>
    <x:row r="227" ht="24" customHeight="1">
      <x:c r="A227" s="65" t="n">
        <x:v>58</x:v>
      </x:c>
      <x:c r="B227" s="65" t="str">
        <x:v>库拉索</x:v>
      </x:c>
      <x:c r="C227" s="82" t="n">
        <x:v>2</x:v>
      </x:c>
      <x:c r="D227" s="82" t="n">
        <x:v>2</x:v>
      </x:c>
      <x:c r="E227" s="67" t="n">
        <x:v>2</x:v>
      </x:c>
      <x:c r="F227" s="181" t="n">
        <x:v>1</x:v>
      </x:c>
      <x:c r="G227" s="67" t="n">
        <x:v>1</x:v>
      </x:c>
      <x:c r="H227"/>
      <x:c r="I227" s="65" t="n">
        <x:v>58</x:v>
      </x:c>
      <x:c r="J227" s="65" t="str">
        <x:v>丹德农市（Dandenong City）</x:v>
      </x:c>
      <x:c r="K227" s="82" t="n">
        <x:v>2</x:v>
      </x:c>
      <x:c r="L227" s="82" t="n">
        <x:v>2</x:v>
      </x:c>
      <x:c r="M227" s="67" t="n">
        <x:v>2</x:v>
      </x:c>
      <x:c r="N227" s="181" t="n">
        <x:v>1</x:v>
      </x:c>
      <x:c r="O227" s="67" t="n">
        <x:v>1</x:v>
      </x:c>
    </x:row>
    <x:row r="228" ht="24" customHeight="1">
      <x:c r="A228" s="65" t="n">
        <x:v>59</x:v>
      </x:c>
      <x:c r="B228" s="65" t="str">
        <x:v>弗拉门戈（Flamengo）</x:v>
      </x:c>
      <x:c r="C228" s="82" t="n">
        <x:v>2</x:v>
      </x:c>
      <x:c r="D228" s="82" t="n">
        <x:v>2</x:v>
      </x:c>
      <x:c r="E228" s="67" t="n">
        <x:v>2</x:v>
      </x:c>
      <x:c r="F228" s="181" t="n">
        <x:v>1</x:v>
      </x:c>
      <x:c r="G228" s="67" t="n">
        <x:v>1</x:v>
      </x:c>
      <x:c r="H228"/>
      <x:c r="I228" s="65" t="n">
        <x:v>59</x:v>
      </x:c>
      <x:c r="J228" s="65" t="str">
        <x:v>伯明翰城（Birmingham City）</x:v>
      </x:c>
      <x:c r="K228" s="82" t="n">
        <x:v>3</x:v>
      </x:c>
      <x:c r="L228" s="82" t="n">
        <x:v>2</x:v>
      </x:c>
      <x:c r="M228" s="67" t="n">
        <x:v>2</x:v>
      </x:c>
      <x:c r="N228" s="181" t="n">
        <x:v>1</x:v>
      </x:c>
      <x:c r="O228" s="67" t="n">
        <x:v>1</x:v>
      </x:c>
    </x:row>
    <x:row r="229" ht="24" customHeight="1">
      <x:c r="A229" s="65" t="n">
        <x:v>60</x:v>
      </x:c>
      <x:c r="B229" s="65" t="str">
        <x:v>悉尼联58</x:v>
      </x:c>
      <x:c r="C229" s="82" t="n">
        <x:v>2</x:v>
      </x:c>
      <x:c r="D229" s="82" t="n">
        <x:v>2</x:v>
      </x:c>
      <x:c r="E229" s="67" t="n">
        <x:v>2</x:v>
      </x:c>
      <x:c r="F229" s="181" t="n">
        <x:v>1</x:v>
      </x:c>
      <x:c r="G229" s="67" t="n">
        <x:v>1</x:v>
      </x:c>
      <x:c r="H229"/>
      <x:c r="I229" s="65" t="n">
        <x:v>60</x:v>
      </x:c>
      <x:c r="J229" s="65" t="str">
        <x:v>佩西塔坦格朗（Persita Tangerang）</x:v>
      </x:c>
      <x:c r="K229" s="82" t="n">
        <x:v>2</x:v>
      </x:c>
      <x:c r="L229" s="82" t="n">
        <x:v>2</x:v>
      </x:c>
      <x:c r="M229" s="67" t="n">
        <x:v>2</x:v>
      </x:c>
      <x:c r="N229" s="181" t="n">
        <x:v>1</x:v>
      </x:c>
      <x:c r="O229" s="67" t="n">
        <x:v>1</x:v>
      </x:c>
    </x:row>
    <x:row r="230" ht="24" customHeight="1">
      <x:c r="A230" s="65" t="n">
        <x:v>61</x:v>
      </x:c>
      <x:c r="B230" s="65" t="str">
        <x:v>扎卡特卡斯矿工（Mineros de Zacatecas）</x:v>
      </x:c>
      <x:c r="C230" s="82" t="n">
        <x:v>2</x:v>
      </x:c>
      <x:c r="D230" s="82" t="n">
        <x:v>2</x:v>
      </x:c>
      <x:c r="E230" s="67" t="n">
        <x:v>2</x:v>
      </x:c>
      <x:c r="F230" s="181" t="n">
        <x:v>1</x:v>
      </x:c>
      <x:c r="G230" s="67" t="n">
        <x:v>1</x:v>
      </x:c>
      <x:c r="H230"/>
      <x:c r="I230" s="65" t="n">
        <x:v>61</x:v>
      </x:c>
      <x:c r="J230" s="65" t="str">
        <x:v>佩雷拉体育（Deportivo Pereira）</x:v>
      </x:c>
      <x:c r="K230" s="82" t="n">
        <x:v>2</x:v>
      </x:c>
      <x:c r="L230" s="82" t="n">
        <x:v>2</x:v>
      </x:c>
      <x:c r="M230" s="67" t="n">
        <x:v>2</x:v>
      </x:c>
      <x:c r="N230" s="181" t="n">
        <x:v>1</x:v>
      </x:c>
      <x:c r="O230" s="67" t="n">
        <x:v>1</x:v>
      </x:c>
    </x:row>
    <x:row r="231" ht="24" customHeight="1">
      <x:c r="A231" s="65" t="n">
        <x:v>62</x:v>
      </x:c>
      <x:c r="B231" s="65" t="str">
        <x:v>拉巴斯竞技（CA La Paz）</x:v>
      </x:c>
      <x:c r="C231" s="82" t="n">
        <x:v>2</x:v>
      </x:c>
      <x:c r="D231" s="82" t="n">
        <x:v>2</x:v>
      </x:c>
      <x:c r="E231" s="67" t="n">
        <x:v>2</x:v>
      </x:c>
      <x:c r="F231" s="181" t="n">
        <x:v>1</x:v>
      </x:c>
      <x:c r="G231" s="67" t="n">
        <x:v>1</x:v>
      </x:c>
      <x:c r="H231"/>
      <x:c r="I231" s="65" t="n">
        <x:v>62</x:v>
      </x:c>
      <x:c r="J231" s="65" t="str">
        <x:v>兰黑姆（Ranheim IL）</x:v>
      </x:c>
      <x:c r="K231" s="82" t="n">
        <x:v>2</x:v>
      </x:c>
      <x:c r="L231" s="82" t="n">
        <x:v>2</x:v>
      </x:c>
      <x:c r="M231" s="67" t="n">
        <x:v>2</x:v>
      </x:c>
      <x:c r="N231" s="181" t="n">
        <x:v>1</x:v>
      </x:c>
      <x:c r="O231" s="67" t="n">
        <x:v>1</x:v>
      </x:c>
    </x:row>
    <x:row r="232" ht="24" customHeight="1">
      <x:c r="A232" s="65" t="n">
        <x:v>63</x:v>
      </x:c>
      <x:c r="B232" s="65" t="str">
        <x:v>拉瓜伊拉（Deportivo La Guaira）</x:v>
      </x:c>
      <x:c r="C232" s="82" t="n">
        <x:v>2</x:v>
      </x:c>
      <x:c r="D232" s="82" t="n">
        <x:v>2</x:v>
      </x:c>
      <x:c r="E232" s="67" t="n">
        <x:v>2</x:v>
      </x:c>
      <x:c r="F232" s="181" t="n">
        <x:v>1</x:v>
      </x:c>
      <x:c r="G232" s="67" t="n">
        <x:v>1</x:v>
      </x:c>
      <x:c r="H232"/>
      <x:c r="I232" s="65" t="n">
        <x:v>63</x:v>
      </x:c>
      <x:c r="J232" s="65" t="str">
        <x:v>利斯特雷</x:v>
      </x:c>
      <x:c r="K232" s="82" t="n">
        <x:v>2</x:v>
      </x:c>
      <x:c r="L232" s="82" t="n">
        <x:v>2</x:v>
      </x:c>
      <x:c r="M232" s="67" t="n">
        <x:v>2</x:v>
      </x:c>
      <x:c r="N232" s="181" t="n">
        <x:v>1</x:v>
      </x:c>
      <x:c r="O232" s="67" t="n">
        <x:v>1</x:v>
      </x:c>
    </x:row>
    <x:row r="233" ht="24" customHeight="1">
      <x:c r="A233" s="65" t="n">
        <x:v>64</x:v>
      </x:c>
      <x:c r="B233" s="65" t="str">
        <x:v>斯旺西城</x:v>
      </x:c>
      <x:c r="C233" s="82" t="n">
        <x:v>2</x:v>
      </x:c>
      <x:c r="D233" s="82" t="n">
        <x:v>2</x:v>
      </x:c>
      <x:c r="E233" s="67" t="n">
        <x:v>2</x:v>
      </x:c>
      <x:c r="F233" s="181" t="n">
        <x:v>1</x:v>
      </x:c>
      <x:c r="G233" s="67" t="n">
        <x:v>1</x:v>
      </x:c>
      <x:c r="H233"/>
      <x:c r="I233" s="65" t="n">
        <x:v>64</x:v>
      </x:c>
      <x:c r="J233" s="65" t="str">
        <x:v>加纳</x:v>
      </x:c>
      <x:c r="K233" s="82" t="n">
        <x:v>2</x:v>
      </x:c>
      <x:c r="L233" s="82" t="n">
        <x:v>2</x:v>
      </x:c>
      <x:c r="M233" s="67" t="n">
        <x:v>2</x:v>
      </x:c>
      <x:c r="N233" s="181" t="n">
        <x:v>1</x:v>
      </x:c>
      <x:c r="O233" s="67" t="n">
        <x:v>1</x:v>
      </x:c>
    </x:row>
    <x:row r="234" ht="24" customHeight="1">
      <x:c r="A234" s="65" t="n">
        <x:v>65</x:v>
      </x:c>
      <x:c r="B234" s="65" t="str">
        <x:v>斯特拉斯堡（RC Strasbourg）</x:v>
      </x:c>
      <x:c r="C234" s="82" t="n">
        <x:v>2</x:v>
      </x:c>
      <x:c r="D234" s="82" t="n">
        <x:v>2</x:v>
      </x:c>
      <x:c r="E234" s="67" t="n">
        <x:v>2</x:v>
      </x:c>
      <x:c r="F234" s="181" t="n">
        <x:v>1</x:v>
      </x:c>
      <x:c r="G234" s="67" t="n">
        <x:v>1</x:v>
      </x:c>
      <x:c r="H234"/>
      <x:c r="I234" s="65" t="n">
        <x:v>65</x:v>
      </x:c>
      <x:c r="J234" s="65" t="str">
        <x:v>卡罗琳泉乔治十字FC（Caroline Springs George Cross FC）</x:v>
      </x:c>
      <x:c r="K234" s="82" t="n">
        <x:v>2</x:v>
      </x:c>
      <x:c r="L234" s="82" t="n">
        <x:v>2</x:v>
      </x:c>
      <x:c r="M234" s="67" t="n">
        <x:v>2</x:v>
      </x:c>
      <x:c r="N234" s="181" t="n">
        <x:v>1</x:v>
      </x:c>
      <x:c r="O234" s="67" t="n">
        <x:v>1</x:v>
      </x:c>
    </x:row>
    <x:row r="235" ht="24" customHeight="1">
      <x:c r="A235" s="65" t="n">
        <x:v>66</x:v>
      </x:c>
      <x:c r="B235" s="65" t="str">
        <x:v>曼城（Manchester City）</x:v>
      </x:c>
      <x:c r="C235" s="82" t="n">
        <x:v>2</x:v>
      </x:c>
      <x:c r="D235" s="82" t="n">
        <x:v>2</x:v>
      </x:c>
      <x:c r="E235" s="67" t="n">
        <x:v>2</x:v>
      </x:c>
      <x:c r="F235" s="181" t="n">
        <x:v>1</x:v>
      </x:c>
      <x:c r="G235" s="67" t="n">
        <x:v>1</x:v>
      </x:c>
      <x:c r="H235"/>
      <x:c r="I235" s="65" t="n">
        <x:v>66</x:v>
      </x:c>
      <x:c r="J235" s="65" t="str">
        <x:v>古比斯（KuPS）</x:v>
      </x:c>
      <x:c r="K235" s="82" t="n">
        <x:v>2</x:v>
      </x:c>
      <x:c r="L235" s="82" t="n">
        <x:v>2</x:v>
      </x:c>
      <x:c r="M235" s="67" t="n">
        <x:v>2</x:v>
      </x:c>
      <x:c r="N235" s="181" t="n">
        <x:v>1</x:v>
      </x:c>
      <x:c r="O235" s="67" t="n">
        <x:v>1</x:v>
      </x:c>
    </x:row>
    <x:row r="236" ht="24" customHeight="1">
      <x:c r="A236" s="65" t="n">
        <x:v>67</x:v>
      </x:c>
      <x:c r="B236" s="65" t="str">
        <x:v>格尼斯坦（IF Gnistan）</x:v>
      </x:c>
      <x:c r="C236" s="82" t="n">
        <x:v>2</x:v>
      </x:c>
      <x:c r="D236" s="82" t="n">
        <x:v>2</x:v>
      </x:c>
      <x:c r="E236" s="67" t="n">
        <x:v>2</x:v>
      </x:c>
      <x:c r="F236" s="181" t="n">
        <x:v>1</x:v>
      </x:c>
      <x:c r="G236" s="67" t="n">
        <x:v>1</x:v>
      </x:c>
      <x:c r="H236"/>
      <x:c r="I236" s="65" t="n">
        <x:v>67</x:v>
      </x:c>
      <x:c r="J236" s="65" t="str">
        <x:v>哈伊巴布拉瓦（坦皮科马德罗）</x:v>
      </x:c>
      <x:c r="K236" s="82" t="n">
        <x:v>2</x:v>
      </x:c>
      <x:c r="L236" s="82" t="n">
        <x:v>2</x:v>
      </x:c>
      <x:c r="M236" s="67" t="n">
        <x:v>2</x:v>
      </x:c>
      <x:c r="N236" s="181" t="n">
        <x:v>1</x:v>
      </x:c>
      <x:c r="O236" s="67" t="n">
        <x:v>1</x:v>
      </x:c>
    </x:row>
    <x:row r="237" ht="24" customHeight="1">
      <x:c r="A237" s="65" t="n">
        <x:v>68</x:v>
      </x:c>
      <x:c r="B237" s="65" t="str">
        <x:v>格雷米奥（Grêmio）</x:v>
      </x:c>
      <x:c r="C237" s="82" t="n">
        <x:v>2</x:v>
      </x:c>
      <x:c r="D237" s="82" t="n">
        <x:v>2</x:v>
      </x:c>
      <x:c r="E237" s="67" t="n">
        <x:v>2</x:v>
      </x:c>
      <x:c r="F237" s="181" t="n">
        <x:v>1</x:v>
      </x:c>
      <x:c r="G237" s="67" t="n">
        <x:v>1</x:v>
      </x:c>
      <x:c r="H237"/>
      <x:c r="I237" s="65" t="n">
        <x:v>68</x:v>
      </x:c>
      <x:c r="J237" s="65" t="str">
        <x:v>喀拉拉邦冲击波（Kerala Blasters）</x:v>
      </x:c>
      <x:c r="K237" s="82" t="n">
        <x:v>2</x:v>
      </x:c>
      <x:c r="L237" s="82" t="n">
        <x:v>2</x:v>
      </x:c>
      <x:c r="M237" s="67" t="n">
        <x:v>2</x:v>
      </x:c>
      <x:c r="N237" s="181" t="n">
        <x:v>1</x:v>
      </x:c>
      <x:c r="O237" s="67" t="n">
        <x:v>1</x:v>
      </x:c>
    </x:row>
    <x:row r="238" ht="24" customHeight="1">
      <x:c r="A238" s="65" t="n">
        <x:v>69</x:v>
      </x:c>
      <x:c r="B238" s="65" t="str">
        <x:v>梅里达（Venados FC）</x:v>
      </x:c>
      <x:c r="C238" s="82" t="n">
        <x:v>2</x:v>
      </x:c>
      <x:c r="D238" s="82" t="n">
        <x:v>2</x:v>
      </x:c>
      <x:c r="E238" s="67" t="n">
        <x:v>2</x:v>
      </x:c>
      <x:c r="F238" s="181" t="n">
        <x:v>1</x:v>
      </x:c>
      <x:c r="G238" s="67" t="n">
        <x:v>1</x:v>
      </x:c>
      <x:c r="H238"/>
      <x:c r="I238" s="65" t="n">
        <x:v>69</x:v>
      </x:c>
      <x:c r="J238" s="65" t="str">
        <x:v>圣塔菲联（Unión de Santa Fe）</x:v>
      </x:c>
      <x:c r="K238" s="82" t="n">
        <x:v>2</x:v>
      </x:c>
      <x:c r="L238" s="82" t="n">
        <x:v>2</x:v>
      </x:c>
      <x:c r="M238" s="67" t="n">
        <x:v>2</x:v>
      </x:c>
      <x:c r="N238" s="181" t="n">
        <x:v>1</x:v>
      </x:c>
      <x:c r="O238" s="67" t="n">
        <x:v>1</x:v>
      </x:c>
    </x:row>
    <x:row r="239" ht="24" customHeight="1">
      <x:c r="A239" s="65" t="n">
        <x:v>70</x:v>
      </x:c>
      <x:c r="B239" s="65" t="str">
        <x:v>武汉三镇</x:v>
      </x:c>
      <x:c r="C239" s="82" t="n">
        <x:v>2</x:v>
      </x:c>
      <x:c r="D239" s="82" t="n">
        <x:v>2</x:v>
      </x:c>
      <x:c r="E239" s="67" t="n">
        <x:v>2</x:v>
      </x:c>
      <x:c r="F239" s="181" t="n">
        <x:v>1</x:v>
      </x:c>
      <x:c r="G239" s="67" t="n">
        <x:v>1</x:v>
      </x:c>
      <x:c r="H239"/>
      <x:c r="I239" s="65" t="n">
        <x:v>70</x:v>
      </x:c>
      <x:c r="J239" s="65" t="str">
        <x:v>圣洛伦索（San Lorenzo）</x:v>
      </x:c>
      <x:c r="K239" s="82" t="n">
        <x:v>2</x:v>
      </x:c>
      <x:c r="L239" s="82" t="n">
        <x:v>2</x:v>
      </x:c>
      <x:c r="M239" s="67" t="n">
        <x:v>2</x:v>
      </x:c>
      <x:c r="N239" s="181" t="n">
        <x:v>1</x:v>
      </x:c>
      <x:c r="O239" s="67" t="n">
        <x:v>1</x:v>
      </x:c>
    </x:row>
    <x:row r="240" ht="24" customHeight="1">
      <x:c r="A240" s="65" t="n">
        <x:v>71</x:v>
      </x:c>
      <x:c r="B240" s="65" t="str">
        <x:v>武里南联（Buriram United）</x:v>
      </x:c>
      <x:c r="C240" s="82" t="n">
        <x:v>2</x:v>
      </x:c>
      <x:c r="D240" s="82" t="n">
        <x:v>2</x:v>
      </x:c>
      <x:c r="E240" s="67" t="n">
        <x:v>2</x:v>
      </x:c>
      <x:c r="F240" s="181" t="n">
        <x:v>1</x:v>
      </x:c>
      <x:c r="G240" s="67" t="n">
        <x:v>1</x:v>
      </x:c>
      <x:c r="H240"/>
      <x:c r="I240" s="65" t="n">
        <x:v>71</x:v>
      </x:c>
      <x:c r="J240" s="65" t="str">
        <x:v>塔巴蒂奥</x:v>
      </x:c>
      <x:c r="K240" s="82" t="n">
        <x:v>2</x:v>
      </x:c>
      <x:c r="L240" s="82" t="n">
        <x:v>2</x:v>
      </x:c>
      <x:c r="M240" s="67" t="n">
        <x:v>2</x:v>
      </x:c>
      <x:c r="N240" s="181" t="n">
        <x:v>1</x:v>
      </x:c>
      <x:c r="O240" s="67" t="n">
        <x:v>1</x:v>
      </x:c>
    </x:row>
    <x:row r="241" ht="24" customHeight="1">
      <x:c r="A241" s="65" t="n">
        <x:v>72</x:v>
      </x:c>
      <x:c r="B241" s="65" t="str">
        <x:v>沙佩科恩斯</x:v>
      </x:c>
      <x:c r="C241" s="82" t="n">
        <x:v>3</x:v>
      </x:c>
      <x:c r="D241" s="82" t="n">
        <x:v>3</x:v>
      </x:c>
      <x:c r="E241" s="67" t="n">
        <x:v>2</x:v>
      </x:c>
      <x:c r="F241" s="181" t="n">
        <x:v>1</x:v>
      </x:c>
      <x:c r="G241" s="67" t="n">
        <x:v>0.6666666666666666</x:v>
      </x:c>
      <x:c r="H241"/>
      <x:c r="I241" s="65" t="n">
        <x:v>72</x:v>
      </x:c>
      <x:c r="J241" s="65" t="str">
        <x:v>多拉多斯</x:v>
      </x:c>
      <x:c r="K241" s="82" t="n">
        <x:v>2</x:v>
      </x:c>
      <x:c r="L241" s="82" t="n">
        <x:v>2</x:v>
      </x:c>
      <x:c r="M241" s="67" t="n">
        <x:v>2</x:v>
      </x:c>
      <x:c r="N241" s="181" t="n">
        <x:v>1</x:v>
      </x:c>
      <x:c r="O241" s="67" t="n">
        <x:v>1</x:v>
      </x:c>
    </x:row>
    <x:row r="242" ht="24" customHeight="1">
      <x:c r="A242" s="65" t="n">
        <x:v>73</x:v>
      </x:c>
      <x:c r="B242" s="65" t="str">
        <x:v>温哥华白帽（Vancouver Whitecaps FC）</x:v>
      </x:c>
      <x:c r="C242" s="82" t="n">
        <x:v>2</x:v>
      </x:c>
      <x:c r="D242" s="82" t="n">
        <x:v>2</x:v>
      </x:c>
      <x:c r="E242" s="67" t="n">
        <x:v>2</x:v>
      </x:c>
      <x:c r="F242" s="181" t="n">
        <x:v>1</x:v>
      </x:c>
      <x:c r="G242" s="67" t="n">
        <x:v>1</x:v>
      </x:c>
      <x:c r="H242"/>
      <x:c r="I242" s="65" t="n">
        <x:v>73</x:v>
      </x:c>
      <x:c r="J242" s="65" t="str">
        <x:v>多特蒙德（Borussia Dortmund）</x:v>
      </x:c>
      <x:c r="K242" s="82" t="n">
        <x:v>2</x:v>
      </x:c>
      <x:c r="L242" s="82" t="n">
        <x:v>2</x:v>
      </x:c>
      <x:c r="M242" s="67" t="n">
        <x:v>2</x:v>
      </x:c>
      <x:c r="N242" s="181" t="n">
        <x:v>1</x:v>
      </x:c>
      <x:c r="O242" s="67" t="n">
        <x:v>1</x:v>
      </x:c>
    </x:row>
    <x:row r="243" ht="24" customHeight="1">
      <x:c r="A243" s="65" t="n">
        <x:v>74</x:v>
      </x:c>
      <x:c r="B243" s="65" t="str">
        <x:v>科特卡（FC KTP）</x:v>
      </x:c>
      <x:c r="C243" s="82" t="n">
        <x:v>2</x:v>
      </x:c>
      <x:c r="D243" s="82" t="n">
        <x:v>2</x:v>
      </x:c>
      <x:c r="E243" s="67" t="n">
        <x:v>2</x:v>
      </x:c>
      <x:c r="F243" s="181" t="n">
        <x:v>1</x:v>
      </x:c>
      <x:c r="G243" s="67" t="n">
        <x:v>1</x:v>
      </x:c>
      <x:c r="H243"/>
      <x:c r="I243" s="65" t="n">
        <x:v>74</x:v>
      </x:c>
      <x:c r="J243" s="65" t="str">
        <x:v>大田市民（Daejeon Hana Citizen）</x:v>
      </x:c>
      <x:c r="K243" s="82" t="n">
        <x:v>2</x:v>
      </x:c>
      <x:c r="L243" s="82" t="n">
        <x:v>2</x:v>
      </x:c>
      <x:c r="M243" s="67" t="n">
        <x:v>2</x:v>
      </x:c>
      <x:c r="N243" s="181" t="n">
        <x:v>1</x:v>
      </x:c>
      <x:c r="O243" s="67" t="n">
        <x:v>1</x:v>
      </x:c>
    </x:row>
    <x:row r="244" ht="24" customHeight="1">
      <x:c r="A244" s="65" t="n">
        <x:v>75</x:v>
      </x:c>
      <x:c r="B244" s="65" t="str">
        <x:v>竞技俱乐部</x:v>
      </x:c>
      <x:c r="C244" s="82" t="n">
        <x:v>2</x:v>
      </x:c>
      <x:c r="D244" s="82" t="n">
        <x:v>2</x:v>
      </x:c>
      <x:c r="E244" s="67" t="n">
        <x:v>2</x:v>
      </x:c>
      <x:c r="F244" s="181" t="n">
        <x:v>1</x:v>
      </x:c>
      <x:c r="G244" s="67" t="n">
        <x:v>1</x:v>
      </x:c>
      <x:c r="H244"/>
      <x:c r="I244" s="65" t="n">
        <x:v>75</x:v>
      </x:c>
      <x:c r="J244" s="65" t="str">
        <x:v>天津津门虎</x:v>
      </x:c>
      <x:c r="K244" s="82" t="n">
        <x:v>2</x:v>
      </x:c>
      <x:c r="L244" s="82" t="n">
        <x:v>2</x:v>
      </x:c>
      <x:c r="M244" s="67" t="n">
        <x:v>2</x:v>
      </x:c>
      <x:c r="N244" s="181" t="n">
        <x:v>1</x:v>
      </x:c>
      <x:c r="O244" s="67" t="n">
        <x:v>1</x:v>
      </x:c>
    </x:row>
    <x:row r="245" ht="24" customHeight="1">
      <x:c r="A245" s="65" t="n">
        <x:v>76</x:v>
      </x:c>
      <x:c r="B245" s="65" t="str">
        <x:v>艾文代尔（Avondale FC）</x:v>
      </x:c>
      <x:c r="C245" s="82" t="n">
        <x:v>2</x:v>
      </x:c>
      <x:c r="D245" s="82" t="n">
        <x:v>2</x:v>
      </x:c>
      <x:c r="E245" s="67" t="n">
        <x:v>2</x:v>
      </x:c>
      <x:c r="F245" s="181" t="n">
        <x:v>1</x:v>
      </x:c>
      <x:c r="G245" s="67" t="n">
        <x:v>1</x:v>
      </x:c>
      <x:c r="H245"/>
      <x:c r="I245" s="65" t="n">
        <x:v>76</x:v>
      </x:c>
      <x:c r="J245" s="65" t="str">
        <x:v>奎迪奥（Deportes Quindío）</x:v>
      </x:c>
      <x:c r="K245" s="82" t="n">
        <x:v>2</x:v>
      </x:c>
      <x:c r="L245" s="82" t="n">
        <x:v>2</x:v>
      </x:c>
      <x:c r="M245" s="67" t="n">
        <x:v>2</x:v>
      </x:c>
      <x:c r="N245" s="181" t="n">
        <x:v>1</x:v>
      </x:c>
      <x:c r="O245" s="67" t="n">
        <x:v>1</x:v>
      </x:c>
    </x:row>
    <x:row r="246" ht="24" customHeight="1">
      <x:c r="A246" s="65" t="n">
        <x:v>77</x:v>
      </x:c>
      <x:c r="B246" s="65" t="str">
        <x:v>莱切</x:v>
      </x:c>
      <x:c r="C246" s="82" t="n">
        <x:v>2</x:v>
      </x:c>
      <x:c r="D246" s="82" t="n">
        <x:v>2</x:v>
      </x:c>
      <x:c r="E246" s="67" t="n">
        <x:v>2</x:v>
      </x:c>
      <x:c r="F246" s="181" t="n">
        <x:v>1</x:v>
      </x:c>
      <x:c r="G246" s="67" t="n">
        <x:v>1</x:v>
      </x:c>
      <x:c r="H246"/>
      <x:c r="I246" s="65" t="n">
        <x:v>77</x:v>
      </x:c>
      <x:c r="J246" s="65" t="str">
        <x:v>尤文图斯</x:v>
      </x:c>
      <x:c r="K246" s="82" t="n">
        <x:v>2</x:v>
      </x:c>
      <x:c r="L246" s="82" t="n">
        <x:v>2</x:v>
      </x:c>
      <x:c r="M246" s="67" t="n">
        <x:v>2</x:v>
      </x:c>
      <x:c r="N246" s="181" t="n">
        <x:v>1</x:v>
      </x:c>
      <x:c r="O246" s="67" t="n">
        <x:v>1</x:v>
      </x:c>
    </x:row>
    <x:row r="247" ht="24" customHeight="1">
      <x:c r="A247" s="65" t="n">
        <x:v>78</x:v>
      </x:c>
      <x:c r="B247" s="65" t="str">
        <x:v>萨斯菲尔德（Vélez Sarsfield）</x:v>
      </x:c>
      <x:c r="C247" s="82" t="n">
        <x:v>2</x:v>
      </x:c>
      <x:c r="D247" s="82" t="n">
        <x:v>2</x:v>
      </x:c>
      <x:c r="E247" s="67" t="n">
        <x:v>2</x:v>
      </x:c>
      <x:c r="F247" s="181" t="n">
        <x:v>1</x:v>
      </x:c>
      <x:c r="G247" s="67" t="n">
        <x:v>1</x:v>
      </x:c>
      <x:c r="H247"/>
      <x:c r="I247" s="65" t="n">
        <x:v>78</x:v>
      </x:c>
      <x:c r="J247" s="65" t="str">
        <x:v>巴厘联（Bali United FC）</x:v>
      </x:c>
      <x:c r="K247" s="82" t="n">
        <x:v>2</x:v>
      </x:c>
      <x:c r="L247" s="82" t="n">
        <x:v>2</x:v>
      </x:c>
      <x:c r="M247" s="67" t="n">
        <x:v>2</x:v>
      </x:c>
      <x:c r="N247" s="181" t="n">
        <x:v>1</x:v>
      </x:c>
      <x:c r="O247" s="67" t="n">
        <x:v>1</x:v>
      </x:c>
    </x:row>
    <x:row r="248" ht="24" customHeight="1">
      <x:c r="A248" s="65" t="n">
        <x:v>79</x:v>
      </x:c>
      <x:c r="B248" s="65" t="str">
        <x:v>西布罗姆维奇（West Bromwich Albion）</x:v>
      </x:c>
      <x:c r="C248" s="82" t="n">
        <x:v>2</x:v>
      </x:c>
      <x:c r="D248" s="82" t="n">
        <x:v>2</x:v>
      </x:c>
      <x:c r="E248" s="67" t="n">
        <x:v>2</x:v>
      </x:c>
      <x:c r="F248" s="181" t="n">
        <x:v>1</x:v>
      </x:c>
      <x:c r="G248" s="67" t="n">
        <x:v>1</x:v>
      </x:c>
      <x:c r="H248"/>
      <x:c r="I248" s="65" t="n">
        <x:v>79</x:v>
      </x:c>
      <x:c r="J248" s="65" t="str">
        <x:v>巴拉卡斯中央</x:v>
      </x:c>
      <x:c r="K248" s="82" t="n">
        <x:v>2</x:v>
      </x:c>
      <x:c r="L248" s="82" t="n">
        <x:v>2</x:v>
      </x:c>
      <x:c r="M248" s="67" t="n">
        <x:v>2</x:v>
      </x:c>
      <x:c r="N248" s="181" t="n">
        <x:v>1</x:v>
      </x:c>
      <x:c r="O248" s="67" t="n">
        <x:v>1</x:v>
      </x:c>
    </x:row>
    <x:row r="249" ht="24" customHeight="1">
      <x:c r="A249" s="65" t="n">
        <x:v>80</x:v>
      </x:c>
      <x:c r="B249" s="65" t="str">
        <x:v>费城联合</x:v>
      </x:c>
      <x:c r="C249" s="82" t="n">
        <x:v>2</x:v>
      </x:c>
      <x:c r="D249" s="82" t="n">
        <x:v>2</x:v>
      </x:c>
      <x:c r="E249" s="67" t="n">
        <x:v>2</x:v>
      </x:c>
      <x:c r="F249" s="181" t="n">
        <x:v>1</x:v>
      </x:c>
      <x:c r="G249" s="67" t="n">
        <x:v>1</x:v>
      </x:c>
      <x:c r="H249"/>
      <x:c r="I249" s="65" t="n">
        <x:v>80</x:v>
      </x:c>
      <x:c r="J249" s="65" t="str">
        <x:v>巴拉纳竞技（Athletico Paranaense）</x:v>
      </x:c>
      <x:c r="K249" s="82" t="n">
        <x:v>2</x:v>
      </x:c>
      <x:c r="L249" s="82" t="n">
        <x:v>2</x:v>
      </x:c>
      <x:c r="M249" s="67" t="n">
        <x:v>2</x:v>
      </x:c>
      <x:c r="N249" s="181" t="n">
        <x:v>1</x:v>
      </x:c>
      <x:c r="O249" s="67" t="n">
        <x:v>1</x:v>
      </x:c>
    </x:row>
    <x:row r="250" ht="24" customHeight="1">
      <x:c r="A250" s="65" t="n">
        <x:v>81</x:v>
      </x:c>
      <x:c r="B250" s="65" t="str">
        <x:v>赛那乔其（SJK Seinäjoki）</x:v>
      </x:c>
      <x:c r="C250" s="82" t="n">
        <x:v>2</x:v>
      </x:c>
      <x:c r="D250" s="82" t="n">
        <x:v>2</x:v>
      </x:c>
      <x:c r="E250" s="67" t="n">
        <x:v>2</x:v>
      </x:c>
      <x:c r="F250" s="181" t="n">
        <x:v>1</x:v>
      </x:c>
      <x:c r="G250" s="67" t="n">
        <x:v>1</x:v>
      </x:c>
      <x:c r="H250"/>
      <x:c r="I250" s="65" t="n">
        <x:v>81</x:v>
      </x:c>
      <x:c r="J250" s="65" t="str">
        <x:v>布琳狮子U23（FC Bulleen Lions U23）</x:v>
      </x:c>
      <x:c r="K250" s="82" t="n">
        <x:v>2</x:v>
      </x:c>
      <x:c r="L250" s="82" t="n">
        <x:v>2</x:v>
      </x:c>
      <x:c r="M250" s="67" t="n">
        <x:v>2</x:v>
      </x:c>
      <x:c r="N250" s="181" t="n">
        <x:v>1</x:v>
      </x:c>
      <x:c r="O250" s="67" t="n">
        <x:v>1</x:v>
      </x:c>
    </x:row>
    <x:row r="251" ht="24" customHeight="1">
      <x:c r="A251" s="65" t="n">
        <x:v>82</x:v>
      </x:c>
      <x:c r="B251" s="65" t="str">
        <x:v>雷克斯汉姆</x:v>
      </x:c>
      <x:c r="C251" s="82" t="n">
        <x:v>2</x:v>
      </x:c>
      <x:c r="D251" s="82" t="n">
        <x:v>2</x:v>
      </x:c>
      <x:c r="E251" s="67" t="n">
        <x:v>2</x:v>
      </x:c>
      <x:c r="F251" s="181" t="n">
        <x:v>1</x:v>
      </x:c>
      <x:c r="G251" s="67" t="n">
        <x:v>1</x:v>
      </x:c>
      <x:c r="H251"/>
      <x:c r="I251" s="65" t="n">
        <x:v>82</x:v>
      </x:c>
      <x:c r="J251" s="65" t="str">
        <x:v>布莱克本</x:v>
      </x:c>
      <x:c r="K251" s="82" t="n">
        <x:v>2</x:v>
      </x:c>
      <x:c r="L251" s="82" t="n">
        <x:v>2</x:v>
      </x:c>
      <x:c r="M251" s="67" t="n">
        <x:v>2</x:v>
      </x:c>
      <x:c r="N251" s="181" t="n">
        <x:v>1</x:v>
      </x:c>
      <x:c r="O251" s="67" t="n">
        <x:v>1</x:v>
      </x:c>
    </x:row>
    <x:row r="252" ht="24" customHeight="1">
      <x:c r="A252" s="65" t="n">
        <x:v>83</x:v>
      </x:c>
      <x:c r="B252" s="65" t="str">
        <x:v>鹿岛鹿角</x:v>
      </x:c>
      <x:c r="C252" s="82" t="n">
        <x:v>2</x:v>
      </x:c>
      <x:c r="D252" s="82" t="n">
        <x:v>2</x:v>
      </x:c>
      <x:c r="E252" s="67" t="n">
        <x:v>2</x:v>
      </x:c>
      <x:c r="F252" s="181" t="n">
        <x:v>1</x:v>
      </x:c>
      <x:c r="G252" s="67" t="n">
        <x:v>1</x:v>
      </x:c>
      <x:c r="H252"/>
      <x:c r="I252" s="65" t="n">
        <x:v>83</x:v>
      </x:c>
      <x:c r="J252" s="65" t="str">
        <x:v>布莱顿（Brighton &amp; Hove Albion）</x:v>
      </x:c>
      <x:c r="K252" s="82" t="n">
        <x:v>2</x:v>
      </x:c>
      <x:c r="L252" s="82" t="n">
        <x:v>2</x:v>
      </x:c>
      <x:c r="M252" s="67" t="n">
        <x:v>2</x:v>
      </x:c>
      <x:c r="N252" s="181" t="n">
        <x:v>1</x:v>
      </x:c>
      <x:c r="O252" s="67" t="n">
        <x:v>1</x:v>
      </x:c>
    </x:row>
    <x:row r="253" ht="24" customHeight="1">
      <x:c r="A253" s="65" t="n">
        <x:v>84</x:v>
      </x:c>
      <x:c r="B253" s="65" t="str">
        <x:v>伯明翰城</x:v>
      </x:c>
      <x:c r="C253" s="82" t="n">
        <x:v>4</x:v>
      </x:c>
      <x:c r="D253" s="82" t="n">
        <x:v>4</x:v>
      </x:c>
      <x:c r="E253" s="67" t="n">
        <x:v>2</x:v>
      </x:c>
      <x:c r="F253" s="181" t="n">
        <x:v>0.75</x:v>
      </x:c>
      <x:c r="G253" s="67" t="n">
        <x:v>0.5</x:v>
      </x:c>
      <x:c r="H253"/>
      <x:c r="I253" s="65" t="n">
        <x:v>84</x:v>
      </x:c>
      <x:c r="J253" s="65" t="str">
        <x:v>布鲁明</x:v>
      </x:c>
      <x:c r="K253" s="82" t="n">
        <x:v>2</x:v>
      </x:c>
      <x:c r="L253" s="82" t="n">
        <x:v>2</x:v>
      </x:c>
      <x:c r="M253" s="67" t="n">
        <x:v>2</x:v>
      </x:c>
      <x:c r="N253" s="181" t="n">
        <x:v>1</x:v>
      </x:c>
      <x:c r="O253" s="67" t="n">
        <x:v>1</x:v>
      </x:c>
    </x:row>
    <x:row r="254" ht="24" customHeight="1">
      <x:c r="A254" s="65" t="n">
        <x:v>85</x:v>
      </x:c>
      <x:c r="B254" s="65" t="str">
        <x:v>圣路易斯竞技</x:v>
      </x:c>
      <x:c r="C254" s="82" t="n">
        <x:v>4</x:v>
      </x:c>
      <x:c r="D254" s="82" t="n">
        <x:v>4</x:v>
      </x:c>
      <x:c r="E254" s="67" t="n">
        <x:v>2</x:v>
      </x:c>
      <x:c r="F254" s="181" t="n">
        <x:v>0.75</x:v>
      </x:c>
      <x:c r="G254" s="67" t="n">
        <x:v>0.5</x:v>
      </x:c>
      <x:c r="H254"/>
      <x:c r="I254" s="65" t="n">
        <x:v>85</x:v>
      </x:c>
      <x:c r="J254" s="65" t="str">
        <x:v>库恩卡（Deportivo Cuenca）</x:v>
      </x:c>
      <x:c r="K254" s="82" t="n">
        <x:v>2</x:v>
      </x:c>
      <x:c r="L254" s="82" t="n">
        <x:v>2</x:v>
      </x:c>
      <x:c r="M254" s="67" t="n">
        <x:v>2</x:v>
      </x:c>
      <x:c r="N254" s="181" t="n">
        <x:v>1</x:v>
      </x:c>
      <x:c r="O254" s="67" t="n">
        <x:v>1</x:v>
      </x:c>
    </x:row>
    <x:row r="255" ht="24" customHeight="1">
      <x:c r="A255" s="65" t="n">
        <x:v>86</x:v>
      </x:c>
      <x:c r="B255" s="65" t="str">
        <x:v>巴伊亚</x:v>
      </x:c>
      <x:c r="C255" s="82" t="n">
        <x:v>4</x:v>
      </x:c>
      <x:c r="D255" s="82" t="n">
        <x:v>4</x:v>
      </x:c>
      <x:c r="E255" s="67" t="n">
        <x:v>2</x:v>
      </x:c>
      <x:c r="F255" s="181" t="n">
        <x:v>0.75</x:v>
      </x:c>
      <x:c r="G255" s="67" t="n">
        <x:v>0.5</x:v>
      </x:c>
      <x:c r="H255"/>
      <x:c r="I255" s="65" t="n">
        <x:v>86</x:v>
      </x:c>
      <x:c r="J255" s="65" t="str">
        <x:v>库拉索</x:v>
      </x:c>
      <x:c r="K255" s="82" t="n">
        <x:v>2</x:v>
      </x:c>
      <x:c r="L255" s="82" t="n">
        <x:v>2</x:v>
      </x:c>
      <x:c r="M255" s="67" t="n">
        <x:v>2</x:v>
      </x:c>
      <x:c r="N255" s="181" t="n">
        <x:v>1</x:v>
      </x:c>
      <x:c r="O255" s="67" t="n">
        <x:v>1</x:v>
      </x:c>
    </x:row>
    <x:row r="256" ht="24" customHeight="1">
      <x:c r="A256" s="65" t="n">
        <x:v>87</x:v>
      </x:c>
      <x:c r="B256" s="65" t="str">
        <x:v>布莱克本流浪者</x:v>
      </x:c>
      <x:c r="C256" s="82" t="n">
        <x:v>4</x:v>
      </x:c>
      <x:c r="D256" s="82" t="n">
        <x:v>4</x:v>
      </x:c>
      <x:c r="E256" s="67" t="n">
        <x:v>2</x:v>
      </x:c>
      <x:c r="F256" s="181" t="n">
        <x:v>0.75</x:v>
      </x:c>
      <x:c r="G256" s="67" t="n">
        <x:v>0.5</x:v>
      </x:c>
      <x:c r="H256"/>
      <x:c r="I256" s="65" t="n">
        <x:v>87</x:v>
      </x:c>
      <x:c r="J256" s="65" t="str">
        <x:v>弗拉门戈（Flamengo）</x:v>
      </x:c>
      <x:c r="K256" s="82" t="n">
        <x:v>2</x:v>
      </x:c>
      <x:c r="L256" s="82" t="n">
        <x:v>2</x:v>
      </x:c>
      <x:c r="M256" s="67" t="n">
        <x:v>2</x:v>
      </x:c>
      <x:c r="N256" s="181" t="n">
        <x:v>1</x:v>
      </x:c>
      <x:c r="O256" s="67" t="n">
        <x:v>1</x:v>
      </x:c>
    </x:row>
    <x:row r="257" ht="24" customHeight="1">
      <x:c r="A257" s="65" t="n">
        <x:v>88</x:v>
      </x:c>
      <x:c r="B257" s="65" t="str">
        <x:v>帕尔马</x:v>
      </x:c>
      <x:c r="C257" s="82" t="n">
        <x:v>4</x:v>
      </x:c>
      <x:c r="D257" s="82" t="n">
        <x:v>4</x:v>
      </x:c>
      <x:c r="E257" s="67" t="n">
        <x:v>2</x:v>
      </x:c>
      <x:c r="F257" s="181" t="n">
        <x:v>0.75</x:v>
      </x:c>
      <x:c r="G257" s="67" t="n">
        <x:v>0.5</x:v>
      </x:c>
      <x:c r="H257"/>
      <x:c r="I257" s="65" t="n">
        <x:v>88</x:v>
      </x:c>
      <x:c r="J257" s="65" t="str">
        <x:v>悉尼FC青年队（Sydney FC Youth）</x:v>
      </x:c>
      <x:c r="K257" s="82" t="n">
        <x:v>2</x:v>
      </x:c>
      <x:c r="L257" s="82" t="n">
        <x:v>2</x:v>
      </x:c>
      <x:c r="M257" s="67" t="n">
        <x:v>2</x:v>
      </x:c>
      <x:c r="N257" s="181" t="n">
        <x:v>1</x:v>
      </x:c>
      <x:c r="O257" s="67" t="n">
        <x:v>1</x:v>
      </x:c>
    </x:row>
    <x:row r="258" ht="24" customHeight="1">
      <x:c r="A258" s="65" t="n">
        <x:v>89</x:v>
      </x:c>
      <x:c r="B258" s="65" t="str">
        <x:v>惠灵顿凤凰（Wellington Phoenix）</x:v>
      </x:c>
      <x:c r="C258" s="82" t="n">
        <x:v>4</x:v>
      </x:c>
      <x:c r="D258" s="82" t="n">
        <x:v>4</x:v>
      </x:c>
      <x:c r="E258" s="67" t="n">
        <x:v>2</x:v>
      </x:c>
      <x:c r="F258" s="181" t="n">
        <x:v>0.75</x:v>
      </x:c>
      <x:c r="G258" s="67" t="n">
        <x:v>0.5</x:v>
      </x:c>
      <x:c r="H258"/>
      <x:c r="I258" s="65" t="n">
        <x:v>89</x:v>
      </x:c>
      <x:c r="J258" s="65" t="str">
        <x:v>扎卡特卡斯矿工（Mineros de Zacatecas）</x:v>
      </x:c>
      <x:c r="K258" s="82" t="n">
        <x:v>2</x:v>
      </x:c>
      <x:c r="L258" s="82" t="n">
        <x:v>2</x:v>
      </x:c>
      <x:c r="M258" s="67" t="n">
        <x:v>2</x:v>
      </x:c>
      <x:c r="N258" s="181" t="n">
        <x:v>1</x:v>
      </x:c>
      <x:c r="O258" s="67" t="n">
        <x:v>1</x:v>
      </x:c>
    </x:row>
    <x:row r="259" ht="24" customHeight="1">
      <x:c r="A259" s="65" t="n">
        <x:v>90</x:v>
      </x:c>
      <x:c r="B259" s="65" t="str">
        <x:v>桑托斯拉古纳（Santos Laguna）</x:v>
      </x:c>
      <x:c r="C259" s="82" t="n">
        <x:v>4</x:v>
      </x:c>
      <x:c r="D259" s="82" t="n">
        <x:v>4</x:v>
      </x:c>
      <x:c r="E259" s="67" t="n">
        <x:v>2</x:v>
      </x:c>
      <x:c r="F259" s="181" t="n">
        <x:v>0.75</x:v>
      </x:c>
      <x:c r="G259" s="67" t="n">
        <x:v>0.5</x:v>
      </x:c>
      <x:c r="H259"/>
      <x:c r="I259" s="65" t="n">
        <x:v>90</x:v>
      </x:c>
      <x:c r="J259" s="65" t="str">
        <x:v>拉瓜伊拉（Deportivo La Guaira）</x:v>
      </x:c>
      <x:c r="K259" s="82" t="n">
        <x:v>2</x:v>
      </x:c>
      <x:c r="L259" s="82" t="n">
        <x:v>2</x:v>
      </x:c>
      <x:c r="M259" s="67" t="n">
        <x:v>2</x:v>
      </x:c>
      <x:c r="N259" s="181" t="n">
        <x:v>1</x:v>
      </x:c>
      <x:c r="O259" s="67" t="n">
        <x:v>1</x:v>
      </x:c>
    </x:row>
    <x:row r="260" ht="24" customHeight="1">
      <x:c r="A260" s="65" t="n">
        <x:v>91</x:v>
      </x:c>
      <x:c r="B260" s="65" t="str">
        <x:v>比萨（Pisa）</x:v>
      </x:c>
      <x:c r="C260" s="82" t="n">
        <x:v>4</x:v>
      </x:c>
      <x:c r="D260" s="82" t="n">
        <x:v>4</x:v>
      </x:c>
      <x:c r="E260" s="67" t="n">
        <x:v>2</x:v>
      </x:c>
      <x:c r="F260" s="181" t="n">
        <x:v>0.75</x:v>
      </x:c>
      <x:c r="G260" s="67" t="n">
        <x:v>0.5</x:v>
      </x:c>
      <x:c r="H260"/>
      <x:c r="I260" s="65" t="n">
        <x:v>91</x:v>
      </x:c>
      <x:c r="J260" s="65" t="str">
        <x:v>斯旺西城（Swansea City）</x:v>
      </x:c>
      <x:c r="K260" s="82" t="n">
        <x:v>2</x:v>
      </x:c>
      <x:c r="L260" s="82" t="n">
        <x:v>2</x:v>
      </x:c>
      <x:c r="M260" s="67" t="n">
        <x:v>2</x:v>
      </x:c>
      <x:c r="N260" s="181" t="n">
        <x:v>1</x:v>
      </x:c>
      <x:c r="O260" s="67" t="n">
        <x:v>1</x:v>
      </x:c>
    </x:row>
    <x:row r="261" ht="24" customHeight="1">
      <x:c r="A261" s="65" t="n">
        <x:v>92</x:v>
      </x:c>
      <x:c r="B261" s="65" t="str">
        <x:v>浦和红钻（Urawa Red Diamonds）</x:v>
      </x:c>
      <x:c r="C261" s="82" t="n">
        <x:v>4</x:v>
      </x:c>
      <x:c r="D261" s="82" t="n">
        <x:v>4</x:v>
      </x:c>
      <x:c r="E261" s="67" t="n">
        <x:v>2</x:v>
      </x:c>
      <x:c r="F261" s="181" t="n">
        <x:v>0.75</x:v>
      </x:c>
      <x:c r="G261" s="67" t="n">
        <x:v>0.5</x:v>
      </x:c>
      <x:c r="H261"/>
      <x:c r="I261" s="65" t="n">
        <x:v>92</x:v>
      </x:c>
      <x:c r="J261" s="65" t="str">
        <x:v>新西兰</x:v>
      </x:c>
      <x:c r="K261" s="82" t="n">
        <x:v>2</x:v>
      </x:c>
      <x:c r="L261" s="82" t="n">
        <x:v>2</x:v>
      </x:c>
      <x:c r="M261" s="67" t="n">
        <x:v>2</x:v>
      </x:c>
      <x:c r="N261" s="181" t="n">
        <x:v>1</x:v>
      </x:c>
      <x:c r="O261" s="67" t="n">
        <x:v>1</x:v>
      </x:c>
    </x:row>
    <x:row r="262" ht="24" customHeight="1">
      <x:c r="A262" s="65" t="n">
        <x:v>93</x:v>
      </x:c>
      <x:c r="B262" s="65" t="str">
        <x:v>瓜达拉哈拉（Chivas Guadalajara）</x:v>
      </x:c>
      <x:c r="C262" s="82" t="n">
        <x:v>4</x:v>
      </x:c>
      <x:c r="D262" s="82" t="n">
        <x:v>4</x:v>
      </x:c>
      <x:c r="E262" s="67" t="n">
        <x:v>2</x:v>
      </x:c>
      <x:c r="F262" s="181" t="n">
        <x:v>0.75</x:v>
      </x:c>
      <x:c r="G262" s="67" t="n">
        <x:v>0.5</x:v>
      </x:c>
      <x:c r="H262"/>
      <x:c r="I262" s="65" t="n">
        <x:v>93</x:v>
      </x:c>
      <x:c r="J262" s="65" t="str">
        <x:v>旁遮普（Punjab FC）</x:v>
      </x:c>
      <x:c r="K262" s="82" t="n">
        <x:v>2</x:v>
      </x:c>
      <x:c r="L262" s="82" t="n">
        <x:v>2</x:v>
      </x:c>
      <x:c r="M262" s="67" t="n">
        <x:v>2</x:v>
      </x:c>
      <x:c r="N262" s="181" t="n">
        <x:v>1</x:v>
      </x:c>
      <x:c r="O262" s="67" t="n">
        <x:v>1</x:v>
      </x:c>
    </x:row>
    <x:row r="263" ht="24" customHeight="1">
      <x:c r="A263" s="65" t="n">
        <x:v>94</x:v>
      </x:c>
      <x:c r="B263" s="65" t="str">
        <x:v>茨高（Boyacá Chicó）</x:v>
      </x:c>
      <x:c r="C263" s="82" t="n">
        <x:v>4</x:v>
      </x:c>
      <x:c r="D263" s="82" t="n">
        <x:v>4</x:v>
      </x:c>
      <x:c r="E263" s="67" t="n">
        <x:v>2</x:v>
      </x:c>
      <x:c r="F263" s="181" t="n">
        <x:v>0.75</x:v>
      </x:c>
      <x:c r="G263" s="67" t="n">
        <x:v>0.5</x:v>
      </x:c>
      <x:c r="H263"/>
      <x:c r="I263" s="65" t="n">
        <x:v>94</x:v>
      </x:c>
      <x:c r="J263" s="65" t="str">
        <x:v>普拉腾斯（Platense）</x:v>
      </x:c>
      <x:c r="K263" s="82" t="n">
        <x:v>2</x:v>
      </x:c>
      <x:c r="L263" s="82" t="n">
        <x:v>2</x:v>
      </x:c>
      <x:c r="M263" s="67" t="n">
        <x:v>2</x:v>
      </x:c>
      <x:c r="N263" s="181" t="n">
        <x:v>1</x:v>
      </x:c>
      <x:c r="O263" s="67" t="n">
        <x:v>1</x:v>
      </x:c>
    </x:row>
    <x:row r="264" ht="24" customHeight="1">
      <x:c r="A264" s="65" t="n">
        <x:v>95</x:v>
      </x:c>
      <x:c r="B264" s="65" t="str">
        <x:v>那不勒斯（Napoli）</x:v>
      </x:c>
      <x:c r="C264" s="82" t="n">
        <x:v>4</x:v>
      </x:c>
      <x:c r="D264" s="82" t="n">
        <x:v>4</x:v>
      </x:c>
      <x:c r="E264" s="67" t="n">
        <x:v>2</x:v>
      </x:c>
      <x:c r="F264" s="181" t="n">
        <x:v>0.75</x:v>
      </x:c>
      <x:c r="G264" s="67" t="n">
        <x:v>0.5</x:v>
      </x:c>
      <x:c r="H264"/>
      <x:c r="I264" s="65" t="n">
        <x:v>95</x:v>
      </x:c>
      <x:c r="J264" s="65" t="str">
        <x:v>普雷斯顿北区（Preston North End）</x:v>
      </x:c>
      <x:c r="K264" s="82" t="n">
        <x:v>2</x:v>
      </x:c>
      <x:c r="L264" s="82" t="n">
        <x:v>2</x:v>
      </x:c>
      <x:c r="M264" s="67" t="n">
        <x:v>2</x:v>
      </x:c>
      <x:c r="N264" s="181" t="n">
        <x:v>1</x:v>
      </x:c>
      <x:c r="O264" s="67" t="n">
        <x:v>1</x:v>
      </x:c>
    </x:row>
    <x:row r="265" ht="24" customHeight="1">
      <x:c r="A265" s="65" t="n">
        <x:v>96</x:v>
      </x:c>
      <x:c r="B265" s="65" t="str">
        <x:v>里奥内格罗老鹰（Águilas Doradas）</x:v>
      </x:c>
      <x:c r="C265" s="82" t="n">
        <x:v>4</x:v>
      </x:c>
      <x:c r="D265" s="82" t="n">
        <x:v>4</x:v>
      </x:c>
      <x:c r="E265" s="67" t="n">
        <x:v>2</x:v>
      </x:c>
      <x:c r="F265" s="181" t="n">
        <x:v>0.75</x:v>
      </x:c>
      <x:c r="G265" s="67" t="n">
        <x:v>0.5</x:v>
      </x:c>
      <x:c r="H265"/>
      <x:c r="I265" s="65" t="n">
        <x:v>96</x:v>
      </x:c>
      <x:c r="J265" s="65" t="str">
        <x:v>杰帕拉（Persijap）</x:v>
      </x:c>
      <x:c r="K265" s="82" t="n">
        <x:v>2</x:v>
      </x:c>
      <x:c r="L265" s="82" t="n">
        <x:v>2</x:v>
      </x:c>
      <x:c r="M265" s="67" t="n">
        <x:v>2</x:v>
      </x:c>
      <x:c r="N265" s="181" t="n">
        <x:v>1</x:v>
      </x:c>
      <x:c r="O265" s="67" t="n">
        <x:v>1</x:v>
      </x:c>
    </x:row>
    <x:row r="266" ht="24" customHeight="1">
      <x:c r="A266" s="65" t="n">
        <x:v>97</x:v>
      </x:c>
      <x:c r="B266" s="65" t="str">
        <x:v>麦克阿瑟FC</x:v>
      </x:c>
      <x:c r="C266" s="82" t="n">
        <x:v>4</x:v>
      </x:c>
      <x:c r="D266" s="82" t="n">
        <x:v>4</x:v>
      </x:c>
      <x:c r="E266" s="67" t="n">
        <x:v>2</x:v>
      </x:c>
      <x:c r="F266" s="181" t="n">
        <x:v>0.75</x:v>
      </x:c>
      <x:c r="G266" s="67" t="n">
        <x:v>0.5</x:v>
      </x:c>
      <x:c r="H266"/>
      <x:c r="I266" s="65" t="n">
        <x:v>97</x:v>
      </x:c>
      <x:c r="J266" s="65" t="str">
        <x:v>果阿（FC Goa）</x:v>
      </x:c>
      <x:c r="K266" s="82" t="n">
        <x:v>2</x:v>
      </x:c>
      <x:c r="L266" s="82" t="n">
        <x:v>2</x:v>
      </x:c>
      <x:c r="M266" s="67" t="n">
        <x:v>2</x:v>
      </x:c>
      <x:c r="N266" s="181" t="n">
        <x:v>1</x:v>
      </x:c>
      <x:c r="O266" s="67" t="n">
        <x:v>1</x:v>
      </x:c>
    </x:row>
    <x:row r="267" ht="24" customHeight="1">
      <x:c r="A267" s="65" t="n">
        <x:v>98</x:v>
      </x:c>
      <x:c r="B267" s="65" t="str">
        <x:v>PSM马卡萨</x:v>
      </x:c>
      <x:c r="C267" s="82" t="n">
        <x:v>6</x:v>
      </x:c>
      <x:c r="D267" s="82" t="n">
        <x:v>6</x:v>
      </x:c>
      <x:c r="E267" s="67" t="n">
        <x:v>2</x:v>
      </x:c>
      <x:c r="F267" s="181" t="n">
        <x:v>0.6666666666666666</x:v>
      </x:c>
      <x:c r="G267" s="67" t="n">
        <x:v>0.3333333333333333</x:v>
      </x:c>
      <x:c r="H267"/>
      <x:c r="I267" s="65" t="n">
        <x:v>98</x:v>
      </x:c>
      <x:c r="J267" s="65" t="str">
        <x:v>查尔顿（Charlton Athletic）</x:v>
      </x:c>
      <x:c r="K267" s="82" t="n">
        <x:v>2</x:v>
      </x:c>
      <x:c r="L267" s="82" t="n">
        <x:v>2</x:v>
      </x:c>
      <x:c r="M267" s="67" t="n">
        <x:v>2</x:v>
      </x:c>
      <x:c r="N267" s="181" t="n">
        <x:v>1</x:v>
      </x:c>
      <x:c r="O267" s="67" t="n">
        <x:v>1</x:v>
      </x:c>
    </x:row>
    <x:row r="268" ht="24" customHeight="1">
      <x:c r="A268" s="65" t="n">
        <x:v>99</x:v>
      </x:c>
      <x:c r="B268" s="65" t="str">
        <x:v>休城（Hume City FC）</x:v>
      </x:c>
      <x:c r="C268" s="82" t="n">
        <x:v>3</x:v>
      </x:c>
      <x:c r="D268" s="82" t="n">
        <x:v>3</x:v>
      </x:c>
      <x:c r="E268" s="67" t="n">
        <x:v>2</x:v>
      </x:c>
      <x:c r="F268" s="181" t="n">
        <x:v>0.6666666666666666</x:v>
      </x:c>
      <x:c r="G268" s="67" t="n">
        <x:v>0.6666666666666666</x:v>
      </x:c>
      <x:c r="H268"/>
      <x:c r="I268" s="65" t="n">
        <x:v>99</x:v>
      </x:c>
      <x:c r="J268" s="65" t="str">
        <x:v>格尼斯坦（IF Gnistan）</x:v>
      </x:c>
      <x:c r="K268" s="82" t="n">
        <x:v>2</x:v>
      </x:c>
      <x:c r="L268" s="82" t="n">
        <x:v>2</x:v>
      </x:c>
      <x:c r="M268" s="67" t="n">
        <x:v>2</x:v>
      </x:c>
      <x:c r="N268" s="181" t="n">
        <x:v>1</x:v>
      </x:c>
      <x:c r="O268" s="67" t="n">
        <x:v>1</x:v>
      </x:c>
    </x:row>
    <x:row r="269" ht="24" customHeight="1">
      <x:c r="A269" s="65" t="n">
        <x:v>100</x:v>
      </x:c>
      <x:c r="B269" s="65" t="str">
        <x:v>刚果民主共和国（刚果金）</x:v>
      </x:c>
      <x:c r="C269" s="82" t="n">
        <x:v>3</x:v>
      </x:c>
      <x:c r="D269" s="82" t="n">
        <x:v>3</x:v>
      </x:c>
      <x:c r="E269" s="67" t="n">
        <x:v>2</x:v>
      </x:c>
      <x:c r="F269" s="181" t="n">
        <x:v>0.6666666666666666</x:v>
      </x:c>
      <x:c r="G269" s="67" t="n">
        <x:v>0.6666666666666666</x:v>
      </x:c>
      <x:c r="H269"/>
      <x:c r="I269" s="65" t="n">
        <x:v>100</x:v>
      </x:c>
      <x:c r="J269" s="65" t="str">
        <x:v>桑德兰（Sunderland AFC）</x:v>
      </x:c>
      <x:c r="K269" s="82" t="n">
        <x:v>2</x:v>
      </x:c>
      <x:c r="L269" s="82" t="n">
        <x:v>2</x:v>
      </x:c>
      <x:c r="M269" s="67" t="n">
        <x:v>2</x:v>
      </x:c>
      <x:c r="N269" s="181" t="n">
        <x:v>1</x:v>
      </x:c>
      <x:c r="O269" s="67" t="n">
        <x:v>1</x:v>
      </x:c>
    </x:row>
    <x:row r="270" ht="24" customHeight="1">
      <x:c r="A270" s="65" t="n">
        <x:v>101</x:v>
      </x:c>
      <x:c r="B270" s="65" t="str">
        <x:v>华雷斯（FC Juárez）</x:v>
      </x:c>
      <x:c r="C270" s="82" t="n">
        <x:v>3</x:v>
      </x:c>
      <x:c r="D270" s="82" t="n">
        <x:v>3</x:v>
      </x:c>
      <x:c r="E270" s="67" t="n">
        <x:v>2</x:v>
      </x:c>
      <x:c r="F270" s="181" t="n">
        <x:v>0.6666666666666666</x:v>
      </x:c>
      <x:c r="G270" s="67" t="n">
        <x:v>0.6666666666666666</x:v>
      </x:c>
      <x:c r="H270"/>
      <x:c r="I270" s="65" t="n">
        <x:v>101</x:v>
      </x:c>
      <x:c r="J270" s="65" t="str">
        <x:v>武里南联（Buriram United）</x:v>
      </x:c>
      <x:c r="K270" s="82" t="n">
        <x:v>2</x:v>
      </x:c>
      <x:c r="L270" s="82" t="n">
        <x:v>2</x:v>
      </x:c>
      <x:c r="M270" s="67" t="n">
        <x:v>2</x:v>
      </x:c>
      <x:c r="N270" s="181" t="n">
        <x:v>1</x:v>
      </x:c>
      <x:c r="O270" s="67" t="n">
        <x:v>1</x:v>
      </x:c>
    </x:row>
    <x:row r="271" ht="24" customHeight="1">
      <x:c r="A271" s="65" t="n">
        <x:v>102</x:v>
      </x:c>
      <x:c r="B271" s="65" t="str">
        <x:v>大阪樱花</x:v>
      </x:c>
      <x:c r="C271" s="82" t="n">
        <x:v>3</x:v>
      </x:c>
      <x:c r="D271" s="82" t="n">
        <x:v>3</x:v>
      </x:c>
      <x:c r="E271" s="67" t="n">
        <x:v>2</x:v>
      </x:c>
      <x:c r="F271" s="181" t="n">
        <x:v>0.6666666666666666</x:v>
      </x:c>
      <x:c r="G271" s="67" t="n">
        <x:v>0.6666666666666666</x:v>
      </x:c>
      <x:c r="H271"/>
      <x:c r="I271" s="65" t="n">
        <x:v>102</x:v>
      </x:c>
      <x:c r="J271" s="65" t="str">
        <x:v>波士顿河（Boston River）</x:v>
      </x:c>
      <x:c r="K271" s="82" t="n">
        <x:v>2</x:v>
      </x:c>
      <x:c r="L271" s="82" t="n">
        <x:v>2</x:v>
      </x:c>
      <x:c r="M271" s="67" t="n">
        <x:v>2</x:v>
      </x:c>
      <x:c r="N271" s="181" t="n">
        <x:v>1</x:v>
      </x:c>
      <x:c r="O271" s="67" t="n">
        <x:v>1</x:v>
      </x:c>
    </x:row>
    <x:row r="272" ht="24" customHeight="1">
      <x:c r="A272" s="65" t="n">
        <x:v>103</x:v>
      </x:c>
      <x:c r="B272" s="65" t="str">
        <x:v>女王公园巡游者（QPR）</x:v>
      </x:c>
      <x:c r="C272" s="82" t="n">
        <x:v>3</x:v>
      </x:c>
      <x:c r="D272" s="82" t="n">
        <x:v>3</x:v>
      </x:c>
      <x:c r="E272" s="67" t="n">
        <x:v>2</x:v>
      </x:c>
      <x:c r="F272" s="181" t="n">
        <x:v>0.6666666666666666</x:v>
      </x:c>
      <x:c r="G272" s="67" t="n">
        <x:v>0.6666666666666666</x:v>
      </x:c>
      <x:c r="H272"/>
      <x:c r="I272" s="65" t="n">
        <x:v>103</x:v>
      </x:c>
      <x:c r="J272" s="65" t="str">
        <x:v>洛根闪电（Logan Lightning）</x:v>
      </x:c>
      <x:c r="K272" s="82" t="n">
        <x:v>2</x:v>
      </x:c>
      <x:c r="L272" s="82" t="n">
        <x:v>2</x:v>
      </x:c>
      <x:c r="M272" s="67" t="n">
        <x:v>2</x:v>
      </x:c>
      <x:c r="N272" s="181" t="n">
        <x:v>1</x:v>
      </x:c>
      <x:c r="O272" s="67" t="n">
        <x:v>1</x:v>
      </x:c>
    </x:row>
    <x:row r="273" ht="24" customHeight="1">
      <x:c r="A273" s="65" t="n">
        <x:v>104</x:v>
      </x:c>
      <x:c r="B273" s="65" t="str">
        <x:v>果阿FC</x:v>
      </x:c>
      <x:c r="C273" s="82" t="n">
        <x:v>3</x:v>
      </x:c>
      <x:c r="D273" s="82" t="n">
        <x:v>3</x:v>
      </x:c>
      <x:c r="E273" s="67" t="n">
        <x:v>2</x:v>
      </x:c>
      <x:c r="F273" s="181" t="n">
        <x:v>0.6666666666666666</x:v>
      </x:c>
      <x:c r="G273" s="67" t="n">
        <x:v>0.6666666666666666</x:v>
      </x:c>
      <x:c r="H273"/>
      <x:c r="I273" s="65" t="n">
        <x:v>104</x:v>
      </x:c>
      <x:c r="J273" s="65" t="str">
        <x:v>浦和红钻（Urawa Reds）</x:v>
      </x:c>
      <x:c r="K273" s="82" t="n">
        <x:v>2</x:v>
      </x:c>
      <x:c r="L273" s="82" t="n">
        <x:v>2</x:v>
      </x:c>
      <x:c r="M273" s="67" t="n">
        <x:v>2</x:v>
      </x:c>
      <x:c r="N273" s="181" t="n">
        <x:v>1</x:v>
      </x:c>
      <x:c r="O273" s="67" t="n">
        <x:v>1</x:v>
      </x:c>
    </x:row>
    <x:row r="274" ht="24" customHeight="1">
      <x:c r="A274" s="65" t="n">
        <x:v>105</x:v>
      </x:c>
      <x:c r="B274" s="65" t="str">
        <x:v>瓜达拉哈拉</x:v>
      </x:c>
      <x:c r="C274" s="82" t="n">
        <x:v>6</x:v>
      </x:c>
      <x:c r="D274" s="82" t="n">
        <x:v>6</x:v>
      </x:c>
      <x:c r="E274" s="67" t="n">
        <x:v>2</x:v>
      </x:c>
      <x:c r="F274" s="181" t="n">
        <x:v>0.6666666666666666</x:v>
      </x:c>
      <x:c r="G274" s="67" t="n">
        <x:v>0.3333333333333333</x:v>
      </x:c>
      <x:c r="H274"/>
      <x:c r="I274" s="65" t="n">
        <x:v>105</x:v>
      </x:c>
      <x:c r="J274" s="65" t="str">
        <x:v>温哥华白帽（Vancouver Whitecaps）</x:v>
      </x:c>
      <x:c r="K274" s="82" t="n">
        <x:v>2</x:v>
      </x:c>
      <x:c r="L274" s="82" t="n">
        <x:v>2</x:v>
      </x:c>
      <x:c r="M274" s="67" t="n">
        <x:v>2</x:v>
      </x:c>
      <x:c r="N274" s="181" t="n">
        <x:v>1</x:v>
      </x:c>
      <x:c r="O274" s="67" t="n">
        <x:v>1</x:v>
      </x:c>
    </x:row>
    <x:row r="275" ht="24" customHeight="1">
      <x:c r="A275" s="65" t="n">
        <x:v>106</x:v>
      </x:c>
      <x:c r="B275" s="65" t="str">
        <x:v>科莫</x:v>
      </x:c>
      <x:c r="C275" s="82" t="n">
        <x:v>6</x:v>
      </x:c>
      <x:c r="D275" s="82" t="n">
        <x:v>6</x:v>
      </x:c>
      <x:c r="E275" s="67" t="n">
        <x:v>2</x:v>
      </x:c>
      <x:c r="F275" s="181" t="n">
        <x:v>0.6666666666666666</x:v>
      </x:c>
      <x:c r="G275" s="67" t="n">
        <x:v>0.3333333333333333</x:v>
      </x:c>
      <x:c r="H275"/>
      <x:c r="I275" s="65" t="n">
        <x:v>106</x:v>
      </x:c>
      <x:c r="J275" s="65" t="str">
        <x:v>班加罗尔（Bengaluru FC）</x:v>
      </x:c>
      <x:c r="K275" s="82" t="n">
        <x:v>2</x:v>
      </x:c>
      <x:c r="L275" s="82" t="n">
        <x:v>2</x:v>
      </x:c>
      <x:c r="M275" s="67" t="n">
        <x:v>2</x:v>
      </x:c>
      <x:c r="N275" s="181" t="n">
        <x:v>1</x:v>
      </x:c>
      <x:c r="O275" s="67" t="n">
        <x:v>1</x:v>
      </x:c>
    </x:row>
    <x:row r="276" ht="24" customHeight="1">
      <x:c r="A276" s="65" t="n">
        <x:v>107</x:v>
      </x:c>
      <x:c r="B276" s="65" t="str">
        <x:v>约旦</x:v>
      </x:c>
      <x:c r="C276" s="82" t="n">
        <x:v>3</x:v>
      </x:c>
      <x:c r="D276" s="82" t="n">
        <x:v>3</x:v>
      </x:c>
      <x:c r="E276" s="67" t="n">
        <x:v>2</x:v>
      </x:c>
      <x:c r="F276" s="181" t="n">
        <x:v>0.6666666666666666</x:v>
      </x:c>
      <x:c r="G276" s="67" t="n">
        <x:v>0.6666666666666666</x:v>
      </x:c>
      <x:c r="H276"/>
      <x:c r="I276" s="65" t="n">
        <x:v>107</x:v>
      </x:c>
      <x:c r="J276" s="65" t="str">
        <x:v>瓜达拉哈拉大学（Leones Negros UdeG）</x:v>
      </x:c>
      <x:c r="K276" s="82" t="n">
        <x:v>2</x:v>
      </x:c>
      <x:c r="L276" s="82" t="n">
        <x:v>2</x:v>
      </x:c>
      <x:c r="M276" s="67" t="n">
        <x:v>2</x:v>
      </x:c>
      <x:c r="N276" s="181" t="n">
        <x:v>1</x:v>
      </x:c>
      <x:c r="O276" s="67" t="n">
        <x:v>1</x:v>
      </x:c>
    </x:row>
    <x:row r="277" ht="24" customHeight="1">
      <x:c r="A277" s="65" t="n">
        <x:v>108</x:v>
      </x:c>
      <x:c r="B277" s="65" t="str">
        <x:v>阿特拉斯（Atlas）</x:v>
      </x:c>
      <x:c r="C277" s="82" t="n">
        <x:v>3</x:v>
      </x:c>
      <x:c r="D277" s="82" t="n">
        <x:v>3</x:v>
      </x:c>
      <x:c r="E277" s="67" t="n">
        <x:v>2</x:v>
      </x:c>
      <x:c r="F277" s="181" t="n">
        <x:v>0.6666666666666666</x:v>
      </x:c>
      <x:c r="G277" s="67" t="n">
        <x:v>0.6666666666666666</x:v>
      </x:c>
      <x:c r="H277"/>
      <x:c r="I277" s="65" t="n">
        <x:v>108</x:v>
      </x:c>
      <x:c r="J277" s="65" t="str">
        <x:v>瓦斯科达伽马</x:v>
      </x:c>
      <x:c r="K277" s="82" t="n">
        <x:v>2</x:v>
      </x:c>
      <x:c r="L277" s="82" t="n">
        <x:v>2</x:v>
      </x:c>
      <x:c r="M277" s="67" t="n">
        <x:v>2</x:v>
      </x:c>
      <x:c r="N277" s="181" t="n">
        <x:v>1</x:v>
      </x:c>
      <x:c r="O277" s="67" t="n">
        <x:v>1</x:v>
      </x:c>
    </x:row>
    <x:row r="278" ht="24" customHeight="1">
      <x:c r="A278" s="65" t="n">
        <x:v>109</x:v>
      </x:c>
      <x:c r="B278" s="65" t="str">
        <x:v>大阪钢巴（Gamba Osaka）</x:v>
      </x:c>
      <x:c r="C278" s="82" t="n">
        <x:v>5</x:v>
      </x:c>
      <x:c r="D278" s="82" t="n">
        <x:v>5</x:v>
      </x:c>
      <x:c r="E278" s="67" t="n">
        <x:v>2</x:v>
      </x:c>
      <x:c r="F278" s="181" t="n">
        <x:v>0.6</x:v>
      </x:c>
      <x:c r="G278" s="67" t="n">
        <x:v>0.4</x:v>
      </x:c>
      <x:c r="H278"/>
      <x:c r="I278" s="65" t="n">
        <x:v>109</x:v>
      </x:c>
      <x:c r="J278" s="65" t="str">
        <x:v>瓦斯科达伽马（Vasco da Gama）</x:v>
      </x:c>
      <x:c r="K278" s="82" t="n">
        <x:v>2</x:v>
      </x:c>
      <x:c r="L278" s="82" t="n">
        <x:v>2</x:v>
      </x:c>
      <x:c r="M278" s="67" t="n">
        <x:v>2</x:v>
      </x:c>
      <x:c r="N278" s="181" t="n">
        <x:v>1</x:v>
      </x:c>
      <x:c r="O278" s="67" t="n">
        <x:v>1</x:v>
      </x:c>
    </x:row>
    <x:row r="279" ht="24" customHeight="1">
      <x:c r="A279" s="65" t="n">
        <x:v>110</x:v>
      </x:c>
      <x:c r="B279" s="65" t="str">
        <x:v>美洲狮（Pumas UNAM）</x:v>
      </x:c>
      <x:c r="C279" s="82" t="n">
        <x:v>10</x:v>
      </x:c>
      <x:c r="D279" s="82" t="n">
        <x:v>10</x:v>
      </x:c>
      <x:c r="E279" s="67" t="n">
        <x:v>2</x:v>
      </x:c>
      <x:c r="F279" s="181" t="n">
        <x:v>0.6</x:v>
      </x:c>
      <x:c r="G279" s="67" t="n">
        <x:v>0.2</x:v>
      </x:c>
      <x:c r="H279"/>
      <x:c r="I279" s="65" t="n">
        <x:v>110</x:v>
      </x:c>
      <x:c r="J279" s="65" t="str">
        <x:v>皇家托亚马波（Real Tomayapo）</x:v>
      </x:c>
      <x:c r="K279" s="82" t="n">
        <x:v>2</x:v>
      </x:c>
      <x:c r="L279" s="82" t="n">
        <x:v>2</x:v>
      </x:c>
      <x:c r="M279" s="67" t="n">
        <x:v>2</x:v>
      </x:c>
      <x:c r="N279" s="181" t="n">
        <x:v>1</x:v>
      </x:c>
      <x:c r="O279" s="67" t="n">
        <x:v>1</x:v>
      </x:c>
    </x:row>
    <x:row r="280" ht="24" customHeight="1">
      <x:c r="A280" s="65" t="n">
        <x:v>111</x:v>
      </x:c>
      <x:c r="B280" s="65" t="str">
        <x:v>英格兰</x:v>
      </x:c>
      <x:c r="C280" s="82" t="n">
        <x:v>6</x:v>
      </x:c>
      <x:c r="D280" s="82" t="n">
        <x:v>5</x:v>
      </x:c>
      <x:c r="E280" s="67" t="n">
        <x:v>2</x:v>
      </x:c>
      <x:c r="F280" s="181" t="n">
        <x:v>0.6</x:v>
      </x:c>
      <x:c r="G280" s="67" t="n">
        <x:v>0.4</x:v>
      </x:c>
      <x:c r="H280"/>
      <x:c r="I280" s="65" t="n">
        <x:v>111</x:v>
      </x:c>
      <x:c r="J280" s="65" t="str">
        <x:v>皇家托马亚波</x:v>
      </x:c>
      <x:c r="K280" s="82" t="n">
        <x:v>2</x:v>
      </x:c>
      <x:c r="L280" s="82" t="n">
        <x:v>2</x:v>
      </x:c>
      <x:c r="M280" s="67" t="n">
        <x:v>2</x:v>
      </x:c>
      <x:c r="N280" s="181" t="n">
        <x:v>1</x:v>
      </x:c>
      <x:c r="O280" s="67" t="n">
        <x:v>1</x:v>
      </x:c>
    </x:row>
    <x:row r="281" ht="24" customHeight="1">
      <x:c r="A281" s="65" t="n">
        <x:v>112</x:v>
      </x:c>
      <x:c r="B281" s="65" t="str">
        <x:v>奥克兰FC（Auckland FC）</x:v>
      </x:c>
      <x:c r="C281" s="82" t="n">
        <x:v>7</x:v>
      </x:c>
      <x:c r="D281" s="82" t="n">
        <x:v>7</x:v>
      </x:c>
      <x:c r="E281" s="67" t="n">
        <x:v>2</x:v>
      </x:c>
      <x:c r="F281" s="181" t="n">
        <x:v>0.5714285714285714</x:v>
      </x:c>
      <x:c r="G281" s="67" t="n">
        <x:v>0.2857142857142857</x:v>
      </x:c>
      <x:c r="H281"/>
      <x:c r="I281" s="65" t="n">
        <x:v>112</x:v>
      </x:c>
      <x:c r="J281" s="65" t="str">
        <x:v>福冈黄蜂</x:v>
      </x:c>
      <x:c r="K281" s="82" t="n">
        <x:v>2</x:v>
      </x:c>
      <x:c r="L281" s="82" t="n">
        <x:v>2</x:v>
      </x:c>
      <x:c r="M281" s="67" t="n">
        <x:v>2</x:v>
      </x:c>
      <x:c r="N281" s="181" t="n">
        <x:v>1</x:v>
      </x:c>
      <x:c r="O281" s="67" t="n">
        <x:v>1</x:v>
      </x:c>
    </x:row>
    <x:row r="282" ht="24" customHeight="1">
      <x:c r="A282" s="65" t="n">
        <x:v>113</x:v>
      </x:c>
      <x:c r="B282" s="65" t="str">
        <x:v>拉尼罗斯（Llaneros FC）</x:v>
      </x:c>
      <x:c r="C282" s="82" t="n">
        <x:v>7</x:v>
      </x:c>
      <x:c r="D282" s="82" t="n">
        <x:v>7</x:v>
      </x:c>
      <x:c r="E282" s="67" t="n">
        <x:v>2</x:v>
      </x:c>
      <x:c r="F282" s="181" t="n">
        <x:v>0.5714285714285714</x:v>
      </x:c>
      <x:c r="G282" s="67" t="n">
        <x:v>0.2857142857142857</x:v>
      </x:c>
      <x:c r="H282"/>
      <x:c r="I282" s="65" t="n">
        <x:v>113</x:v>
      </x:c>
      <x:c r="J282" s="65" t="str">
        <x:v>福塔雷萨CEIF</x:v>
      </x:c>
      <x:c r="K282" s="82" t="n">
        <x:v>2</x:v>
      </x:c>
      <x:c r="L282" s="82" t="n">
        <x:v>2</x:v>
      </x:c>
      <x:c r="M282" s="67" t="n">
        <x:v>2</x:v>
      </x:c>
      <x:c r="N282" s="181" t="n">
        <x:v>1</x:v>
      </x:c>
      <x:c r="O282" s="67" t="n">
        <x:v>1</x:v>
      </x:c>
    </x:row>
    <x:row r="283" ht="24" customHeight="1">
      <x:c r="A283" s="65" t="n">
        <x:v>114</x:v>
      </x:c>
      <x:c r="B283" s="65" t="str">
        <x:v>维罗纳</x:v>
      </x:c>
      <x:c r="C283" s="82" t="n">
        <x:v>7</x:v>
      </x:c>
      <x:c r="D283" s="82" t="n">
        <x:v>7</x:v>
      </x:c>
      <x:c r="E283" s="67" t="n">
        <x:v>2</x:v>
      </x:c>
      <x:c r="F283" s="181" t="n">
        <x:v>0.5714285714285714</x:v>
      </x:c>
      <x:c r="G283" s="67" t="n">
        <x:v>0.2857142857142857</x:v>
      </x:c>
      <x:c r="H283"/>
      <x:c r="I283" s="65" t="n">
        <x:v>114</x:v>
      </x:c>
      <x:c r="J283" s="65" t="str">
        <x:v>纳什维尔</x:v>
      </x:c>
      <x:c r="K283" s="82" t="n">
        <x:v>2</x:v>
      </x:c>
      <x:c r="L283" s="82" t="n">
        <x:v>2</x:v>
      </x:c>
      <x:c r="M283" s="67" t="n">
        <x:v>2</x:v>
      </x:c>
      <x:c r="N283" s="181" t="n">
        <x:v>1</x:v>
      </x:c>
      <x:c r="O283" s="67" t="n">
        <x:v>1</x:v>
      </x:c>
    </x:row>
    <x:row r="284" ht="24" customHeight="1">
      <x:c r="A284" s="65" t="n">
        <x:v>115</x:v>
      </x:c>
      <x:c r="B284" s="65" t="str">
        <x:v>阿森纳（Arsenal）</x:v>
      </x:c>
      <x:c r="C284" s="82" t="n">
        <x:v>8</x:v>
      </x:c>
      <x:c r="D284" s="82" t="n">
        <x:v>8</x:v>
      </x:c>
      <x:c r="E284" s="67" t="n">
        <x:v>2</x:v>
      </x:c>
      <x:c r="F284" s="181" t="n">
        <x:v>0.5</x:v>
      </x:c>
      <x:c r="G284" s="67" t="n">
        <x:v>0.25</x:v>
      </x:c>
      <x:c r="H284"/>
      <x:c r="I284" s="65" t="n">
        <x:v>115</x:v>
      </x:c>
      <x:c r="J284" s="65" t="str">
        <x:v>考文垂</x:v>
      </x:c>
      <x:c r="K284" s="82" t="n">
        <x:v>2</x:v>
      </x:c>
      <x:c r="L284" s="82" t="n">
        <x:v>2</x:v>
      </x:c>
      <x:c r="M284" s="67" t="n">
        <x:v>2</x:v>
      </x:c>
      <x:c r="N284" s="181" t="n">
        <x:v>1</x:v>
      </x:c>
      <x:c r="O284" s="67" t="n">
        <x:v>1</x:v>
      </x:c>
    </x:row>
    <x:row r="285" ht="24" customHeight="1">
      <x:c r="A285" s="65" t="n">
        <x:v>116</x:v>
      </x:c>
      <x:c r="B285" s="65" t="str">
        <x:v>CD奥林匹亚（CD Olimpia）</x:v>
      </x:c>
      <x:c r="C285" s="82" t="n">
        <x:v>2</x:v>
      </x:c>
      <x:c r="D285" s="82" t="n">
        <x:v>2</x:v>
      </x:c>
      <x:c r="E285" s="67" t="n">
        <x:v>1.5</x:v>
      </x:c>
      <x:c r="F285" s="181" t="n">
        <x:v>1</x:v>
      </x:c>
      <x:c r="G285" s="67" t="n">
        <x:v>0.75</x:v>
      </x:c>
      <x:c r="H285"/>
      <x:c r="I285" s="65" t="n">
        <x:v>116</x:v>
      </x:c>
      <x:c r="J285" s="65" t="str">
        <x:v>苏格兰</x:v>
      </x:c>
      <x:c r="K285" s="82" t="n">
        <x:v>2</x:v>
      </x:c>
      <x:c r="L285" s="82" t="n">
        <x:v>2</x:v>
      </x:c>
      <x:c r="M285" s="67" t="n">
        <x:v>2</x:v>
      </x:c>
      <x:c r="N285" s="181" t="n">
        <x:v>1</x:v>
      </x:c>
      <x:c r="O285" s="67" t="n">
        <x:v>1</x:v>
      </x:c>
    </x:row>
    <x:row r="286" ht="24" customHeight="1">
      <x:c r="A286" s="65" t="n">
        <x:v>117</x:v>
      </x:c>
      <x:c r="B286" s="65" t="str">
        <x:v>南部海岸狼队（Wollongong Wolves）</x:v>
      </x:c>
      <x:c r="C286" s="82" t="n">
        <x:v>2</x:v>
      </x:c>
      <x:c r="D286" s="82" t="n">
        <x:v>2</x:v>
      </x:c>
      <x:c r="E286" s="67" t="n">
        <x:v>1.5</x:v>
      </x:c>
      <x:c r="F286" s="181" t="n">
        <x:v>1</x:v>
      </x:c>
      <x:c r="G286" s="67" t="n">
        <x:v>0.75</x:v>
      </x:c>
      <x:c r="H286"/>
      <x:c r="I286" s="65" t="n">
        <x:v>117</x:v>
      </x:c>
      <x:c r="J286" s="65" t="str">
        <x:v>荷尔斯泰因基尔（Holstein Kiel）</x:v>
      </x:c>
      <x:c r="K286" s="82" t="n">
        <x:v>2</x:v>
      </x:c>
      <x:c r="L286" s="82" t="n">
        <x:v>2</x:v>
      </x:c>
      <x:c r="M286" s="67" t="n">
        <x:v>2</x:v>
      </x:c>
      <x:c r="N286" s="181" t="n">
        <x:v>1</x:v>
      </x:c>
      <x:c r="O286" s="67" t="n">
        <x:v>1</x:v>
      </x:c>
    </x:row>
    <x:row r="287" ht="24" customHeight="1">
      <x:c r="A287" s="65" t="n">
        <x:v>118</x:v>
      </x:c>
      <x:c r="B287" s="65" t="str">
        <x:v>哈伊巴布拉瓦（坦皮科马德罗）</x:v>
      </x:c>
      <x:c r="C287" s="82" t="n">
        <x:v>2</x:v>
      </x:c>
      <x:c r="D287" s="82" t="n">
        <x:v>2</x:v>
      </x:c>
      <x:c r="E287" s="67" t="n">
        <x:v>1.5</x:v>
      </x:c>
      <x:c r="F287" s="181" t="n">
        <x:v>1</x:v>
      </x:c>
      <x:c r="G287" s="67" t="n">
        <x:v>0.75</x:v>
      </x:c>
      <x:c r="H287"/>
      <x:c r="I287" s="65" t="n">
        <x:v>118</x:v>
      </x:c>
      <x:c r="J287" s="65" t="str">
        <x:v>蒙特雷（Monterrey）</x:v>
      </x:c>
      <x:c r="K287" s="82" t="n">
        <x:v>2</x:v>
      </x:c>
      <x:c r="L287" s="82" t="n">
        <x:v>2</x:v>
      </x:c>
      <x:c r="M287" s="67" t="n">
        <x:v>2</x:v>
      </x:c>
      <x:c r="N287" s="181" t="n">
        <x:v>1</x:v>
      </x:c>
      <x:c r="O287" s="67" t="n">
        <x:v>1</x:v>
      </x:c>
    </x:row>
    <x:row r="288" ht="24" customHeight="1">
      <x:c r="A288" s="65" t="n">
        <x:v>119</x:v>
      </x:c>
      <x:c r="B288" s="65" t="str">
        <x:v>圣塔菲联（Unión Santa Fe）</x:v>
      </x:c>
      <x:c r="C288" s="82" t="n">
        <x:v>2</x:v>
      </x:c>
      <x:c r="D288" s="82" t="n">
        <x:v>2</x:v>
      </x:c>
      <x:c r="E288" s="67" t="n">
        <x:v>1.5</x:v>
      </x:c>
      <x:c r="F288" s="181" t="n">
        <x:v>1</x:v>
      </x:c>
      <x:c r="G288" s="67" t="n">
        <x:v>0.75</x:v>
      </x:c>
      <x:c r="H288"/>
      <x:c r="I288" s="65" t="n">
        <x:v>119</x:v>
      </x:c>
      <x:c r="J288" s="65" t="str">
        <x:v>西布罗姆维奇（West Bromwich Albion）</x:v>
      </x:c>
      <x:c r="K288" s="82" t="n">
        <x:v>2</x:v>
      </x:c>
      <x:c r="L288" s="82" t="n">
        <x:v>2</x:v>
      </x:c>
      <x:c r="M288" s="67" t="n">
        <x:v>2</x:v>
      </x:c>
      <x:c r="N288" s="181" t="n">
        <x:v>1</x:v>
      </x:c>
      <x:c r="O288" s="67" t="n">
        <x:v>1</x:v>
      </x:c>
    </x:row>
    <x:row r="289" ht="24" customHeight="1">
      <x:c r="A289" s="65" t="n">
        <x:v>120</x:v>
      </x:c>
      <x:c r="B289" s="65" t="str">
        <x:v>圣奥尔本斯圣特斯</x:v>
      </x:c>
      <x:c r="C289" s="82" t="n">
        <x:v>2</x:v>
      </x:c>
      <x:c r="D289" s="82" t="n">
        <x:v>2</x:v>
      </x:c>
      <x:c r="E289" s="67" t="n">
        <x:v>1.5</x:v>
      </x:c>
      <x:c r="F289" s="181" t="n">
        <x:v>1</x:v>
      </x:c>
      <x:c r="G289" s="67" t="n">
        <x:v>0.75</x:v>
      </x:c>
      <x:c r="H289"/>
      <x:c r="I289" s="65" t="n">
        <x:v>120</x:v>
      </x:c>
      <x:c r="J289" s="65" t="str">
        <x:v>西悉尼流浪者青年队</x:v>
      </x:c>
      <x:c r="K289" s="82" t="n">
        <x:v>2</x:v>
      </x:c>
      <x:c r="L289" s="82" t="n">
        <x:v>2</x:v>
      </x:c>
      <x:c r="M289" s="67" t="n">
        <x:v>2</x:v>
      </x:c>
      <x:c r="N289" s="181" t="n">
        <x:v>1</x:v>
      </x:c>
      <x:c r="O289" s="67" t="n">
        <x:v>1</x:v>
      </x:c>
    </x:row>
    <x:row r="290" ht="24" customHeight="1">
      <x:c r="A290" s="65" t="n">
        <x:v>121</x:v>
      </x:c>
      <x:c r="B290" s="65" t="str">
        <x:v>布里斯班城（Brisbane City）</x:v>
      </x:c>
      <x:c r="C290" s="82" t="n">
        <x:v>2</x:v>
      </x:c>
      <x:c r="D290" s="82" t="n">
        <x:v>2</x:v>
      </x:c>
      <x:c r="E290" s="67" t="n">
        <x:v>1.5</x:v>
      </x:c>
      <x:c r="F290" s="181" t="n">
        <x:v>1</x:v>
      </x:c>
      <x:c r="G290" s="67" t="n">
        <x:v>0.75</x:v>
      </x:c>
      <x:c r="H290"/>
      <x:c r="I290" s="65" t="n">
        <x:v>121</x:v>
      </x:c>
      <x:c r="J290" s="65" t="str">
        <x:v>西班牙人（RCD Espanyol）</x:v>
      </x:c>
      <x:c r="K290" s="82" t="n">
        <x:v>2</x:v>
      </x:c>
      <x:c r="L290" s="82" t="n">
        <x:v>2</x:v>
      </x:c>
      <x:c r="M290" s="67" t="n">
        <x:v>2</x:v>
      </x:c>
      <x:c r="N290" s="181" t="n">
        <x:v>1</x:v>
      </x:c>
      <x:c r="O290" s="67" t="n">
        <x:v>1</x:v>
      </x:c>
    </x:row>
    <x:row r="291" ht="24" customHeight="1">
      <x:c r="A291" s="65" t="n">
        <x:v>122</x:v>
      </x:c>
      <x:c r="B291" s="65" t="str">
        <x:v>库恩卡（Deportivo Cuenca）</x:v>
      </x:c>
      <x:c r="C291" s="82" t="n">
        <x:v>2</x:v>
      </x:c>
      <x:c r="D291" s="82" t="n">
        <x:v>2</x:v>
      </x:c>
      <x:c r="E291" s="67" t="n">
        <x:v>1.5</x:v>
      </x:c>
      <x:c r="F291" s="181" t="n">
        <x:v>1</x:v>
      </x:c>
      <x:c r="G291" s="67" t="n">
        <x:v>0.75</x:v>
      </x:c>
      <x:c r="H291"/>
      <x:c r="I291" s="65" t="n">
        <x:v>122</x:v>
      </x:c>
      <x:c r="J291" s="65" t="str">
        <x:v>西部联青年队</x:v>
      </x:c>
      <x:c r="K291" s="82" t="n">
        <x:v>2</x:v>
      </x:c>
      <x:c r="L291" s="82" t="n">
        <x:v>2</x:v>
      </x:c>
      <x:c r="M291" s="67" t="n">
        <x:v>2</x:v>
      </x:c>
      <x:c r="N291" s="181" t="n">
        <x:v>1</x:v>
      </x:c>
      <x:c r="O291" s="67" t="n">
        <x:v>1</x:v>
      </x:c>
    </x:row>
    <x:row r="292" ht="24" customHeight="1">
      <x:c r="A292" s="65" t="n">
        <x:v>123</x:v>
      </x:c>
      <x:c r="B292" s="65" t="str">
        <x:v>新南威尔士精神</x:v>
      </x:c>
      <x:c r="C292" s="82" t="n">
        <x:v>2</x:v>
      </x:c>
      <x:c r="D292" s="82" t="n">
        <x:v>2</x:v>
      </x:c>
      <x:c r="E292" s="67" t="n">
        <x:v>1.5</x:v>
      </x:c>
      <x:c r="F292" s="181" t="n">
        <x:v>1</x:v>
      </x:c>
      <x:c r="G292" s="67" t="n">
        <x:v>0.75</x:v>
      </x:c>
      <x:c r="H292"/>
      <x:c r="I292" s="65" t="n">
        <x:v>123</x:v>
      </x:c>
      <x:c r="J292" s="65" t="str">
        <x:v>费城联合</x:v>
      </x:c>
      <x:c r="K292" s="82" t="n">
        <x:v>2</x:v>
      </x:c>
      <x:c r="L292" s="82" t="n">
        <x:v>2</x:v>
      </x:c>
      <x:c r="M292" s="67" t="n">
        <x:v>2</x:v>
      </x:c>
      <x:c r="N292" s="181" t="n">
        <x:v>1</x:v>
      </x:c>
      <x:c r="O292" s="67" t="n">
        <x:v>1</x:v>
      </x:c>
    </x:row>
    <x:row r="293" ht="24" customHeight="1">
      <x:c r="A293" s="65" t="n">
        <x:v>124</x:v>
      </x:c>
      <x:c r="B293" s="65" t="str">
        <x:v>梅里达维纳多斯（Venados FC）</x:v>
      </x:c>
      <x:c r="C293" s="82" t="n">
        <x:v>2</x:v>
      </x:c>
      <x:c r="D293" s="82" t="n">
        <x:v>2</x:v>
      </x:c>
      <x:c r="E293" s="67" t="n">
        <x:v>1.5</x:v>
      </x:c>
      <x:c r="F293" s="181" t="n">
        <x:v>1</x:v>
      </x:c>
      <x:c r="G293" s="67" t="n">
        <x:v>0.75</x:v>
      </x:c>
      <x:c r="H293"/>
      <x:c r="I293" s="65" t="n">
        <x:v>124</x:v>
      </x:c>
      <x:c r="J293" s="65" t="str">
        <x:v>达马克（Damac FC）</x:v>
      </x:c>
      <x:c r="K293" s="82" t="n">
        <x:v>2</x:v>
      </x:c>
      <x:c r="L293" s="82" t="n">
        <x:v>2</x:v>
      </x:c>
      <x:c r="M293" s="67" t="n">
        <x:v>2</x:v>
      </x:c>
      <x:c r="N293" s="181" t="n">
        <x:v>1</x:v>
      </x:c>
      <x:c r="O293" s="67" t="n">
        <x:v>1</x:v>
      </x:c>
    </x:row>
    <x:row r="294" ht="24" customHeight="1">
      <x:c r="A294" s="65" t="n">
        <x:v>125</x:v>
      </x:c>
      <x:c r="B294" s="65" t="str">
        <x:v>毕尔巴鄂竞技（Athletic Club）</x:v>
      </x:c>
      <x:c r="C294" s="82" t="n">
        <x:v>3</x:v>
      </x:c>
      <x:c r="D294" s="82" t="n">
        <x:v>2</x:v>
      </x:c>
      <x:c r="E294" s="67" t="n">
        <x:v>1.5</x:v>
      </x:c>
      <x:c r="F294" s="181" t="n">
        <x:v>1</x:v>
      </x:c>
      <x:c r="G294" s="67" t="n">
        <x:v>0.75</x:v>
      </x:c>
      <x:c r="H294"/>
      <x:c r="I294" s="65" t="n">
        <x:v>125</x:v>
      </x:c>
      <x:c r="J294" s="65" t="str">
        <x:v>迈阿密国际</x:v>
      </x:c>
      <x:c r="K294" s="82" t="n">
        <x:v>2</x:v>
      </x:c>
      <x:c r="L294" s="82" t="n">
        <x:v>2</x:v>
      </x:c>
      <x:c r="M294" s="67" t="n">
        <x:v>2</x:v>
      </x:c>
      <x:c r="N294" s="181" t="n">
        <x:v>1</x:v>
      </x:c>
      <x:c r="O294" s="67" t="n">
        <x:v>1</x:v>
      </x:c>
    </x:row>
    <x:row r="295" ht="24" customHeight="1">
      <x:c r="A295" s="65" t="n">
        <x:v>126</x:v>
      </x:c>
      <x:c r="B295" s="65" t="str">
        <x:v>水晶宫</x:v>
      </x:c>
      <x:c r="C295" s="82" t="n">
        <x:v>2</x:v>
      </x:c>
      <x:c r="D295" s="82" t="n">
        <x:v>2</x:v>
      </x:c>
      <x:c r="E295" s="67" t="n">
        <x:v>1.5</x:v>
      </x:c>
      <x:c r="F295" s="181" t="n">
        <x:v>1</x:v>
      </x:c>
      <x:c r="G295" s="67" t="n">
        <x:v>0.75</x:v>
      </x:c>
      <x:c r="H295"/>
      <x:c r="I295" s="65" t="n">
        <x:v>126</x:v>
      </x:c>
      <x:c r="J295" s="65" t="str">
        <x:v>霍芬海姆（TSG 1899 Hoffenheim）</x:v>
      </x:c>
      <x:c r="K295" s="82" t="n">
        <x:v>2</x:v>
      </x:c>
      <x:c r="L295" s="82" t="n">
        <x:v>2</x:v>
      </x:c>
      <x:c r="M295" s="67" t="n">
        <x:v>2</x:v>
      </x:c>
      <x:c r="N295" s="181" t="n">
        <x:v>1</x:v>
      </x:c>
      <x:c r="O295" s="67" t="n">
        <x:v>1</x:v>
      </x:c>
    </x:row>
    <x:row r="296" ht="24" customHeight="1">
      <x:c r="A296" s="65" t="n">
        <x:v>127</x:v>
      </x:c>
      <x:c r="B296" s="65" t="str">
        <x:v>永亚卡达</x:v>
      </x:c>
      <x:c r="C296" s="82" t="n">
        <x:v>2</x:v>
      </x:c>
      <x:c r="D296" s="82" t="n">
        <x:v>2</x:v>
      </x:c>
      <x:c r="E296" s="67" t="n">
        <x:v>1.5</x:v>
      </x:c>
      <x:c r="F296" s="181" t="n">
        <x:v>1</x:v>
      </x:c>
      <x:c r="G296" s="67" t="n">
        <x:v>0.75</x:v>
      </x:c>
      <x:c r="H296"/>
      <x:c r="I296" s="65" t="n">
        <x:v>127</x:v>
      </x:c>
      <x:c r="J296" s="65" t="str">
        <x:v>飓风（Huracán）</x:v>
      </x:c>
      <x:c r="K296" s="82" t="n">
        <x:v>2</x:v>
      </x:c>
      <x:c r="L296" s="82" t="n">
        <x:v>2</x:v>
      </x:c>
      <x:c r="M296" s="67" t="n">
        <x:v>2</x:v>
      </x:c>
      <x:c r="N296" s="181" t="n">
        <x:v>1</x:v>
      </x:c>
      <x:c r="O296" s="67" t="n">
        <x:v>1</x:v>
      </x:c>
    </x:row>
    <x:row r="297" ht="24" customHeight="1">
      <x:c r="A297" s="65" t="n">
        <x:v>128</x:v>
      </x:c>
      <x:c r="B297" s="65" t="str">
        <x:v>浦和红钻（Urawa Reds）</x:v>
      </x:c>
      <x:c r="C297" s="82" t="n">
        <x:v>2</x:v>
      </x:c>
      <x:c r="D297" s="82" t="n">
        <x:v>2</x:v>
      </x:c>
      <x:c r="E297" s="67" t="n">
        <x:v>1.5</x:v>
      </x:c>
      <x:c r="F297" s="181" t="n">
        <x:v>1</x:v>
      </x:c>
      <x:c r="G297" s="67" t="n">
        <x:v>0.75</x:v>
      </x:c>
      <x:c r="H297"/>
      <x:c r="I297" s="65" t="n">
        <x:v>128</x:v>
      </x:c>
      <x:c r="J297" s="65" t="str">
        <x:v>首尔衣恋（Seoul E-Land FC）</x:v>
      </x:c>
      <x:c r="K297" s="82" t="n">
        <x:v>2</x:v>
      </x:c>
      <x:c r="L297" s="82" t="n">
        <x:v>2</x:v>
      </x:c>
      <x:c r="M297" s="67" t="n">
        <x:v>2</x:v>
      </x:c>
      <x:c r="N297" s="181" t="n">
        <x:v>1</x:v>
      </x:c>
      <x:c r="O297" s="67" t="n">
        <x:v>1</x:v>
      </x:c>
    </x:row>
    <x:row r="298" ht="24" customHeight="1">
      <x:c r="A298" s="65" t="n">
        <x:v>129</x:v>
      </x:c>
      <x:c r="B298" s="65" t="str">
        <x:v>科林蒂安</x:v>
      </x:c>
      <x:c r="C298" s="82" t="n">
        <x:v>2</x:v>
      </x:c>
      <x:c r="D298" s="82" t="n">
        <x:v>2</x:v>
      </x:c>
      <x:c r="E298" s="67" t="n">
        <x:v>1.5</x:v>
      </x:c>
      <x:c r="F298" s="181" t="n">
        <x:v>1</x:v>
      </x:c>
      <x:c r="G298" s="67" t="n">
        <x:v>0.75</x:v>
      </x:c>
      <x:c r="H298"/>
      <x:c r="I298" s="65" t="n">
        <x:v>129</x:v>
      </x:c>
      <x:c r="J298" s="65" t="str">
        <x:v>马德里竞技</x:v>
      </x:c>
      <x:c r="K298" s="82" t="n">
        <x:v>3</x:v>
      </x:c>
      <x:c r="L298" s="82" t="n">
        <x:v>3</x:v>
      </x:c>
      <x:c r="M298" s="67" t="n">
        <x:v>2</x:v>
      </x:c>
      <x:c r="N298" s="181" t="n">
        <x:v>1</x:v>
      </x:c>
      <x:c r="O298" s="67" t="n">
        <x:v>0.6666666666666666</x:v>
      </x:c>
    </x:row>
    <x:row r="299" ht="24" customHeight="1">
      <x:c r="A299" s="65" t="n">
        <x:v>130</x:v>
      </x:c>
      <x:c r="B299" s="65" t="str">
        <x:v>科莫（Como 1907）</x:v>
      </x:c>
      <x:c r="C299" s="82" t="n">
        <x:v>2</x:v>
      </x:c>
      <x:c r="D299" s="82" t="n">
        <x:v>2</x:v>
      </x:c>
      <x:c r="E299" s="67" t="n">
        <x:v>1.5</x:v>
      </x:c>
      <x:c r="F299" s="181" t="n">
        <x:v>1</x:v>
      </x:c>
      <x:c r="G299" s="67" t="n">
        <x:v>0.75</x:v>
      </x:c>
      <x:c r="H299"/>
      <x:c r="I299" s="65" t="n">
        <x:v>130</x:v>
      </x:c>
      <x:c r="J299" s="65" t="str">
        <x:v>马斯里</x:v>
      </x:c>
      <x:c r="K299" s="82" t="n">
        <x:v>2</x:v>
      </x:c>
      <x:c r="L299" s="82" t="n">
        <x:v>2</x:v>
      </x:c>
      <x:c r="M299" s="67" t="n">
        <x:v>2</x:v>
      </x:c>
      <x:c r="N299" s="181" t="n">
        <x:v>1</x:v>
      </x:c>
      <x:c r="O299" s="67" t="n">
        <x:v>1</x:v>
      </x:c>
    </x:row>
    <x:row r="300" ht="24" customHeight="1">
      <x:c r="A300" s="65" t="n">
        <x:v>131</x:v>
      </x:c>
      <x:c r="B300" s="65" t="str">
        <x:v>科里蒂巴（Coritiba）</x:v>
      </x:c>
      <x:c r="C300" s="82" t="n">
        <x:v>2</x:v>
      </x:c>
      <x:c r="D300" s="82" t="n">
        <x:v>2</x:v>
      </x:c>
      <x:c r="E300" s="67" t="n">
        <x:v>1.5</x:v>
      </x:c>
      <x:c r="F300" s="181" t="n">
        <x:v>1</x:v>
      </x:c>
      <x:c r="G300" s="67" t="n">
        <x:v>0.75</x:v>
      </x:c>
      <x:c r="H300"/>
      <x:c r="I300" s="65" t="n">
        <x:v>131</x:v>
      </x:c>
      <x:c r="J300" s="65" t="str">
        <x:v>黑镇市</x:v>
      </x:c>
      <x:c r="K300" s="82" t="n">
        <x:v>2</x:v>
      </x:c>
      <x:c r="L300" s="82" t="n">
        <x:v>2</x:v>
      </x:c>
      <x:c r="M300" s="67" t="n">
        <x:v>2</x:v>
      </x:c>
      <x:c r="N300" s="181" t="n">
        <x:v>1</x:v>
      </x:c>
      <x:c r="O300" s="67" t="n">
        <x:v>1</x:v>
      </x:c>
    </x:row>
    <x:row r="301" ht="24" customHeight="1">
      <x:c r="A301" s="65" t="n">
        <x:v>132</x:v>
      </x:c>
      <x:c r="B301" s="65" t="str">
        <x:v>莱昂（León）</x:v>
      </x:c>
      <x:c r="C301" s="82" t="n">
        <x:v>2</x:v>
      </x:c>
      <x:c r="D301" s="82" t="n">
        <x:v>2</x:v>
      </x:c>
      <x:c r="E301" s="67" t="n">
        <x:v>1.5</x:v>
      </x:c>
      <x:c r="F301" s="181" t="n">
        <x:v>1</x:v>
      </x:c>
      <x:c r="G301" s="67" t="n">
        <x:v>0.75</x:v>
      </x:c>
      <x:c r="H301"/>
      <x:c r="I301" s="65" t="n">
        <x:v>132</x:v>
      </x:c>
      <x:c r="J301" s="65" t="str">
        <x:v>东京绿茵（Tokyo Verdy）</x:v>
      </x:c>
      <x:c r="K301" s="82" t="n">
        <x:v>4</x:v>
      </x:c>
      <x:c r="L301" s="82" t="n">
        <x:v>4</x:v>
      </x:c>
      <x:c r="M301" s="67" t="n">
        <x:v>2</x:v>
      </x:c>
      <x:c r="N301" s="181" t="n">
        <x:v>0.75</x:v>
      </x:c>
      <x:c r="O301" s="67" t="n">
        <x:v>0.5</x:v>
      </x:c>
    </x:row>
    <x:row r="302" ht="24" customHeight="1">
      <x:c r="A302" s="65" t="n">
        <x:v>133</x:v>
      </x:c>
      <x:c r="B302" s="65" t="str">
        <x:v>西悉尼流浪者青年队</x:v>
      </x:c>
      <x:c r="C302" s="82" t="n">
        <x:v>2</x:v>
      </x:c>
      <x:c r="D302" s="82" t="n">
        <x:v>2</x:v>
      </x:c>
      <x:c r="E302" s="67" t="n">
        <x:v>1.5</x:v>
      </x:c>
      <x:c r="F302" s="181" t="n">
        <x:v>1</x:v>
      </x:c>
      <x:c r="G302" s="67" t="n">
        <x:v>0.75</x:v>
      </x:c>
      <x:c r="H302"/>
      <x:c r="I302" s="65" t="n">
        <x:v>133</x:v>
      </x:c>
      <x:c r="J302" s="65" t="str">
        <x:v>伯恩茅斯（AFC Bournemouth）</x:v>
      </x:c>
      <x:c r="K302" s="82" t="n">
        <x:v>4</x:v>
      </x:c>
      <x:c r="L302" s="82" t="n">
        <x:v>4</x:v>
      </x:c>
      <x:c r="M302" s="67" t="n">
        <x:v>2</x:v>
      </x:c>
      <x:c r="N302" s="181" t="n">
        <x:v>0.75</x:v>
      </x:c>
      <x:c r="O302" s="67" t="n">
        <x:v>0.5</x:v>
      </x:c>
    </x:row>
    <x:row r="303" ht="24" customHeight="1">
      <x:c r="A303" s="65" t="n">
        <x:v>134</x:v>
      </x:c>
      <x:c r="B303" s="65" t="str">
        <x:v>西汉姆联</x:v>
      </x:c>
      <x:c r="C303" s="82" t="n">
        <x:v>2</x:v>
      </x:c>
      <x:c r="D303" s="82" t="n">
        <x:v>2</x:v>
      </x:c>
      <x:c r="E303" s="67" t="n">
        <x:v>1.5</x:v>
      </x:c>
      <x:c r="F303" s="181" t="n">
        <x:v>1</x:v>
      </x:c>
      <x:c r="G303" s="67" t="n">
        <x:v>0.75</x:v>
      </x:c>
      <x:c r="H303"/>
      <x:c r="I303" s="65" t="n">
        <x:v>134</x:v>
      </x:c>
      <x:c r="J303" s="65" t="str">
        <x:v>博洛尼亚（Bologna）</x:v>
      </x:c>
      <x:c r="K303" s="82" t="n">
        <x:v>4</x:v>
      </x:c>
      <x:c r="L303" s="82" t="n">
        <x:v>4</x:v>
      </x:c>
      <x:c r="M303" s="67" t="n">
        <x:v>2</x:v>
      </x:c>
      <x:c r="N303" s="181" t="n">
        <x:v>0.75</x:v>
      </x:c>
      <x:c r="O303" s="67" t="n">
        <x:v>0.5</x:v>
      </x:c>
    </x:row>
    <x:row r="304" ht="24" customHeight="1">
      <x:c r="A304" s="65" t="n">
        <x:v>135</x:v>
      </x:c>
      <x:c r="B304" s="65" t="str">
        <x:v>马卡拉</x:v>
      </x:c>
      <x:c r="C304" s="82" t="n">
        <x:v>2</x:v>
      </x:c>
      <x:c r="D304" s="82" t="n">
        <x:v>2</x:v>
      </x:c>
      <x:c r="E304" s="67" t="n">
        <x:v>1.5</x:v>
      </x:c>
      <x:c r="F304" s="181" t="n">
        <x:v>1</x:v>
      </x:c>
      <x:c r="G304" s="67" t="n">
        <x:v>0.75</x:v>
      </x:c>
      <x:c r="H304"/>
      <x:c r="I304" s="65" t="n">
        <x:v>135</x:v>
      </x:c>
      <x:c r="J304" s="65" t="str">
        <x:v>喀什国际（Inter Kashi）</x:v>
      </x:c>
      <x:c r="K304" s="82" t="n">
        <x:v>4</x:v>
      </x:c>
      <x:c r="L304" s="82" t="n">
        <x:v>4</x:v>
      </x:c>
      <x:c r="M304" s="67" t="n">
        <x:v>2</x:v>
      </x:c>
      <x:c r="N304" s="181" t="n">
        <x:v>0.75</x:v>
      </x:c>
      <x:c r="O304" s="67" t="n">
        <x:v>0.5</x:v>
      </x:c>
    </x:row>
    <x:row r="305" ht="24" customHeight="1">
      <x:c r="A305" s="65" t="n">
        <x:v>136</x:v>
      </x:c>
      <x:c r="B305" s="65" t="str">
        <x:v>黑镇市</x:v>
      </x:c>
      <x:c r="C305" s="82" t="n">
        <x:v>2</x:v>
      </x:c>
      <x:c r="D305" s="82" t="n">
        <x:v>2</x:v>
      </x:c>
      <x:c r="E305" s="67" t="n">
        <x:v>1.5</x:v>
      </x:c>
      <x:c r="F305" s="181" t="n">
        <x:v>1</x:v>
      </x:c>
      <x:c r="G305" s="67" t="n">
        <x:v>0.75</x:v>
      </x:c>
      <x:c r="H305"/>
      <x:c r="I305" s="65" t="n">
        <x:v>136</x:v>
      </x:c>
      <x:c r="J305" s="65" t="str">
        <x:v>巴伊亚</x:v>
      </x:c>
      <x:c r="K305" s="82" t="n">
        <x:v>4</x:v>
      </x:c>
      <x:c r="L305" s="82" t="n">
        <x:v>4</x:v>
      </x:c>
      <x:c r="M305" s="67" t="n">
        <x:v>2</x:v>
      </x:c>
      <x:c r="N305" s="181" t="n">
        <x:v>0.75</x:v>
      </x:c>
      <x:c r="O305" s="67" t="n">
        <x:v>0.5</x:v>
      </x:c>
    </x:row>
    <x:row r="306" ht="24" customHeight="1">
      <x:c r="A306" s="65" t="n">
        <x:v>137</x:v>
      </x:c>
      <x:c r="B306" s="65" t="str">
        <x:v>东京绿茵（Tokyo Verdy）</x:v>
      </x:c>
      <x:c r="C306" s="82" t="n">
        <x:v>4</x:v>
      </x:c>
      <x:c r="D306" s="82" t="n">
        <x:v>4</x:v>
      </x:c>
      <x:c r="E306" s="67" t="n">
        <x:v>1.5</x:v>
      </x:c>
      <x:c r="F306" s="181" t="n">
        <x:v>0.75</x:v>
      </x:c>
      <x:c r="G306" s="67" t="n">
        <x:v>0.375</x:v>
      </x:c>
      <x:c r="H306"/>
      <x:c r="I306" s="65" t="n">
        <x:v>137</x:v>
      </x:c>
      <x:c r="J306" s="65" t="str">
        <x:v>布莱克本流浪者</x:v>
      </x:c>
      <x:c r="K306" s="82" t="n">
        <x:v>4</x:v>
      </x:c>
      <x:c r="L306" s="82" t="n">
        <x:v>4</x:v>
      </x:c>
      <x:c r="M306" s="67" t="n">
        <x:v>2</x:v>
      </x:c>
      <x:c r="N306" s="181" t="n">
        <x:v>0.75</x:v>
      </x:c>
      <x:c r="O306" s="67" t="n">
        <x:v>0.5</x:v>
      </x:c>
    </x:row>
    <x:row r="307" ht="24" customHeight="1">
      <x:c r="A307" s="65" t="n">
        <x:v>138</x:v>
      </x:c>
      <x:c r="B307" s="65" t="str">
        <x:v>奥地利</x:v>
      </x:c>
      <x:c r="C307" s="82" t="n">
        <x:v>4</x:v>
      </x:c>
      <x:c r="D307" s="82" t="n">
        <x:v>4</x:v>
      </x:c>
      <x:c r="E307" s="67" t="n">
        <x:v>1.5</x:v>
      </x:c>
      <x:c r="F307" s="181" t="n">
        <x:v>0.75</x:v>
      </x:c>
      <x:c r="G307" s="67" t="n">
        <x:v>0.375</x:v>
      </x:c>
      <x:c r="H307"/>
      <x:c r="I307" s="65" t="n">
        <x:v>138</x:v>
      </x:c>
      <x:c r="J307" s="65" t="str">
        <x:v>帕德博恩（SC Paderborn 07）</x:v>
      </x:c>
      <x:c r="K307" s="82" t="n">
        <x:v>4</x:v>
      </x:c>
      <x:c r="L307" s="82" t="n">
        <x:v>4</x:v>
      </x:c>
      <x:c r="M307" s="67" t="n">
        <x:v>2</x:v>
      </x:c>
      <x:c r="N307" s="181" t="n">
        <x:v>0.75</x:v>
      </x:c>
      <x:c r="O307" s="67" t="n">
        <x:v>0.5</x:v>
      </x:c>
    </x:row>
    <x:row r="308" ht="24" customHeight="1">
      <x:c r="A308" s="65" t="n">
        <x:v>139</x:v>
      </x:c>
      <x:c r="B308" s="65" t="str">
        <x:v>拉尼罗斯</x:v>
      </x:c>
      <x:c r="C308" s="82" t="n">
        <x:v>4</x:v>
      </x:c>
      <x:c r="D308" s="82" t="n">
        <x:v>4</x:v>
      </x:c>
      <x:c r="E308" s="67" t="n">
        <x:v>1.5</x:v>
      </x:c>
      <x:c r="F308" s="181" t="n">
        <x:v>0.75</x:v>
      </x:c>
      <x:c r="G308" s="67" t="n">
        <x:v>0.375</x:v>
      </x:c>
      <x:c r="H308"/>
      <x:c r="I308" s="65" t="n">
        <x:v>139</x:v>
      </x:c>
      <x:c r="J308" s="65" t="str">
        <x:v>弗鲁米嫩塞</x:v>
      </x:c>
      <x:c r="K308" s="82" t="n">
        <x:v>4</x:v>
      </x:c>
      <x:c r="L308" s="82" t="n">
        <x:v>4</x:v>
      </x:c>
      <x:c r="M308" s="67" t="n">
        <x:v>2</x:v>
      </x:c>
      <x:c r="N308" s="181" t="n">
        <x:v>0.75</x:v>
      </x:c>
      <x:c r="O308" s="67" t="n">
        <x:v>0.5</x:v>
      </x:c>
    </x:row>
    <x:row r="309" ht="24" customHeight="1">
      <x:c r="A309" s="65" t="n">
        <x:v>140</x:v>
      </x:c>
      <x:c r="B309" s="65" t="str">
        <x:v>莫雷利亚竞技（Atlético Morelia）</x:v>
      </x:c>
      <x:c r="C309" s="82" t="n">
        <x:v>4</x:v>
      </x:c>
      <x:c r="D309" s="82" t="n">
        <x:v>4</x:v>
      </x:c>
      <x:c r="E309" s="67" t="n">
        <x:v>1.5</x:v>
      </x:c>
      <x:c r="F309" s="181" t="n">
        <x:v>0.75</x:v>
      </x:c>
      <x:c r="G309" s="67" t="n">
        <x:v>0.375</x:v>
      </x:c>
      <x:c r="H309"/>
      <x:c r="I309" s="65" t="n">
        <x:v>140</x:v>
      </x:c>
      <x:c r="J309" s="65" t="str">
        <x:v>德累斯顿迪纳摩</x:v>
      </x:c>
      <x:c r="K309" s="82" t="n">
        <x:v>4</x:v>
      </x:c>
      <x:c r="L309" s="82" t="n">
        <x:v>4</x:v>
      </x:c>
      <x:c r="M309" s="67" t="n">
        <x:v>2</x:v>
      </x:c>
      <x:c r="N309" s="181" t="n">
        <x:v>0.75</x:v>
      </x:c>
      <x:c r="O309" s="67" t="n">
        <x:v>0.5</x:v>
      </x:c>
    </x:row>
    <x:row r="310" ht="24" customHeight="1">
      <x:c r="A310" s="65" t="n">
        <x:v>141</x:v>
      </x:c>
      <x:c r="B310" s="65" t="str">
        <x:v>阿尔多斯维</x:v>
      </x:c>
      <x:c r="C310" s="82" t="n">
        <x:v>4</x:v>
      </x:c>
      <x:c r="D310" s="82" t="n">
        <x:v>4</x:v>
      </x:c>
      <x:c r="E310" s="67" t="n">
        <x:v>1.5</x:v>
      </x:c>
      <x:c r="F310" s="181" t="n">
        <x:v>0.75</x:v>
      </x:c>
      <x:c r="G310" s="67" t="n">
        <x:v>0.375</x:v>
      </x:c>
      <x:c r="H310"/>
      <x:c r="I310" s="65" t="n">
        <x:v>141</x:v>
      </x:c>
      <x:c r="J310" s="65" t="str">
        <x:v>拉尼罗斯</x:v>
      </x:c>
      <x:c r="K310" s="82" t="n">
        <x:v>4</x:v>
      </x:c>
      <x:c r="L310" s="82" t="n">
        <x:v>4</x:v>
      </x:c>
      <x:c r="M310" s="67" t="n">
        <x:v>2</x:v>
      </x:c>
      <x:c r="N310" s="181" t="n">
        <x:v>0.75</x:v>
      </x:c>
      <x:c r="O310" s="67" t="n">
        <x:v>0.5</x:v>
      </x:c>
    </x:row>
    <x:row r="311" ht="24" customHeight="1">
      <x:c r="A311" s="65" t="n">
        <x:v>142</x:v>
      </x:c>
      <x:c r="B311" s="65" t="str">
        <x:v>阿森纳</x:v>
      </x:c>
      <x:c r="C311" s="82" t="n">
        <x:v>4</x:v>
      </x:c>
      <x:c r="D311" s="82" t="n">
        <x:v>4</x:v>
      </x:c>
      <x:c r="E311" s="67" t="n">
        <x:v>1.5</x:v>
      </x:c>
      <x:c r="F311" s="181" t="n">
        <x:v>0.75</x:v>
      </x:c>
      <x:c r="G311" s="67" t="n">
        <x:v>0.375</x:v>
      </x:c>
      <x:c r="H311"/>
      <x:c r="I311" s="65" t="n">
        <x:v>142</x:v>
      </x:c>
      <x:c r="J311" s="65" t="str">
        <x:v>提格雷（Tigre）</x:v>
      </x:c>
      <x:c r="K311" s="82" t="n">
        <x:v>4</x:v>
      </x:c>
      <x:c r="L311" s="82" t="n">
        <x:v>4</x:v>
      </x:c>
      <x:c r="M311" s="67" t="n">
        <x:v>2</x:v>
      </x:c>
      <x:c r="N311" s="181" t="n">
        <x:v>0.75</x:v>
      </x:c>
      <x:c r="O311" s="67" t="n">
        <x:v>0.5</x:v>
      </x:c>
    </x:row>
    <x:row r="312" ht="24" customHeight="1">
      <x:c r="A312" s="65" t="n">
        <x:v>143</x:v>
      </x:c>
      <x:c r="B312" s="65" t="str">
        <x:v>克罗地亚</x:v>
      </x:c>
      <x:c r="C312" s="82" t="n">
        <x:v>3</x:v>
      </x:c>
      <x:c r="D312" s="82" t="n">
        <x:v>3</x:v>
      </x:c>
      <x:c r="E312" s="67" t="n">
        <x:v>1.5</x:v>
      </x:c>
      <x:c r="F312" s="181" t="n">
        <x:v>0.6666666666666666</x:v>
      </x:c>
      <x:c r="G312" s="67" t="n">
        <x:v>0.5</x:v>
      </x:c>
      <x:c r="H312"/>
      <x:c r="I312" s="65" t="n">
        <x:v>143</x:v>
      </x:c>
      <x:c r="J312" s="65" t="str">
        <x:v>柏林赫塔</x:v>
      </x:c>
      <x:c r="K312" s="82" t="n">
        <x:v>4</x:v>
      </x:c>
      <x:c r="L312" s="82" t="n">
        <x:v>4</x:v>
      </x:c>
      <x:c r="M312" s="67" t="n">
        <x:v>2</x:v>
      </x:c>
      <x:c r="N312" s="181" t="n">
        <x:v>0.75</x:v>
      </x:c>
      <x:c r="O312" s="67" t="n">
        <x:v>0.5</x:v>
      </x:c>
    </x:row>
    <x:row r="313" ht="24" customHeight="1">
      <x:c r="A313" s="65" t="n">
        <x:v>144</x:v>
      </x:c>
      <x:c r="B313" s="65" t="str">
        <x:v>克雷莫纳（Cremonese）</x:v>
      </x:c>
      <x:c r="C313" s="82" t="n">
        <x:v>3</x:v>
      </x:c>
      <x:c r="D313" s="82" t="n">
        <x:v>3</x:v>
      </x:c>
      <x:c r="E313" s="67" t="n">
        <x:v>1.5</x:v>
      </x:c>
      <x:c r="F313" s="181" t="n">
        <x:v>0.6666666666666666</x:v>
      </x:c>
      <x:c r="G313" s="67" t="n">
        <x:v>0.5</x:v>
      </x:c>
      <x:c r="H313"/>
      <x:c r="I313" s="65" t="n">
        <x:v>144</x:v>
      </x:c>
      <x:c r="J313" s="65" t="str">
        <x:v>比勒菲尔德</x:v>
      </x:c>
      <x:c r="K313" s="82" t="n">
        <x:v>4</x:v>
      </x:c>
      <x:c r="L313" s="82" t="n">
        <x:v>4</x:v>
      </x:c>
      <x:c r="M313" s="67" t="n">
        <x:v>2</x:v>
      </x:c>
      <x:c r="N313" s="181" t="n">
        <x:v>0.75</x:v>
      </x:c>
      <x:c r="O313" s="67" t="n">
        <x:v>0.5</x:v>
      </x:c>
    </x:row>
    <x:row r="314" ht="24" customHeight="1">
      <x:c r="A314" s="65" t="n">
        <x:v>145</x:v>
      </x:c>
      <x:c r="B314" s="65" t="str">
        <x:v>哈马比（Hammarby IF）</x:v>
      </x:c>
      <x:c r="C314" s="82" t="n">
        <x:v>6</x:v>
      </x:c>
      <x:c r="D314" s="82" t="n">
        <x:v>6</x:v>
      </x:c>
      <x:c r="E314" s="67" t="n">
        <x:v>1.5</x:v>
      </x:c>
      <x:c r="F314" s="181" t="n">
        <x:v>0.6666666666666666</x:v>
      </x:c>
      <x:c r="G314" s="67" t="n">
        <x:v>0.25</x:v>
      </x:c>
      <x:c r="H314"/>
      <x:c r="I314" s="65" t="n">
        <x:v>145</x:v>
      </x:c>
      <x:c r="J314" s="65" t="str">
        <x:v>清水心跳</x:v>
      </x:c>
      <x:c r="K314" s="82" t="n">
        <x:v>4</x:v>
      </x:c>
      <x:c r="L314" s="82" t="n">
        <x:v>4</x:v>
      </x:c>
      <x:c r="M314" s="67" t="n">
        <x:v>2</x:v>
      </x:c>
      <x:c r="N314" s="181" t="n">
        <x:v>0.75</x:v>
      </x:c>
      <x:c r="O314" s="67" t="n">
        <x:v>0.5</x:v>
      </x:c>
    </x:row>
    <x:row r="315" ht="24" customHeight="1">
      <x:c r="A315" s="65" t="n">
        <x:v>146</x:v>
      </x:c>
      <x:c r="B315" s="65" t="str">
        <x:v>喀什国际（Inter Kashi FC）</x:v>
      </x:c>
      <x:c r="C315" s="82" t="n">
        <x:v>3</x:v>
      </x:c>
      <x:c r="D315" s="82" t="n">
        <x:v>3</x:v>
      </x:c>
      <x:c r="E315" s="67" t="n">
        <x:v>1.5</x:v>
      </x:c>
      <x:c r="F315" s="181" t="n">
        <x:v>0.6666666666666666</x:v>
      </x:c>
      <x:c r="G315" s="67" t="n">
        <x:v>0.5</x:v>
      </x:c>
      <x:c r="H315"/>
      <x:c r="I315" s="65" t="n">
        <x:v>146</x:v>
      </x:c>
      <x:c r="J315" s="65" t="str">
        <x:v>清水心跳（Shimizu S-Pulse）</x:v>
      </x:c>
      <x:c r="K315" s="82" t="n">
        <x:v>4</x:v>
      </x:c>
      <x:c r="L315" s="82" t="n">
        <x:v>4</x:v>
      </x:c>
      <x:c r="M315" s="67" t="n">
        <x:v>2</x:v>
      </x:c>
      <x:c r="N315" s="181" t="n">
        <x:v>0.75</x:v>
      </x:c>
      <x:c r="O315" s="67" t="n">
        <x:v>0.5</x:v>
      </x:c>
    </x:row>
    <x:row r="316" ht="24" customHeight="1">
      <x:c r="A316" s="65" t="n">
        <x:v>147</x:v>
      </x:c>
      <x:c r="B316" s="65" t="str">
        <x:v>巴西</x:v>
      </x:c>
      <x:c r="C316" s="82" t="n">
        <x:v>3</x:v>
      </x:c>
      <x:c r="D316" s="82" t="n">
        <x:v>3</x:v>
      </x:c>
      <x:c r="E316" s="67" t="n">
        <x:v>1.5</x:v>
      </x:c>
      <x:c r="F316" s="181" t="n">
        <x:v>0.6666666666666666</x:v>
      </x:c>
      <x:c r="G316" s="67" t="n">
        <x:v>0.5</x:v>
      </x:c>
      <x:c r="H316"/>
      <x:c r="I316" s="65" t="n">
        <x:v>147</x:v>
      </x:c>
      <x:c r="J316" s="65" t="str">
        <x:v>神户胜利船</x:v>
      </x:c>
      <x:c r="K316" s="82" t="n">
        <x:v>4</x:v>
      </x:c>
      <x:c r="L316" s="82" t="n">
        <x:v>4</x:v>
      </x:c>
      <x:c r="M316" s="67" t="n">
        <x:v>2</x:v>
      </x:c>
      <x:c r="N316" s="181" t="n">
        <x:v>0.75</x:v>
      </x:c>
      <x:c r="O316" s="67" t="n">
        <x:v>0.5</x:v>
      </x:c>
    </x:row>
    <x:row r="317" ht="24" customHeight="1">
      <x:c r="A317" s="65" t="n">
        <x:v>148</x:v>
      </x:c>
      <x:c r="B317" s="65" t="str">
        <x:v>特帕迪特兰（Tepatitlán FC）</x:v>
      </x:c>
      <x:c r="C317" s="82" t="n">
        <x:v>3</x:v>
      </x:c>
      <x:c r="D317" s="82" t="n">
        <x:v>3</x:v>
      </x:c>
      <x:c r="E317" s="67" t="n">
        <x:v>1.5</x:v>
      </x:c>
      <x:c r="F317" s="181" t="n">
        <x:v>0.6666666666666666</x:v>
      </x:c>
      <x:c r="G317" s="67" t="n">
        <x:v>0.5</x:v>
      </x:c>
      <x:c r="H317"/>
      <x:c r="I317" s="65" t="n">
        <x:v>148</x:v>
      </x:c>
      <x:c r="J317" s="65" t="str">
        <x:v>莫哈末丹</x:v>
      </x:c>
      <x:c r="K317" s="82" t="n">
        <x:v>4</x:v>
      </x:c>
      <x:c r="L317" s="82" t="n">
        <x:v>4</x:v>
      </x:c>
      <x:c r="M317" s="67" t="n">
        <x:v>2</x:v>
      </x:c>
      <x:c r="N317" s="181" t="n">
        <x:v>0.75</x:v>
      </x:c>
      <x:c r="O317" s="67" t="n">
        <x:v>0.5</x:v>
      </x:c>
    </x:row>
    <x:row r="318" ht="24" customHeight="1">
      <x:c r="A318" s="65" t="n">
        <x:v>149</x:v>
      </x:c>
      <x:c r="B318" s="65" t="str">
        <x:v>瑞士</x:v>
      </x:c>
      <x:c r="C318" s="82" t="n">
        <x:v>3</x:v>
      </x:c>
      <x:c r="D318" s="82" t="n">
        <x:v>3</x:v>
      </x:c>
      <x:c r="E318" s="67" t="n">
        <x:v>1.5</x:v>
      </x:c>
      <x:c r="F318" s="181" t="n">
        <x:v>0.6666666666666666</x:v>
      </x:c>
      <x:c r="G318" s="67" t="n">
        <x:v>0.5</x:v>
      </x:c>
      <x:c r="H318"/>
      <x:c r="I318" s="65" t="n">
        <x:v>149</x:v>
      </x:c>
      <x:c r="J318" s="65" t="str">
        <x:v>长崎成功丸</x:v>
      </x:c>
      <x:c r="K318" s="82" t="n">
        <x:v>4</x:v>
      </x:c>
      <x:c r="L318" s="82" t="n">
        <x:v>4</x:v>
      </x:c>
      <x:c r="M318" s="67" t="n">
        <x:v>2</x:v>
      </x:c>
      <x:c r="N318" s="181" t="n">
        <x:v>0.75</x:v>
      </x:c>
      <x:c r="O318" s="67" t="n">
        <x:v>0.5</x:v>
      </x:c>
    </x:row>
    <x:row r="319" ht="24" customHeight="1">
      <x:c r="A319" s="65" t="n">
        <x:v>150</x:v>
      </x:c>
      <x:c r="B319" s="65" t="str">
        <x:v>赛曼巴东（Semen Padang）</x:v>
      </x:c>
      <x:c r="C319" s="82" t="n">
        <x:v>3</x:v>
      </x:c>
      <x:c r="D319" s="82" t="n">
        <x:v>3</x:v>
      </x:c>
      <x:c r="E319" s="67" t="n">
        <x:v>1.5</x:v>
      </x:c>
      <x:c r="F319" s="181" t="n">
        <x:v>0.6666666666666666</x:v>
      </x:c>
      <x:c r="G319" s="67" t="n">
        <x:v>0.5</x:v>
      </x:c>
      <x:c r="H319"/>
      <x:c r="I319" s="65" t="n">
        <x:v>150</x:v>
      </x:c>
      <x:c r="J319" s="65" t="str">
        <x:v>马格德堡</x:v>
      </x:c>
      <x:c r="K319" s="82" t="n">
        <x:v>4</x:v>
      </x:c>
      <x:c r="L319" s="82" t="n">
        <x:v>4</x:v>
      </x:c>
      <x:c r="M319" s="67" t="n">
        <x:v>2</x:v>
      </x:c>
      <x:c r="N319" s="181" t="n">
        <x:v>0.75</x:v>
      </x:c>
      <x:c r="O319" s="67" t="n">
        <x:v>0.5</x:v>
      </x:c>
    </x:row>
    <x:row r="320" ht="24" customHeight="1">
      <x:c r="A320" s="65" t="n">
        <x:v>151</x:v>
      </x:c>
      <x:c r="B320" s="65" t="str">
        <x:v>阿利安萨FC（巴耶杜帕尔）</x:v>
      </x:c>
      <x:c r="C320" s="82" t="n">
        <x:v>3</x:v>
      </x:c>
      <x:c r="D320" s="82" t="n">
        <x:v>3</x:v>
      </x:c>
      <x:c r="E320" s="67" t="n">
        <x:v>1.5</x:v>
      </x:c>
      <x:c r="F320" s="181" t="n">
        <x:v>0.6666666666666666</x:v>
      </x:c>
      <x:c r="G320" s="67" t="n">
        <x:v>0.5</x:v>
      </x:c>
      <x:c r="H320"/>
      <x:c r="I320" s="65" t="n">
        <x:v>151</x:v>
      </x:c>
      <x:c r="J320" s="65" t="str">
        <x:v>墨尔本胜利（Melbourne Victory）</x:v>
      </x:c>
      <x:c r="K320" s="82" t="n">
        <x:v>4</x:v>
      </x:c>
      <x:c r="L320" s="82" t="n">
        <x:v>4</x:v>
      </x:c>
      <x:c r="M320" s="67" t="n">
        <x:v>2</x:v>
      </x:c>
      <x:c r="N320" s="181" t="n">
        <x:v>0.75</x:v>
      </x:c>
      <x:c r="O320" s="67" t="n">
        <x:v>0.5</x:v>
      </x:c>
    </x:row>
    <x:row r="321" ht="24" customHeight="1">
      <x:c r="A321" s="65" t="n">
        <x:v>152</x:v>
      </x:c>
      <x:c r="B321" s="65" t="str">
        <x:v>洛克达尔伊林登（Rockdale Ilinden）</x:v>
      </x:c>
      <x:c r="C321" s="82" t="n">
        <x:v>8</x:v>
      </x:c>
      <x:c r="D321" s="82" t="n">
        <x:v>8</x:v>
      </x:c>
      <x:c r="E321" s="67" t="n">
        <x:v>1.5</x:v>
      </x:c>
      <x:c r="F321" s="181" t="n">
        <x:v>0.625</x:v>
      </x:c>
      <x:c r="G321" s="67" t="n">
        <x:v>0.1875</x:v>
      </x:c>
      <x:c r="H321"/>
      <x:c r="I321" s="65" t="n">
        <x:v>152</x:v>
      </x:c>
      <x:c r="J321" s="65" t="str">
        <x:v>东北联</x:v>
      </x:c>
      <x:c r="K321" s="82" t="n">
        <x:v>6</x:v>
      </x:c>
      <x:c r="L321" s="82" t="n">
        <x:v>6</x:v>
      </x:c>
      <x:c r="M321" s="67" t="n">
        <x:v>2</x:v>
      </x:c>
      <x:c r="N321" s="181" t="n">
        <x:v>0.6666666666666666</x:v>
      </x:c>
      <x:c r="O321" s="67" t="n">
        <x:v>0.3333333333333333</x:v>
      </x:c>
    </x:row>
    <x:row r="322" ht="24" customHeight="1">
      <x:c r="A322" s="65" t="n">
        <x:v>153</x:v>
      </x:c>
      <x:c r="B322" s="65" t="str">
        <x:v>AC米兰</x:v>
      </x:c>
      <x:c r="C322" s="82" t="n">
        <x:v>5</x:v>
      </x:c>
      <x:c r="D322" s="82" t="n">
        <x:v>5</x:v>
      </x:c>
      <x:c r="E322" s="67" t="n">
        <x:v>1.5</x:v>
      </x:c>
      <x:c r="F322" s="181" t="n">
        <x:v>0.6</x:v>
      </x:c>
      <x:c r="G322" s="67" t="n">
        <x:v>0.3</x:v>
      </x:c>
      <x:c r="H322"/>
      <x:c r="I322" s="65" t="n">
        <x:v>153</x:v>
      </x:c>
      <x:c r="J322" s="65" t="str">
        <x:v>布伦瑞克尤文图斯（Brunswick Juventus）</x:v>
      </x:c>
      <x:c r="K322" s="82" t="n">
        <x:v>6</x:v>
      </x:c>
      <x:c r="L322" s="82" t="n">
        <x:v>6</x:v>
      </x:c>
      <x:c r="M322" s="67" t="n">
        <x:v>2</x:v>
      </x:c>
      <x:c r="N322" s="181" t="n">
        <x:v>0.6666666666666666</x:v>
      </x:c>
      <x:c r="O322" s="67" t="n">
        <x:v>0.3333333333333333</x:v>
      </x:c>
    </x:row>
    <x:row r="323" ht="24" customHeight="1">
      <x:c r="A323" s="65" t="n">
        <x:v>154</x:v>
      </x:c>
      <x:c r="B323" s="65" t="str">
        <x:v>多拉多斯（Dorados de Sinaloa）</x:v>
      </x:c>
      <x:c r="C323" s="82" t="n">
        <x:v>5</x:v>
      </x:c>
      <x:c r="D323" s="82" t="n">
        <x:v>5</x:v>
      </x:c>
      <x:c r="E323" s="67" t="n">
        <x:v>1.5</x:v>
      </x:c>
      <x:c r="F323" s="181" t="n">
        <x:v>0.6</x:v>
      </x:c>
      <x:c r="G323" s="67" t="n">
        <x:v>0.3</x:v>
      </x:c>
      <x:c r="H323"/>
      <x:c r="I323" s="65" t="n">
        <x:v>154</x:v>
      </x:c>
      <x:c r="J323" s="65" t="str">
        <x:v>莫哈末丹SC</x:v>
      </x:c>
      <x:c r="K323" s="82" t="n">
        <x:v>3</x:v>
      </x:c>
      <x:c r="L323" s="82" t="n">
        <x:v>3</x:v>
      </x:c>
      <x:c r="M323" s="67" t="n">
        <x:v>2</x:v>
      </x:c>
      <x:c r="N323" s="181" t="n">
        <x:v>0.6666666666666666</x:v>
      </x:c>
      <x:c r="O323" s="67" t="n">
        <x:v>0.6666666666666666</x:v>
      </x:c>
    </x:row>
    <x:row r="324" ht="24" customHeight="1">
      <x:c r="A324" s="65" t="n">
        <x:v>155</x:v>
      </x:c>
      <x:c r="B324" s="65" t="str">
        <x:v>达姆施塔特</x:v>
      </x:c>
      <x:c r="C324" s="82" t="n">
        <x:v>5</x:v>
      </x:c>
      <x:c r="D324" s="82" t="n">
        <x:v>5</x:v>
      </x:c>
      <x:c r="E324" s="67" t="n">
        <x:v>1.5</x:v>
      </x:c>
      <x:c r="F324" s="181" t="n">
        <x:v>0.6</x:v>
      </x:c>
      <x:c r="G324" s="67" t="n">
        <x:v>0.3</x:v>
      </x:c>
      <x:c r="H324"/>
      <x:c r="I324" s="65" t="n">
        <x:v>155</x:v>
      </x:c>
      <x:c r="J324" s="65" t="str">
        <x:v>阿根廷</x:v>
      </x:c>
      <x:c r="K324" s="82" t="n">
        <x:v>7</x:v>
      </x:c>
      <x:c r="L324" s="82" t="n">
        <x:v>6</x:v>
      </x:c>
      <x:c r="M324" s="67" t="n">
        <x:v>2</x:v>
      </x:c>
      <x:c r="N324" s="181" t="n">
        <x:v>0.6666666666666666</x:v>
      </x:c>
      <x:c r="O324" s="67" t="n">
        <x:v>0.3333333333333333</x:v>
      </x:c>
    </x:row>
    <x:row r="325" ht="24" customHeight="1">
      <x:c r="A325" s="65" t="n">
        <x:v>156</x:v>
      </x:c>
      <x:c r="B325" s="65" t="str">
        <x:v>巴克伦佛（PSBS Biak Numfor）</x:v>
      </x:c>
      <x:c r="C325" s="82" t="n">
        <x:v>4</x:v>
      </x:c>
      <x:c r="D325" s="82" t="n">
        <x:v>4</x:v>
      </x:c>
      <x:c r="E325" s="67" t="n">
        <x:v>1.5</x:v>
      </x:c>
      <x:c r="F325" s="181" t="n">
        <x:v>0.5</x:v>
      </x:c>
      <x:c r="G325" s="67" t="n">
        <x:v>0.375</x:v>
      </x:c>
      <x:c r="H325"/>
      <x:c r="I325" s="65" t="n">
        <x:v>156</x:v>
      </x:c>
      <x:c r="J325" s="65" t="str">
        <x:v>马都拉联</x:v>
      </x:c>
      <x:c r="K325" s="82" t="n">
        <x:v>6</x:v>
      </x:c>
      <x:c r="L325" s="82" t="n">
        <x:v>6</x:v>
      </x:c>
      <x:c r="M325" s="67" t="n">
        <x:v>2</x:v>
      </x:c>
      <x:c r="N325" s="181" t="n">
        <x:v>0.6666666666666666</x:v>
      </x:c>
      <x:c r="O325" s="67" t="n">
        <x:v>0.3333333333333333</x:v>
      </x:c>
    </x:row>
    <x:row r="326" ht="24" customHeight="1">
      <x:c r="A326" s="65" t="n">
        <x:v>157</x:v>
      </x:c>
      <x:c r="B326" s="65" t="str">
        <x:v>广岛三箭</x:v>
      </x:c>
      <x:c r="C326" s="82" t="n">
        <x:v>6</x:v>
      </x:c>
      <x:c r="D326" s="82" t="n">
        <x:v>6</x:v>
      </x:c>
      <x:c r="E326" s="67" t="n">
        <x:v>1.5</x:v>
      </x:c>
      <x:c r="F326" s="181" t="n">
        <x:v>0.5</x:v>
      </x:c>
      <x:c r="G326" s="67" t="n">
        <x:v>0.25</x:v>
      </x:c>
      <x:c r="H326"/>
      <x:c r="I326" s="65" t="n">
        <x:v>157</x:v>
      </x:c>
      <x:c r="J326" s="65" t="str">
        <x:v>墨西哥美洲（Club América）</x:v>
      </x:c>
      <x:c r="K326" s="82" t="n">
        <x:v>6</x:v>
      </x:c>
      <x:c r="L326" s="82" t="n">
        <x:v>6</x:v>
      </x:c>
      <x:c r="M326" s="67" t="n">
        <x:v>2</x:v>
      </x:c>
      <x:c r="N326" s="181" t="n">
        <x:v>0.6666666666666666</x:v>
      </x:c>
      <x:c r="O326" s="67" t="n">
        <x:v>0.3333333333333333</x:v>
      </x:c>
    </x:row>
    <x:row r="327" ht="24" customHeight="1">
      <x:c r="A327" s="65" t="n">
        <x:v>158</x:v>
      </x:c>
      <x:c r="B327" s="65" t="str">
        <x:v>米拉索尔（Mirassol）</x:v>
      </x:c>
      <x:c r="C327" s="82" t="n">
        <x:v>4</x:v>
      </x:c>
      <x:c r="D327" s="82" t="n">
        <x:v>4</x:v>
      </x:c>
      <x:c r="E327" s="67" t="n">
        <x:v>1.5</x:v>
      </x:c>
      <x:c r="F327" s="181" t="n">
        <x:v>0.5</x:v>
      </x:c>
      <x:c r="G327" s="67" t="n">
        <x:v>0.375</x:v>
      </x:c>
      <x:c r="H327"/>
      <x:c r="I327" s="65" t="n">
        <x:v>158</x:v>
      </x:c>
      <x:c r="J327" s="65" t="str">
        <x:v>巴厘联</x:v>
      </x:c>
      <x:c r="K327" s="82" t="n">
        <x:v>10</x:v>
      </x:c>
      <x:c r="L327" s="82" t="n">
        <x:v>10</x:v>
      </x:c>
      <x:c r="M327" s="67" t="n">
        <x:v>2</x:v>
      </x:c>
      <x:c r="N327" s="181" t="n">
        <x:v>0.6</x:v>
      </x:c>
      <x:c r="O327" s="67" t="n">
        <x:v>0.2</x:v>
      </x:c>
    </x:row>
    <x:row r="328" ht="24" customHeight="1">
      <x:c r="A328" s="65" t="n">
        <x:v>159</x:v>
      </x:c>
      <x:c r="B328" s="65" t="str">
        <x:v>APIA莱卡特老虎U20（APIA Leichhardt Tigers U20）</x:v>
      </x:c>
      <x:c r="C328" s="82" t="n">
        <x:v>1</x:v>
      </x:c>
      <x:c r="D328" s="82" t="n">
        <x:v>1</x:v>
      </x:c>
      <x:c r="E328" s="67" t="n">
        <x:v>1</x:v>
      </x:c>
      <x:c r="F328" s="181" t="n">
        <x:v>1</x:v>
      </x:c>
      <x:c r="G328" s="67" t="n">
        <x:v>1</x:v>
      </x:c>
      <x:c r="H328"/>
      <x:c r="I328" s="65" t="n">
        <x:v>159</x:v>
      </x:c>
      <x:c r="J328" s="65" t="str">
        <x:v>美洲狮（Pumas UNAM）</x:v>
      </x:c>
      <x:c r="K328" s="82" t="n">
        <x:v>10</x:v>
      </x:c>
      <x:c r="L328" s="82" t="n">
        <x:v>10</x:v>
      </x:c>
      <x:c r="M328" s="67" t="n">
        <x:v>2</x:v>
      </x:c>
      <x:c r="N328" s="181" t="n">
        <x:v>0.6</x:v>
      </x:c>
      <x:c r="O328" s="67" t="n">
        <x:v>0.2</x:v>
      </x:c>
    </x:row>
    <x:row r="329" ht="24" customHeight="1">
      <x:c r="A329" s="65" t="n">
        <x:v>160</x:v>
      </x:c>
      <x:c r="B329" s="65" t="str">
        <x:v>El达克尔野</x:v>
      </x:c>
      <x:c r="C329" s="82" t="n">
        <x:v>1</x:v>
      </x:c>
      <x:c r="D329" s="82" t="n">
        <x:v>1</x:v>
      </x:c>
      <x:c r="E329" s="67" t="n">
        <x:v>1</x:v>
      </x:c>
      <x:c r="F329" s="181" t="n">
        <x:v>1</x:v>
      </x:c>
      <x:c r="G329" s="67" t="n">
        <x:v>1</x:v>
      </x:c>
      <x:c r="H329"/>
      <x:c r="I329" s="65" t="n">
        <x:v>160</x:v>
      </x:c>
      <x:c r="J329" s="65" t="str">
        <x:v>马鲁特联</x:v>
      </x:c>
      <x:c r="K329" s="82" t="n">
        <x:v>5</x:v>
      </x:c>
      <x:c r="L329" s="82" t="n">
        <x:v>5</x:v>
      </x:c>
      <x:c r="M329" s="67" t="n">
        <x:v>2</x:v>
      </x:c>
      <x:c r="N329" s="181" t="n">
        <x:v>0.6</x:v>
      </x:c>
      <x:c r="O329" s="67" t="n">
        <x:v>0.4</x:v>
      </x:c>
    </x:row>
    <x:row r="330" ht="24" customHeight="1">
      <x:c r="A330" s="65" t="n">
        <x:v>161</x:v>
      </x:c>
      <x:c r="B330" s="65" t="str">
        <x:v>FC东京</x:v>
      </x:c>
      <x:c r="C330" s="82" t="n">
        <x:v>1</x:v>
      </x:c>
      <x:c r="D330" s="82" t="n">
        <x:v>1</x:v>
      </x:c>
      <x:c r="E330" s="67" t="n">
        <x:v>1</x:v>
      </x:c>
      <x:c r="F330" s="181" t="n">
        <x:v>1</x:v>
      </x:c>
      <x:c r="G330" s="67" t="n">
        <x:v>1</x:v>
      </x:c>
      <x:c r="H330"/>
      <x:c r="I330" s="65" t="n">
        <x:v>161</x:v>
      </x:c>
      <x:c r="J330" s="65" t="str">
        <x:v>墨西哥美洲</x:v>
      </x:c>
      <x:c r="K330" s="82" t="n">
        <x:v>10</x:v>
      </x:c>
      <x:c r="L330" s="82" t="n">
        <x:v>10</x:v>
      </x:c>
      <x:c r="M330" s="67" t="n">
        <x:v>2</x:v>
      </x:c>
      <x:c r="N330" s="181" t="n">
        <x:v>0.6</x:v>
      </x:c>
      <x:c r="O330" s="67" t="n">
        <x:v>0.2</x:v>
      </x:c>
    </x:row>
    <x:row r="331" ht="24" customHeight="1">
      <x:c r="A331" s="65" t="n">
        <x:v>162</x:v>
      </x:c>
      <x:c r="B331" s="65" t="str">
        <x:v>FC圣乔治</x:v>
      </x:c>
      <x:c r="C331" s="82" t="n">
        <x:v>1</x:v>
      </x:c>
      <x:c r="D331" s="82" t="n">
        <x:v>1</x:v>
      </x:c>
      <x:c r="E331" s="67" t="n">
        <x:v>1</x:v>
      </x:c>
      <x:c r="F331" s="181" t="n">
        <x:v>1</x:v>
      </x:c>
      <x:c r="G331" s="67" t="n">
        <x:v>1</x:v>
      </x:c>
      <x:c r="H331"/>
      <x:c r="I331" s="65" t="n">
        <x:v>162</x:v>
      </x:c>
      <x:c r="J331" s="65" t="str">
        <x:v>格林古利（Green Gully）</x:v>
      </x:c>
      <x:c r="K331" s="82" t="n">
        <x:v>6</x:v>
      </x:c>
      <x:c r="L331" s="82" t="n">
        <x:v>6</x:v>
      </x:c>
      <x:c r="M331" s="67" t="n">
        <x:v>2</x:v>
      </x:c>
      <x:c r="N331" s="181" t="n">
        <x:v>0.5</x:v>
      </x:c>
      <x:c r="O331" s="67" t="n">
        <x:v>0.3333333333333333</x:v>
      </x:c>
    </x:row>
    <x:row r="332" ht="24" customHeight="1">
      <x:c r="A332" s="65" t="n">
        <x:v>163</x:v>
      </x:c>
      <x:c r="B332" s="65" t="str">
        <x:v>FC圣乔治（St George Saints）</x:v>
      </x:c>
      <x:c r="C332" s="82" t="n">
        <x:v>1</x:v>
      </x:c>
      <x:c r="D332" s="82" t="n">
        <x:v>1</x:v>
      </x:c>
      <x:c r="E332" s="67" t="n">
        <x:v>1</x:v>
      </x:c>
      <x:c r="F332" s="181" t="n">
        <x:v>1</x:v>
      </x:c>
      <x:c r="G332" s="67" t="n">
        <x:v>1</x:v>
      </x:c>
      <x:c r="H332"/>
      <x:c r="I332" s="65" t="n">
        <x:v>163</x:v>
      </x:c>
      <x:c r="J332" s="65" t="str">
        <x:v>千叶市原（JEF United Chiba）</x:v>
      </x:c>
      <x:c r="K332" s="82" t="n">
        <x:v>2</x:v>
      </x:c>
      <x:c r="L332" s="82" t="n">
        <x:v>2</x:v>
      </x:c>
      <x:c r="M332" s="67" t="n">
        <x:v>1.5</x:v>
      </x:c>
      <x:c r="N332" s="181" t="n">
        <x:v>1</x:v>
      </x:c>
      <x:c r="O332" s="67" t="n">
        <x:v>0.75</x:v>
      </x:c>
    </x:row>
    <x:row r="333" ht="24" customHeight="1">
      <x:c r="A333" s="65" t="n">
        <x:v>164</x:v>
      </x:c>
      <x:c r="B333" s="65" t="str">
        <x:v>PK-35万塔（PK-35 Vantaa）</x:v>
      </x:c>
      <x:c r="C333" s="82" t="n">
        <x:v>1</x:v>
      </x:c>
      <x:c r="D333" s="82" t="n">
        <x:v>1</x:v>
      </x:c>
      <x:c r="E333" s="67" t="n">
        <x:v>1</x:v>
      </x:c>
      <x:c r="F333" s="181" t="n">
        <x:v>1</x:v>
      </x:c>
      <x:c r="G333" s="67" t="n">
        <x:v>1</x:v>
      </x:c>
      <x:c r="H333"/>
      <x:c r="I333" s="65" t="n">
        <x:v>164</x:v>
      </x:c>
      <x:c r="J333" s="65" t="str">
        <x:v>卡尔斯鲁厄</x:v>
      </x:c>
      <x:c r="K333" s="82" t="n">
        <x:v>2</x:v>
      </x:c>
      <x:c r="L333" s="82" t="n">
        <x:v>2</x:v>
      </x:c>
      <x:c r="M333" s="67" t="n">
        <x:v>1.5</x:v>
      </x:c>
      <x:c r="N333" s="181" t="n">
        <x:v>1</x:v>
      </x:c>
      <x:c r="O333" s="67" t="n">
        <x:v>0.75</x:v>
      </x:c>
    </x:row>
    <x:row r="334" ht="24" customHeight="1">
      <x:c r="A334" s="65" t="n">
        <x:v>165</x:v>
      </x:c>
      <x:c r="B334" s="65" t="str">
        <x:v>RB布拉甘蒂诺</x:v>
      </x:c>
      <x:c r="C334" s="82" t="n">
        <x:v>1</x:v>
      </x:c>
      <x:c r="D334" s="82" t="n">
        <x:v>1</x:v>
      </x:c>
      <x:c r="E334" s="67" t="n">
        <x:v>1</x:v>
      </x:c>
      <x:c r="F334" s="181" t="n">
        <x:v>1</x:v>
      </x:c>
      <x:c r="G334" s="67" t="n">
        <x:v>1</x:v>
      </x:c>
      <x:c r="H334"/>
      <x:c r="I334" s="65" t="n">
        <x:v>165</x:v>
      </x:c>
      <x:c r="J334" s="65" t="str">
        <x:v>哥德堡盖斯</x:v>
      </x:c>
      <x:c r="K334" s="82" t="n">
        <x:v>2</x:v>
      </x:c>
      <x:c r="L334" s="82" t="n">
        <x:v>2</x:v>
      </x:c>
      <x:c r="M334" s="67" t="n">
        <x:v>1.5</x:v>
      </x:c>
      <x:c r="N334" s="181" t="n">
        <x:v>1</x:v>
      </x:c>
      <x:c r="O334" s="67" t="n">
        <x:v>0.75</x:v>
      </x:c>
    </x:row>
    <x:row r="335" ht="24" customHeight="1">
      <x:c r="A335" s="65" t="n">
        <x:v>166</x:v>
      </x:c>
      <x:c r="B335" s="65" t="str">
        <x:v>SBV精英（Excelsior）</x:v>
      </x:c>
      <x:c r="C335" s="82" t="n">
        <x:v>1</x:v>
      </x:c>
      <x:c r="D335" s="82" t="n">
        <x:v>1</x:v>
      </x:c>
      <x:c r="E335" s="67" t="n">
        <x:v>1</x:v>
      </x:c>
      <x:c r="F335" s="181" t="n">
        <x:v>1</x:v>
      </x:c>
      <x:c r="G335" s="67" t="n">
        <x:v>1</x:v>
      </x:c>
      <x:c r="H335"/>
      <x:c r="I335" s="65" t="n">
        <x:v>166</x:v>
      </x:c>
      <x:c r="J335" s="65" t="str">
        <x:v>普拉滕斯</x:v>
      </x:c>
      <x:c r="K335" s="82" t="n">
        <x:v>2</x:v>
      </x:c>
      <x:c r="L335" s="82" t="n">
        <x:v>2</x:v>
      </x:c>
      <x:c r="M335" s="67" t="n">
        <x:v>1.5</x:v>
      </x:c>
      <x:c r="N335" s="181" t="n">
        <x:v>1</x:v>
      </x:c>
      <x:c r="O335" s="67" t="n">
        <x:v>0.75</x:v>
      </x:c>
    </x:row>
    <x:row r="336" ht="24" customHeight="1">
      <x:c r="A336" s="65" t="n">
        <x:v>167</x:v>
      </x:c>
      <x:c r="B336" s="65" t="str">
        <x:v>SC相模原（SC Sagamihara）</x:v>
      </x:c>
      <x:c r="C336" s="82" t="n">
        <x:v>1</x:v>
      </x:c>
      <x:c r="D336" s="82" t="n">
        <x:v>1</x:v>
      </x:c>
      <x:c r="E336" s="67" t="n">
        <x:v>1</x:v>
      </x:c>
      <x:c r="F336" s="181" t="n">
        <x:v>1</x:v>
      </x:c>
      <x:c r="G336" s="67" t="n">
        <x:v>1</x:v>
      </x:c>
      <x:c r="H336"/>
      <x:c r="I336" s="65" t="n">
        <x:v>167</x:v>
      </x:c>
      <x:c r="J336" s="65" t="str">
        <x:v>汉诺威96</x:v>
      </x:c>
      <x:c r="K336" s="82" t="n">
        <x:v>2</x:v>
      </x:c>
      <x:c r="L336" s="82" t="n">
        <x:v>2</x:v>
      </x:c>
      <x:c r="M336" s="67" t="n">
        <x:v>1.5</x:v>
      </x:c>
      <x:c r="N336" s="181" t="n">
        <x:v>1</x:v>
      </x:c>
      <x:c r="O336" s="67" t="n">
        <x:v>0.75</x:v>
      </x:c>
    </x:row>
    <x:row r="337" ht="24" customHeight="1">
      <x:c r="A337" s="65" t="n">
        <x:v>168</x:v>
      </x:c>
      <x:c r="B337" s="65" t="str">
        <x:v>SD突击者（SD Raiders）</x:v>
      </x:c>
      <x:c r="C337" s="82" t="n">
        <x:v>1</x:v>
      </x:c>
      <x:c r="D337" s="82" t="n">
        <x:v>1</x:v>
      </x:c>
      <x:c r="E337" s="67" t="n">
        <x:v>1</x:v>
      </x:c>
      <x:c r="F337" s="181" t="n">
        <x:v>1</x:v>
      </x:c>
      <x:c r="G337" s="67" t="n">
        <x:v>1</x:v>
      </x:c>
      <x:c r="H337"/>
      <x:c r="I337" s="65" t="n">
        <x:v>168</x:v>
      </x:c>
      <x:c r="J337" s="65" t="str">
        <x:v>科林蒂安</x:v>
      </x:c>
      <x:c r="K337" s="82" t="n">
        <x:v>2</x:v>
      </x:c>
      <x:c r="L337" s="82" t="n">
        <x:v>2</x:v>
      </x:c>
      <x:c r="M337" s="67" t="n">
        <x:v>1.5</x:v>
      </x:c>
      <x:c r="N337" s="181" t="n">
        <x:v>1</x:v>
      </x:c>
      <x:c r="O337" s="67" t="n">
        <x:v>0.75</x:v>
      </x:c>
    </x:row>
    <x:row r="338" ht="24" customHeight="1">
      <x:c r="A338" s="65" t="n">
        <x:v>169</x:v>
      </x:c>
      <x:c r="B338" s="65" t="str">
        <x:v>VPS瓦萨（Vaasa PS）</x:v>
      </x:c>
      <x:c r="C338" s="82" t="n">
        <x:v>1</x:v>
      </x:c>
      <x:c r="D338" s="82" t="n">
        <x:v>1</x:v>
      </x:c>
      <x:c r="E338" s="67" t="n">
        <x:v>1</x:v>
      </x:c>
      <x:c r="F338" s="181" t="n">
        <x:v>1</x:v>
      </x:c>
      <x:c r="G338" s="67" t="n">
        <x:v>1</x:v>
      </x:c>
      <x:c r="H338"/>
      <x:c r="I338" s="65" t="n">
        <x:v>169</x:v>
      </x:c>
      <x:c r="J338" s="65" t="str">
        <x:v>红牛布拉甘蒂诺（Red Bull Bragantino）</x:v>
      </x:c>
      <x:c r="K338" s="82" t="n">
        <x:v>2</x:v>
      </x:c>
      <x:c r="L338" s="82" t="n">
        <x:v>2</x:v>
      </x:c>
      <x:c r="M338" s="67" t="n">
        <x:v>1.5</x:v>
      </x:c>
      <x:c r="N338" s="181" t="n">
        <x:v>1</x:v>
      </x:c>
      <x:c r="O338" s="67" t="n">
        <x:v>0.75</x:v>
      </x:c>
    </x:row>
    <x:row r="339" ht="24" customHeight="1">
      <x:c r="A339" s="65" t="n">
        <x:v>170</x:v>
      </x:c>
      <x:c r="B339" s="65" t="str">
        <x:v>VPS瓦萨（VPS Vaasa）</x:v>
      </x:c>
      <x:c r="C339" s="82" t="n">
        <x:v>1</x:v>
      </x:c>
      <x:c r="D339" s="82" t="n">
        <x:v>1</x:v>
      </x:c>
      <x:c r="E339" s="67" t="n">
        <x:v>1</x:v>
      </x:c>
      <x:c r="F339" s="181" t="n">
        <x:v>1</x:v>
      </x:c>
      <x:c r="G339" s="67" t="n">
        <x:v>1</x:v>
      </x:c>
      <x:c r="H339"/>
      <x:c r="I339" s="65" t="n">
        <x:v>170</x:v>
      </x:c>
      <x:c r="J339" s="65" t="str">
        <x:v>里奥夸尔托学生（Estudiantes de Río Cuarto）</x:v>
      </x:c>
      <x:c r="K339" s="82" t="n">
        <x:v>2</x:v>
      </x:c>
      <x:c r="L339" s="82" t="n">
        <x:v>2</x:v>
      </x:c>
      <x:c r="M339" s="67" t="n">
        <x:v>1.5</x:v>
      </x:c>
      <x:c r="N339" s="181" t="n">
        <x:v>1</x:v>
      </x:c>
      <x:c r="O339" s="67" t="n">
        <x:v>0.75</x:v>
      </x:c>
    </x:row>
    <x:row r="340" ht="24" customHeight="1">
      <x:c r="A340" s="65" t="n">
        <x:v>171</x:v>
      </x:c>
      <x:c r="B340" s="65" t="str">
        <x:v>万隆(佩西布万隆/Persib Bandung)</x:v>
      </x:c>
      <x:c r="C340" s="82" t="n">
        <x:v>1</x:v>
      </x:c>
      <x:c r="D340" s="82" t="n">
        <x:v>1</x:v>
      </x:c>
      <x:c r="E340" s="67" t="n">
        <x:v>1</x:v>
      </x:c>
      <x:c r="F340" s="181" t="n">
        <x:v>1</x:v>
      </x:c>
      <x:c r="G340" s="67" t="n">
        <x:v>1</x:v>
      </x:c>
      <x:c r="H340"/>
      <x:c r="I340" s="65" t="n">
        <x:v>171</x:v>
      </x:c>
      <x:c r="J340" s="65" t="str">
        <x:v>金泉尚武</x:v>
      </x:c>
      <x:c r="K340" s="82" t="n">
        <x:v>2</x:v>
      </x:c>
      <x:c r="L340" s="82" t="n">
        <x:v>2</x:v>
      </x:c>
      <x:c r="M340" s="67" t="n">
        <x:v>1.5</x:v>
      </x:c>
      <x:c r="N340" s="181" t="n">
        <x:v>1</x:v>
      </x:c>
      <x:c r="O340" s="67" t="n">
        <x:v>0.75</x:v>
      </x:c>
    </x:row>
    <x:row r="341" ht="24" customHeight="1">
      <x:c r="A341" s="65" t="n">
        <x:v>172</x:v>
      </x:c>
      <x:c r="B341" s="65" t="str">
        <x:v>不丹</x:v>
      </x:c>
      <x:c r="C341" s="82" t="n">
        <x:v>1</x:v>
      </x:c>
      <x:c r="D341" s="82" t="n">
        <x:v>1</x:v>
      </x:c>
      <x:c r="E341" s="67" t="n">
        <x:v>1</x:v>
      </x:c>
      <x:c r="F341" s="181" t="n">
        <x:v>1</x:v>
      </x:c>
      <x:c r="G341" s="67" t="n">
        <x:v>1</x:v>
      </x:c>
      <x:c r="H341"/>
      <x:c r="I341" s="65" t="n">
        <x:v>172</x:v>
      </x:c>
      <x:c r="J341" s="65" t="str">
        <x:v>马可尼种马（Marconi Stallions）</x:v>
      </x:c>
      <x:c r="K341" s="82" t="n">
        <x:v>2</x:v>
      </x:c>
      <x:c r="L341" s="82" t="n">
        <x:v>2</x:v>
      </x:c>
      <x:c r="M341" s="67" t="n">
        <x:v>1.5</x:v>
      </x:c>
      <x:c r="N341" s="181" t="n">
        <x:v>1</x:v>
      </x:c>
      <x:c r="O341" s="67" t="n">
        <x:v>0.75</x:v>
      </x:c>
    </x:row>
    <x:row r="342" ht="24" customHeight="1">
      <x:c r="A342" s="65" t="n">
        <x:v>173</x:v>
      </x:c>
      <x:c r="B342" s="65" t="str">
        <x:v>东京FC（FC Tokyo）</x:v>
      </x:c>
      <x:c r="C342" s="82" t="n">
        <x:v>1</x:v>
      </x:c>
      <x:c r="D342" s="82" t="n">
        <x:v>1</x:v>
      </x:c>
      <x:c r="E342" s="67" t="n">
        <x:v>1</x:v>
      </x:c>
      <x:c r="F342" s="181" t="n">
        <x:v>1</x:v>
      </x:c>
      <x:c r="G342" s="67" t="n">
        <x:v>1</x:v>
      </x:c>
      <x:c r="H342"/>
      <x:c r="I342" s="65" t="n">
        <x:v>173</x:v>
      </x:c>
      <x:c r="J342" s="65" t="str">
        <x:v>京都不死鸟（Kyoto Sanga）</x:v>
      </x:c>
      <x:c r="K342" s="82" t="n">
        <x:v>4</x:v>
      </x:c>
      <x:c r="L342" s="82" t="n">
        <x:v>4</x:v>
      </x:c>
      <x:c r="M342" s="67" t="n">
        <x:v>1.5</x:v>
      </x:c>
      <x:c r="N342" s="181" t="n">
        <x:v>0.75</x:v>
      </x:c>
      <x:c r="O342" s="67" t="n">
        <x:v>0.375</x:v>
      </x:c>
    </x:row>
    <x:row r="343" ht="24" customHeight="1">
      <x:c r="A343" s="65" t="n">
        <x:v>174</x:v>
      </x:c>
      <x:c r="B343" s="65" t="str">
        <x:v>东帝汶</x:v>
      </x:c>
      <x:c r="C343" s="82" t="n">
        <x:v>1</x:v>
      </x:c>
      <x:c r="D343" s="82" t="n">
        <x:v>1</x:v>
      </x:c>
      <x:c r="E343" s="67" t="n">
        <x:v>1</x:v>
      </x:c>
      <x:c r="F343" s="181" t="n">
        <x:v>1</x:v>
      </x:c>
      <x:c r="G343" s="67" t="n">
        <x:v>1</x:v>
      </x:c>
      <x:c r="H343"/>
      <x:c r="I343" s="65" t="n">
        <x:v>174</x:v>
      </x:c>
      <x:c r="J343" s="65" t="str">
        <x:v>博洛尼亚</x:v>
      </x:c>
      <x:c r="K343" s="82" t="n">
        <x:v>4</x:v>
      </x:c>
      <x:c r="L343" s="82" t="n">
        <x:v>4</x:v>
      </x:c>
      <x:c r="M343" s="67" t="n">
        <x:v>1.5</x:v>
      </x:c>
      <x:c r="N343" s="181" t="n">
        <x:v>0.75</x:v>
      </x:c>
      <x:c r="O343" s="67" t="n">
        <x:v>0.375</x:v>
      </x:c>
    </x:row>
    <x:row r="344" ht="24" customHeight="1">
      <x:c r="A344" s="65" t="n">
        <x:v>175</x:v>
      </x:c>
      <x:c r="B344" s="65" t="str">
        <x:v>东法夫（East Fife）</x:v>
      </x:c>
      <x:c r="C344" s="82" t="n">
        <x:v>1</x:v>
      </x:c>
      <x:c r="D344" s="82" t="n">
        <x:v>1</x:v>
      </x:c>
      <x:c r="E344" s="67" t="n">
        <x:v>1</x:v>
      </x:c>
      <x:c r="F344" s="181" t="n">
        <x:v>1</x:v>
      </x:c>
      <x:c r="G344" s="67" t="n">
        <x:v>1</x:v>
      </x:c>
      <x:c r="H344"/>
      <x:c r="I344" s="65" t="n">
        <x:v>175</x:v>
      </x:c>
      <x:c r="J344" s="65" t="str">
        <x:v>圣洛伦索</x:v>
      </x:c>
      <x:c r="K344" s="82" t="n">
        <x:v>4</x:v>
      </x:c>
      <x:c r="L344" s="82" t="n">
        <x:v>4</x:v>
      </x:c>
      <x:c r="M344" s="67" t="n">
        <x:v>1.5</x:v>
      </x:c>
      <x:c r="N344" s="181" t="n">
        <x:v>0.75</x:v>
      </x:c>
      <x:c r="O344" s="67" t="n">
        <x:v>0.375</x:v>
      </x:c>
    </x:row>
    <x:row r="345" ht="24" customHeight="1">
      <x:c r="A345" s="65" t="n">
        <x:v>176</x:v>
      </x:c>
      <x:c r="B345" s="65" t="str">
        <x:v>中国U20</x:v>
      </x:c>
      <x:c r="C345" s="82" t="n">
        <x:v>1</x:v>
      </x:c>
      <x:c r="D345" s="82" t="n">
        <x:v>1</x:v>
      </x:c>
      <x:c r="E345" s="67" t="n">
        <x:v>1</x:v>
      </x:c>
      <x:c r="F345" s="181" t="n">
        <x:v>1</x:v>
      </x:c>
      <x:c r="G345" s="67" t="n">
        <x:v>1</x:v>
      </x:c>
      <x:c r="H345"/>
      <x:c r="I345" s="65" t="n">
        <x:v>176</x:v>
      </x:c>
      <x:c r="J345" s="65" t="str">
        <x:v>柏太阳神</x:v>
      </x:c>
      <x:c r="K345" s="82" t="n">
        <x:v>4</x:v>
      </x:c>
      <x:c r="L345" s="82" t="n">
        <x:v>4</x:v>
      </x:c>
      <x:c r="M345" s="67" t="n">
        <x:v>1.5</x:v>
      </x:c>
      <x:c r="N345" s="181" t="n">
        <x:v>0.75</x:v>
      </x:c>
      <x:c r="O345" s="67" t="n">
        <x:v>0.375</x:v>
      </x:c>
    </x:row>
    <x:row r="346" ht="24" customHeight="1">
      <x:c r="A346" s="65" t="n">
        <x:v>177</x:v>
      </x:c>
      <x:c r="B346" s="65" t="str">
        <x:v>中央海岸水手(Central Coast Mariners)</x:v>
      </x:c>
      <x:c r="C346" s="82" t="n">
        <x:v>1</x:v>
      </x:c>
      <x:c r="D346" s="82" t="n">
        <x:v>1</x:v>
      </x:c>
      <x:c r="E346" s="67" t="n">
        <x:v>1</x:v>
      </x:c>
      <x:c r="F346" s="181" t="n">
        <x:v>1</x:v>
      </x:c>
      <x:c r="G346" s="67" t="n">
        <x:v>1</x:v>
      </x:c>
      <x:c r="H346"/>
      <x:c r="I346" s="65" t="n">
        <x:v>177</x:v>
      </x:c>
      <x:c r="J346" s="65" t="str">
        <x:v>波特诺山丘（Cerro Porteño）</x:v>
      </x:c>
      <x:c r="K346" s="82" t="n">
        <x:v>4</x:v>
      </x:c>
      <x:c r="L346" s="82" t="n">
        <x:v>4</x:v>
      </x:c>
      <x:c r="M346" s="67" t="n">
        <x:v>1.5</x:v>
      </x:c>
      <x:c r="N346" s="181" t="n">
        <x:v>0.75</x:v>
      </x:c>
      <x:c r="O346" s="67" t="n">
        <x:v>0.375</x:v>
      </x:c>
    </x:row>
    <x:row r="347" ht="24" customHeight="1">
      <x:c r="A347" s="65" t="n">
        <x:v>178</x:v>
      </x:c>
      <x:c r="B347" s="65" t="str">
        <x:v>中日德兰（FC Midtjylland）</x:v>
      </x:c>
      <x:c r="C347" s="82" t="n">
        <x:v>1</x:v>
      </x:c>
      <x:c r="D347" s="82" t="n">
        <x:v>1</x:v>
      </x:c>
      <x:c r="E347" s="67" t="n">
        <x:v>1</x:v>
      </x:c>
      <x:c r="F347" s="181" t="n">
        <x:v>1</x:v>
      </x:c>
      <x:c r="G347" s="67" t="n">
        <x:v>1</x:v>
      </x:c>
      <x:c r="H347"/>
      <x:c r="I347" s="65" t="n">
        <x:v>178</x:v>
      </x:c>
      <x:c r="J347" s="65" t="str">
        <x:v>纽维尔老男孩</x:v>
      </x:c>
      <x:c r="K347" s="82" t="n">
        <x:v>4</x:v>
      </x:c>
      <x:c r="L347" s="82" t="n">
        <x:v>4</x:v>
      </x:c>
      <x:c r="M347" s="67" t="n">
        <x:v>1.5</x:v>
      </x:c>
      <x:c r="N347" s="181" t="n">
        <x:v>0.75</x:v>
      </x:c>
      <x:c r="O347" s="67" t="n">
        <x:v>0.375</x:v>
      </x:c>
    </x:row>
    <x:row r="348" ht="24" customHeight="1">
      <x:c r="A348" s="65" t="n">
        <x:v>179</x:v>
      </x:c>
      <x:c r="B348" s="65" t="str">
        <x:v>丹麦</x:v>
      </x:c>
      <x:c r="C348" s="82" t="n">
        <x:v>1</x:v>
      </x:c>
      <x:c r="D348" s="82" t="n">
        <x:v>1</x:v>
      </x:c>
      <x:c r="E348" s="67" t="n">
        <x:v>1</x:v>
      </x:c>
      <x:c r="F348" s="181" t="n">
        <x:v>1</x:v>
      </x:c>
      <x:c r="G348" s="67" t="n">
        <x:v>1</x:v>
      </x:c>
      <x:c r="H348"/>
      <x:c r="I348" s="65" t="n">
        <x:v>179</x:v>
      </x:c>
      <x:c r="J348" s="65" t="str">
        <x:v>艾云达尔</x:v>
      </x:c>
      <x:c r="K348" s="82" t="n">
        <x:v>4</x:v>
      </x:c>
      <x:c r="L348" s="82" t="n">
        <x:v>4</x:v>
      </x:c>
      <x:c r="M348" s="67" t="n">
        <x:v>1.5</x:v>
      </x:c>
      <x:c r="N348" s="181" t="n">
        <x:v>0.75</x:v>
      </x:c>
      <x:c r="O348" s="67" t="n">
        <x:v>0.375</x:v>
      </x:c>
    </x:row>
    <x:row r="349" ht="24" customHeight="1">
      <x:c r="A349" s="65" t="n">
        <x:v>180</x:v>
      </x:c>
      <x:c r="B349" s="65" t="str">
        <x:v>乌拉圭民族（Nacional）</x:v>
      </x:c>
      <x:c r="C349" s="82" t="n">
        <x:v>1</x:v>
      </x:c>
      <x:c r="D349" s="82" t="n">
        <x:v>1</x:v>
      </x:c>
      <x:c r="E349" s="67" t="n">
        <x:v>1</x:v>
      </x:c>
      <x:c r="F349" s="181" t="n">
        <x:v>1</x:v>
      </x:c>
      <x:c r="G349" s="67" t="n">
        <x:v>1</x:v>
      </x:c>
      <x:c r="H349"/>
      <x:c r="I349" s="65" t="n">
        <x:v>180</x:v>
      </x:c>
      <x:c r="J349" s="65" t="str">
        <x:v>萨斯菲尔德</x:v>
      </x:c>
      <x:c r="K349" s="82" t="n">
        <x:v>4</x:v>
      </x:c>
      <x:c r="L349" s="82" t="n">
        <x:v>4</x:v>
      </x:c>
      <x:c r="M349" s="67" t="n">
        <x:v>1.5</x:v>
      </x:c>
      <x:c r="N349" s="181" t="n">
        <x:v>0.75</x:v>
      </x:c>
      <x:c r="O349" s="67" t="n">
        <x:v>0.375</x:v>
      </x:c>
    </x:row>
    <x:row r="350" ht="24" customHeight="1">
      <x:c r="A350" s="65" t="n">
        <x:v>181</x:v>
      </x:c>
      <x:c r="B350" s="65" t="str">
        <x:v>乌迪内斯（Udinese Calcio）</x:v>
      </x:c>
      <x:c r="C350" s="82" t="n">
        <x:v>1</x:v>
      </x:c>
      <x:c r="D350" s="82" t="n">
        <x:v>1</x:v>
      </x:c>
      <x:c r="E350" s="67" t="n">
        <x:v>1</x:v>
      </x:c>
      <x:c r="F350" s="181" t="n">
        <x:v>1</x:v>
      </x:c>
      <x:c r="G350" s="67" t="n">
        <x:v>1</x:v>
      </x:c>
      <x:c r="H350"/>
      <x:c r="I350" s="65" t="n">
        <x:v>181</x:v>
      </x:c>
      <x:c r="J350" s="65" t="str">
        <x:v>PSBS巴克伦佛（PSBS Biak Numfor）</x:v>
      </x:c>
      <x:c r="K350" s="82" t="n">
        <x:v>3</x:v>
      </x:c>
      <x:c r="L350" s="82" t="n">
        <x:v>3</x:v>
      </x:c>
      <x:c r="M350" s="67" t="n">
        <x:v>1.5</x:v>
      </x:c>
      <x:c r="N350" s="181" t="n">
        <x:v>0.6666666666666666</x:v>
      </x:c>
      <x:c r="O350" s="67" t="n">
        <x:v>0.5</x:v>
      </x:c>
    </x:row>
    <x:row r="351" ht="24" customHeight="1">
      <x:c r="A351" s="65" t="n">
        <x:v>182</x:v>
      </x:c>
      <x:c r="B351" s="65" t="str">
        <x:v>云达不莱梅（Werder Bremen）</x:v>
      </x:c>
      <x:c r="C351" s="82" t="n">
        <x:v>1</x:v>
      </x:c>
      <x:c r="D351" s="82" t="n">
        <x:v>1</x:v>
      </x:c>
      <x:c r="E351" s="67" t="n">
        <x:v>1</x:v>
      </x:c>
      <x:c r="F351" s="181" t="n">
        <x:v>1</x:v>
      </x:c>
      <x:c r="G351" s="67" t="n">
        <x:v>1</x:v>
      </x:c>
      <x:c r="H351"/>
      <x:c r="I351" s="65" t="n">
        <x:v>182</x:v>
      </x:c>
      <x:c r="J351" s="65" t="str">
        <x:v>培斯塔坦格朗（Persita Tangerang）</x:v>
      </x:c>
      <x:c r="K351" s="82" t="n">
        <x:v>3</x:v>
      </x:c>
      <x:c r="L351" s="82" t="n">
        <x:v>3</x:v>
      </x:c>
      <x:c r="M351" s="67" t="n">
        <x:v>1.5</x:v>
      </x:c>
      <x:c r="N351" s="181" t="n">
        <x:v>0.6666666666666666</x:v>
      </x:c>
      <x:c r="O351" s="67" t="n">
        <x:v>0.5</x:v>
      </x:c>
    </x:row>
    <x:row r="352" ht="24" customHeight="1">
      <x:c r="A352" s="65" t="n">
        <x:v>183</x:v>
      </x:c>
      <x:c r="B352" s="65" t="str">
        <x:v>亚松森奥林匹亚（Olimpia）</x:v>
      </x:c>
      <x:c r="C352" s="82" t="n">
        <x:v>1</x:v>
      </x:c>
      <x:c r="D352" s="82" t="n">
        <x:v>1</x:v>
      </x:c>
      <x:c r="E352" s="67" t="n">
        <x:v>1</x:v>
      </x:c>
      <x:c r="F352" s="181" t="n">
        <x:v>1</x:v>
      </x:c>
      <x:c r="G352" s="67" t="n">
        <x:v>1</x:v>
      </x:c>
      <x:c r="H352"/>
      <x:c r="I352" s="65" t="n">
        <x:v>183</x:v>
      </x:c>
      <x:c r="J352" s="65" t="str">
        <x:v>孟买城（Mumbai City FC）</x:v>
      </x:c>
      <x:c r="K352" s="82" t="n">
        <x:v>3</x:v>
      </x:c>
      <x:c r="L352" s="82" t="n">
        <x:v>3</x:v>
      </x:c>
      <x:c r="M352" s="67" t="n">
        <x:v>1.5</x:v>
      </x:c>
      <x:c r="N352" s="181" t="n">
        <x:v>0.6666666666666666</x:v>
      </x:c>
      <x:c r="O352" s="67" t="n">
        <x:v>0.5</x:v>
      </x:c>
    </x:row>
    <x:row r="353" ht="24" customHeight="1">
      <x:c r="A353" s="65" t="n">
        <x:v>184</x:v>
      </x:c>
      <x:c r="B353" s="65" t="str">
        <x:v>亚松森自由</x:v>
      </x:c>
      <x:c r="C353" s="82" t="n">
        <x:v>1</x:v>
      </x:c>
      <x:c r="D353" s="82" t="n">
        <x:v>1</x:v>
      </x:c>
      <x:c r="E353" s="67" t="n">
        <x:v>1</x:v>
      </x:c>
      <x:c r="F353" s="181" t="n">
        <x:v>1</x:v>
      </x:c>
      <x:c r="G353" s="67" t="n">
        <x:v>1</x:v>
      </x:c>
      <x:c r="H353"/>
      <x:c r="I353" s="65" t="n">
        <x:v>184</x:v>
      </x:c>
      <x:c r="J353" s="65" t="str">
        <x:v>巴杨卡拉泗水联</x:v>
      </x:c>
      <x:c r="K353" s="82" t="n">
        <x:v>6</x:v>
      </x:c>
      <x:c r="L353" s="82" t="n">
        <x:v>6</x:v>
      </x:c>
      <x:c r="M353" s="67" t="n">
        <x:v>1.5</x:v>
      </x:c>
      <x:c r="N353" s="181" t="n">
        <x:v>0.6666666666666666</x:v>
      </x:c>
      <x:c r="O353" s="67" t="n">
        <x:v>0.25</x:v>
      </x:c>
    </x:row>
    <x:row r="354" ht="24" customHeight="1">
      <x:c r="A354" s="65" t="n">
        <x:v>185</x:v>
      </x:c>
      <x:c r="B354" s="65" t="str">
        <x:v>仙台七夕</x:v>
      </x:c>
      <x:c r="C354" s="82" t="n">
        <x:v>1</x:v>
      </x:c>
      <x:c r="D354" s="82" t="n">
        <x:v>1</x:v>
      </x:c>
      <x:c r="E354" s="67" t="n">
        <x:v>1</x:v>
      </x:c>
      <x:c r="F354" s="181" t="n">
        <x:v>1</x:v>
      </x:c>
      <x:c r="G354" s="67" t="n">
        <x:v>1</x:v>
      </x:c>
      <x:c r="H354"/>
      <x:c r="I354" s="65" t="n">
        <x:v>185</x:v>
      </x:c>
      <x:c r="J354" s="65" t="str">
        <x:v>考文垂（Coventry City）</x:v>
      </x:c>
      <x:c r="K354" s="82" t="n">
        <x:v>3</x:v>
      </x:c>
      <x:c r="L354" s="82" t="n">
        <x:v>3</x:v>
      </x:c>
      <x:c r="M354" s="67" t="n">
        <x:v>1.5</x:v>
      </x:c>
      <x:c r="N354" s="181" t="n">
        <x:v>0.6666666666666666</x:v>
      </x:c>
      <x:c r="O354" s="67" t="n">
        <x:v>0.5</x:v>
      </x:c>
    </x:row>
    <x:row r="355" ht="24" customHeight="1">
      <x:c r="A355" s="65" t="n">
        <x:v>186</x:v>
      </x:c>
      <x:c r="B355" s="65" t="str">
        <x:v>代格福什IF（Degerfors IF）</x:v>
      </x:c>
      <x:c r="C355" s="82" t="n">
        <x:v>1</x:v>
      </x:c>
      <x:c r="D355" s="82" t="n">
        <x:v>1</x:v>
      </x:c>
      <x:c r="E355" s="67" t="n">
        <x:v>1</x:v>
      </x:c>
      <x:c r="F355" s="181" t="n">
        <x:v>1</x:v>
      </x:c>
      <x:c r="G355" s="67" t="n">
        <x:v>1</x:v>
      </x:c>
      <x:c r="H355"/>
      <x:c r="I355" s="65" t="n">
        <x:v>186</x:v>
      </x:c>
      <x:c r="J355" s="65" t="str">
        <x:v>詹谢普尔（Jamshedpur FC）</x:v>
      </x:c>
      <x:c r="K355" s="82" t="n">
        <x:v>3</x:v>
      </x:c>
      <x:c r="L355" s="82" t="n">
        <x:v>3</x:v>
      </x:c>
      <x:c r="M355" s="67" t="n">
        <x:v>1.5</x:v>
      </x:c>
      <x:c r="N355" s="181" t="n">
        <x:v>0.6666666666666666</x:v>
      </x:c>
      <x:c r="O355" s="67" t="n">
        <x:v>0.5</x:v>
      </x:c>
    </x:row>
    <x:row r="356" ht="24" customHeight="1">
      <x:c r="A356" s="65" t="n">
        <x:v>187</x:v>
      </x:c>
      <x:c r="B356" s="65" t="str">
        <x:v>伊图萨因戈（Ituzaingó）</x:v>
      </x:c>
      <x:c r="C356" s="82" t="n">
        <x:v>1</x:v>
      </x:c>
      <x:c r="D356" s="82" t="n">
        <x:v>1</x:v>
      </x:c>
      <x:c r="E356" s="67" t="n">
        <x:v>1</x:v>
      </x:c>
      <x:c r="F356" s="181" t="n">
        <x:v>1</x:v>
      </x:c>
      <x:c r="G356" s="67" t="n">
        <x:v>1</x:v>
      </x:c>
      <x:c r="H356"/>
      <x:c r="I356" s="65" t="n">
        <x:v>187</x:v>
      </x:c>
      <x:c r="J356" s="65" t="str">
        <x:v>卡利体育会（Deportivo Cali）</x:v>
      </x:c>
      <x:c r="K356" s="82" t="n">
        <x:v>8</x:v>
      </x:c>
      <x:c r="L356" s="82" t="n">
        <x:v>8</x:v>
      </x:c>
      <x:c r="M356" s="67" t="n">
        <x:v>1.5</x:v>
      </x:c>
      <x:c r="N356" s="181" t="n">
        <x:v>0.625</x:v>
      </x:c>
      <x:c r="O356" s="67" t="n">
        <x:v>0.1875</x:v>
      </x:c>
    </x:row>
    <x:row r="357" ht="24" customHeight="1">
      <x:c r="A357" s="65" t="n">
        <x:v>188</x:v>
      </x:c>
      <x:c r="B357" s="65" t="str">
        <x:v>伊斯卡尔德斯（Inter Club d'Escaldes）</x:v>
      </x:c>
      <x:c r="C357" s="82" t="n">
        <x:v>1</x:v>
      </x:c>
      <x:c r="D357" s="82" t="n">
        <x:v>1</x:v>
      </x:c>
      <x:c r="E357" s="67" t="n">
        <x:v>1</x:v>
      </x:c>
      <x:c r="F357" s="181" t="n">
        <x:v>1</x:v>
      </x:c>
      <x:c r="G357" s="67" t="n">
        <x:v>1</x:v>
      </x:c>
      <x:c r="H357"/>
      <x:c r="I357" s="65" t="n">
        <x:v>188</x:v>
      </x:c>
      <x:c r="J357" s="65" t="str">
        <x:v>托利马体育</x:v>
      </x:c>
      <x:c r="K357" s="82" t="n">
        <x:v>5</x:v>
      </x:c>
      <x:c r="L357" s="82" t="n">
        <x:v>5</x:v>
      </x:c>
      <x:c r="M357" s="67" t="n">
        <x:v>1.5</x:v>
      </x:c>
      <x:c r="N357" s="181" t="n">
        <x:v>0.6</x:v>
      </x:c>
      <x:c r="O357" s="67" t="n">
        <x:v>0.3</x:v>
      </x:c>
    </x:row>
    <x:row r="358" ht="24" customHeight="1">
      <x:c r="A358" s="65" t="n">
        <x:v>189</x:v>
      </x:c>
      <x:c r="B358" s="65" t="str">
        <x:v>伊斯卡尔德斯国际（Inter Club d'Escaldes）</x:v>
      </x:c>
      <x:c r="C358" s="82" t="n">
        <x:v>1</x:v>
      </x:c>
      <x:c r="D358" s="82" t="n">
        <x:v>1</x:v>
      </x:c>
      <x:c r="E358" s="67" t="n">
        <x:v>1</x:v>
      </x:c>
      <x:c r="F358" s="181" t="n">
        <x:v>1</x:v>
      </x:c>
      <x:c r="G358" s="67" t="n">
        <x:v>1</x:v>
      </x:c>
      <x:c r="H358"/>
      <x:c r="I358" s="65" t="n">
        <x:v>189</x:v>
      </x:c>
      <x:c r="J358" s="65" t="str">
        <x:v>科林蒂安（Corinthians）</x:v>
      </x:c>
      <x:c r="K358" s="82" t="n">
        <x:v>6</x:v>
      </x:c>
      <x:c r="L358" s="82" t="n">
        <x:v>5</x:v>
      </x:c>
      <x:c r="M358" s="67" t="n">
        <x:v>1.5</x:v>
      </x:c>
      <x:c r="N358" s="181" t="n">
        <x:v>0.6</x:v>
      </x:c>
      <x:c r="O358" s="67" t="n">
        <x:v>0.3</x:v>
      </x:c>
    </x:row>
    <x:row r="359" ht="24" customHeight="1">
      <x:c r="A359" s="65" t="n">
        <x:v>190</x:v>
      </x:c>
      <x:c r="B359" s="65" t="str">
        <x:v>伊斯特恩莎沙伯（Eastern Suburbs FC）</x:v>
      </x:c>
      <x:c r="C359" s="82" t="n">
        <x:v>1</x:v>
      </x:c>
      <x:c r="D359" s="82" t="n">
        <x:v>1</x:v>
      </x:c>
      <x:c r="E359" s="67" t="n">
        <x:v>1</x:v>
      </x:c>
      <x:c r="F359" s="181" t="n">
        <x:v>1</x:v>
      </x:c>
      <x:c r="G359" s="67" t="n">
        <x:v>1</x:v>
      </x:c>
      <x:c r="H359"/>
      <x:c r="I359" s="65" t="n">
        <x:v>190</x:v>
      </x:c>
      <x:c r="J359" s="65" t="str">
        <x:v>蒙特雷</x:v>
      </x:c>
      <x:c r="K359" s="82" t="n">
        <x:v>5</x:v>
      </x:c>
      <x:c r="L359" s="82" t="n">
        <x:v>5</x:v>
      </x:c>
      <x:c r="M359" s="67" t="n">
        <x:v>1.5</x:v>
      </x:c>
      <x:c r="N359" s="181" t="n">
        <x:v>0.6</x:v>
      </x:c>
      <x:c r="O359" s="67" t="n">
        <x:v>0.3</x:v>
      </x:c>
    </x:row>
    <x:row r="360" ht="24" customHeight="1">
      <x:c r="A360" s="65" t="n">
        <x:v>191</x:v>
      </x:c>
      <x:c r="B360" s="65" t="str">
        <x:v>伊比利亚第比利斯（FC Iberia 1999）</x:v>
      </x:c>
      <x:c r="C360" s="82" t="n">
        <x:v>1</x:v>
      </x:c>
      <x:c r="D360" s="82" t="n">
        <x:v>1</x:v>
      </x:c>
      <x:c r="E360" s="67" t="n">
        <x:v>1</x:v>
      </x:c>
      <x:c r="F360" s="181" t="n">
        <x:v>1</x:v>
      </x:c>
      <x:c r="G360" s="67" t="n">
        <x:v>1</x:v>
      </x:c>
      <x:c r="H360"/>
      <x:c r="I360" s="65" t="n">
        <x:v>191</x:v>
      </x:c>
      <x:c r="J360" s="65" t="str">
        <x:v>佩西加雅加达（Persija Jakarta）</x:v>
      </x:c>
      <x:c r="K360" s="82" t="n">
        <x:v>7</x:v>
      </x:c>
      <x:c r="L360" s="82" t="n">
        <x:v>7</x:v>
      </x:c>
      <x:c r="M360" s="67" t="n">
        <x:v>1.5</x:v>
      </x:c>
      <x:c r="N360" s="181" t="n">
        <x:v>0.5714285714285714</x:v>
      </x:c>
      <x:c r="O360" s="67" t="n">
        <x:v>0.21428571428571427</x:v>
      </x:c>
    </x:row>
    <x:row r="361" ht="24" customHeight="1">
      <x:c r="A361" s="65" t="n">
        <x:v>192</x:v>
      </x:c>
      <x:c r="B361" s="65" t="str">
        <x:v>佩尔西库库杜斯（Persiku Kudus）</x:v>
      </x:c>
      <x:c r="C361" s="82" t="n">
        <x:v>1</x:v>
      </x:c>
      <x:c r="D361" s="82" t="n">
        <x:v>1</x:v>
      </x:c>
      <x:c r="E361" s="67" t="n">
        <x:v>1</x:v>
      </x:c>
      <x:c r="F361" s="181" t="n">
        <x:v>1</x:v>
      </x:c>
      <x:c r="G361" s="67" t="n">
        <x:v>1</x:v>
      </x:c>
      <x:c r="H361"/>
      <x:c r="I361" s="65" t="n">
        <x:v>192</x:v>
      </x:c>
      <x:c r="J361" s="65" t="str">
        <x:v>西雅图海湾人</x:v>
      </x:c>
      <x:c r="K361" s="82" t="n">
        <x:v>7</x:v>
      </x:c>
      <x:c r="L361" s="82" t="n">
        <x:v>7</x:v>
      </x:c>
      <x:c r="M361" s="67" t="n">
        <x:v>1.5</x:v>
      </x:c>
      <x:c r="N361" s="181" t="n">
        <x:v>0.5714285714285714</x:v>
      </x:c>
      <x:c r="O361" s="67" t="n">
        <x:v>0.21428571428571427</x:v>
      </x:c>
    </x:row>
    <x:row r="362" ht="24" customHeight="1">
      <x:c r="A362" s="65" t="n">
        <x:v>193</x:v>
      </x:c>
      <x:c r="B362" s="65" t="str">
        <x:v>佩斯索罗（Persis Solo FC）</x:v>
      </x:c>
      <x:c r="C362" s="82" t="n">
        <x:v>1</x:v>
      </x:c>
      <x:c r="D362" s="82" t="n">
        <x:v>1</x:v>
      </x:c>
      <x:c r="E362" s="67" t="n">
        <x:v>1</x:v>
      </x:c>
      <x:c r="F362" s="181" t="n">
        <x:v>1</x:v>
      </x:c>
      <x:c r="G362" s="67" t="n">
        <x:v>1</x:v>
      </x:c>
      <x:c r="H362"/>
      <x:c r="I362" s="65" t="n">
        <x:v>193</x:v>
      </x:c>
      <x:c r="J362" s="65" t="str">
        <x:v>卡利美洲</x:v>
      </x:c>
      <x:c r="K362" s="82" t="n">
        <x:v>6</x:v>
      </x:c>
      <x:c r="L362" s="82" t="n">
        <x:v>6</x:v>
      </x:c>
      <x:c r="M362" s="67" t="n">
        <x:v>1.5</x:v>
      </x:c>
      <x:c r="N362" s="181" t="n">
        <x:v>0.5</x:v>
      </x:c>
      <x:c r="O362" s="67" t="n">
        <x:v>0.25</x:v>
      </x:c>
    </x:row>
    <x:row r="363" ht="24" customHeight="1">
      <x:c r="A363" s="65" t="n">
        <x:v>194</x:v>
      </x:c>
      <x:c r="B363" s="65" t="str">
        <x:v>佩西克谏义里</x:v>
      </x:c>
      <x:c r="C363" s="82" t="n">
        <x:v>1</x:v>
      </x:c>
      <x:c r="D363" s="82" t="n">
        <x:v>1</x:v>
      </x:c>
      <x:c r="E363" s="67" t="n">
        <x:v>1</x:v>
      </x:c>
      <x:c r="F363" s="181" t="n">
        <x:v>1</x:v>
      </x:c>
      <x:c r="G363" s="67" t="n">
        <x:v>1</x:v>
      </x:c>
      <x:c r="H363"/>
      <x:c r="I363" s="65" t="n">
        <x:v>194</x:v>
      </x:c>
      <x:c r="J363" s="65" t="str">
        <x:v>圣塔菲（Independiente Santa Fe）</x:v>
      </x:c>
      <x:c r="K363" s="82" t="n">
        <x:v>4</x:v>
      </x:c>
      <x:c r="L363" s="82" t="n">
        <x:v>4</x:v>
      </x:c>
      <x:c r="M363" s="67" t="n">
        <x:v>1.5</x:v>
      </x:c>
      <x:c r="N363" s="181" t="n">
        <x:v>0.5</x:v>
      </x:c>
      <x:c r="O363" s="67" t="n">
        <x:v>0.375</x:v>
      </x:c>
    </x:row>
    <x:row r="364" ht="24" customHeight="1">
      <x:c r="A364" s="65" t="n">
        <x:v>195</x:v>
      </x:c>
      <x:c r="B364" s="65" t="str">
        <x:v>佩西塔唐格朗</x:v>
      </x:c>
      <x:c r="C364" s="82" t="n">
        <x:v>1</x:v>
      </x:c>
      <x:c r="D364" s="82" t="n">
        <x:v>1</x:v>
      </x:c>
      <x:c r="E364" s="67" t="n">
        <x:v>1</x:v>
      </x:c>
      <x:c r="F364" s="181" t="n">
        <x:v>1</x:v>
      </x:c>
      <x:c r="G364" s="67" t="n">
        <x:v>1</x:v>
      </x:c>
      <x:c r="H364"/>
      <x:c r="I364" s="65" t="n">
        <x:v>195</x:v>
      </x:c>
      <x:c r="J364" s="65" t="str">
        <x:v>APIA莱卡特老虎U20（APIA Leichhardt Tigers U20）</x:v>
      </x:c>
      <x:c r="K364" s="82" t="n">
        <x:v>1</x:v>
      </x:c>
      <x:c r="L364" s="82" t="n">
        <x:v>1</x:v>
      </x:c>
      <x:c r="M364" s="67" t="n">
        <x:v>1</x:v>
      </x:c>
      <x:c r="N364" s="181" t="n">
        <x:v>1</x:v>
      </x:c>
      <x:c r="O364" s="67" t="n">
        <x:v>1</x:v>
      </x:c>
    </x:row>
    <x:row r="365" ht="24" customHeight="1">
      <x:c r="A365" s="65" t="n">
        <x:v>196</x:v>
      </x:c>
      <x:c r="B365" s="65" t="str">
        <x:v>佩西斯梭罗（Persis Solo）</x:v>
      </x:c>
      <x:c r="C365" s="82" t="n">
        <x:v>1</x:v>
      </x:c>
      <x:c r="D365" s="82" t="n">
        <x:v>1</x:v>
      </x:c>
      <x:c r="E365" s="67" t="n">
        <x:v>1</x:v>
      </x:c>
      <x:c r="F365" s="181" t="n">
        <x:v>1</x:v>
      </x:c>
      <x:c r="G365" s="67" t="n">
        <x:v>1</x:v>
      </x:c>
      <x:c r="H365"/>
      <x:c r="I365" s="65" t="n">
        <x:v>196</x:v>
      </x:c>
      <x:c r="J365" s="65" t="str">
        <x:v>CD奥林匹亚</x:v>
      </x:c>
      <x:c r="K365" s="82" t="n">
        <x:v>1</x:v>
      </x:c>
      <x:c r="L365" s="82" t="n">
        <x:v>1</x:v>
      </x:c>
      <x:c r="M365" s="67" t="n">
        <x:v>1</x:v>
      </x:c>
      <x:c r="N365" s="181" t="n">
        <x:v>1</x:v>
      </x:c>
      <x:c r="O365" s="67" t="n">
        <x:v>1</x:v>
      </x:c>
    </x:row>
    <x:row r="366" ht="24" customHeight="1">
      <x:c r="A366" s="65" t="n">
        <x:v>197</x:v>
      </x:c>
      <x:c r="B366" s="65" t="str">
        <x:v>佩雷拉</x:v>
      </x:c>
      <x:c r="C366" s="82" t="n">
        <x:v>1</x:v>
      </x:c>
      <x:c r="D366" s="82" t="n">
        <x:v>1</x:v>
      </x:c>
      <x:c r="E366" s="67" t="n">
        <x:v>1</x:v>
      </x:c>
      <x:c r="F366" s="181" t="n">
        <x:v>1</x:v>
      </x:c>
      <x:c r="G366" s="67" t="n">
        <x:v>1</x:v>
      </x:c>
      <x:c r="H366"/>
      <x:c r="I366" s="65" t="n">
        <x:v>197</x:v>
      </x:c>
      <x:c r="J366" s="65" t="str">
        <x:v>CD马拉松（Marathón）</x:v>
      </x:c>
      <x:c r="K366" s="82" t="n">
        <x:v>1</x:v>
      </x:c>
      <x:c r="L366" s="82" t="n">
        <x:v>1</x:v>
      </x:c>
      <x:c r="M366" s="67" t="n">
        <x:v>1</x:v>
      </x:c>
      <x:c r="N366" s="181" t="n">
        <x:v>1</x:v>
      </x:c>
      <x:c r="O366" s="67" t="n">
        <x:v>1</x:v>
      </x:c>
    </x:row>
    <x:row r="367" ht="24" customHeight="1">
      <x:c r="A367" s="65" t="n">
        <x:v>198</x:v>
      </x:c>
      <x:c r="B367" s="65" t="str">
        <x:v>侨卡巴</x:v>
      </x:c>
      <x:c r="C367" s="82" t="n">
        <x:v>1</x:v>
      </x:c>
      <x:c r="D367" s="82" t="n">
        <x:v>1</x:v>
      </x:c>
      <x:c r="E367" s="67" t="n">
        <x:v>1</x:v>
      </x:c>
      <x:c r="F367" s="181" t="n">
        <x:v>1</x:v>
      </x:c>
      <x:c r="G367" s="67" t="n">
        <x:v>1</x:v>
      </x:c>
      <x:c r="H367"/>
      <x:c r="I367" s="65" t="n">
        <x:v>198</x:v>
      </x:c>
      <x:c r="J367" s="65" t="str">
        <x:v>El达克尔野</x:v>
      </x:c>
      <x:c r="K367" s="82" t="n">
        <x:v>1</x:v>
      </x:c>
      <x:c r="L367" s="82" t="n">
        <x:v>1</x:v>
      </x:c>
      <x:c r="M367" s="67" t="n">
        <x:v>1</x:v>
      </x:c>
      <x:c r="N367" s="181" t="n">
        <x:v>1</x:v>
      </x:c>
      <x:c r="O367" s="67" t="n">
        <x:v>1</x:v>
      </x:c>
    </x:row>
    <x:row r="368" ht="24" customHeight="1">
      <x:c r="A368" s="65" t="n">
        <x:v>199</x:v>
      </x:c>
      <x:c r="B368" s="65" t="str">
        <x:v>克鲁塞罗</x:v>
      </x:c>
      <x:c r="C368" s="82" t="n">
        <x:v>1</x:v>
      </x:c>
      <x:c r="D368" s="82" t="n">
        <x:v>1</x:v>
      </x:c>
      <x:c r="E368" s="67" t="n">
        <x:v>1</x:v>
      </x:c>
      <x:c r="F368" s="181" t="n">
        <x:v>1</x:v>
      </x:c>
      <x:c r="G368" s="67" t="n">
        <x:v>1</x:v>
      </x:c>
      <x:c r="H368"/>
      <x:c r="I368" s="65" t="n">
        <x:v>199</x:v>
      </x:c>
      <x:c r="J368" s="65" t="str">
        <x:v>FC东京</x:v>
      </x:c>
      <x:c r="K368" s="82" t="n">
        <x:v>1</x:v>
      </x:c>
      <x:c r="L368" s="82" t="n">
        <x:v>1</x:v>
      </x:c>
      <x:c r="M368" s="67" t="n">
        <x:v>1</x:v>
      </x:c>
      <x:c r="N368" s="181" t="n">
        <x:v>1</x:v>
      </x:c>
      <x:c r="O368" s="67" t="n">
        <x:v>1</x:v>
      </x:c>
    </x:row>
    <x:row r="369" ht="24" customHeight="1">
      <x:c r="A369" s="65" t="n">
        <x:v>200</x:v>
      </x:c>
      <x:c r="B369" s="65" t="str">
        <x:v>关岛</x:v>
      </x:c>
      <x:c r="C369" s="82" t="n">
        <x:v>1</x:v>
      </x:c>
      <x:c r="D369" s="82" t="n">
        <x:v>1</x:v>
      </x:c>
      <x:c r="E369" s="67" t="n">
        <x:v>1</x:v>
      </x:c>
      <x:c r="F369" s="181" t="n">
        <x:v>1</x:v>
      </x:c>
      <x:c r="G369" s="67" t="n">
        <x:v>1</x:v>
      </x:c>
      <x:c r="H369"/>
      <x:c r="I369" s="65" t="n">
        <x:v>200</x:v>
      </x:c>
      <x:c r="J369" s="65" t="str">
        <x:v>FC圣乔治</x:v>
      </x:c>
      <x:c r="K369" s="82" t="n">
        <x:v>1</x:v>
      </x:c>
      <x:c r="L369" s="82" t="n">
        <x:v>1</x:v>
      </x:c>
      <x:c r="M369" s="67" t="n">
        <x:v>1</x:v>
      </x:c>
      <x:c r="N369" s="181" t="n">
        <x:v>1</x:v>
      </x:c>
      <x:c r="O369" s="67" t="n">
        <x:v>1</x:v>
      </x:c>
    </x:row>
    <x:row r="370" ht="24" customHeight="1">
      <x:c r="A370" s="65" t="n">
        <x:v>201</x:v>
      </x:c>
      <x:c r="B370" s="65" t="str">
        <x:v>凯尔蒂赫斯（Kelty Hearts）</x:v>
      </x:c>
      <x:c r="C370" s="82" t="n">
        <x:v>1</x:v>
      </x:c>
      <x:c r="D370" s="82" t="n">
        <x:v>1</x:v>
      </x:c>
      <x:c r="E370" s="67" t="n">
        <x:v>1</x:v>
      </x:c>
      <x:c r="F370" s="181" t="n">
        <x:v>1</x:v>
      </x:c>
      <x:c r="G370" s="67" t="n">
        <x:v>1</x:v>
      </x:c>
      <x:c r="H370"/>
      <x:c r="I370" s="65" t="n">
        <x:v>201</x:v>
      </x:c>
      <x:c r="J370" s="65" t="str">
        <x:v>FC圣乔治（St George Saints）</x:v>
      </x:c>
      <x:c r="K370" s="82" t="n">
        <x:v>1</x:v>
      </x:c>
      <x:c r="L370" s="82" t="n">
        <x:v>1</x:v>
      </x:c>
      <x:c r="M370" s="67" t="n">
        <x:v>1</x:v>
      </x:c>
      <x:c r="N370" s="181" t="n">
        <x:v>1</x:v>
      </x:c>
      <x:c r="O370" s="67" t="n">
        <x:v>1</x:v>
      </x:c>
    </x:row>
    <x:row r="371" ht="24" customHeight="1">
      <x:c r="A371" s="65" t="n">
        <x:v>202</x:v>
      </x:c>
      <x:c r="B371" s="65" t="str">
        <x:v>列支敦士登</x:v>
      </x:c>
      <x:c r="C371" s="82" t="n">
        <x:v>1</x:v>
      </x:c>
      <x:c r="D371" s="82" t="n">
        <x:v>1</x:v>
      </x:c>
      <x:c r="E371" s="67" t="n">
        <x:v>1</x:v>
      </x:c>
      <x:c r="F371" s="181" t="n">
        <x:v>1</x:v>
      </x:c>
      <x:c r="G371" s="67" t="n">
        <x:v>1</x:v>
      </x:c>
      <x:c r="H371"/>
      <x:c r="I371" s="65" t="n">
        <x:v>202</x:v>
      </x:c>
      <x:c r="J371" s="65" t="str">
        <x:v>FC琉球冲绳</x:v>
      </x:c>
      <x:c r="K371" s="82" t="n">
        <x:v>1</x:v>
      </x:c>
      <x:c r="L371" s="82" t="n">
        <x:v>1</x:v>
      </x:c>
      <x:c r="M371" s="67" t="n">
        <x:v>1</x:v>
      </x:c>
      <x:c r="N371" s="181" t="n">
        <x:v>1</x:v>
      </x:c>
      <x:c r="O371" s="67" t="n">
        <x:v>1</x:v>
      </x:c>
    </x:row>
    <x:row r="372" ht="24" customHeight="1">
      <x:c r="A372" s="65" t="n">
        <x:v>203</x:v>
      </x:c>
      <x:c r="B372" s="65" t="str">
        <x:v>列高列达（Deportivo Recoleta）</x:v>
      </x:c>
      <x:c r="C372" s="82" t="n">
        <x:v>1</x:v>
      </x:c>
      <x:c r="D372" s="82" t="n">
        <x:v>1</x:v>
      </x:c>
      <x:c r="E372" s="67" t="n">
        <x:v>1</x:v>
      </x:c>
      <x:c r="F372" s="181" t="n">
        <x:v>1</x:v>
      </x:c>
      <x:c r="G372" s="67" t="n">
        <x:v>1</x:v>
      </x:c>
      <x:c r="H372"/>
      <x:c r="I372" s="65" t="n">
        <x:v>203</x:v>
      </x:c>
      <x:c r="J372" s="65" t="str">
        <x:v>GV圣何塞</x:v>
      </x:c>
      <x:c r="K372" s="82" t="n">
        <x:v>1</x:v>
      </x:c>
      <x:c r="L372" s="82" t="n">
        <x:v>1</x:v>
      </x:c>
      <x:c r="M372" s="67" t="n">
        <x:v>1</x:v>
      </x:c>
      <x:c r="N372" s="181" t="n">
        <x:v>1</x:v>
      </x:c>
      <x:c r="O372" s="67" t="n">
        <x:v>1</x:v>
      </x:c>
    </x:row>
    <x:row r="373" ht="24" customHeight="1">
      <x:c r="A373" s="65" t="n">
        <x:v>204</x:v>
      </x:c>
      <x:c r="B373" s="65" t="str">
        <x:v>利兹联</x:v>
      </x:c>
      <x:c r="C373" s="82" t="n">
        <x:v>1</x:v>
      </x:c>
      <x:c r="D373" s="82" t="n">
        <x:v>1</x:v>
      </x:c>
      <x:c r="E373" s="67" t="n">
        <x:v>1</x:v>
      </x:c>
      <x:c r="F373" s="181" t="n">
        <x:v>1</x:v>
      </x:c>
      <x:c r="G373" s="67" t="n">
        <x:v>1</x:v>
      </x:c>
      <x:c r="H373"/>
      <x:c r="I373" s="65" t="n">
        <x:v>204</x:v>
      </x:c>
      <x:c r="J373" s="65" t="str">
        <x:v>GV圣何塞（GV San José）</x:v>
      </x:c>
      <x:c r="K373" s="82" t="n">
        <x:v>1</x:v>
      </x:c>
      <x:c r="L373" s="82" t="n">
        <x:v>1</x:v>
      </x:c>
      <x:c r="M373" s="67" t="n">
        <x:v>1</x:v>
      </x:c>
      <x:c r="N373" s="181" t="n">
        <x:v>1</x:v>
      </x:c>
      <x:c r="O373" s="67" t="n">
        <x:v>1</x:v>
      </x:c>
    </x:row>
    <x:row r="374" ht="24" customHeight="1">
      <x:c r="A374" s="65" t="n">
        <x:v>205</x:v>
      </x:c>
      <x:c r="B374" s="65" t="str">
        <x:v>利文斯顿（Livingston）</x:v>
      </x:c>
      <x:c r="C374" s="82" t="n">
        <x:v>1</x:v>
      </x:c>
      <x:c r="D374" s="82" t="n">
        <x:v>1</x:v>
      </x:c>
      <x:c r="E374" s="67" t="n">
        <x:v>1</x:v>
      </x:c>
      <x:c r="F374" s="181" t="n">
        <x:v>1</x:v>
      </x:c>
      <x:c r="G374" s="67" t="n">
        <x:v>1</x:v>
      </x:c>
      <x:c r="H374"/>
      <x:c r="I374" s="65" t="n">
        <x:v>205</x:v>
      </x:c>
      <x:c r="J374" s="65" t="str">
        <x:v>PSIM日惹（PSIM Yogyakarta）</x:v>
      </x:c>
      <x:c r="K374" s="82" t="n">
        <x:v>1</x:v>
      </x:c>
      <x:c r="L374" s="82" t="n">
        <x:v>1</x:v>
      </x:c>
      <x:c r="M374" s="67" t="n">
        <x:v>1</x:v>
      </x:c>
      <x:c r="N374" s="181" t="n">
        <x:v>1</x:v>
      </x:c>
      <x:c r="O374" s="67" t="n">
        <x:v>1</x:v>
      </x:c>
    </x:row>
    <x:row r="375" ht="24" customHeight="1">
      <x:c r="A375" s="65" t="n">
        <x:v>206</x:v>
      </x:c>
      <x:c r="B375" s="65" t="str">
        <x:v>利涅尔斯（Deportivo Liniers）</x:v>
      </x:c>
      <x:c r="C375" s="82" t="n">
        <x:v>1</x:v>
      </x:c>
      <x:c r="D375" s="82" t="n">
        <x:v>1</x:v>
      </x:c>
      <x:c r="E375" s="67" t="n">
        <x:v>1</x:v>
      </x:c>
      <x:c r="F375" s="181" t="n">
        <x:v>1</x:v>
      </x:c>
      <x:c r="G375" s="67" t="n">
        <x:v>1</x:v>
      </x:c>
      <x:c r="H375"/>
      <x:c r="I375" s="65" t="n">
        <x:v>206</x:v>
      </x:c>
      <x:c r="J375" s="65" t="str">
        <x:v>RB布拉甘蒂诺</x:v>
      </x:c>
      <x:c r="K375" s="82" t="n">
        <x:v>1</x:v>
      </x:c>
      <x:c r="L375" s="82" t="n">
        <x:v>1</x:v>
      </x:c>
      <x:c r="M375" s="67" t="n">
        <x:v>1</x:v>
      </x:c>
      <x:c r="N375" s="181" t="n">
        <x:v>1</x:v>
      </x:c>
      <x:c r="O375" s="67" t="n">
        <x:v>1</x:v>
      </x:c>
    </x:row>
    <x:row r="376" ht="24" customHeight="1">
      <x:c r="A376" s="65" t="n">
        <x:v>207</x:v>
      </x:c>
      <x:c r="B376" s="65" t="str">
        <x:v>利物浦（Liverpool FC）</x:v>
      </x:c>
      <x:c r="C376" s="82" t="n">
        <x:v>1</x:v>
      </x:c>
      <x:c r="D376" s="82" t="n">
        <x:v>1</x:v>
      </x:c>
      <x:c r="E376" s="67" t="n">
        <x:v>1</x:v>
      </x:c>
      <x:c r="F376" s="181" t="n">
        <x:v>1</x:v>
      </x:c>
      <x:c r="G376" s="67" t="n">
        <x:v>1</x:v>
      </x:c>
      <x:c r="H376"/>
      <x:c r="I376" s="65" t="n">
        <x:v>207</x:v>
      </x:c>
      <x:c r="J376" s="65" t="str">
        <x:v>TPS图尔库（TPS）</x:v>
      </x:c>
      <x:c r="K376" s="82" t="n">
        <x:v>1</x:v>
      </x:c>
      <x:c r="L376" s="82" t="n">
        <x:v>1</x:v>
      </x:c>
      <x:c r="M376" s="67" t="n">
        <x:v>1</x:v>
      </x:c>
      <x:c r="N376" s="181" t="n">
        <x:v>1</x:v>
      </x:c>
      <x:c r="O376" s="67" t="n">
        <x:v>1</x:v>
      </x:c>
    </x:row>
    <x:row r="377" ht="24" customHeight="1">
      <x:c r="A377" s="65" t="n">
        <x:v>208</x:v>
      </x:c>
      <x:c r="B377" s="65" t="str">
        <x:v>加拉加斯（Caracas FC）</x:v>
      </x:c>
      <x:c r="C377" s="82" t="n">
        <x:v>1</x:v>
      </x:c>
      <x:c r="D377" s="82" t="n">
        <x:v>1</x:v>
      </x:c>
      <x:c r="E377" s="67" t="n">
        <x:v>1</x:v>
      </x:c>
      <x:c r="F377" s="181" t="n">
        <x:v>1</x:v>
      </x:c>
      <x:c r="G377" s="67" t="n">
        <x:v>1</x:v>
      </x:c>
      <x:c r="H377"/>
      <x:c r="I377" s="65" t="n">
        <x:v>208</x:v>
      </x:c>
      <x:c r="J377" s="65" t="str">
        <x:v>VPS瓦萨</x:v>
      </x:c>
      <x:c r="K377" s="82" t="n">
        <x:v>1</x:v>
      </x:c>
      <x:c r="L377" s="82" t="n">
        <x:v>1</x:v>
      </x:c>
      <x:c r="M377" s="67" t="n">
        <x:v>1</x:v>
      </x:c>
      <x:c r="N377" s="181" t="n">
        <x:v>1</x:v>
      </x:c>
      <x:c r="O377" s="67" t="n">
        <x:v>1</x:v>
      </x:c>
    </x:row>
    <x:row r="378" ht="24" customHeight="1">
      <x:c r="A378" s="65" t="n">
        <x:v>209</x:v>
      </x:c>
      <x:c r="B378" s="65" t="str">
        <x:v>加拉加斯FC</x:v>
      </x:c>
      <x:c r="C378" s="82" t="n">
        <x:v>1</x:v>
      </x:c>
      <x:c r="D378" s="82" t="n">
        <x:v>1</x:v>
      </x:c>
      <x:c r="E378" s="67" t="n">
        <x:v>1</x:v>
      </x:c>
      <x:c r="F378" s="181" t="n">
        <x:v>1</x:v>
      </x:c>
      <x:c r="G378" s="67" t="n">
        <x:v>1</x:v>
      </x:c>
      <x:c r="H378"/>
      <x:c r="I378" s="65" t="n">
        <x:v>209</x:v>
      </x:c>
      <x:c r="J378" s="65" t="str">
        <x:v>VPS瓦萨（VPS Vaasa）</x:v>
      </x:c>
      <x:c r="K378" s="82" t="n">
        <x:v>1</x:v>
      </x:c>
      <x:c r="L378" s="82" t="n">
        <x:v>1</x:v>
      </x:c>
      <x:c r="M378" s="67" t="n">
        <x:v>1</x:v>
      </x:c>
      <x:c r="N378" s="181" t="n">
        <x:v>1</x:v>
      </x:c>
      <x:c r="O378" s="67" t="n">
        <x:v>1</x:v>
      </x:c>
    </x:row>
    <x:row r="379" ht="24" customHeight="1">
      <x:c r="A379" s="65" t="n">
        <x:v>210</x:v>
      </x:c>
      <x:c r="B379" s="65" t="str">
        <x:v>勒沃库森（Bayer Leverkusen）</x:v>
      </x:c>
      <x:c r="C379" s="82" t="n">
        <x:v>1</x:v>
      </x:c>
      <x:c r="D379" s="82" t="n">
        <x:v>1</x:v>
      </x:c>
      <x:c r="E379" s="67" t="n">
        <x:v>1</x:v>
      </x:c>
      <x:c r="F379" s="181" t="n">
        <x:v>1</x:v>
      </x:c>
      <x:c r="G379" s="67" t="n">
        <x:v>1</x:v>
      </x:c>
      <x:c r="H379"/>
      <x:c r="I379" s="65" t="n">
        <x:v>210</x:v>
      </x:c>
      <x:c r="J379" s="65" t="str">
        <x:v>不丹</x:v>
      </x:c>
      <x:c r="K379" s="82" t="n">
        <x:v>1</x:v>
      </x:c>
      <x:c r="L379" s="82" t="n">
        <x:v>1</x:v>
      </x:c>
      <x:c r="M379" s="67" t="n">
        <x:v>1</x:v>
      </x:c>
      <x:c r="N379" s="181" t="n">
        <x:v>1</x:v>
      </x:c>
      <x:c r="O379" s="67" t="n">
        <x:v>1</x:v>
      </x:c>
    </x:row>
    <x:row r="380" ht="24" customHeight="1">
      <x:c r="A380" s="65" t="n">
        <x:v>211</x:v>
      </x:c>
      <x:c r="B380" s="65" t="str">
        <x:v>勒阿弗尔（Le Havre）</x:v>
      </x:c>
      <x:c r="C380" s="82" t="n">
        <x:v>1</x:v>
      </x:c>
      <x:c r="D380" s="82" t="n">
        <x:v>1</x:v>
      </x:c>
      <x:c r="E380" s="67" t="n">
        <x:v>1</x:v>
      </x:c>
      <x:c r="F380" s="181" t="n">
        <x:v>1</x:v>
      </x:c>
      <x:c r="G380" s="67" t="n">
        <x:v>1</x:v>
      </x:c>
      <x:c r="H380"/>
      <x:c r="I380" s="65" t="n">
        <x:v>211</x:v>
      </x:c>
      <x:c r="J380" s="65" t="str">
        <x:v>东帝汶</x:v>
      </x:c>
      <x:c r="K380" s="82" t="n">
        <x:v>1</x:v>
      </x:c>
      <x:c r="L380" s="82" t="n">
        <x:v>1</x:v>
      </x:c>
      <x:c r="M380" s="67" t="n">
        <x:v>1</x:v>
      </x:c>
      <x:c r="N380" s="181" t="n">
        <x:v>1</x:v>
      </x:c>
      <x:c r="O380" s="67" t="n">
        <x:v>1</x:v>
      </x:c>
    </x:row>
    <x:row r="381" ht="24" customHeight="1">
      <x:c r="A381" s="65" t="n">
        <x:v>212</x:v>
      </x:c>
      <x:c r="B381" s="65" t="str">
        <x:v>北京国安</x:v>
      </x:c>
      <x:c r="C381" s="82" t="n">
        <x:v>1</x:v>
      </x:c>
      <x:c r="D381" s="82" t="n">
        <x:v>1</x:v>
      </x:c>
      <x:c r="E381" s="67" t="n">
        <x:v>1</x:v>
      </x:c>
      <x:c r="F381" s="181" t="n">
        <x:v>1</x:v>
      </x:c>
      <x:c r="G381" s="67" t="n">
        <x:v>1</x:v>
      </x:c>
      <x:c r="H381"/>
      <x:c r="I381" s="65" t="n">
        <x:v>212</x:v>
      </x:c>
      <x:c r="J381" s="65" t="str">
        <x:v>东法夫（East Fife）</x:v>
      </x:c>
      <x:c r="K381" s="82" t="n">
        <x:v>1</x:v>
      </x:c>
      <x:c r="L381" s="82" t="n">
        <x:v>1</x:v>
      </x:c>
      <x:c r="M381" s="67" t="n">
        <x:v>1</x:v>
      </x:c>
      <x:c r="N381" s="181" t="n">
        <x:v>1</x:v>
      </x:c>
      <x:c r="O381" s="67" t="n">
        <x:v>1</x:v>
      </x:c>
    </x:row>
    <x:row r="382" ht="24" customHeight="1">
      <x:c r="A382" s="65" t="n">
        <x:v>213</x:v>
      </x:c>
      <x:c r="B382" s="65" t="str">
        <x:v>北碧巴吞旺龙（北碧府电力/Kanchanaburi Power）</x:v>
      </x:c>
      <x:c r="C382" s="82" t="n">
        <x:v>1</x:v>
      </x:c>
      <x:c r="D382" s="82" t="n">
        <x:v>1</x:v>
      </x:c>
      <x:c r="E382" s="67" t="n">
        <x:v>1</x:v>
      </x:c>
      <x:c r="F382" s="181" t="n">
        <x:v>1</x:v>
      </x:c>
      <x:c r="G382" s="67" t="n">
        <x:v>1</x:v>
      </x:c>
      <x:c r="H382"/>
      <x:c r="I382" s="65" t="n">
        <x:v>213</x:v>
      </x:c>
      <x:c r="J382" s="65" t="str">
        <x:v>东郊（布里斯班）（Eastern Suburbs）</x:v>
      </x:c>
      <x:c r="K382" s="82" t="n">
        <x:v>1</x:v>
      </x:c>
      <x:c r="L382" s="82" t="n">
        <x:v>1</x:v>
      </x:c>
      <x:c r="M382" s="67" t="n">
        <x:v>1</x:v>
      </x:c>
      <x:c r="N382" s="181" t="n">
        <x:v>1</x:v>
      </x:c>
      <x:c r="O382" s="67" t="n">
        <x:v>1</x:v>
      </x:c>
    </x:row>
    <x:row r="383" ht="24" customHeight="1">
      <x:c r="A383" s="65" t="n">
        <x:v>214</x:v>
      </x:c>
      <x:c r="B383" s="65" t="str">
        <x:v>北鹰阳光（North Sunshine Eagles SC）</x:v>
      </x:c>
      <x:c r="C383" s="82" t="n">
        <x:v>1</x:v>
      </x:c>
      <x:c r="D383" s="82" t="n">
        <x:v>1</x:v>
      </x:c>
      <x:c r="E383" s="67" t="n">
        <x:v>1</x:v>
      </x:c>
      <x:c r="F383" s="181" t="n">
        <x:v>1</x:v>
      </x:c>
      <x:c r="G383" s="67" t="n">
        <x:v>1</x:v>
      </x:c>
      <x:c r="H383"/>
      <x:c r="I383" s="65" t="n">
        <x:v>214</x:v>
      </x:c>
      <x:c r="J383" s="65" t="str">
        <x:v>中国U20</x:v>
      </x:c>
      <x:c r="K383" s="82" t="n">
        <x:v>1</x:v>
      </x:c>
      <x:c r="L383" s="82" t="n">
        <x:v>1</x:v>
      </x:c>
      <x:c r="M383" s="67" t="n">
        <x:v>1</x:v>
      </x:c>
      <x:c r="N383" s="181" t="n">
        <x:v>1</x:v>
      </x:c>
      <x:c r="O383" s="67" t="n">
        <x:v>1</x:v>
      </x:c>
    </x:row>
    <x:row r="384" ht="24" customHeight="1">
      <x:c r="A384" s="65" t="n">
        <x:v>215</x:v>
      </x:c>
      <x:c r="B384" s="65" t="str">
        <x:v>北鹰阳光U23（North Sunshine Eagles U23）</x:v>
      </x:c>
      <x:c r="C384" s="82" t="n">
        <x:v>1</x:v>
      </x:c>
      <x:c r="D384" s="82" t="n">
        <x:v>1</x:v>
      </x:c>
      <x:c r="E384" s="67" t="n">
        <x:v>1</x:v>
      </x:c>
      <x:c r="F384" s="181" t="n">
        <x:v>1</x:v>
      </x:c>
      <x:c r="G384" s="67" t="n">
        <x:v>1</x:v>
      </x:c>
      <x:c r="H384"/>
      <x:c r="I384" s="65" t="n">
        <x:v>215</x:v>
      </x:c>
      <x:c r="J384" s="65" t="str">
        <x:v>中央海岸水手(Central Coast Mariners)</x:v>
      </x:c>
      <x:c r="K384" s="82" t="n">
        <x:v>1</x:v>
      </x:c>
      <x:c r="L384" s="82" t="n">
        <x:v>1</x:v>
      </x:c>
      <x:c r="M384" s="67" t="n">
        <x:v>1</x:v>
      </x:c>
      <x:c r="N384" s="181" t="n">
        <x:v>1</x:v>
      </x:c>
      <x:c r="O384" s="67" t="n">
        <x:v>1</x:v>
      </x:c>
    </x:row>
    <x:row r="385" ht="24" customHeight="1">
      <x:c r="A385" s="65" t="n">
        <x:v>216</x:v>
      </x:c>
      <x:c r="B385" s="65" t="str">
        <x:v>千叶市原（JEF联市原·千叶）</x:v>
      </x:c>
      <x:c r="C385" s="82" t="n">
        <x:v>1</x:v>
      </x:c>
      <x:c r="D385" s="82" t="n">
        <x:v>1</x:v>
      </x:c>
      <x:c r="E385" s="67" t="n">
        <x:v>1</x:v>
      </x:c>
      <x:c r="F385" s="181" t="n">
        <x:v>1</x:v>
      </x:c>
      <x:c r="G385" s="67" t="n">
        <x:v>1</x:v>
      </x:c>
      <x:c r="H385"/>
      <x:c r="I385" s="65" t="n">
        <x:v>216</x:v>
      </x:c>
      <x:c r="J385" s="65" t="str">
        <x:v>丹麦</x:v>
      </x:c>
      <x:c r="K385" s="82" t="n">
        <x:v>1</x:v>
      </x:c>
      <x:c r="L385" s="82" t="n">
        <x:v>1</x:v>
      </x:c>
      <x:c r="M385" s="67" t="n">
        <x:v>1</x:v>
      </x:c>
      <x:c r="N385" s="181" t="n">
        <x:v>1</x:v>
      </x:c>
      <x:c r="O385" s="67" t="n">
        <x:v>1</x:v>
      </x:c>
    </x:row>
    <x:row r="386" ht="24" customHeight="1">
      <x:c r="A386" s="65" t="n">
        <x:v>217</x:v>
      </x:c>
      <x:c r="B386" s="65" t="str">
        <x:v>华雷斯FC</x:v>
      </x:c>
      <x:c r="C386" s="82" t="n">
        <x:v>1</x:v>
      </x:c>
      <x:c r="D386" s="82" t="n">
        <x:v>1</x:v>
      </x:c>
      <x:c r="E386" s="67" t="n">
        <x:v>1</x:v>
      </x:c>
      <x:c r="F386" s="181" t="n">
        <x:v>1</x:v>
      </x:c>
      <x:c r="G386" s="67" t="n">
        <x:v>1</x:v>
      </x:c>
      <x:c r="H386"/>
      <x:c r="I386" s="65" t="n">
        <x:v>217</x:v>
      </x:c>
      <x:c r="J386" s="65" t="str">
        <x:v>乌尔基萨大学（UAI Urquiza）</x:v>
      </x:c>
      <x:c r="K386" s="82" t="n">
        <x:v>1</x:v>
      </x:c>
      <x:c r="L386" s="82" t="n">
        <x:v>1</x:v>
      </x:c>
      <x:c r="M386" s="67" t="n">
        <x:v>1</x:v>
      </x:c>
      <x:c r="N386" s="181" t="n">
        <x:v>1</x:v>
      </x:c>
      <x:c r="O386" s="67" t="n">
        <x:v>1</x:v>
      </x:c>
    </x:row>
    <x:row r="387" ht="24" customHeight="1">
      <x:c r="A387" s="65" t="n">
        <x:v>218</x:v>
      </x:c>
      <x:c r="B387" s="65" t="str">
        <x:v>南奔战士（Lamphun Warriors）</x:v>
      </x:c>
      <x:c r="C387" s="82" t="n">
        <x:v>1</x:v>
      </x:c>
      <x:c r="D387" s="82" t="n">
        <x:v>1</x:v>
      </x:c>
      <x:c r="E387" s="67" t="n">
        <x:v>1</x:v>
      </x:c>
      <x:c r="F387" s="181" t="n">
        <x:v>1</x:v>
      </x:c>
      <x:c r="G387" s="67" t="n">
        <x:v>1</x:v>
      </x:c>
      <x:c r="H387"/>
      <x:c r="I387" s="65" t="n">
        <x:v>218</x:v>
      </x:c>
      <x:c r="J387" s="65" t="str">
        <x:v>乌拉圭民族（Nacional）</x:v>
      </x:c>
      <x:c r="K387" s="82" t="n">
        <x:v>1</x:v>
      </x:c>
      <x:c r="L387" s="82" t="n">
        <x:v>1</x:v>
      </x:c>
      <x:c r="M387" s="67" t="n">
        <x:v>1</x:v>
      </x:c>
      <x:c r="N387" s="181" t="n">
        <x:v>1</x:v>
      </x:c>
      <x:c r="O387" s="67" t="n">
        <x:v>1</x:v>
      </x:c>
    </x:row>
    <x:row r="388" ht="24" customHeight="1">
      <x:c r="A388" s="65" t="n">
        <x:v>219</x:v>
      </x:c>
      <x:c r="B388" s="65" t="str">
        <x:v>南定（Thép Xanh Nam Định）</x:v>
      </x:c>
      <x:c r="C388" s="82" t="n">
        <x:v>1</x:v>
      </x:c>
      <x:c r="D388" s="82" t="n">
        <x:v>1</x:v>
      </x:c>
      <x:c r="E388" s="67" t="n">
        <x:v>1</x:v>
      </x:c>
      <x:c r="F388" s="181" t="n">
        <x:v>1</x:v>
      </x:c>
      <x:c r="G388" s="67" t="n">
        <x:v>1</x:v>
      </x:c>
      <x:c r="H388"/>
      <x:c r="I388" s="65" t="n">
        <x:v>219</x:v>
      </x:c>
      <x:c r="J388" s="65" t="str">
        <x:v>亚松森奥林匹亚（Olimpia）</x:v>
      </x:c>
      <x:c r="K388" s="82" t="n">
        <x:v>1</x:v>
      </x:c>
      <x:c r="L388" s="82" t="n">
        <x:v>1</x:v>
      </x:c>
      <x:c r="M388" s="67" t="n">
        <x:v>1</x:v>
      </x:c>
      <x:c r="N388" s="181" t="n">
        <x:v>1</x:v>
      </x:c>
      <x:c r="O388" s="67" t="n">
        <x:v>1</x:v>
      </x:c>
    </x:row>
    <x:row r="389" ht="24" customHeight="1">
      <x:c r="A389" s="65" t="n">
        <x:v>220</x:v>
      </x:c>
      <x:c r="B389" s="65" t="str">
        <x:v>南定绿钢(Nam Dinh)</x:v>
      </x:c>
      <x:c r="C389" s="82" t="n">
        <x:v>1</x:v>
      </x:c>
      <x:c r="D389" s="82" t="n">
        <x:v>1</x:v>
      </x:c>
      <x:c r="E389" s="67" t="n">
        <x:v>1</x:v>
      </x:c>
      <x:c r="F389" s="181" t="n">
        <x:v>1</x:v>
      </x:c>
      <x:c r="G389" s="67" t="n">
        <x:v>1</x:v>
      </x:c>
      <x:c r="H389"/>
      <x:c r="I389" s="65" t="n">
        <x:v>220</x:v>
      </x:c>
      <x:c r="J389" s="65" t="str">
        <x:v>亚松森瓜拉尼（Guaraní）</x:v>
      </x:c>
      <x:c r="K389" s="82" t="n">
        <x:v>1</x:v>
      </x:c>
      <x:c r="L389" s="82" t="n">
        <x:v>1</x:v>
      </x:c>
      <x:c r="M389" s="67" t="n">
        <x:v>1</x:v>
      </x:c>
      <x:c r="N389" s="181" t="n">
        <x:v>1</x:v>
      </x:c>
      <x:c r="O389" s="67" t="n">
        <x:v>1</x:v>
      </x:c>
    </x:row>
    <x:row r="390" ht="24" customHeight="1">
      <x:c r="A390" s="65" t="n">
        <x:v>221</x:v>
      </x:c>
      <x:c r="B390" s="65" t="str">
        <x:v>南岛联（South Island United）</x:v>
      </x:c>
      <x:c r="C390" s="82" t="n">
        <x:v>1</x:v>
      </x:c>
      <x:c r="D390" s="82" t="n">
        <x:v>1</x:v>
      </x:c>
      <x:c r="E390" s="67" t="n">
        <x:v>1</x:v>
      </x:c>
      <x:c r="F390" s="181" t="n">
        <x:v>1</x:v>
      </x:c>
      <x:c r="G390" s="67" t="n">
        <x:v>1</x:v>
      </x:c>
      <x:c r="H390"/>
      <x:c r="I390" s="65" t="n">
        <x:v>221</x:v>
      </x:c>
      <x:c r="J390" s="65" t="str">
        <x:v>仁川联（Incheon United）</x:v>
      </x:c>
      <x:c r="K390" s="82" t="n">
        <x:v>1</x:v>
      </x:c>
      <x:c r="L390" s="82" t="n">
        <x:v>1</x:v>
      </x:c>
      <x:c r="M390" s="67" t="n">
        <x:v>1</x:v>
      </x:c>
      <x:c r="N390" s="181" t="n">
        <x:v>1</x:v>
      </x:c>
      <x:c r="O390" s="67" t="n">
        <x:v>1</x:v>
      </x:c>
    </x:row>
    <x:row r="391" ht="24" customHeight="1">
      <x:c r="A391" s="65" t="n">
        <x:v>222</x:v>
      </x:c>
      <x:c r="B391" s="65" t="str">
        <x:v>南德里体育学院（Namdhari FC）</x:v>
      </x:c>
      <x:c r="C391" s="82" t="n">
        <x:v>1</x:v>
      </x:c>
      <x:c r="D391" s="82" t="n">
        <x:v>1</x:v>
      </x:c>
      <x:c r="E391" s="67" t="n">
        <x:v>1</x:v>
      </x:c>
      <x:c r="F391" s="181" t="n">
        <x:v>1</x:v>
      </x:c>
      <x:c r="G391" s="67" t="n">
        <x:v>1</x:v>
      </x:c>
      <x:c r="H391"/>
      <x:c r="I391" s="65" t="n">
        <x:v>222</x:v>
      </x:c>
      <x:c r="J391" s="65" t="str">
        <x:v>仙台七夕（Vegalta Sendai）</x:v>
      </x:c>
      <x:c r="K391" s="82" t="n">
        <x:v>1</x:v>
      </x:c>
      <x:c r="L391" s="82" t="n">
        <x:v>1</x:v>
      </x:c>
      <x:c r="M391" s="67" t="n">
        <x:v>1</x:v>
      </x:c>
      <x:c r="N391" s="181" t="n">
        <x:v>1</x:v>
      </x:c>
      <x:c r="O391" s="67" t="n">
        <x:v>1</x:v>
      </x:c>
    </x:row>
    <x:row r="392" ht="24" customHeight="1">
      <x:c r="A392" s="65" t="n">
        <x:v>223</x:v>
      </x:c>
      <x:c r="B392" s="65" t="str">
        <x:v>博亚卡奇科（Boyacá Chicó）</x:v>
      </x:c>
      <x:c r="C392" s="82" t="n">
        <x:v>1</x:v>
      </x:c>
      <x:c r="D392" s="82" t="n">
        <x:v>1</x:v>
      </x:c>
      <x:c r="E392" s="67" t="n">
        <x:v>1</x:v>
      </x:c>
      <x:c r="F392" s="181" t="n">
        <x:v>1</x:v>
      </x:c>
      <x:c r="G392" s="67" t="n">
        <x:v>1</x:v>
      </x:c>
      <x:c r="H392"/>
      <x:c r="I392" s="65" t="n">
        <x:v>223</x:v>
      </x:c>
      <x:c r="J392" s="65" t="str">
        <x:v>仙台维加泰</x:v>
      </x:c>
      <x:c r="K392" s="82" t="n">
        <x:v>1</x:v>
      </x:c>
      <x:c r="L392" s="82" t="n">
        <x:v>1</x:v>
      </x:c>
      <x:c r="M392" s="67" t="n">
        <x:v>1</x:v>
      </x:c>
      <x:c r="N392" s="181" t="n">
        <x:v>1</x:v>
      </x:c>
      <x:c r="O392" s="67" t="n">
        <x:v>1</x:v>
      </x:c>
    </x:row>
    <x:row r="393" ht="24" customHeight="1">
      <x:c r="A393" s="65" t="n">
        <x:v>224</x:v>
      </x:c>
      <x:c r="B393" s="65" t="str">
        <x:v>博塔弗戈（Botafogo RJ）</x:v>
      </x:c>
      <x:c r="C393" s="82" t="n">
        <x:v>1</x:v>
      </x:c>
      <x:c r="D393" s="82" t="n">
        <x:v>1</x:v>
      </x:c>
      <x:c r="E393" s="67" t="n">
        <x:v>1</x:v>
      </x:c>
      <x:c r="F393" s="181" t="n">
        <x:v>1</x:v>
      </x:c>
      <x:c r="G393" s="67" t="n">
        <x:v>1</x:v>
      </x:c>
      <x:c r="H393"/>
      <x:c r="I393" s="65" t="n">
        <x:v>224</x:v>
      </x:c>
      <x:c r="J393" s="65" t="str">
        <x:v>伊斯卡尔德斯（Inter Club d'Escaldes）</x:v>
      </x:c>
      <x:c r="K393" s="82" t="n">
        <x:v>1</x:v>
      </x:c>
      <x:c r="L393" s="82" t="n">
        <x:v>1</x:v>
      </x:c>
      <x:c r="M393" s="67" t="n">
        <x:v>1</x:v>
      </x:c>
      <x:c r="N393" s="181" t="n">
        <x:v>1</x:v>
      </x:c>
      <x:c r="O393" s="67" t="n">
        <x:v>1</x:v>
      </x:c>
    </x:row>
    <x:row r="394" ht="24" customHeight="1">
      <x:c r="A394" s="65" t="n">
        <x:v>225</x:v>
      </x:c>
      <x:c r="B394" s="65" t="str">
        <x:v>博塔弗戈(Botafogo)</x:v>
      </x:c>
      <x:c r="C394" s="82" t="n">
        <x:v>1</x:v>
      </x:c>
      <x:c r="D394" s="82" t="n">
        <x:v>1</x:v>
      </x:c>
      <x:c r="E394" s="67" t="n">
        <x:v>1</x:v>
      </x:c>
      <x:c r="F394" s="181" t="n">
        <x:v>1</x:v>
      </x:c>
      <x:c r="G394" s="67" t="n">
        <x:v>1</x:v>
      </x:c>
      <x:c r="H394"/>
      <x:c r="I394" s="65" t="n">
        <x:v>225</x:v>
      </x:c>
      <x:c r="J394" s="65" t="str">
        <x:v>伊斯柏纳（Real España）</x:v>
      </x:c>
      <x:c r="K394" s="82" t="n">
        <x:v>1</x:v>
      </x:c>
      <x:c r="L394" s="82" t="n">
        <x:v>1</x:v>
      </x:c>
      <x:c r="M394" s="67" t="n">
        <x:v>1</x:v>
      </x:c>
      <x:c r="N394" s="181" t="n">
        <x:v>1</x:v>
      </x:c>
      <x:c r="O394" s="67" t="n">
        <x:v>1</x:v>
      </x:c>
    </x:row>
    <x:row r="395" ht="24" customHeight="1">
      <x:c r="A395" s="65" t="n">
        <x:v>226</x:v>
      </x:c>
      <x:c r="B395" s="65" t="str">
        <x:v>博塔弗戈RJ</x:v>
      </x:c>
      <x:c r="C395" s="82" t="n">
        <x:v>1</x:v>
      </x:c>
      <x:c r="D395" s="82" t="n">
        <x:v>1</x:v>
      </x:c>
      <x:c r="E395" s="67" t="n">
        <x:v>1</x:v>
      </x:c>
      <x:c r="F395" s="181" t="n">
        <x:v>1</x:v>
      </x:c>
      <x:c r="G395" s="67" t="n">
        <x:v>1</x:v>
      </x:c>
      <x:c r="H395"/>
      <x:c r="I395" s="65" t="n">
        <x:v>226</x:v>
      </x:c>
      <x:c r="J395" s="65" t="str">
        <x:v>伊朗</x:v>
      </x:c>
      <x:c r="K395" s="82" t="n">
        <x:v>1</x:v>
      </x:c>
      <x:c r="L395" s="82" t="n">
        <x:v>1</x:v>
      </x:c>
      <x:c r="M395" s="67" t="n">
        <x:v>1</x:v>
      </x:c>
      <x:c r="N395" s="181" t="n">
        <x:v>1</x:v>
      </x:c>
      <x:c r="O395" s="67" t="n">
        <x:v>1</x:v>
      </x:c>
    </x:row>
    <x:row r="396" ht="24" customHeight="1">
      <x:c r="A396" s="65" t="n">
        <x:v>227</x:v>
      </x:c>
      <x:c r="B396" s="65" t="str">
        <x:v>博洛尼亚（Bologna FC 1909）</x:v>
      </x:c>
      <x:c r="C396" s="82" t="n">
        <x:v>1</x:v>
      </x:c>
      <x:c r="D396" s="82" t="n">
        <x:v>1</x:v>
      </x:c>
      <x:c r="E396" s="67" t="n">
        <x:v>1</x:v>
      </x:c>
      <x:c r="F396" s="181" t="n">
        <x:v>1</x:v>
      </x:c>
      <x:c r="G396" s="67" t="n">
        <x:v>1</x:v>
      </x:c>
      <x:c r="H396"/>
      <x:c r="I396" s="65" t="n">
        <x:v>227</x:v>
      </x:c>
      <x:c r="J396" s="65" t="str">
        <x:v>休姆城(Hume City)</x:v>
      </x:c>
      <x:c r="K396" s="82" t="n">
        <x:v>1</x:v>
      </x:c>
      <x:c r="L396" s="82" t="n">
        <x:v>1</x:v>
      </x:c>
      <x:c r="M396" s="67" t="n">
        <x:v>1</x:v>
      </x:c>
      <x:c r="N396" s="181" t="n">
        <x:v>1</x:v>
      </x:c>
      <x:c r="O396" s="67" t="n">
        <x:v>1</x:v>
      </x:c>
    </x:row>
    <x:row r="397" ht="24" customHeight="1">
      <x:c r="A397" s="65" t="n">
        <x:v>228</x:v>
      </x:c>
      <x:c r="B397" s="65" t="str">
        <x:v>卡塔希内斯（Cartaginés）</x:v>
      </x:c>
      <x:c r="C397" s="82" t="n">
        <x:v>1</x:v>
      </x:c>
      <x:c r="D397" s="82" t="n">
        <x:v>1</x:v>
      </x:c>
      <x:c r="E397" s="67" t="n">
        <x:v>1</x:v>
      </x:c>
      <x:c r="F397" s="181" t="n">
        <x:v>1</x:v>
      </x:c>
      <x:c r="G397" s="67" t="n">
        <x:v>1</x:v>
      </x:c>
      <x:c r="H397"/>
      <x:c r="I397" s="65" t="n">
        <x:v>228</x:v>
      </x:c>
      <x:c r="J397" s="65" t="str">
        <x:v>伯恩利</x:v>
      </x:c>
      <x:c r="K397" s="82" t="n">
        <x:v>1</x:v>
      </x:c>
      <x:c r="L397" s="82" t="n">
        <x:v>1</x:v>
      </x:c>
      <x:c r="M397" s="67" t="n">
        <x:v>1</x:v>
      </x:c>
      <x:c r="N397" s="181" t="n">
        <x:v>1</x:v>
      </x:c>
      <x:c r="O397" s="67" t="n">
        <x:v>1</x:v>
      </x:c>
    </x:row>
    <x:row r="398" ht="24" customHeight="1">
      <x:c r="A398" s="65" t="n">
        <x:v>229</x:v>
      </x:c>
      <x:c r="B398" s="65" t="str">
        <x:v>卡布尔彻（Caboolture FC）</x:v>
      </x:c>
      <x:c r="C398" s="82" t="n">
        <x:v>1</x:v>
      </x:c>
      <x:c r="D398" s="82" t="n">
        <x:v>1</x:v>
      </x:c>
      <x:c r="E398" s="67" t="n">
        <x:v>1</x:v>
      </x:c>
      <x:c r="F398" s="181" t="n">
        <x:v>1</x:v>
      </x:c>
      <x:c r="G398" s="67" t="n">
        <x:v>1</x:v>
      </x:c>
      <x:c r="H398"/>
      <x:c r="I398" s="65" t="n">
        <x:v>229</x:v>
      </x:c>
      <x:c r="J398" s="65" t="str">
        <x:v>伯恩茅斯（Bournemouth）</x:v>
      </x:c>
      <x:c r="K398" s="82" t="n">
        <x:v>1</x:v>
      </x:c>
      <x:c r="L398" s="82" t="n">
        <x:v>1</x:v>
      </x:c>
      <x:c r="M398" s="67" t="n">
        <x:v>1</x:v>
      </x:c>
      <x:c r="N398" s="181" t="n">
        <x:v>1</x:v>
      </x:c>
      <x:c r="O398" s="67" t="n">
        <x:v>1</x:v>
      </x:c>
    </x:row>
    <x:row r="399" ht="24" customHeight="1">
      <x:c r="A399" s="65" t="n">
        <x:v>230</x:v>
      </x:c>
      <x:c r="B399" s="65" t="str">
        <x:v>卡米奥内罗斯（Camioneros）</x:v>
      </x:c>
      <x:c r="C399" s="82" t="n">
        <x:v>1</x:v>
      </x:c>
      <x:c r="D399" s="82" t="n">
        <x:v>1</x:v>
      </x:c>
      <x:c r="E399" s="67" t="n">
        <x:v>1</x:v>
      </x:c>
      <x:c r="F399" s="181" t="n">
        <x:v>1</x:v>
      </x:c>
      <x:c r="G399" s="67" t="n">
        <x:v>1</x:v>
      </x:c>
      <x:c r="H399"/>
      <x:c r="I399" s="65" t="n">
        <x:v>230</x:v>
      </x:c>
      <x:c r="J399" s="65" t="str">
        <x:v>伯明翰军团</x:v>
      </x:c>
      <x:c r="K399" s="82" t="n">
        <x:v>1</x:v>
      </x:c>
      <x:c r="L399" s="82" t="n">
        <x:v>1</x:v>
      </x:c>
      <x:c r="M399" s="67" t="n">
        <x:v>1</x:v>
      </x:c>
      <x:c r="N399" s="181" t="n">
        <x:v>1</x:v>
      </x:c>
      <x:c r="O399" s="67" t="n">
        <x:v>1</x:v>
      </x:c>
    </x:row>
    <x:row r="400" ht="24" customHeight="1">
      <x:c r="A400" s="65" t="n">
        <x:v>231</x:v>
      </x:c>
      <x:c r="B400" s="65" t="str">
        <x:v>卡罗琳FC（Caroline Springs George Cross）</x:v>
      </x:c>
      <x:c r="C400" s="82" t="n">
        <x:v>1</x:v>
      </x:c>
      <x:c r="D400" s="82" t="n">
        <x:v>1</x:v>
      </x:c>
      <x:c r="E400" s="67" t="n">
        <x:v>1</x:v>
      </x:c>
      <x:c r="F400" s="181" t="n">
        <x:v>1</x:v>
      </x:c>
      <x:c r="G400" s="67" t="n">
        <x:v>1</x:v>
      </x:c>
      <x:c r="H400"/>
      <x:c r="I400" s="65" t="n">
        <x:v>231</x:v>
      </x:c>
      <x:c r="J400" s="65" t="str">
        <x:v>佩斯索罗（Persis Solo FC）</x:v>
      </x:c>
      <x:c r="K400" s="82" t="n">
        <x:v>1</x:v>
      </x:c>
      <x:c r="L400" s="82" t="n">
        <x:v>1</x:v>
      </x:c>
      <x:c r="M400" s="67" t="n">
        <x:v>1</x:v>
      </x:c>
      <x:c r="N400" s="181" t="n">
        <x:v>1</x:v>
      </x:c>
      <x:c r="O400" s="67" t="n">
        <x:v>1</x:v>
      </x:c>
    </x:row>
    <x:row r="401" ht="24" customHeight="1">
      <x:c r="A401" s="65" t="n">
        <x:v>232</x:v>
      </x:c>
      <x:c r="B401" s="65" t="str">
        <x:v>卡罗琳乔治十字（Caroline Springs George Cross）</x:v>
      </x:c>
      <x:c r="C401" s="82" t="n">
        <x:v>1</x:v>
      </x:c>
      <x:c r="D401" s="82" t="n">
        <x:v>1</x:v>
      </x:c>
      <x:c r="E401" s="67" t="n">
        <x:v>1</x:v>
      </x:c>
      <x:c r="F401" s="181" t="n">
        <x:v>1</x:v>
      </x:c>
      <x:c r="G401" s="67" t="n">
        <x:v>1</x:v>
      </x:c>
      <x:c r="H401"/>
      <x:c r="I401" s="65" t="n">
        <x:v>232</x:v>
      </x:c>
      <x:c r="J401" s="65" t="str">
        <x:v>佩纳罗尔（Peñarol）</x:v>
      </x:c>
      <x:c r="K401" s="82" t="n">
        <x:v>2</x:v>
      </x:c>
      <x:c r="L401" s="82" t="n">
        <x:v>1</x:v>
      </x:c>
      <x:c r="M401" s="67" t="n">
        <x:v>1</x:v>
      </x:c>
      <x:c r="N401" s="181" t="n">
        <x:v>1</x:v>
      </x:c>
      <x:c r="O401" s="67" t="n">
        <x:v>1</x:v>
      </x:c>
    </x:row>
    <x:row r="402" ht="24" customHeight="1">
      <x:c r="A402" s="65" t="n">
        <x:v>233</x:v>
      </x:c>
      <x:c r="B402" s="65" t="str">
        <x:v>卡罗琳斯普林斯乔治克罗斯（Caroline Springs George Cross FC）</x:v>
      </x:c>
      <x:c r="C402" s="82" t="n">
        <x:v>1</x:v>
      </x:c>
      <x:c r="D402" s="82" t="n">
        <x:v>1</x:v>
      </x:c>
      <x:c r="E402" s="67" t="n">
        <x:v>1</x:v>
      </x:c>
      <x:c r="F402" s="181" t="n">
        <x:v>1</x:v>
      </x:c>
      <x:c r="G402" s="67" t="n">
        <x:v>1</x:v>
      </x:c>
      <x:c r="H402"/>
      <x:c r="I402" s="65" t="n">
        <x:v>233</x:v>
      </x:c>
      <x:c r="J402" s="65" t="str">
        <x:v>佩西克谏义里</x:v>
      </x:c>
      <x:c r="K402" s="82" t="n">
        <x:v>1</x:v>
      </x:c>
      <x:c r="L402" s="82" t="n">
        <x:v>1</x:v>
      </x:c>
      <x:c r="M402" s="67" t="n">
        <x:v>1</x:v>
      </x:c>
      <x:c r="N402" s="181" t="n">
        <x:v>1</x:v>
      </x:c>
      <x:c r="O402" s="67" t="n">
        <x:v>1</x:v>
      </x:c>
    </x:row>
    <x:row r="403" ht="24" customHeight="1">
      <x:c r="A403" s="65" t="n">
        <x:v>234</x:v>
      </x:c>
      <x:c r="B403" s="65" t="str">
        <x:v>卡贝略港学院（Academia Puerto Cabello）</x:v>
      </x:c>
      <x:c r="C403" s="82" t="n">
        <x:v>1</x:v>
      </x:c>
      <x:c r="D403" s="82" t="n">
        <x:v>1</x:v>
      </x:c>
      <x:c r="E403" s="67" t="n">
        <x:v>1</x:v>
      </x:c>
      <x:c r="F403" s="181" t="n">
        <x:v>1</x:v>
      </x:c>
      <x:c r="G403" s="67" t="n">
        <x:v>1</x:v>
      </x:c>
      <x:c r="H403"/>
      <x:c r="I403" s="65" t="n">
        <x:v>234</x:v>
      </x:c>
      <x:c r="J403" s="65" t="str">
        <x:v>佩西塔唐格朗</x:v>
      </x:c>
      <x:c r="K403" s="82" t="n">
        <x:v>1</x:v>
      </x:c>
      <x:c r="L403" s="82" t="n">
        <x:v>1</x:v>
      </x:c>
      <x:c r="M403" s="67" t="n">
        <x:v>1</x:v>
      </x:c>
      <x:c r="N403" s="181" t="n">
        <x:v>1</x:v>
      </x:c>
      <x:c r="O403" s="67" t="n">
        <x:v>1</x:v>
      </x:c>
    </x:row>
    <x:row r="404" ht="24" customHeight="1">
      <x:c r="A404" s="65" t="n">
        <x:v>235</x:v>
      </x:c>
      <x:c r="B404" s="65" t="str">
        <x:v>吉奥利ETO（Győri ETO FC）</x:v>
      </x:c>
      <x:c r="C404" s="82" t="n">
        <x:v>1</x:v>
      </x:c>
      <x:c r="D404" s="82" t="n">
        <x:v>1</x:v>
      </x:c>
      <x:c r="E404" s="67" t="n">
        <x:v>1</x:v>
      </x:c>
      <x:c r="F404" s="181" t="n">
        <x:v>1</x:v>
      </x:c>
      <x:c r="G404" s="67" t="n">
        <x:v>1</x:v>
      </x:c>
      <x:c r="H404"/>
      <x:c r="I404" s="65" t="n">
        <x:v>235</x:v>
      </x:c>
      <x:c r="J404" s="65" t="str">
        <x:v>佩西斯梭罗（Persis Solo）</x:v>
      </x:c>
      <x:c r="K404" s="82" t="n">
        <x:v>1</x:v>
      </x:c>
      <x:c r="L404" s="82" t="n">
        <x:v>1</x:v>
      </x:c>
      <x:c r="M404" s="67" t="n">
        <x:v>1</x:v>
      </x:c>
      <x:c r="N404" s="181" t="n">
        <x:v>1</x:v>
      </x:c>
      <x:c r="O404" s="67" t="n">
        <x:v>1</x:v>
      </x:c>
    </x:row>
    <x:row r="405" ht="24" customHeight="1">
      <x:c r="A405" s="65" t="n">
        <x:v>236</x:v>
      </x:c>
      <x:c r="B405" s="65" t="str">
        <x:v>哈依巴布拉瓦（坦皮科马德罗）</x:v>
      </x:c>
      <x:c r="C405" s="82" t="n">
        <x:v>1</x:v>
      </x:c>
      <x:c r="D405" s="82" t="n">
        <x:v>1</x:v>
      </x:c>
      <x:c r="E405" s="67" t="n">
        <x:v>1</x:v>
      </x:c>
      <x:c r="F405" s="181" t="n">
        <x:v>1</x:v>
      </x:c>
      <x:c r="G405" s="67" t="n">
        <x:v>1</x:v>
      </x:c>
      <x:c r="H405"/>
      <x:c r="I405" s="65" t="n">
        <x:v>236</x:v>
      </x:c>
      <x:c r="J405" s="65" t="str">
        <x:v>佩西贾普杰帕拉</x:v>
      </x:c>
      <x:c r="K405" s="82" t="n">
        <x:v>1</x:v>
      </x:c>
      <x:c r="L405" s="82" t="n">
        <x:v>1</x:v>
      </x:c>
      <x:c r="M405" s="67" t="n">
        <x:v>1</x:v>
      </x:c>
      <x:c r="N405" s="181" t="n">
        <x:v>1</x:v>
      </x:c>
      <x:c r="O405" s="67" t="n">
        <x:v>1</x:v>
      </x:c>
    </x:row>
    <x:row r="406" ht="24" customHeight="1">
      <x:c r="A406" s="65" t="n">
        <x:v>237</x:v>
      </x:c>
      <x:c r="B406" s="65" t="str">
        <x:v>哈依布拉瓦（坦皮科马德罗/Jaiba Brava）</x:v>
      </x:c>
      <x:c r="C406" s="82" t="n">
        <x:v>1</x:v>
      </x:c>
      <x:c r="D406" s="82" t="n">
        <x:v>1</x:v>
      </x:c>
      <x:c r="E406" s="67" t="n">
        <x:v>1</x:v>
      </x:c>
      <x:c r="F406" s="181" t="n">
        <x:v>1</x:v>
      </x:c>
      <x:c r="G406" s="67" t="n">
        <x:v>1</x:v>
      </x:c>
      <x:c r="H406"/>
      <x:c r="I406" s="65" t="n">
        <x:v>237</x:v>
      </x:c>
      <x:c r="J406" s="65" t="str">
        <x:v>佩雷拉</x:v>
      </x:c>
      <x:c r="K406" s="82" t="n">
        <x:v>1</x:v>
      </x:c>
      <x:c r="L406" s="82" t="n">
        <x:v>1</x:v>
      </x:c>
      <x:c r="M406" s="67" t="n">
        <x:v>1</x:v>
      </x:c>
      <x:c r="N406" s="181" t="n">
        <x:v>1</x:v>
      </x:c>
      <x:c r="O406" s="67" t="n">
        <x:v>1</x:v>
      </x:c>
    </x:row>
    <x:row r="407" ht="24" customHeight="1">
      <x:c r="A407" s="65" t="n">
        <x:v>238</x:v>
      </x:c>
      <x:c r="B407" s="65" t="str">
        <x:v>哥伦布机员</x:v>
      </x:c>
      <x:c r="C407" s="82" t="n">
        <x:v>1</x:v>
      </x:c>
      <x:c r="D407" s="82" t="n">
        <x:v>1</x:v>
      </x:c>
      <x:c r="E407" s="67" t="n">
        <x:v>1</x:v>
      </x:c>
      <x:c r="F407" s="181" t="n">
        <x:v>1</x:v>
      </x:c>
      <x:c r="G407" s="67" t="n">
        <x:v>1</x:v>
      </x:c>
      <x:c r="H407"/>
      <x:c r="I407" s="65" t="n">
        <x:v>238</x:v>
      </x:c>
      <x:c r="J407" s="65" t="str">
        <x:v>克莱德（Clyde）</x:v>
      </x:c>
      <x:c r="K407" s="82" t="n">
        <x:v>1</x:v>
      </x:c>
      <x:c r="L407" s="82" t="n">
        <x:v>1</x:v>
      </x:c>
      <x:c r="M407" s="67" t="n">
        <x:v>1</x:v>
      </x:c>
      <x:c r="N407" s="181" t="n">
        <x:v>1</x:v>
      </x:c>
      <x:c r="O407" s="67" t="n">
        <x:v>1</x:v>
      </x:c>
    </x:row>
    <x:row r="408" ht="24" customHeight="1">
      <x:c r="A408" s="65" t="n">
        <x:v>239</x:v>
      </x:c>
      <x:c r="B408" s="65" t="str">
        <x:v>哥本哈根（FC Copenhagen）</x:v>
      </x:c>
      <x:c r="C408" s="82" t="n">
        <x:v>1</x:v>
      </x:c>
      <x:c r="D408" s="82" t="n">
        <x:v>1</x:v>
      </x:c>
      <x:c r="E408" s="67" t="n">
        <x:v>1</x:v>
      </x:c>
      <x:c r="F408" s="181" t="n">
        <x:v>1</x:v>
      </x:c>
      <x:c r="G408" s="67" t="n">
        <x:v>1</x:v>
      </x:c>
      <x:c r="H408"/>
      <x:c r="I408" s="65" t="n">
        <x:v>239</x:v>
      </x:c>
      <x:c r="J408" s="65" t="str">
        <x:v>克鲁塞罗</x:v>
      </x:c>
      <x:c r="K408" s="82" t="n">
        <x:v>1</x:v>
      </x:c>
      <x:c r="L408" s="82" t="n">
        <x:v>1</x:v>
      </x:c>
      <x:c r="M408" s="67" t="n">
        <x:v>1</x:v>
      </x:c>
      <x:c r="N408" s="181" t="n">
        <x:v>1</x:v>
      </x:c>
      <x:c r="O408" s="67" t="n">
        <x:v>1</x:v>
      </x:c>
    </x:row>
    <x:row r="409" ht="24" customHeight="1">
      <x:c r="A409" s="65" t="n">
        <x:v>240</x:v>
      </x:c>
      <x:c r="B409" s="65" t="str">
        <x:v>喀拉拉邦爆破者（Kerala Blasters）</x:v>
      </x:c>
      <x:c r="C409" s="82" t="n">
        <x:v>1</x:v>
      </x:c>
      <x:c r="D409" s="82" t="n">
        <x:v>1</x:v>
      </x:c>
      <x:c r="E409" s="67" t="n">
        <x:v>1</x:v>
      </x:c>
      <x:c r="F409" s="181" t="n">
        <x:v>1</x:v>
      </x:c>
      <x:c r="G409" s="67" t="n">
        <x:v>1</x:v>
      </x:c>
      <x:c r="H409"/>
      <x:c r="I409" s="65" t="n">
        <x:v>240</x:v>
      </x:c>
      <x:c r="J409" s="65" t="str">
        <x:v>冰岛</x:v>
      </x:c>
      <x:c r="K409" s="82" t="n">
        <x:v>1</x:v>
      </x:c>
      <x:c r="L409" s="82" t="n">
        <x:v>1</x:v>
      </x:c>
      <x:c r="M409" s="67" t="n">
        <x:v>1</x:v>
      </x:c>
      <x:c r="N409" s="181" t="n">
        <x:v>1</x:v>
      </x:c>
      <x:c r="O409" s="67" t="n">
        <x:v>1</x:v>
      </x:c>
    </x:row>
    <x:row r="410" ht="24" customHeight="1">
      <x:c r="A410" s="65" t="n">
        <x:v>241</x:v>
      </x:c>
      <x:c r="B410" s="65" t="str">
        <x:v>国民波托西(Nacional Potosí)</x:v>
      </x:c>
      <x:c r="C410" s="82" t="n">
        <x:v>1</x:v>
      </x:c>
      <x:c r="D410" s="82" t="n">
        <x:v>1</x:v>
      </x:c>
      <x:c r="E410" s="67" t="n">
        <x:v>1</x:v>
      </x:c>
      <x:c r="F410" s="181" t="n">
        <x:v>1</x:v>
      </x:c>
      <x:c r="G410" s="67" t="n">
        <x:v>1</x:v>
      </x:c>
      <x:c r="H410"/>
      <x:c r="I410" s="65" t="n">
        <x:v>241</x:v>
      </x:c>
      <x:c r="J410" s="65" t="str">
        <x:v>凯尔蒂赫斯（Kelty Hearts）</x:v>
      </x:c>
      <x:c r="K410" s="82" t="n">
        <x:v>1</x:v>
      </x:c>
      <x:c r="L410" s="82" t="n">
        <x:v>1</x:v>
      </x:c>
      <x:c r="M410" s="67" t="n">
        <x:v>1</x:v>
      </x:c>
      <x:c r="N410" s="181" t="n">
        <x:v>1</x:v>
      </x:c>
      <x:c r="O410" s="67" t="n">
        <x:v>1</x:v>
      </x:c>
    </x:row>
    <x:row r="411" ht="24" customHeight="1">
      <x:c r="A411" s="65" t="n">
        <x:v>242</x:v>
      </x:c>
      <x:c r="B411" s="65" t="str">
        <x:v>国际米兰（Inter）</x:v>
      </x:c>
      <x:c r="C411" s="82" t="n">
        <x:v>1</x:v>
      </x:c>
      <x:c r="D411" s="82" t="n">
        <x:v>1</x:v>
      </x:c>
      <x:c r="E411" s="67" t="n">
        <x:v>1</x:v>
      </x:c>
      <x:c r="F411" s="181" t="n">
        <x:v>1</x:v>
      </x:c>
      <x:c r="G411" s="67" t="n">
        <x:v>1</x:v>
      </x:c>
      <x:c r="H411"/>
      <x:c r="I411" s="65" t="n">
        <x:v>242</x:v>
      </x:c>
      <x:c r="J411" s="65" t="str">
        <x:v>列支敦士登</x:v>
      </x:c>
      <x:c r="K411" s="82" t="n">
        <x:v>1</x:v>
      </x:c>
      <x:c r="L411" s="82" t="n">
        <x:v>1</x:v>
      </x:c>
      <x:c r="M411" s="67" t="n">
        <x:v>1</x:v>
      </x:c>
      <x:c r="N411" s="181" t="n">
        <x:v>1</x:v>
      </x:c>
      <x:c r="O411" s="67" t="n">
        <x:v>1</x:v>
      </x:c>
    </x:row>
    <x:row r="412" ht="24" customHeight="1">
      <x:c r="A412" s="65" t="n">
        <x:v>243</x:v>
      </x:c>
      <x:c r="B412" s="65" t="str">
        <x:v>图卢兹（Toulouse FC）</x:v>
      </x:c>
      <x:c r="C412" s="82" t="n">
        <x:v>1</x:v>
      </x:c>
      <x:c r="D412" s="82" t="n">
        <x:v>1</x:v>
      </x:c>
      <x:c r="E412" s="67" t="n">
        <x:v>1</x:v>
      </x:c>
      <x:c r="F412" s="181" t="n">
        <x:v>1</x:v>
      </x:c>
      <x:c r="G412" s="67" t="n">
        <x:v>1</x:v>
      </x:c>
      <x:c r="H412"/>
      <x:c r="I412" s="65" t="n">
        <x:v>243</x:v>
      </x:c>
      <x:c r="J412" s="65" t="str">
        <x:v>列高列达（Deportivo Recoleta）</x:v>
      </x:c>
      <x:c r="K412" s="82" t="n">
        <x:v>1</x:v>
      </x:c>
      <x:c r="L412" s="82" t="n">
        <x:v>1</x:v>
      </x:c>
      <x:c r="M412" s="67" t="n">
        <x:v>1</x:v>
      </x:c>
      <x:c r="N412" s="181" t="n">
        <x:v>1</x:v>
      </x:c>
      <x:c r="O412" s="67" t="n">
        <x:v>1</x:v>
      </x:c>
    </x:row>
    <x:row r="413" ht="24" customHeight="1">
      <x:c r="A413" s="65" t="n">
        <x:v>244</x:v>
      </x:c>
      <x:c r="B413" s="65" t="str">
        <x:v>图尔库国际（Inter Turku）</x:v>
      </x:c>
      <x:c r="C413" s="82" t="n">
        <x:v>1</x:v>
      </x:c>
      <x:c r="D413" s="82" t="n">
        <x:v>1</x:v>
      </x:c>
      <x:c r="E413" s="67" t="n">
        <x:v>1</x:v>
      </x:c>
      <x:c r="F413" s="181" t="n">
        <x:v>1</x:v>
      </x:c>
      <x:c r="G413" s="67" t="n">
        <x:v>1</x:v>
      </x:c>
      <x:c r="H413"/>
      <x:c r="I413" s="65" t="n">
        <x:v>244</x:v>
      </x:c>
      <x:c r="J413" s="65" t="str">
        <x:v>利文斯顿（Livingston）</x:v>
      </x:c>
      <x:c r="K413" s="82" t="n">
        <x:v>1</x:v>
      </x:c>
      <x:c r="L413" s="82" t="n">
        <x:v>1</x:v>
      </x:c>
      <x:c r="M413" s="67" t="n">
        <x:v>1</x:v>
      </x:c>
      <x:c r="N413" s="181" t="n">
        <x:v>1</x:v>
      </x:c>
      <x:c r="O413" s="67" t="n">
        <x:v>1</x:v>
      </x:c>
    </x:row>
    <x:row r="414" ht="24" customHeight="1">
      <x:c r="A414" s="65" t="n">
        <x:v>245</x:v>
      </x:c>
      <x:c r="B414" s="65" t="str">
        <x:v>圣乔治圣徒（St George Saints）</x:v>
      </x:c>
      <x:c r="C414" s="82" t="n">
        <x:v>1</x:v>
      </x:c>
      <x:c r="D414" s="82" t="n">
        <x:v>1</x:v>
      </x:c>
      <x:c r="E414" s="67" t="n">
        <x:v>1</x:v>
      </x:c>
      <x:c r="F414" s="181" t="n">
        <x:v>1</x:v>
      </x:c>
      <x:c r="G414" s="67" t="n">
        <x:v>1</x:v>
      </x:c>
      <x:c r="H414"/>
      <x:c r="I414" s="65" t="n">
        <x:v>245</x:v>
      </x:c>
      <x:c r="J414" s="65" t="str">
        <x:v>利涅尔斯（Deportivo Liniers）</x:v>
      </x:c>
      <x:c r="K414" s="82" t="n">
        <x:v>1</x:v>
      </x:c>
      <x:c r="L414" s="82" t="n">
        <x:v>1</x:v>
      </x:c>
      <x:c r="M414" s="67" t="n">
        <x:v>1</x:v>
      </x:c>
      <x:c r="N414" s="181" t="n">
        <x:v>1</x:v>
      </x:c>
      <x:c r="O414" s="67" t="n">
        <x:v>1</x:v>
      </x:c>
    </x:row>
    <x:row r="415" ht="24" customHeight="1">
      <x:c r="A415" s="65" t="n">
        <x:v>246</x:v>
      </x:c>
      <x:c r="B415" s="65" t="str">
        <x:v>圣何塞体育（Sporting FC）</x:v>
      </x:c>
      <x:c r="C415" s="82" t="n">
        <x:v>1</x:v>
      </x:c>
      <x:c r="D415" s="82" t="n">
        <x:v>1</x:v>
      </x:c>
      <x:c r="E415" s="67" t="n">
        <x:v>1</x:v>
      </x:c>
      <x:c r="F415" s="181" t="n">
        <x:v>1</x:v>
      </x:c>
      <x:c r="G415" s="67" t="n">
        <x:v>1</x:v>
      </x:c>
      <x:c r="H415"/>
      <x:c r="I415" s="65" t="n">
        <x:v>246</x:v>
      </x:c>
      <x:c r="J415" s="65" t="str">
        <x:v>前进之鹰（Go Ahead Eagles）</x:v>
      </x:c>
      <x:c r="K415" s="82" t="n">
        <x:v>1</x:v>
      </x:c>
      <x:c r="L415" s="82" t="n">
        <x:v>1</x:v>
      </x:c>
      <x:c r="M415" s="67" t="n">
        <x:v>1</x:v>
      </x:c>
      <x:c r="N415" s="181" t="n">
        <x:v>1</x:v>
      </x:c>
      <x:c r="O415" s="67" t="n">
        <x:v>1</x:v>
      </x:c>
    </x:row>
    <x:row r="416" ht="24" customHeight="1">
      <x:c r="A416" s="65" t="n">
        <x:v>247</x:v>
      </x:c>
      <x:c r="B416" s="65" t="str">
        <x:v>圣何塞地震</x:v>
      </x:c>
      <x:c r="C416" s="82" t="n">
        <x:v>1</x:v>
      </x:c>
      <x:c r="D416" s="82" t="n">
        <x:v>1</x:v>
      </x:c>
      <x:c r="E416" s="67" t="n">
        <x:v>1</x:v>
      </x:c>
      <x:c r="F416" s="181" t="n">
        <x:v>1</x:v>
      </x:c>
      <x:c r="G416" s="67" t="n">
        <x:v>1</x:v>
      </x:c>
      <x:c r="H416"/>
      <x:c r="I416" s="65" t="n">
        <x:v>247</x:v>
      </x:c>
      <x:c r="J416" s="65" t="str">
        <x:v>加拉塔萨雷（Galatasaray）</x:v>
      </x:c>
      <x:c r="K416" s="82" t="n">
        <x:v>1</x:v>
      </x:c>
      <x:c r="L416" s="82" t="n">
        <x:v>1</x:v>
      </x:c>
      <x:c r="M416" s="67" t="n">
        <x:v>1</x:v>
      </x:c>
      <x:c r="N416" s="181" t="n">
        <x:v>1</x:v>
      </x:c>
      <x:c r="O416" s="67" t="n">
        <x:v>1</x:v>
      </x:c>
    </x:row>
    <x:row r="417" ht="24" customHeight="1">
      <x:c r="A417" s="65" t="n">
        <x:v>248</x:v>
      </x:c>
      <x:c r="B417" s="65" t="str">
        <x:v>圣奥尔本斯圣徒（St Albans Saints）</x:v>
      </x:c>
      <x:c r="C417" s="82" t="n">
        <x:v>1</x:v>
      </x:c>
      <x:c r="D417" s="82" t="n">
        <x:v>1</x:v>
      </x:c>
      <x:c r="E417" s="67" t="n">
        <x:v>1</x:v>
      </x:c>
      <x:c r="F417" s="181" t="n">
        <x:v>1</x:v>
      </x:c>
      <x:c r="G417" s="67" t="n">
        <x:v>1</x:v>
      </x:c>
      <x:c r="H417"/>
      <x:c r="I417" s="65" t="n">
        <x:v>248</x:v>
      </x:c>
      <x:c r="J417" s="65" t="str">
        <x:v>勒内森斯贝尔卡内（RS Berkane）</x:v>
      </x:c>
      <x:c r="K417" s="82" t="n">
        <x:v>1</x:v>
      </x:c>
      <x:c r="L417" s="82" t="n">
        <x:v>1</x:v>
      </x:c>
      <x:c r="M417" s="67" t="n">
        <x:v>1</x:v>
      </x:c>
      <x:c r="N417" s="181" t="n">
        <x:v>1</x:v>
      </x:c>
      <x:c r="O417" s="67" t="n">
        <x:v>1</x:v>
      </x:c>
    </x:row>
    <x:row r="418" ht="24" customHeight="1">
      <x:c r="A418" s="65" t="n">
        <x:v>249</x:v>
      </x:c>
      <x:c r="B418" s="65" t="str">
        <x:v>圣米格利托体育(Sporting San Miguelito)</x:v>
      </x:c>
      <x:c r="C418" s="82" t="n">
        <x:v>1</x:v>
      </x:c>
      <x:c r="D418" s="82" t="n">
        <x:v>1</x:v>
      </x:c>
      <x:c r="E418" s="67" t="n">
        <x:v>1</x:v>
      </x:c>
      <x:c r="F418" s="181" t="n">
        <x:v>1</x:v>
      </x:c>
      <x:c r="G418" s="67" t="n">
        <x:v>1</x:v>
      </x:c>
      <x:c r="H418"/>
      <x:c r="I418" s="65" t="n">
        <x:v>249</x:v>
      </x:c>
      <x:c r="J418" s="65" t="str">
        <x:v>勒沃库森（Bayer 04 Leverkusen）</x:v>
      </x:c>
      <x:c r="K418" s="82" t="n">
        <x:v>1</x:v>
      </x:c>
      <x:c r="L418" s="82" t="n">
        <x:v>1</x:v>
      </x:c>
      <x:c r="M418" s="67" t="n">
        <x:v>1</x:v>
      </x:c>
      <x:c r="N418" s="181" t="n">
        <x:v>1</x:v>
      </x:c>
      <x:c r="O418" s="67" t="n">
        <x:v>1</x:v>
      </x:c>
    </x:row>
    <x:row r="419" ht="24" customHeight="1">
      <x:c r="A419" s="65" t="n">
        <x:v>250</x:v>
      </x:c>
      <x:c r="B419" s="65" t="str">
        <x:v>圣路易斯竞技（Atl. San Luis）</x:v>
      </x:c>
      <x:c r="C419" s="82" t="n">
        <x:v>1</x:v>
      </x:c>
      <x:c r="D419" s="82" t="n">
        <x:v>1</x:v>
      </x:c>
      <x:c r="E419" s="67" t="n">
        <x:v>1</x:v>
      </x:c>
      <x:c r="F419" s="181" t="n">
        <x:v>1</x:v>
      </x:c>
      <x:c r="G419" s="67" t="n">
        <x:v>1</x:v>
      </x:c>
      <x:c r="H419"/>
      <x:c r="I419" s="65" t="n">
        <x:v>250</x:v>
      </x:c>
      <x:c r="J419" s="65" t="str">
        <x:v>北九州向日葵（Giravanz Kitakyushu）</x:v>
      </x:c>
      <x:c r="K419" s="82" t="n">
        <x:v>1</x:v>
      </x:c>
      <x:c r="L419" s="82" t="n">
        <x:v>1</x:v>
      </x:c>
      <x:c r="M419" s="67" t="n">
        <x:v>1</x:v>
      </x:c>
      <x:c r="N419" s="181" t="n">
        <x:v>1</x:v>
      </x:c>
      <x:c r="O419" s="67" t="n">
        <x:v>1</x:v>
      </x:c>
    </x:row>
    <x:row r="420" ht="24" customHeight="1">
      <x:c r="A420" s="65" t="n">
        <x:v>251</x:v>
      </x:c>
      <x:c r="B420" s="65" t="str">
        <x:v>圣路易斯竞技（Atlético San Luis）</x:v>
      </x:c>
      <x:c r="C420" s="82" t="n">
        <x:v>1</x:v>
      </x:c>
      <x:c r="D420" s="82" t="n">
        <x:v>1</x:v>
      </x:c>
      <x:c r="E420" s="67" t="n">
        <x:v>1</x:v>
      </x:c>
      <x:c r="F420" s="181" t="n">
        <x:v>1</x:v>
      </x:c>
      <x:c r="G420" s="67" t="n">
        <x:v>1</x:v>
      </x:c>
      <x:c r="H420"/>
      <x:c r="I420" s="65" t="n">
        <x:v>251</x:v>
      </x:c>
      <x:c r="J420" s="65" t="str">
        <x:v>北碧巴吞旺龙（北碧府电力/Kanchanaburi Power）</x:v>
      </x:c>
      <x:c r="K420" s="82" t="n">
        <x:v>1</x:v>
      </x:c>
      <x:c r="L420" s="82" t="n">
        <x:v>1</x:v>
      </x:c>
      <x:c r="M420" s="67" t="n">
        <x:v>1</x:v>
      </x:c>
      <x:c r="N420" s="181" t="n">
        <x:v>1</x:v>
      </x:c>
      <x:c r="O420" s="67" t="n">
        <x:v>1</x:v>
      </x:c>
    </x:row>
    <x:row r="421" ht="24" customHeight="1">
      <x:c r="A421" s="65" t="n">
        <x:v>252</x:v>
      </x:c>
      <x:c r="B421" s="65" t="str">
        <x:v>埃克纳斯（EIF/Ekenäs IF）</x:v>
      </x:c>
      <x:c r="C421" s="82" t="n">
        <x:v>1</x:v>
      </x:c>
      <x:c r="D421" s="82" t="n">
        <x:v>1</x:v>
      </x:c>
      <x:c r="E421" s="67" t="n">
        <x:v>1</x:v>
      </x:c>
      <x:c r="F421" s="181" t="n">
        <x:v>1</x:v>
      </x:c>
      <x:c r="G421" s="67" t="n">
        <x:v>1</x:v>
      </x:c>
      <x:c r="H421"/>
      <x:c r="I421" s="65" t="n">
        <x:v>252</x:v>
      </x:c>
      <x:c r="J421" s="65" t="str">
        <x:v>北西悉尼精神（NWS Spirit FC）</x:v>
      </x:c>
      <x:c r="K421" s="82" t="n">
        <x:v>1</x:v>
      </x:c>
      <x:c r="L421" s="82" t="n">
        <x:v>1</x:v>
      </x:c>
      <x:c r="M421" s="67" t="n">
        <x:v>1</x:v>
      </x:c>
      <x:c r="N421" s="181" t="n">
        <x:v>1</x:v>
      </x:c>
      <x:c r="O421" s="67" t="n">
        <x:v>1</x:v>
      </x:c>
    </x:row>
    <x:row r="422" ht="24" customHeight="1">
      <x:c r="A422" s="65" t="n">
        <x:v>253</x:v>
      </x:c>
      <x:c r="B422" s="65" t="str">
        <x:v>埃尔帕索机车（El Paso Locomotive）</x:v>
      </x:c>
      <x:c r="C422" s="82" t="n">
        <x:v>1</x:v>
      </x:c>
      <x:c r="D422" s="82" t="n">
        <x:v>1</x:v>
      </x:c>
      <x:c r="E422" s="67" t="n">
        <x:v>1</x:v>
      </x:c>
      <x:c r="F422" s="181" t="n">
        <x:v>1</x:v>
      </x:c>
      <x:c r="G422" s="67" t="n">
        <x:v>1</x:v>
      </x:c>
      <x:c r="H422"/>
      <x:c r="I422" s="65" t="n">
        <x:v>253</x:v>
      </x:c>
      <x:c r="J422" s="65" t="str">
        <x:v>北鹰阳光</x:v>
      </x:c>
      <x:c r="K422" s="82" t="n">
        <x:v>1</x:v>
      </x:c>
      <x:c r="L422" s="82" t="n">
        <x:v>1</x:v>
      </x:c>
      <x:c r="M422" s="67" t="n">
        <x:v>1</x:v>
      </x:c>
      <x:c r="N422" s="181" t="n">
        <x:v>1</x:v>
      </x:c>
      <x:c r="O422" s="67" t="n">
        <x:v>1</x:v>
      </x:c>
    </x:row>
    <x:row r="423" ht="24" customHeight="1">
      <x:c r="A423" s="65" t="n">
        <x:v>254</x:v>
      </x:c>
      <x:c r="B423" s="65" t="str">
        <x:v>埃尔特姆红背（Eltham Redbacks）</x:v>
      </x:c>
      <x:c r="C423" s="82" t="n">
        <x:v>1</x:v>
      </x:c>
      <x:c r="D423" s="82" t="n">
        <x:v>1</x:v>
      </x:c>
      <x:c r="E423" s="67" t="n">
        <x:v>1</x:v>
      </x:c>
      <x:c r="F423" s="181" t="n">
        <x:v>1</x:v>
      </x:c>
      <x:c r="G423" s="67" t="n">
        <x:v>1</x:v>
      </x:c>
      <x:c r="H423"/>
      <x:c r="I423" s="65" t="n">
        <x:v>254</x:v>
      </x:c>
      <x:c r="J423" s="65" t="str">
        <x:v>北鹰阳光U23（North Sunshine Eagles U23）</x:v>
      </x:c>
      <x:c r="K423" s="82" t="n">
        <x:v>1</x:v>
      </x:c>
      <x:c r="L423" s="82" t="n">
        <x:v>1</x:v>
      </x:c>
      <x:c r="M423" s="67" t="n">
        <x:v>1</x:v>
      </x:c>
      <x:c r="N423" s="181" t="n">
        <x:v>1</x:v>
      </x:c>
      <x:c r="O423" s="67" t="n">
        <x:v>1</x:v>
      </x:c>
    </x:row>
    <x:row r="424" ht="24" customHeight="1">
      <x:c r="A424" s="65" t="n">
        <x:v>255</x:v>
      </x:c>
      <x:c r="B424" s="65" t="str">
        <x:v>埃尔特姆红背蛛（Eltham Redbacks）</x:v>
      </x:c>
      <x:c r="C424" s="82" t="n">
        <x:v>1</x:v>
      </x:c>
      <x:c r="D424" s="82" t="n">
        <x:v>1</x:v>
      </x:c>
      <x:c r="E424" s="67" t="n">
        <x:v>1</x:v>
      </x:c>
      <x:c r="F424" s="181" t="n">
        <x:v>1</x:v>
      </x:c>
      <x:c r="G424" s="67" t="n">
        <x:v>1</x:v>
      </x:c>
      <x:c r="H424"/>
      <x:c r="I424" s="65" t="n">
        <x:v>255</x:v>
      </x:c>
      <x:c r="J424" s="65" t="str">
        <x:v>千叶市原（JEF联市原·千叶）</x:v>
      </x:c>
      <x:c r="K424" s="82" t="n">
        <x:v>1</x:v>
      </x:c>
      <x:c r="L424" s="82" t="n">
        <x:v>1</x:v>
      </x:c>
      <x:c r="M424" s="67" t="n">
        <x:v>1</x:v>
      </x:c>
      <x:c r="N424" s="181" t="n">
        <x:v>1</x:v>
      </x:c>
      <x:c r="O424" s="67" t="n">
        <x:v>1</x:v>
      </x:c>
    </x:row>
    <x:row r="425" ht="24" customHeight="1">
      <x:c r="A425" s="65" t="n">
        <x:v>256</x:v>
      </x:c>
      <x:c r="B425" s="65" t="str">
        <x:v>埃森（Rot-Weiss Essen）</x:v>
      </x:c>
      <x:c r="C425" s="82" t="n">
        <x:v>1</x:v>
      </x:c>
      <x:c r="D425" s="82" t="n">
        <x:v>1</x:v>
      </x:c>
      <x:c r="E425" s="67" t="n">
        <x:v>1</x:v>
      </x:c>
      <x:c r="F425" s="181" t="n">
        <x:v>1</x:v>
      </x:c>
      <x:c r="G425" s="67" t="n">
        <x:v>1</x:v>
      </x:c>
      <x:c r="H425"/>
      <x:c r="I425" s="65" t="n">
        <x:v>256</x:v>
      </x:c>
      <x:c r="J425" s="65" t="str">
        <x:v>华雷斯FC</x:v>
      </x:c>
      <x:c r="K425" s="82" t="n">
        <x:v>1</x:v>
      </x:c>
      <x:c r="L425" s="82" t="n">
        <x:v>1</x:v>
      </x:c>
      <x:c r="M425" s="67" t="n">
        <x:v>1</x:v>
      </x:c>
      <x:c r="N425" s="181" t="n">
        <x:v>1</x:v>
      </x:c>
      <x:c r="O425" s="67" t="n">
        <x:v>1</x:v>
      </x:c>
    </x:row>
    <x:row r="426" ht="24" customHeight="1">
      <x:c r="A426" s="65" t="n">
        <x:v>257</x:v>
      </x:c>
      <x:c r="B426" s="65" t="str">
        <x:v>埃瓦尔（SD Eibar）</x:v>
      </x:c>
      <x:c r="C426" s="82" t="n">
        <x:v>1</x:v>
      </x:c>
      <x:c r="D426" s="82" t="n">
        <x:v>1</x:v>
      </x:c>
      <x:c r="E426" s="67" t="n">
        <x:v>1</x:v>
      </x:c>
      <x:c r="F426" s="181" t="n">
        <x:v>1</x:v>
      </x:c>
      <x:c r="G426" s="67" t="n">
        <x:v>1</x:v>
      </x:c>
      <x:c r="H426"/>
      <x:c r="I426" s="65" t="n">
        <x:v>257</x:v>
      </x:c>
      <x:c r="J426" s="65" t="str">
        <x:v>南奔战士（Lamphun Warriors）</x:v>
      </x:c>
      <x:c r="K426" s="82" t="n">
        <x:v>1</x:v>
      </x:c>
      <x:c r="L426" s="82" t="n">
        <x:v>1</x:v>
      </x:c>
      <x:c r="M426" s="67" t="n">
        <x:v>1</x:v>
      </x:c>
      <x:c r="N426" s="181" t="n">
        <x:v>1</x:v>
      </x:c>
      <x:c r="O426" s="67" t="n">
        <x:v>1</x:v>
      </x:c>
    </x:row>
    <x:row r="427" ht="24" customHeight="1">
      <x:c r="A427" s="65" t="n">
        <x:v>258</x:v>
      </x:c>
      <x:c r="B427" s="65" t="str">
        <x:v>培斯塔坦格朗</x:v>
      </x:c>
      <x:c r="C427" s="82" t="n">
        <x:v>1</x:v>
      </x:c>
      <x:c r="D427" s="82" t="n">
        <x:v>1</x:v>
      </x:c>
      <x:c r="E427" s="67" t="n">
        <x:v>1</x:v>
      </x:c>
      <x:c r="F427" s="181" t="n">
        <x:v>1</x:v>
      </x:c>
      <x:c r="G427" s="67" t="n">
        <x:v>1</x:v>
      </x:c>
      <x:c r="H427"/>
      <x:c r="I427" s="65" t="n">
        <x:v>258</x:v>
      </x:c>
      <x:c r="J427" s="65" t="str">
        <x:v>南定（Thép Xanh Nam Định）</x:v>
      </x:c>
      <x:c r="K427" s="82" t="n">
        <x:v>1</x:v>
      </x:c>
      <x:c r="L427" s="82" t="n">
        <x:v>1</x:v>
      </x:c>
      <x:c r="M427" s="67" t="n">
        <x:v>1</x:v>
      </x:c>
      <x:c r="N427" s="181" t="n">
        <x:v>1</x:v>
      </x:c>
      <x:c r="O427" s="67" t="n">
        <x:v>1</x:v>
      </x:c>
    </x:row>
    <x:row r="428" ht="24" customHeight="1">
      <x:c r="A428" s="65" t="n">
        <x:v>259</x:v>
      </x:c>
      <x:c r="B428" s="65" t="str">
        <x:v>基多天主大学（Universidad Católica 厄瓜多尔）</x:v>
      </x:c>
      <x:c r="C428" s="82" t="n">
        <x:v>1</x:v>
      </x:c>
      <x:c r="D428" s="82" t="n">
        <x:v>1</x:v>
      </x:c>
      <x:c r="E428" s="67" t="n">
        <x:v>1</x:v>
      </x:c>
      <x:c r="F428" s="181" t="n">
        <x:v>1</x:v>
      </x:c>
      <x:c r="G428" s="67" t="n">
        <x:v>1</x:v>
      </x:c>
      <x:c r="H428"/>
      <x:c r="I428" s="65" t="n">
        <x:v>259</x:v>
      </x:c>
      <x:c r="J428" s="65" t="str">
        <x:v>南定FC（Thép Xanh Nam Định）</x:v>
      </x:c>
      <x:c r="K428" s="82" t="n">
        <x:v>1</x:v>
      </x:c>
      <x:c r="L428" s="82" t="n">
        <x:v>1</x:v>
      </x:c>
      <x:c r="M428" s="67" t="n">
        <x:v>1</x:v>
      </x:c>
      <x:c r="N428" s="181" t="n">
        <x:v>1</x:v>
      </x:c>
      <x:c r="O428" s="67" t="n">
        <x:v>1</x:v>
      </x:c>
    </x:row>
    <x:row r="429" ht="24" customHeight="1">
      <x:c r="A429" s="65" t="n">
        <x:v>260</x:v>
      </x:c>
      <x:c r="B429" s="65" t="str">
        <x:v>基尔马诺克（Kilmarnock）</x:v>
      </x:c>
      <x:c r="C429" s="82" t="n">
        <x:v>1</x:v>
      </x:c>
      <x:c r="D429" s="82" t="n">
        <x:v>1</x:v>
      </x:c>
      <x:c r="E429" s="67" t="n">
        <x:v>1</x:v>
      </x:c>
      <x:c r="F429" s="181" t="n">
        <x:v>1</x:v>
      </x:c>
      <x:c r="G429" s="67" t="n">
        <x:v>1</x:v>
      </x:c>
      <x:c r="H429"/>
      <x:c r="I429" s="65" t="n">
        <x:v>260</x:v>
      </x:c>
      <x:c r="J429" s="65" t="str">
        <x:v>南定绿钢(Nam Dinh)</x:v>
      </x:c>
      <x:c r="K429" s="82" t="n">
        <x:v>1</x:v>
      </x:c>
      <x:c r="L429" s="82" t="n">
        <x:v>1</x:v>
      </x:c>
      <x:c r="M429" s="67" t="n">
        <x:v>1</x:v>
      </x:c>
      <x:c r="N429" s="181" t="n">
        <x:v>1</x:v>
      </x:c>
      <x:c r="O429" s="67" t="n">
        <x:v>1</x:v>
      </x:c>
    </x:row>
    <x:row r="430" ht="24" customHeight="1">
      <x:c r="A430" s="65" t="n">
        <x:v>261</x:v>
      </x:c>
      <x:c r="B430" s="65" t="str">
        <x:v>基柏（JIPPO Joensuu）</x:v>
      </x:c>
      <x:c r="C430" s="82" t="n">
        <x:v>1</x:v>
      </x:c>
      <x:c r="D430" s="82" t="n">
        <x:v>1</x:v>
      </x:c>
      <x:c r="E430" s="67" t="n">
        <x:v>1</x:v>
      </x:c>
      <x:c r="F430" s="181" t="n">
        <x:v>1</x:v>
      </x:c>
      <x:c r="G430" s="67" t="n">
        <x:v>1</x:v>
      </x:c>
      <x:c r="H430"/>
      <x:c r="I430" s="65" t="n">
        <x:v>261</x:v>
      </x:c>
      <x:c r="J430" s="65" t="str">
        <x:v>南岛联（South Island United）</x:v>
      </x:c>
      <x:c r="K430" s="82" t="n">
        <x:v>1</x:v>
      </x:c>
      <x:c r="L430" s="82" t="n">
        <x:v>1</x:v>
      </x:c>
      <x:c r="M430" s="67" t="n">
        <x:v>1</x:v>
      </x:c>
      <x:c r="N430" s="181" t="n">
        <x:v>1</x:v>
      </x:c>
      <x:c r="O430" s="67" t="n">
        <x:v>1</x:v>
      </x:c>
    </x:row>
    <x:row r="431" ht="24" customHeight="1">
      <x:c r="A431" s="65" t="n">
        <x:v>262</x:v>
      </x:c>
      <x:c r="B431" s="65" t="str">
        <x:v>堪培拉白鹰队</x:v>
      </x:c>
      <x:c r="C431" s="82" t="n">
        <x:v>1</x:v>
      </x:c>
      <x:c r="D431" s="82" t="n">
        <x:v>1</x:v>
      </x:c>
      <x:c r="E431" s="67" t="n">
        <x:v>1</x:v>
      </x:c>
      <x:c r="F431" s="181" t="n">
        <x:v>1</x:v>
      </x:c>
      <x:c r="G431" s="67" t="n">
        <x:v>1</x:v>
      </x:c>
      <x:c r="H431"/>
      <x:c r="I431" s="65" t="n">
        <x:v>262</x:v>
      </x:c>
      <x:c r="J431" s="65" t="str">
        <x:v>南德里体育学院（Namdhari FC）</x:v>
      </x:c>
      <x:c r="K431" s="82" t="n">
        <x:v>1</x:v>
      </x:c>
      <x:c r="L431" s="82" t="n">
        <x:v>1</x:v>
      </x:c>
      <x:c r="M431" s="67" t="n">
        <x:v>1</x:v>
      </x:c>
      <x:c r="N431" s="181" t="n">
        <x:v>1</x:v>
      </x:c>
      <x:c r="O431" s="67" t="n">
        <x:v>1</x:v>
      </x:c>
    </x:row>
    <x:row r="432" ht="24" customHeight="1">
      <x:c r="A432" s="65" t="n">
        <x:v>263</x:v>
      </x:c>
      <x:c r="B432" s="65" t="str">
        <x:v>堪萨斯城竞技</x:v>
      </x:c>
      <x:c r="C432" s="82" t="n">
        <x:v>1</x:v>
      </x:c>
      <x:c r="D432" s="82" t="n">
        <x:v>1</x:v>
      </x:c>
      <x:c r="E432" s="67" t="n">
        <x:v>1</x:v>
      </x:c>
      <x:c r="F432" s="181" t="n">
        <x:v>1</x:v>
      </x:c>
      <x:c r="G432" s="67" t="n">
        <x:v>1</x:v>
      </x:c>
      <x:c r="H432"/>
      <x:c r="I432" s="65" t="n">
        <x:v>263</x:v>
      </x:c>
      <x:c r="J432" s="65" t="str">
        <x:v>博亚卡奇科（Boyacá Chicó）</x:v>
      </x:c>
      <x:c r="K432" s="82" t="n">
        <x:v>1</x:v>
      </x:c>
      <x:c r="L432" s="82" t="n">
        <x:v>1</x:v>
      </x:c>
      <x:c r="M432" s="67" t="n">
        <x:v>1</x:v>
      </x:c>
      <x:c r="N432" s="181" t="n">
        <x:v>1</x:v>
      </x:c>
      <x:c r="O432" s="67" t="n">
        <x:v>1</x:v>
      </x:c>
    </x:row>
    <x:row r="433" ht="24" customHeight="1">
      <x:c r="A433" s="65" t="n">
        <x:v>264</x:v>
      </x:c>
      <x:c r="B433" s="65" t="str">
        <x:v>塔勒瑞斯</x:v>
      </x:c>
      <x:c r="C433" s="82" t="n">
        <x:v>1</x:v>
      </x:c>
      <x:c r="D433" s="82" t="n">
        <x:v>1</x:v>
      </x:c>
      <x:c r="E433" s="67" t="n">
        <x:v>1</x:v>
      </x:c>
      <x:c r="F433" s="181" t="n">
        <x:v>1</x:v>
      </x:c>
      <x:c r="G433" s="67" t="n">
        <x:v>1</x:v>
      </x:c>
      <x:c r="H433"/>
      <x:c r="I433" s="65" t="n">
        <x:v>264</x:v>
      </x:c>
      <x:c r="J433" s="65" t="str">
        <x:v>博亚卡茨高（Boyacá Chicó）</x:v>
      </x:c>
      <x:c r="K433" s="82" t="n">
        <x:v>1</x:v>
      </x:c>
      <x:c r="L433" s="82" t="n">
        <x:v>1</x:v>
      </x:c>
      <x:c r="M433" s="67" t="n">
        <x:v>1</x:v>
      </x:c>
      <x:c r="N433" s="181" t="n">
        <x:v>1</x:v>
      </x:c>
      <x:c r="O433" s="67" t="n">
        <x:v>1</x:v>
      </x:c>
    </x:row>
    <x:row r="434" ht="24" customHeight="1">
      <x:c r="A434" s="65" t="n">
        <x:v>265</x:v>
      </x:c>
      <x:c r="B434" s="65" t="str">
        <x:v>塔勒雷斯雷梅迪奥斯（Talleres de Remedios de Escalada）</x:v>
      </x:c>
      <x:c r="C434" s="82" t="n">
        <x:v>1</x:v>
      </x:c>
      <x:c r="D434" s="82" t="n">
        <x:v>1</x:v>
      </x:c>
      <x:c r="E434" s="67" t="n">
        <x:v>1</x:v>
      </x:c>
      <x:c r="F434" s="181" t="n">
        <x:v>1</x:v>
      </x:c>
      <x:c r="G434" s="67" t="n">
        <x:v>1</x:v>
      </x:c>
      <x:c r="H434"/>
      <x:c r="I434" s="65" t="n">
        <x:v>265</x:v>
      </x:c>
      <x:c r="J434" s="65" t="str">
        <x:v>博塔弗戈(Botafogo)</x:v>
      </x:c>
      <x:c r="K434" s="82" t="n">
        <x:v>1</x:v>
      </x:c>
      <x:c r="L434" s="82" t="n">
        <x:v>1</x:v>
      </x:c>
      <x:c r="M434" s="67" t="n">
        <x:v>1</x:v>
      </x:c>
      <x:c r="N434" s="181" t="n">
        <x:v>1</x:v>
      </x:c>
      <x:c r="O434" s="67" t="n">
        <x:v>1</x:v>
      </x:c>
    </x:row>
    <x:row r="435" ht="24" customHeight="1">
      <x:c r="A435" s="65" t="n">
        <x:v>266</x:v>
      </x:c>
      <x:c r="B435" s="65" t="str">
        <x:v>塔帕蒂奥（CD Tapatío）</x:v>
      </x:c>
      <x:c r="C435" s="82" t="n">
        <x:v>1</x:v>
      </x:c>
      <x:c r="D435" s="82" t="n">
        <x:v>1</x:v>
      </x:c>
      <x:c r="E435" s="67" t="n">
        <x:v>1</x:v>
      </x:c>
      <x:c r="F435" s="181" t="n">
        <x:v>1</x:v>
      </x:c>
      <x:c r="G435" s="67" t="n">
        <x:v>1</x:v>
      </x:c>
      <x:c r="H435"/>
      <x:c r="I435" s="65" t="n">
        <x:v>266</x:v>
      </x:c>
      <x:c r="J435" s="65" t="str">
        <x:v>博塔弗戈（Botafogo）</x:v>
      </x:c>
      <x:c r="K435" s="82" t="n">
        <x:v>1</x:v>
      </x:c>
      <x:c r="L435" s="82" t="n">
        <x:v>1</x:v>
      </x:c>
      <x:c r="M435" s="67" t="n">
        <x:v>1</x:v>
      </x:c>
      <x:c r="N435" s="181" t="n">
        <x:v>1</x:v>
      </x:c>
      <x:c r="O435" s="67" t="n">
        <x:v>1</x:v>
      </x:c>
    </x:row>
    <x:row r="436" ht="24" customHeight="1">
      <x:c r="A436" s="65" t="n">
        <x:v>267</x:v>
      </x:c>
      <x:c r="B436" s="65" t="str">
        <x:v>塔林弗洛拉（Flora Tallinn）</x:v>
      </x:c>
      <x:c r="C436" s="82" t="n">
        <x:v>1</x:v>
      </x:c>
      <x:c r="D436" s="82" t="n">
        <x:v>1</x:v>
      </x:c>
      <x:c r="E436" s="67" t="n">
        <x:v>1</x:v>
      </x:c>
      <x:c r="F436" s="181" t="n">
        <x:v>1</x:v>
      </x:c>
      <x:c r="G436" s="67" t="n">
        <x:v>1</x:v>
      </x:c>
      <x:c r="H436"/>
      <x:c r="I436" s="65" t="n">
        <x:v>267</x:v>
      </x:c>
      <x:c r="J436" s="65" t="str">
        <x:v>卡塔希内斯（Cartaginés）</x:v>
      </x:c>
      <x:c r="K436" s="82" t="n">
        <x:v>1</x:v>
      </x:c>
      <x:c r="L436" s="82" t="n">
        <x:v>1</x:v>
      </x:c>
      <x:c r="M436" s="67" t="n">
        <x:v>1</x:v>
      </x:c>
      <x:c r="N436" s="181" t="n">
        <x:v>1</x:v>
      </x:c>
      <x:c r="O436" s="67" t="n">
        <x:v>1</x:v>
      </x:c>
    </x:row>
    <x:row r="437" ht="24" customHeight="1">
      <x:c r="A437" s="65" t="n">
        <x:v>268</x:v>
      </x:c>
      <x:c r="B437" s="65" t="str">
        <x:v>塞尔维亚</x:v>
      </x:c>
      <x:c r="C437" s="82" t="n">
        <x:v>1</x:v>
      </x:c>
      <x:c r="D437" s="82" t="n">
        <x:v>1</x:v>
      </x:c>
      <x:c r="E437" s="67" t="n">
        <x:v>1</x:v>
      </x:c>
      <x:c r="F437" s="181" t="n">
        <x:v>1</x:v>
      </x:c>
      <x:c r="G437" s="67" t="n">
        <x:v>1</x:v>
      </x:c>
      <x:c r="H437"/>
      <x:c r="I437" s="65" t="n">
        <x:v>268</x:v>
      </x:c>
      <x:c r="J437" s="65" t="str">
        <x:v>卡夫达瓦尔(Kafr El Dawar)</x:v>
      </x:c>
      <x:c r="K437" s="82" t="n">
        <x:v>1</x:v>
      </x:c>
      <x:c r="L437" s="82" t="n">
        <x:v>1</x:v>
      </x:c>
      <x:c r="M437" s="67" t="n">
        <x:v>1</x:v>
      </x:c>
      <x:c r="N437" s="181" t="n">
        <x:v>1</x:v>
      </x:c>
      <x:c r="O437" s="67" t="n">
        <x:v>1</x:v>
      </x:c>
    </x:row>
    <x:row r="438" ht="24" customHeight="1">
      <x:c r="A438" s="65" t="n">
        <x:v>269</x:v>
      </x:c>
      <x:c r="B438" s="65" t="str">
        <x:v>塞曼巴东（Semen Padang FC）</x:v>
      </x:c>
      <x:c r="C438" s="82" t="n">
        <x:v>1</x:v>
      </x:c>
      <x:c r="D438" s="82" t="n">
        <x:v>1</x:v>
      </x:c>
      <x:c r="E438" s="67" t="n">
        <x:v>1</x:v>
      </x:c>
      <x:c r="F438" s="181" t="n">
        <x:v>1</x:v>
      </x:c>
      <x:c r="G438" s="67" t="n">
        <x:v>1</x:v>
      </x:c>
      <x:c r="H438"/>
      <x:c r="I438" s="65" t="n">
        <x:v>269</x:v>
      </x:c>
      <x:c r="J438" s="65" t="str">
        <x:v>卡尔马（Kalmar FF）</x:v>
      </x:c>
      <x:c r="K438" s="82" t="n">
        <x:v>1</x:v>
      </x:c>
      <x:c r="L438" s="82" t="n">
        <x:v>1</x:v>
      </x:c>
      <x:c r="M438" s="67" t="n">
        <x:v>1</x:v>
      </x:c>
      <x:c r="N438" s="181" t="n">
        <x:v>1</x:v>
      </x:c>
      <x:c r="O438" s="67" t="n">
        <x:v>1</x:v>
      </x:c>
    </x:row>
    <x:row r="439" ht="24" customHeight="1">
      <x:c r="A439" s="65" t="n">
        <x:v>270</x:v>
      </x:c>
      <x:c r="B439" s="65" t="str">
        <x:v>塞浦路斯</x:v>
      </x:c>
      <x:c r="C439" s="82" t="n">
        <x:v>1</x:v>
      </x:c>
      <x:c r="D439" s="82" t="n">
        <x:v>1</x:v>
      </x:c>
      <x:c r="E439" s="67" t="n">
        <x:v>1</x:v>
      </x:c>
      <x:c r="F439" s="181" t="n">
        <x:v>1</x:v>
      </x:c>
      <x:c r="G439" s="67" t="n">
        <x:v>1</x:v>
      </x:c>
      <x:c r="H439"/>
      <x:c r="I439" s="65" t="n">
        <x:v>270</x:v>
      </x:c>
      <x:c r="J439" s="65" t="str">
        <x:v>卡布尔彻（Caboolture FC）</x:v>
      </x:c>
      <x:c r="K439" s="82" t="n">
        <x:v>1</x:v>
      </x:c>
      <x:c r="L439" s="82" t="n">
        <x:v>1</x:v>
      </x:c>
      <x:c r="M439" s="67" t="n">
        <x:v>1</x:v>
      </x:c>
      <x:c r="N439" s="181" t="n">
        <x:v>1</x:v>
      </x:c>
      <x:c r="O439" s="67" t="n">
        <x:v>1</x:v>
      </x:c>
    </x:row>
    <x:row r="440" ht="24" customHeight="1">
      <x:c r="A440" s="65" t="n">
        <x:v>271</x:v>
      </x:c>
      <x:c r="B440" s="65" t="str">
        <x:v>多哈艾阿里</x:v>
      </x:c>
      <x:c r="C440" s="82" t="n">
        <x:v>1</x:v>
      </x:c>
      <x:c r="D440" s="82" t="n">
        <x:v>1</x:v>
      </x:c>
      <x:c r="E440" s="67" t="n">
        <x:v>1</x:v>
      </x:c>
      <x:c r="F440" s="181" t="n">
        <x:v>1</x:v>
      </x:c>
      <x:c r="G440" s="67" t="n">
        <x:v>1</x:v>
      </x:c>
      <x:c r="H440"/>
      <x:c r="I440" s="65" t="n">
        <x:v>271</x:v>
      </x:c>
      <x:c r="J440" s="65" t="str">
        <x:v>卡米奥内罗斯（Camioneros）</x:v>
      </x:c>
      <x:c r="K440" s="82" t="n">
        <x:v>1</x:v>
      </x:c>
      <x:c r="L440" s="82" t="n">
        <x:v>1</x:v>
      </x:c>
      <x:c r="M440" s="67" t="n">
        <x:v>1</x:v>
      </x:c>
      <x:c r="N440" s="181" t="n">
        <x:v>1</x:v>
      </x:c>
      <x:c r="O440" s="67" t="n">
        <x:v>1</x:v>
      </x:c>
    </x:row>
    <x:row r="441" ht="24" customHeight="1">
      <x:c r="A441" s="65" t="n">
        <x:v>272</x:v>
      </x:c>
      <x:c r="B441" s="65" t="str">
        <x:v>多德勒支（FC Dordrecht）</x:v>
      </x:c>
      <x:c r="C441" s="82" t="n">
        <x:v>1</x:v>
      </x:c>
      <x:c r="D441" s="82" t="n">
        <x:v>1</x:v>
      </x:c>
      <x:c r="E441" s="67" t="n">
        <x:v>1</x:v>
      </x:c>
      <x:c r="F441" s="181" t="n">
        <x:v>1</x:v>
      </x:c>
      <x:c r="G441" s="67" t="n">
        <x:v>1</x:v>
      </x:c>
      <x:c r="H441"/>
      <x:c r="I441" s="65" t="n">
        <x:v>272</x:v>
      </x:c>
      <x:c r="J441" s="65" t="str">
        <x:v>卡罗琳乔治十字（Caroline Springs George Cross）</x:v>
      </x:c>
      <x:c r="K441" s="82" t="n">
        <x:v>1</x:v>
      </x:c>
      <x:c r="L441" s="82" t="n">
        <x:v>1</x:v>
      </x:c>
      <x:c r="M441" s="67" t="n">
        <x:v>1</x:v>
      </x:c>
      <x:c r="N441" s="181" t="n">
        <x:v>1</x:v>
      </x:c>
      <x:c r="O441" s="67" t="n">
        <x:v>1</x:v>
      </x:c>
    </x:row>
    <x:row r="442" ht="24" customHeight="1">
      <x:c r="A442" s="65" t="n">
        <x:v>273</x:v>
      </x:c>
      <x:c r="B442" s="65" t="str">
        <x:v>多拉多斯（锡那罗亚）（Dorados de Sinaloa）</x:v>
      </x:c>
      <x:c r="C442" s="82" t="n">
        <x:v>1</x:v>
      </x:c>
      <x:c r="D442" s="82" t="n">
        <x:v>1</x:v>
      </x:c>
      <x:c r="E442" s="67" t="n">
        <x:v>1</x:v>
      </x:c>
      <x:c r="F442" s="181" t="n">
        <x:v>1</x:v>
      </x:c>
      <x:c r="G442" s="67" t="n">
        <x:v>1</x:v>
      </x:c>
      <x:c r="H442"/>
      <x:c r="I442" s="65" t="n">
        <x:v>273</x:v>
      </x:c>
      <x:c r="J442" s="65" t="str">
        <x:v>卡罗琳斯普林斯乔治克罗斯（Caroline Springs George Cross FC）</x:v>
      </x:c>
      <x:c r="K442" s="82" t="n">
        <x:v>1</x:v>
      </x:c>
      <x:c r="L442" s="82" t="n">
        <x:v>1</x:v>
      </x:c>
      <x:c r="M442" s="67" t="n">
        <x:v>1</x:v>
      </x:c>
      <x:c r="N442" s="181" t="n">
        <x:v>1</x:v>
      </x:c>
      <x:c r="O442" s="67" t="n">
        <x:v>1</x:v>
      </x:c>
    </x:row>
    <x:row r="443" ht="24" customHeight="1">
      <x:c r="A443" s="65" t="n">
        <x:v>274</x:v>
      </x:c>
      <x:c r="B443" s="65" t="str">
        <x:v>天安城（Cheonan City FC）</x:v>
      </x:c>
      <x:c r="C443" s="82" t="n">
        <x:v>1</x:v>
      </x:c>
      <x:c r="D443" s="82" t="n">
        <x:v>1</x:v>
      </x:c>
      <x:c r="E443" s="67" t="n">
        <x:v>1</x:v>
      </x:c>
      <x:c r="F443" s="181" t="n">
        <x:v>1</x:v>
      </x:c>
      <x:c r="G443" s="67" t="n">
        <x:v>1</x:v>
      </x:c>
      <x:c r="H443"/>
      <x:c r="I443" s="65" t="n">
        <x:v>274</x:v>
      </x:c>
      <x:c r="J443" s="65" t="str">
        <x:v>卡罗琳泉乔治十字</x:v>
      </x:c>
      <x:c r="K443" s="82" t="n">
        <x:v>1</x:v>
      </x:c>
      <x:c r="L443" s="82" t="n">
        <x:v>1</x:v>
      </x:c>
      <x:c r="M443" s="67" t="n">
        <x:v>1</x:v>
      </x:c>
      <x:c r="N443" s="181" t="n">
        <x:v>1</x:v>
      </x:c>
      <x:c r="O443" s="67" t="n">
        <x:v>1</x:v>
      </x:c>
    </x:row>
    <x:row r="444" ht="24" customHeight="1">
      <x:c r="A444" s="65" t="n">
        <x:v>275</x:v>
      </x:c>
      <x:c r="B444" s="65" t="str">
        <x:v>奥伊金斯</x:v>
      </x:c>
      <x:c r="C444" s="82" t="n">
        <x:v>1</x:v>
      </x:c>
      <x:c r="D444" s="82" t="n">
        <x:v>1</x:v>
      </x:c>
      <x:c r="E444" s="67" t="n">
        <x:v>1</x:v>
      </x:c>
      <x:c r="F444" s="181" t="n">
        <x:v>1</x:v>
      </x:c>
      <x:c r="G444" s="67" t="n">
        <x:v>1</x:v>
      </x:c>
      <x:c r="H444"/>
      <x:c r="I444" s="65" t="n">
        <x:v>275</x:v>
      </x:c>
      <x:c r="J444" s="65" t="str">
        <x:v>卡贝略港学院（Academia Puerto Cabello）</x:v>
      </x:c>
      <x:c r="K444" s="82" t="n">
        <x:v>1</x:v>
      </x:c>
      <x:c r="L444" s="82" t="n">
        <x:v>1</x:v>
      </x:c>
      <x:c r="M444" s="67" t="n">
        <x:v>1</x:v>
      </x:c>
      <x:c r="N444" s="181" t="n">
        <x:v>1</x:v>
      </x:c>
      <x:c r="O444" s="67" t="n">
        <x:v>1</x:v>
      </x:c>
    </x:row>
    <x:row r="445" ht="24" customHeight="1">
      <x:c r="A445" s="65" t="n">
        <x:v>276</x:v>
      </x:c>
      <x:c r="B445" s="65" t="str">
        <x:v>奥林匹亚（CD Olimpia）</x:v>
      </x:c>
      <x:c r="C445" s="82" t="n">
        <x:v>1</x:v>
      </x:c>
      <x:c r="D445" s="82" t="n">
        <x:v>1</x:v>
      </x:c>
      <x:c r="E445" s="67" t="n">
        <x:v>1</x:v>
      </x:c>
      <x:c r="F445" s="181" t="n">
        <x:v>1</x:v>
      </x:c>
      <x:c r="G445" s="67" t="n">
        <x:v>1</x:v>
      </x:c>
      <x:c r="H445"/>
      <x:c r="I445" s="65" t="n">
        <x:v>276</x:v>
      </x:c>
      <x:c r="J445" s="65" t="str">
        <x:v>卢恩斯基尔（Ljungskile SK）</x:v>
      </x:c>
      <x:c r="K445" s="82" t="n">
        <x:v>1</x:v>
      </x:c>
      <x:c r="L445" s="82" t="n">
        <x:v>1</x:v>
      </x:c>
      <x:c r="M445" s="67" t="n">
        <x:v>1</x:v>
      </x:c>
      <x:c r="N445" s="181" t="n">
        <x:v>1</x:v>
      </x:c>
      <x:c r="O445" s="67" t="n">
        <x:v>1</x:v>
      </x:c>
    </x:row>
    <x:row r="446" ht="24" customHeight="1">
      <x:c r="A446" s="65" t="n">
        <x:v>277</x:v>
      </x:c>
      <x:c r="B446" s="65" t="str">
        <x:v>奥迪萨</x:v>
      </x:c>
      <x:c r="C446" s="82" t="n">
        <x:v>1</x:v>
      </x:c>
      <x:c r="D446" s="82" t="n">
        <x:v>1</x:v>
      </x:c>
      <x:c r="E446" s="67" t="n">
        <x:v>1</x:v>
      </x:c>
      <x:c r="F446" s="181" t="n">
        <x:v>1</x:v>
      </x:c>
      <x:c r="G446" s="67" t="n">
        <x:v>1</x:v>
      </x:c>
      <x:c r="H446"/>
      <x:c r="I446" s="65" t="n">
        <x:v>277</x:v>
      </x:c>
      <x:c r="J446" s="65" t="str">
        <x:v>卢森堡</x:v>
      </x:c>
      <x:c r="K446" s="82" t="n">
        <x:v>1</x:v>
      </x:c>
      <x:c r="L446" s="82" t="n">
        <x:v>1</x:v>
      </x:c>
      <x:c r="M446" s="67" t="n">
        <x:v>1</x:v>
      </x:c>
      <x:c r="N446" s="181" t="n">
        <x:v>1</x:v>
      </x:c>
      <x:c r="O446" s="67" t="n">
        <x:v>1</x:v>
      </x:c>
    </x:row>
    <x:row r="447" ht="24" customHeight="1">
      <x:c r="A447" s="65" t="n">
        <x:v>278</x:v>
      </x:c>
      <x:c r="B447" s="65" t="str">
        <x:v>奥迪萨FC(Odisha FC)</x:v>
      </x:c>
      <x:c r="C447" s="82" t="n">
        <x:v>1</x:v>
      </x:c>
      <x:c r="D447" s="82" t="n">
        <x:v>1</x:v>
      </x:c>
      <x:c r="E447" s="67" t="n">
        <x:v>1</x:v>
      </x:c>
      <x:c r="F447" s="181" t="n">
        <x:v>1</x:v>
      </x:c>
      <x:c r="G447" s="67" t="n">
        <x:v>1</x:v>
      </x:c>
      <x:c r="H447"/>
      <x:c r="I447" s="65" t="n">
        <x:v>278</x:v>
      </x:c>
      <x:c r="J447" s="65" t="str">
        <x:v>卧龙狼队（Wollongong Wolves）</x:v>
      </x:c>
      <x:c r="K447" s="82" t="n">
        <x:v>1</x:v>
      </x:c>
      <x:c r="L447" s="82" t="n">
        <x:v>1</x:v>
      </x:c>
      <x:c r="M447" s="67" t="n">
        <x:v>1</x:v>
      </x:c>
      <x:c r="N447" s="181" t="n">
        <x:v>1</x:v>
      </x:c>
      <x:c r="O447" s="67" t="n">
        <x:v>1</x:v>
      </x:c>
    </x:row>
    <x:row r="448" ht="24" customHeight="1">
      <x:c r="A448" s="65" t="n">
        <x:v>279</x:v>
      </x:c>
      <x:c r="B448" s="65" t="str">
        <x:v>女王公园（Queen's Park）</x:v>
      </x:c>
      <x:c r="C448" s="82" t="n">
        <x:v>1</x:v>
      </x:c>
      <x:c r="D448" s="82" t="n">
        <x:v>1</x:v>
      </x:c>
      <x:c r="E448" s="67" t="n">
        <x:v>1</x:v>
      </x:c>
      <x:c r="F448" s="181" t="n">
        <x:v>1</x:v>
      </x:c>
      <x:c r="G448" s="67" t="n">
        <x:v>1</x:v>
      </x:c>
      <x:c r="H448"/>
      <x:c r="I448" s="65" t="n">
        <x:v>279</x:v>
      </x:c>
      <x:c r="J448" s="65" t="str">
        <x:v>厄斯特松德（Östersunds FK）</x:v>
      </x:c>
      <x:c r="K448" s="82" t="n">
        <x:v>1</x:v>
      </x:c>
      <x:c r="L448" s="82" t="n">
        <x:v>1</x:v>
      </x:c>
      <x:c r="M448" s="67" t="n">
        <x:v>1</x:v>
      </x:c>
      <x:c r="N448" s="181" t="n">
        <x:v>1</x:v>
      </x:c>
      <x:c r="O448" s="67" t="n">
        <x:v>1</x:v>
      </x:c>
    </x:row>
    <x:row r="449" ht="24" customHeight="1">
      <x:c r="A449" s="65" t="n">
        <x:v>280</x:v>
      </x:c>
      <x:c r="B449" s="65" t="str">
        <x:v>委内瑞拉U20</x:v>
      </x:c>
      <x:c r="C449" s="82" t="n">
        <x:v>1</x:v>
      </x:c>
      <x:c r="D449" s="82" t="n">
        <x:v>1</x:v>
      </x:c>
      <x:c r="E449" s="67" t="n">
        <x:v>1</x:v>
      </x:c>
      <x:c r="F449" s="181" t="n">
        <x:v>1</x:v>
      </x:c>
      <x:c r="G449" s="67" t="n">
        <x:v>1</x:v>
      </x:c>
      <x:c r="H449"/>
      <x:c r="I449" s="65" t="n">
        <x:v>280</x:v>
      </x:c>
      <x:c r="J449" s="65" t="str">
        <x:v>史莫哈</x:v>
      </x:c>
      <x:c r="K449" s="82" t="n">
        <x:v>1</x:v>
      </x:c>
      <x:c r="L449" s="82" t="n">
        <x:v>1</x:v>
      </x:c>
      <x:c r="M449" s="67" t="n">
        <x:v>1</x:v>
      </x:c>
      <x:c r="N449" s="181" t="n">
        <x:v>1</x:v>
      </x:c>
      <x:c r="O449" s="67" t="n">
        <x:v>1</x:v>
      </x:c>
    </x:row>
    <x:row r="450" ht="24" customHeight="1">
      <x:c r="A450" s="65" t="n">
        <x:v>281</x:v>
      </x:c>
      <x:c r="B450" s="65" t="str">
        <x:v>委内瑞拉中央大学（UCV）</x:v>
      </x:c>
      <x:c r="C450" s="82" t="n">
        <x:v>1</x:v>
      </x:c>
      <x:c r="D450" s="82" t="n">
        <x:v>1</x:v>
      </x:c>
      <x:c r="E450" s="67" t="n">
        <x:v>1</x:v>
      </x:c>
      <x:c r="F450" s="181" t="n">
        <x:v>1</x:v>
      </x:c>
      <x:c r="G450" s="67" t="n">
        <x:v>1</x:v>
      </x:c>
      <x:c r="H450"/>
      <x:c r="I450" s="65" t="n">
        <x:v>281</x:v>
      </x:c>
      <x:c r="J450" s="65" t="str">
        <x:v>吉尔吉斯斯坦</x:v>
      </x:c>
      <x:c r="K450" s="82" t="n">
        <x:v>1</x:v>
      </x:c>
      <x:c r="L450" s="82" t="n">
        <x:v>1</x:v>
      </x:c>
      <x:c r="M450" s="67" t="n">
        <x:v>1</x:v>
      </x:c>
      <x:c r="N450" s="181" t="n">
        <x:v>1</x:v>
      </x:c>
      <x:c r="O450" s="67" t="n">
        <x:v>1</x:v>
      </x:c>
    </x:row>
    <x:row r="451" ht="24" customHeight="1">
      <x:c r="A451" s="65" t="n">
        <x:v>282</x:v>
      </x:c>
      <x:c r="B451" s="65" t="str">
        <x:v>婆罗洲FC(婆罗洲三马林达/Borneo Samarinda)</x:v>
      </x:c>
      <x:c r="C451" s="82" t="n">
        <x:v>1</x:v>
      </x:c>
      <x:c r="D451" s="82" t="n">
        <x:v>1</x:v>
      </x:c>
      <x:c r="E451" s="67" t="n">
        <x:v>1</x:v>
      </x:c>
      <x:c r="F451" s="181" t="n">
        <x:v>1</x:v>
      </x:c>
      <x:c r="G451" s="67" t="n">
        <x:v>1</x:v>
      </x:c>
      <x:c r="H451"/>
      <x:c r="I451" s="65" t="n">
        <x:v>282</x:v>
      </x:c>
      <x:c r="J451" s="65" t="str">
        <x:v>哈依巴布拉瓦（坦皮科马德罗）</x:v>
      </x:c>
      <x:c r="K451" s="82" t="n">
        <x:v>1</x:v>
      </x:c>
      <x:c r="L451" s="82" t="n">
        <x:v>1</x:v>
      </x:c>
      <x:c r="M451" s="67" t="n">
        <x:v>1</x:v>
      </x:c>
      <x:c r="N451" s="181" t="n">
        <x:v>1</x:v>
      </x:c>
      <x:c r="O451" s="67" t="n">
        <x:v>1</x:v>
      </x:c>
    </x:row>
    <x:row r="452" ht="24" customHeight="1">
      <x:c r="A452" s="65" t="n">
        <x:v>283</x:v>
      </x:c>
      <x:c r="B452" s="65" t="str">
        <x:v>婆罗洲FC（沙马林达）（Borneo FC）</x:v>
      </x:c>
      <x:c r="C452" s="82" t="n">
        <x:v>1</x:v>
      </x:c>
      <x:c r="D452" s="82" t="n">
        <x:v>1</x:v>
      </x:c>
      <x:c r="E452" s="67" t="n">
        <x:v>1</x:v>
      </x:c>
      <x:c r="F452" s="181" t="n">
        <x:v>1</x:v>
      </x:c>
      <x:c r="G452" s="67" t="n">
        <x:v>1</x:v>
      </x:c>
      <x:c r="H452"/>
      <x:c r="I452" s="65" t="n">
        <x:v>283</x:v>
      </x:c>
      <x:c r="J452" s="65" t="str">
        <x:v>哈依布拉瓦（Jaiba Brava，坦皮科马德罗）</x:v>
      </x:c>
      <x:c r="K452" s="82" t="n">
        <x:v>1</x:v>
      </x:c>
      <x:c r="L452" s="82" t="n">
        <x:v>1</x:v>
      </x:c>
      <x:c r="M452" s="67" t="n">
        <x:v>1</x:v>
      </x:c>
      <x:c r="N452" s="181" t="n">
        <x:v>1</x:v>
      </x:c>
      <x:c r="O452" s="67" t="n">
        <x:v>1</x:v>
      </x:c>
    </x:row>
    <x:row r="453" ht="24" customHeight="1">
      <x:c r="A453" s="65" t="n">
        <x:v>284</x:v>
      </x:c>
      <x:c r="B453" s="65" t="str">
        <x:v>婆罗洲FC三马林达（Borneo FC Samarinda）</x:v>
      </x:c>
      <x:c r="C453" s="82" t="n">
        <x:v>1</x:v>
      </x:c>
      <x:c r="D453" s="82" t="n">
        <x:v>1</x:v>
      </x:c>
      <x:c r="E453" s="67" t="n">
        <x:v>1</x:v>
      </x:c>
      <x:c r="F453" s="181" t="n">
        <x:v>1</x:v>
      </x:c>
      <x:c r="G453" s="67" t="n">
        <x:v>1</x:v>
      </x:c>
      <x:c r="H453"/>
      <x:c r="I453" s="65" t="n">
        <x:v>284</x:v>
      </x:c>
      <x:c r="J453" s="65" t="str">
        <x:v>哈依布拉瓦（坦皮科马德罗）</x:v>
      </x:c>
      <x:c r="K453" s="82" t="n">
        <x:v>1</x:v>
      </x:c>
      <x:c r="L453" s="82" t="n">
        <x:v>1</x:v>
      </x:c>
      <x:c r="M453" s="67" t="n">
        <x:v>1</x:v>
      </x:c>
      <x:c r="N453" s="181" t="n">
        <x:v>1</x:v>
      </x:c>
      <x:c r="O453" s="67" t="n">
        <x:v>1</x:v>
      </x:c>
    </x:row>
    <x:row r="454" ht="24" customHeight="1">
      <x:c r="A454" s="65" t="n">
        <x:v>285</x:v>
      </x:c>
      <x:c r="B454" s="65" t="str">
        <x:v>宁平FC（Ninh Bình FC）</x:v>
      </x:c>
      <x:c r="C454" s="82" t="n">
        <x:v>1</x:v>
      </x:c>
      <x:c r="D454" s="82" t="n">
        <x:v>1</x:v>
      </x:c>
      <x:c r="E454" s="67" t="n">
        <x:v>1</x:v>
      </x:c>
      <x:c r="F454" s="181" t="n">
        <x:v>1</x:v>
      </x:c>
      <x:c r="G454" s="67" t="n">
        <x:v>1</x:v>
      </x:c>
      <x:c r="H454"/>
      <x:c r="I454" s="65" t="n">
        <x:v>285</x:v>
      </x:c>
      <x:c r="J454" s="65" t="str">
        <x:v>哈瓦达尔</x:v>
      </x:c>
      <x:c r="K454" s="82" t="n">
        <x:v>1</x:v>
      </x:c>
      <x:c r="L454" s="82" t="n">
        <x:v>1</x:v>
      </x:c>
      <x:c r="M454" s="67" t="n">
        <x:v>1</x:v>
      </x:c>
      <x:c r="N454" s="181" t="n">
        <x:v>1</x:v>
      </x:c>
      <x:c r="O454" s="67" t="n">
        <x:v>1</x:v>
      </x:c>
    </x:row>
    <x:row r="455" ht="24" customHeight="1">
      <x:c r="A455" s="65" t="n">
        <x:v>286</x:v>
      </x:c>
      <x:c r="B455" s="65" t="str">
        <x:v>安南竞技（Annan Athletic）</x:v>
      </x:c>
      <x:c r="C455" s="82" t="n">
        <x:v>1</x:v>
      </x:c>
      <x:c r="D455" s="82" t="n">
        <x:v>1</x:v>
      </x:c>
      <x:c r="E455" s="67" t="n">
        <x:v>1</x:v>
      </x:c>
      <x:c r="F455" s="181" t="n">
        <x:v>1</x:v>
      </x:c>
      <x:c r="G455" s="67" t="n">
        <x:v>1</x:v>
      </x:c>
      <x:c r="H455"/>
      <x:c r="I455" s="65" t="n">
        <x:v>286</x:v>
      </x:c>
      <x:c r="J455" s="65" t="str">
        <x:v>哈茨（Hearts）</x:v>
      </x:c>
      <x:c r="K455" s="82" t="n">
        <x:v>1</x:v>
      </x:c>
      <x:c r="L455" s="82" t="n">
        <x:v>1</x:v>
      </x:c>
      <x:c r="M455" s="67" t="n">
        <x:v>1</x:v>
      </x:c>
      <x:c r="N455" s="181" t="n">
        <x:v>1</x:v>
      </x:c>
      <x:c r="O455" s="67" t="n">
        <x:v>1</x:v>
      </x:c>
    </x:row>
    <x:row r="456" ht="24" customHeight="1">
      <x:c r="A456" s="65" t="n">
        <x:v>287</x:v>
      </x:c>
      <x:c r="B456" s="65" t="str">
        <x:v>尤姆博独立（Independiente Yumbo）</x:v>
      </x:c>
      <x:c r="C456" s="82" t="n">
        <x:v>1</x:v>
      </x:c>
      <x:c r="D456" s="82" t="n">
        <x:v>1</x:v>
      </x:c>
      <x:c r="E456" s="67" t="n">
        <x:v>1</x:v>
      </x:c>
      <x:c r="F456" s="181" t="n">
        <x:v>1</x:v>
      </x:c>
      <x:c r="G456" s="67" t="n">
        <x:v>1</x:v>
      </x:c>
      <x:c r="H456"/>
      <x:c r="I456" s="65" t="n">
        <x:v>287</x:v>
      </x:c>
      <x:c r="J456" s="65" t="str">
        <x:v>哈茨（Hearts/Heart of Midlothian）</x:v>
      </x:c>
      <x:c r="K456" s="82" t="n">
        <x:v>1</x:v>
      </x:c>
      <x:c r="L456" s="82" t="n">
        <x:v>1</x:v>
      </x:c>
      <x:c r="M456" s="67" t="n">
        <x:v>1</x:v>
      </x:c>
      <x:c r="N456" s="181" t="n">
        <x:v>1</x:v>
      </x:c>
      <x:c r="O456" s="67" t="n">
        <x:v>1</x:v>
      </x:c>
    </x:row>
    <x:row r="457" ht="24" customHeight="1">
      <x:c r="A457" s="65" t="n">
        <x:v>288</x:v>
      </x:c>
      <x:c r="B457" s="65" t="str">
        <x:v>尤文图德（拉斯彼德拉斯）</x:v>
      </x:c>
      <x:c r="C457" s="82" t="n">
        <x:v>1</x:v>
      </x:c>
      <x:c r="D457" s="82" t="n">
        <x:v>1</x:v>
      </x:c>
      <x:c r="E457" s="67" t="n">
        <x:v>1</x:v>
      </x:c>
      <x:c r="F457" s="181" t="n">
        <x:v>1</x:v>
      </x:c>
      <x:c r="G457" s="67" t="n">
        <x:v>1</x:v>
      </x:c>
      <x:c r="H457"/>
      <x:c r="I457" s="65" t="n">
        <x:v>288</x:v>
      </x:c>
      <x:c r="J457" s="65" t="str">
        <x:v>哥伦布机员</x:v>
      </x:c>
      <x:c r="K457" s="82" t="n">
        <x:v>1</x:v>
      </x:c>
      <x:c r="L457" s="82" t="n">
        <x:v>1</x:v>
      </x:c>
      <x:c r="M457" s="67" t="n">
        <x:v>1</x:v>
      </x:c>
      <x:c r="N457" s="181" t="n">
        <x:v>1</x:v>
      </x:c>
      <x:c r="O457" s="67" t="n">
        <x:v>1</x:v>
      </x:c>
    </x:row>
    <x:row r="458" ht="24" customHeight="1">
      <x:c r="A458" s="65" t="n">
        <x:v>289</x:v>
      </x:c>
      <x:c r="B458" s="65" t="str">
        <x:v>尼斯</x:v>
      </x:c>
      <x:c r="C458" s="82" t="n">
        <x:v>1</x:v>
      </x:c>
      <x:c r="D458" s="82" t="n">
        <x:v>1</x:v>
      </x:c>
      <x:c r="E458" s="67" t="n">
        <x:v>1</x:v>
      </x:c>
      <x:c r="F458" s="181" t="n">
        <x:v>1</x:v>
      </x:c>
      <x:c r="G458" s="67" t="n">
        <x:v>1</x:v>
      </x:c>
      <x:c r="H458"/>
      <x:c r="I458" s="65" t="n">
        <x:v>289</x:v>
      </x:c>
      <x:c r="J458" s="65" t="str">
        <x:v>喀麦隆</x:v>
      </x:c>
      <x:c r="K458" s="82" t="n">
        <x:v>1</x:v>
      </x:c>
      <x:c r="L458" s="82" t="n">
        <x:v>1</x:v>
      </x:c>
      <x:c r="M458" s="67" t="n">
        <x:v>1</x:v>
      </x:c>
      <x:c r="N458" s="181" t="n">
        <x:v>1</x:v>
      </x:c>
      <x:c r="O458" s="67" t="n">
        <x:v>1</x:v>
      </x:c>
    </x:row>
    <x:row r="459" ht="24" customHeight="1">
      <x:c r="A459" s="65" t="n">
        <x:v>290</x:v>
      </x:c>
      <x:c r="B459" s="65" t="str">
        <x:v>山东泰山</x:v>
      </x:c>
      <x:c r="C459" s="82" t="n">
        <x:v>1</x:v>
      </x:c>
      <x:c r="D459" s="82" t="n">
        <x:v>1</x:v>
      </x:c>
      <x:c r="E459" s="67" t="n">
        <x:v>1</x:v>
      </x:c>
      <x:c r="F459" s="181" t="n">
        <x:v>1</x:v>
      </x:c>
      <x:c r="G459" s="67" t="n">
        <x:v>1</x:v>
      </x:c>
      <x:c r="H459"/>
      <x:c r="I459" s="65" t="n">
        <x:v>290</x:v>
      </x:c>
      <x:c r="J459" s="65" t="str">
        <x:v>国民波托西(Nacional Potosí)</x:v>
      </x:c>
      <x:c r="K459" s="82" t="n">
        <x:v>1</x:v>
      </x:c>
      <x:c r="L459" s="82" t="n">
        <x:v>1</x:v>
      </x:c>
      <x:c r="M459" s="67" t="n">
        <x:v>1</x:v>
      </x:c>
      <x:c r="N459" s="181" t="n">
        <x:v>1</x:v>
      </x:c>
      <x:c r="O459" s="67" t="n">
        <x:v>1</x:v>
      </x:c>
    </x:row>
    <x:row r="460" ht="24" customHeight="1">
      <x:c r="A460" s="65" t="n">
        <x:v>291</x:v>
      </x:c>
      <x:c r="B460" s="65" t="str">
        <x:v>山谷独立</x:v>
      </x:c>
      <x:c r="C460" s="82" t="n">
        <x:v>1</x:v>
      </x:c>
      <x:c r="D460" s="82" t="n">
        <x:v>1</x:v>
      </x:c>
      <x:c r="E460" s="67" t="n">
        <x:v>1</x:v>
      </x:c>
      <x:c r="F460" s="181" t="n">
        <x:v>1</x:v>
      </x:c>
      <x:c r="G460" s="67" t="n">
        <x:v>1</x:v>
      </x:c>
      <x:c r="H460"/>
      <x:c r="I460" s="65" t="n">
        <x:v>291</x:v>
      </x:c>
      <x:c r="J460" s="65" t="str">
        <x:v>国防与司法（Defensa y Justicia）</x:v>
      </x:c>
      <x:c r="K460" s="82" t="n">
        <x:v>1</x:v>
      </x:c>
      <x:c r="L460" s="82" t="n">
        <x:v>1</x:v>
      </x:c>
      <x:c r="M460" s="67" t="n">
        <x:v>1</x:v>
      </x:c>
      <x:c r="N460" s="181" t="n">
        <x:v>1</x:v>
      </x:c>
      <x:c r="O460" s="67" t="n">
        <x:v>1</x:v>
      </x:c>
    </x:row>
    <x:row r="461" ht="24" customHeight="1">
      <x:c r="A461" s="65" t="n">
        <x:v>292</x:v>
      </x:c>
      <x:c r="B461" s="65" t="str">
        <x:v>巴伊亚（Bahia）</x:v>
      </x:c>
      <x:c r="C461" s="82" t="n">
        <x:v>1</x:v>
      </x:c>
      <x:c r="D461" s="82" t="n">
        <x:v>1</x:v>
      </x:c>
      <x:c r="E461" s="67" t="n">
        <x:v>1</x:v>
      </x:c>
      <x:c r="F461" s="181" t="n">
        <x:v>1</x:v>
      </x:c>
      <x:c r="G461" s="67" t="n">
        <x:v>1</x:v>
      </x:c>
      <x:c r="H461"/>
      <x:c r="I461" s="65" t="n">
        <x:v>292</x:v>
      </x:c>
      <x:c r="J461" s="65" t="str">
        <x:v>国际圣卡洛斯（Inter San Carlos）</x:v>
      </x:c>
      <x:c r="K461" s="82" t="n">
        <x:v>1</x:v>
      </x:c>
      <x:c r="L461" s="82" t="n">
        <x:v>1</x:v>
      </x:c>
      <x:c r="M461" s="67" t="n">
        <x:v>1</x:v>
      </x:c>
      <x:c r="N461" s="181" t="n">
        <x:v>1</x:v>
      </x:c>
      <x:c r="O461" s="67" t="n">
        <x:v>1</x:v>
      </x:c>
    </x:row>
    <x:row r="462" ht="24" customHeight="1">
      <x:c r="A462" s="65" t="n">
        <x:v>293</x:v>
      </x:c>
      <x:c r="B462" s="65" t="str">
        <x:v>巴克伦佛（PSBS）</x:v>
      </x:c>
      <x:c r="C462" s="82" t="n">
        <x:v>1</x:v>
      </x:c>
      <x:c r="D462" s="82" t="n">
        <x:v>1</x:v>
      </x:c>
      <x:c r="E462" s="67" t="n">
        <x:v>1</x:v>
      </x:c>
      <x:c r="F462" s="181" t="n">
        <x:v>1</x:v>
      </x:c>
      <x:c r="G462" s="67" t="n">
        <x:v>1</x:v>
      </x:c>
      <x:c r="H462"/>
      <x:c r="I462" s="65" t="n">
        <x:v>293</x:v>
      </x:c>
      <x:c r="J462" s="65" t="str">
        <x:v>国际米兰（Inter）</x:v>
      </x:c>
      <x:c r="K462" s="82" t="n">
        <x:v>1</x:v>
      </x:c>
      <x:c r="L462" s="82" t="n">
        <x:v>1</x:v>
      </x:c>
      <x:c r="M462" s="67" t="n">
        <x:v>1</x:v>
      </x:c>
      <x:c r="N462" s="181" t="n">
        <x:v>1</x:v>
      </x:c>
      <x:c r="O462" s="67" t="n">
        <x:v>1</x:v>
      </x:c>
    </x:row>
    <x:row r="463" ht="24" customHeight="1">
      <x:c r="A463" s="65" t="n">
        <x:v>294</x:v>
      </x:c>
      <x:c r="B463" s="65" t="str">
        <x:v>巴克伦佛（PSBS比亚克）</x:v>
      </x:c>
      <x:c r="C463" s="82" t="n">
        <x:v>1</x:v>
      </x:c>
      <x:c r="D463" s="82" t="n">
        <x:v>1</x:v>
      </x:c>
      <x:c r="E463" s="67" t="n">
        <x:v>1</x:v>
      </x:c>
      <x:c r="F463" s="181" t="n">
        <x:v>1</x:v>
      </x:c>
      <x:c r="G463" s="67" t="n">
        <x:v>1</x:v>
      </x:c>
      <x:c r="H463"/>
      <x:c r="I463" s="65" t="n">
        <x:v>294</x:v>
      </x:c>
      <x:c r="J463" s="65" t="str">
        <x:v>图尔库国际</x:v>
      </x:c>
      <x:c r="K463" s="82" t="n">
        <x:v>1</x:v>
      </x:c>
      <x:c r="L463" s="82" t="n">
        <x:v>1</x:v>
      </x:c>
      <x:c r="M463" s="67" t="n">
        <x:v>1</x:v>
      </x:c>
      <x:c r="N463" s="181" t="n">
        <x:v>1</x:v>
      </x:c>
      <x:c r="O463" s="67" t="n">
        <x:v>1</x:v>
      </x:c>
    </x:row>
    <x:row r="464" ht="24" customHeight="1">
      <x:c r="A464" s="65" t="n">
        <x:v>295</x:v>
      </x:c>
      <x:c r="B464" s="65" t="str">
        <x:v>巴克伦佛（PSBS比亚克农福尔）</x:v>
      </x:c>
      <x:c r="C464" s="82" t="n">
        <x:v>1</x:v>
      </x:c>
      <x:c r="D464" s="82" t="n">
        <x:v>1</x:v>
      </x:c>
      <x:c r="E464" s="67" t="n">
        <x:v>1</x:v>
      </x:c>
      <x:c r="F464" s="181" t="n">
        <x:v>1</x:v>
      </x:c>
      <x:c r="G464" s="67" t="n">
        <x:v>1</x:v>
      </x:c>
      <x:c r="H464"/>
      <x:c r="I464" s="65" t="n">
        <x:v>295</x:v>
      </x:c>
      <x:c r="J464" s="65" t="str">
        <x:v>图尔库国际（Inter Turku）</x:v>
      </x:c>
      <x:c r="K464" s="82" t="n">
        <x:v>1</x:v>
      </x:c>
      <x:c r="L464" s="82" t="n">
        <x:v>1</x:v>
      </x:c>
      <x:c r="M464" s="67" t="n">
        <x:v>1</x:v>
      </x:c>
      <x:c r="N464" s="181" t="n">
        <x:v>1</x:v>
      </x:c>
      <x:c r="O464" s="67" t="n">
        <x:v>1</x:v>
      </x:c>
    </x:row>
    <x:row r="465" ht="24" customHeight="1">
      <x:c r="A465" s="65" t="n">
        <x:v>296</x:v>
      </x:c>
      <x:c r="B465" s="65" t="str">
        <x:v>巴兰基亚青年（阿特莱蒂科青年/Atlético Junior）</x:v>
      </x:c>
      <x:c r="C465" s="82" t="n">
        <x:v>1</x:v>
      </x:c>
      <x:c r="D465" s="82" t="n">
        <x:v>1</x:v>
      </x:c>
      <x:c r="E465" s="67" t="n">
        <x:v>1</x:v>
      </x:c>
      <x:c r="F465" s="181" t="n">
        <x:v>1</x:v>
      </x:c>
      <x:c r="G465" s="67" t="n">
        <x:v>1</x:v>
      </x:c>
      <x:c r="H465"/>
      <x:c r="I465" s="65" t="n">
        <x:v>296</x:v>
      </x:c>
      <x:c r="J465" s="65" t="str">
        <x:v>圣何塞体育（Sporting FC）</x:v>
      </x:c>
      <x:c r="K465" s="82" t="n">
        <x:v>1</x:v>
      </x:c>
      <x:c r="L465" s="82" t="n">
        <x:v>1</x:v>
      </x:c>
      <x:c r="M465" s="67" t="n">
        <x:v>1</x:v>
      </x:c>
      <x:c r="N465" s="181" t="n">
        <x:v>1</x:v>
      </x:c>
      <x:c r="O465" s="67" t="n">
        <x:v>1</x:v>
      </x:c>
    </x:row>
    <x:row r="466" ht="24" customHeight="1">
      <x:c r="A466" s="65" t="n">
        <x:v>297</x:v>
      </x:c>
      <x:c r="B466" s="65" t="str">
        <x:v>巴塞罗那（Barcelona）</x:v>
      </x:c>
      <x:c r="C466" s="82" t="n">
        <x:v>1</x:v>
      </x:c>
      <x:c r="D466" s="82" t="n">
        <x:v>1</x:v>
      </x:c>
      <x:c r="E466" s="67" t="n">
        <x:v>1</x:v>
      </x:c>
      <x:c r="F466" s="181" t="n">
        <x:v>1</x:v>
      </x:c>
      <x:c r="G466" s="67" t="n">
        <x:v>1</x:v>
      </x:c>
      <x:c r="H466"/>
      <x:c r="I466" s="65" t="n">
        <x:v>297</x:v>
      </x:c>
      <x:c r="J466" s="65" t="str">
        <x:v>圣卡洛斯</x:v>
      </x:c>
      <x:c r="K466" s="82" t="n">
        <x:v>1</x:v>
      </x:c>
      <x:c r="L466" s="82" t="n">
        <x:v>1</x:v>
      </x:c>
      <x:c r="M466" s="67" t="n">
        <x:v>1</x:v>
      </x:c>
      <x:c r="N466" s="181" t="n">
        <x:v>1</x:v>
      </x:c>
      <x:c r="O466" s="67" t="n">
        <x:v>1</x:v>
      </x:c>
    </x:row>
    <x:row r="467" ht="24" customHeight="1">
      <x:c r="A467" s="65" t="n">
        <x:v>298</x:v>
      </x:c>
      <x:c r="B467" s="65" t="str">
        <x:v>巴尼亚卢卡战士（Borac Banja Luka）</x:v>
      </x:c>
      <x:c r="C467" s="82" t="n">
        <x:v>1</x:v>
      </x:c>
      <x:c r="D467" s="82" t="n">
        <x:v>1</x:v>
      </x:c>
      <x:c r="E467" s="67" t="n">
        <x:v>1</x:v>
      </x:c>
      <x:c r="F467" s="181" t="n">
        <x:v>1</x:v>
      </x:c>
      <x:c r="G467" s="67" t="n">
        <x:v>1</x:v>
      </x:c>
      <x:c r="H467"/>
      <x:c r="I467" s="65" t="n">
        <x:v>298</x:v>
      </x:c>
      <x:c r="J467" s="65" t="str">
        <x:v>圣奥尔本斯圣特斯（St Albans Saints Dinamo SC）</x:v>
      </x:c>
      <x:c r="K467" s="82" t="n">
        <x:v>1</x:v>
      </x:c>
      <x:c r="L467" s="82" t="n">
        <x:v>1</x:v>
      </x:c>
      <x:c r="M467" s="67" t="n">
        <x:v>1</x:v>
      </x:c>
      <x:c r="N467" s="181" t="n">
        <x:v>1</x:v>
      </x:c>
      <x:c r="O467" s="67" t="n">
        <x:v>1</x:v>
      </x:c>
    </x:row>
    <x:row r="468" ht="24" customHeight="1">
      <x:c r="A468" s="65" t="n">
        <x:v>299</x:v>
      </x:c>
      <x:c r="B468" s="65" t="str">
        <x:v>巴日托普特拉（PS Barito Putera）</x:v>
      </x:c>
      <x:c r="C468" s="82" t="n">
        <x:v>1</x:v>
      </x:c>
      <x:c r="D468" s="82" t="n">
        <x:v>1</x:v>
      </x:c>
      <x:c r="E468" s="67" t="n">
        <x:v>1</x:v>
      </x:c>
      <x:c r="F468" s="181" t="n">
        <x:v>1</x:v>
      </x:c>
      <x:c r="G468" s="67" t="n">
        <x:v>1</x:v>
      </x:c>
      <x:c r="H468"/>
      <x:c r="I468" s="65" t="n">
        <x:v>299</x:v>
      </x:c>
      <x:c r="J468" s="65" t="str">
        <x:v>圣奥尔本斯圣特斯（St Albans Saints FC）</x:v>
      </x:c>
      <x:c r="K468" s="82" t="n">
        <x:v>1</x:v>
      </x:c>
      <x:c r="L468" s="82" t="n">
        <x:v>1</x:v>
      </x:c>
      <x:c r="M468" s="67" t="n">
        <x:v>1</x:v>
      </x:c>
      <x:c r="N468" s="181" t="n">
        <x:v>1</x:v>
      </x:c>
      <x:c r="O468" s="67" t="n">
        <x:v>1</x:v>
      </x:c>
    </x:row>
    <x:row r="469" ht="24" customHeight="1">
      <x:c r="A469" s="65" t="n">
        <x:v>300</x:v>
      </x:c>
      <x:c r="B469" s="65" t="str">
        <x:v>巴杨卡拉（Bhayangkara Presisi Lampung FC）</x:v>
      </x:c>
      <x:c r="C469" s="82" t="n">
        <x:v>1</x:v>
      </x:c>
      <x:c r="D469" s="82" t="n">
        <x:v>1</x:v>
      </x:c>
      <x:c r="E469" s="67" t="n">
        <x:v>1</x:v>
      </x:c>
      <x:c r="F469" s="181" t="n">
        <x:v>1</x:v>
      </x:c>
      <x:c r="G469" s="67" t="n">
        <x:v>1</x:v>
      </x:c>
      <x:c r="H469"/>
      <x:c r="I469" s="65" t="n">
        <x:v>300</x:v>
      </x:c>
      <x:c r="J469" s="65" t="str">
        <x:v>圣米伦</x:v>
      </x:c>
      <x:c r="K469" s="82" t="n">
        <x:v>1</x:v>
      </x:c>
      <x:c r="L469" s="82" t="n">
        <x:v>1</x:v>
      </x:c>
      <x:c r="M469" s="67" t="n">
        <x:v>1</x:v>
      </x:c>
      <x:c r="N469" s="181" t="n">
        <x:v>1</x:v>
      </x:c>
      <x:c r="O469" s="67" t="n">
        <x:v>1</x:v>
      </x:c>
    </x:row>
    <x:row r="470" ht="24" customHeight="1">
      <x:c r="A470" s="65" t="n">
        <x:v>301</x:v>
      </x:c>
      <x:c r="B470" s="65" t="str">
        <x:v>巴杨卡拉泗水联（Bhayangkara Presisi）</x:v>
      </x:c>
      <x:c r="C470" s="82" t="n">
        <x:v>1</x:v>
      </x:c>
      <x:c r="D470" s="82" t="n">
        <x:v>1</x:v>
      </x:c>
      <x:c r="E470" s="67" t="n">
        <x:v>1</x:v>
      </x:c>
      <x:c r="F470" s="181" t="n">
        <x:v>1</x:v>
      </x:c>
      <x:c r="G470" s="67" t="n">
        <x:v>1</x:v>
      </x:c>
      <x:c r="H470"/>
      <x:c r="I470" s="65" t="n">
        <x:v>301</x:v>
      </x:c>
      <x:c r="J470" s="65" t="str">
        <x:v>圣米伦（St. Mirren）</x:v>
      </x:c>
      <x:c r="K470" s="82" t="n">
        <x:v>1</x:v>
      </x:c>
      <x:c r="L470" s="82" t="n">
        <x:v>1</x:v>
      </x:c>
      <x:c r="M470" s="67" t="n">
        <x:v>1</x:v>
      </x:c>
      <x:c r="N470" s="181" t="n">
        <x:v>1</x:v>
      </x:c>
      <x:c r="O470" s="67" t="n">
        <x:v>1</x:v>
      </x:c>
    </x:row>
    <x:row r="471" ht="24" customHeight="1">
      <x:c r="A471" s="65" t="n">
        <x:v>302</x:v>
      </x:c>
      <x:c r="B471" s="65" t="str">
        <x:v>巴格达警察（Al Shorta）</x:v>
      </x:c>
      <x:c r="C471" s="82" t="n">
        <x:v>1</x:v>
      </x:c>
      <x:c r="D471" s="82" t="n">
        <x:v>1</x:v>
      </x:c>
      <x:c r="E471" s="67" t="n">
        <x:v>1</x:v>
      </x:c>
      <x:c r="F471" s="181" t="n">
        <x:v>1</x:v>
      </x:c>
      <x:c r="G471" s="67" t="n">
        <x:v>1</x:v>
      </x:c>
      <x:c r="H471"/>
      <x:c r="I471" s="65" t="n">
        <x:v>302</x:v>
      </x:c>
      <x:c r="J471" s="65" t="str">
        <x:v>圣米格利托体育(Sporting San Miguelito)</x:v>
      </x:c>
      <x:c r="K471" s="82" t="n">
        <x:v>1</x:v>
      </x:c>
      <x:c r="L471" s="82" t="n">
        <x:v>1</x:v>
      </x:c>
      <x:c r="M471" s="67" t="n">
        <x:v>1</x:v>
      </x:c>
      <x:c r="N471" s="181" t="n">
        <x:v>1</x:v>
      </x:c>
      <x:c r="O471" s="67" t="n">
        <x:v>1</x:v>
      </x:c>
    </x:row>
    <x:row r="472" ht="24" customHeight="1">
      <x:c r="A472" s="65" t="n">
        <x:v>303</x:v>
      </x:c>
      <x:c r="B472" s="65" t="str">
        <x:v>巴洛比学院（ABB/Academia del Balompié Boliviano）</x:v>
      </x:c>
      <x:c r="C472" s="82" t="n">
        <x:v>1</x:v>
      </x:c>
      <x:c r="D472" s="82" t="n">
        <x:v>1</x:v>
      </x:c>
      <x:c r="E472" s="67" t="n">
        <x:v>1</x:v>
      </x:c>
      <x:c r="F472" s="181" t="n">
        <x:v>1</x:v>
      </x:c>
      <x:c r="G472" s="67" t="n">
        <x:v>1</x:v>
      </x:c>
      <x:c r="H472"/>
      <x:c r="I472" s="65" t="n">
        <x:v>303</x:v>
      </x:c>
      <x:c r="J472" s="65" t="str">
        <x:v>圣米格利托体育（Sporting San Miguelito）</x:v>
      </x:c>
      <x:c r="K472" s="82" t="n">
        <x:v>1</x:v>
      </x:c>
      <x:c r="L472" s="82" t="n">
        <x:v>1</x:v>
      </x:c>
      <x:c r="M472" s="67" t="n">
        <x:v>1</x:v>
      </x:c>
      <x:c r="N472" s="181" t="n">
        <x:v>1</x:v>
      </x:c>
      <x:c r="O472" s="67" t="n">
        <x:v>1</x:v>
      </x:c>
    </x:row>
    <x:row r="473" ht="24" customHeight="1">
      <x:c r="A473" s="65" t="n">
        <x:v>304</x:v>
      </x:c>
      <x:c r="B473" s="65" t="str">
        <x:v>巴黎圣日耳曼</x:v>
      </x:c>
      <x:c r="C473" s="82" t="n">
        <x:v>1</x:v>
      </x:c>
      <x:c r="D473" s="82" t="n">
        <x:v>1</x:v>
      </x:c>
      <x:c r="E473" s="67" t="n">
        <x:v>1</x:v>
      </x:c>
      <x:c r="F473" s="181" t="n">
        <x:v>1</x:v>
      </x:c>
      <x:c r="G473" s="67" t="n">
        <x:v>1</x:v>
      </x:c>
      <x:c r="H473"/>
      <x:c r="I473" s="65" t="n">
        <x:v>304</x:v>
      </x:c>
      <x:c r="J473" s="65" t="str">
        <x:v>圣路易斯（Atlético San Luis）</x:v>
      </x:c>
      <x:c r="K473" s="82" t="n">
        <x:v>1</x:v>
      </x:c>
      <x:c r="L473" s="82" t="n">
        <x:v>1</x:v>
      </x:c>
      <x:c r="M473" s="67" t="n">
        <x:v>1</x:v>
      </x:c>
      <x:c r="N473" s="181" t="n">
        <x:v>1</x:v>
      </x:c>
      <x:c r="O473" s="67" t="n">
        <x:v>1</x:v>
      </x:c>
    </x:row>
    <x:row r="474" ht="24" customHeight="1">
      <x:c r="A474" s="65" t="n">
        <x:v>305</x:v>
      </x:c>
      <x:c r="B474" s="65" t="str">
        <x:v>巴黎圣日耳曼（PSG）</x:v>
      </x:c>
      <x:c r="C474" s="82" t="n">
        <x:v>1</x:v>
      </x:c>
      <x:c r="D474" s="82" t="n">
        <x:v>1</x:v>
      </x:c>
      <x:c r="E474" s="67" t="n">
        <x:v>1</x:v>
      </x:c>
      <x:c r="F474" s="181" t="n">
        <x:v>1</x:v>
      </x:c>
      <x:c r="G474" s="67" t="n">
        <x:v>1</x:v>
      </x:c>
      <x:c r="H474"/>
      <x:c r="I474" s="65" t="n">
        <x:v>305</x:v>
      </x:c>
      <x:c r="J474" s="65" t="str">
        <x:v>圣路易斯竞技（Atl. San Luis）</x:v>
      </x:c>
      <x:c r="K474" s="82" t="n">
        <x:v>1</x:v>
      </x:c>
      <x:c r="L474" s="82" t="n">
        <x:v>1</x:v>
      </x:c>
      <x:c r="M474" s="67" t="n">
        <x:v>1</x:v>
      </x:c>
      <x:c r="N474" s="181" t="n">
        <x:v>1</x:v>
      </x:c>
      <x:c r="O474" s="67" t="n">
        <x:v>1</x:v>
      </x:c>
    </x:row>
    <x:row r="475" ht="24" customHeight="1">
      <x:c r="A475" s="65" t="n">
        <x:v>306</x:v>
      </x:c>
      <x:c r="B475" s="65" t="str">
        <x:v>布伦瑞克城U23（Brunswick City U23）</x:v>
      </x:c>
      <x:c r="C475" s="82" t="n">
        <x:v>1</x:v>
      </x:c>
      <x:c r="D475" s="82" t="n">
        <x:v>1</x:v>
      </x:c>
      <x:c r="E475" s="67" t="n">
        <x:v>1</x:v>
      </x:c>
      <x:c r="F475" s="181" t="n">
        <x:v>1</x:v>
      </x:c>
      <x:c r="G475" s="67" t="n">
        <x:v>1</x:v>
      </x:c>
      <x:c r="H475"/>
      <x:c r="I475" s="65" t="n">
        <x:v>306</x:v>
      </x:c>
      <x:c r="J475" s="65" t="str">
        <x:v>埃尔特姆红背（Eltham Redbacks FC）</x:v>
      </x:c>
      <x:c r="K475" s="82" t="n">
        <x:v>1</x:v>
      </x:c>
      <x:c r="L475" s="82" t="n">
        <x:v>1</x:v>
      </x:c>
      <x:c r="M475" s="67" t="n">
        <x:v>1</x:v>
      </x:c>
      <x:c r="N475" s="181" t="n">
        <x:v>1</x:v>
      </x:c>
      <x:c r="O475" s="67" t="n">
        <x:v>1</x:v>
      </x:c>
    </x:row>
    <x:row r="476" ht="24" customHeight="1">
      <x:c r="A476" s="65" t="n">
        <x:v>307</x:v>
      </x:c>
      <x:c r="B476" s="65" t="str">
        <x:v>布伦瑞克尤文图斯（萨巴拉斯/Brunswick Juventus）</x:v>
      </x:c>
      <x:c r="C476" s="82" t="n">
        <x:v>1</x:v>
      </x:c>
      <x:c r="D476" s="82" t="n">
        <x:v>1</x:v>
      </x:c>
      <x:c r="E476" s="67" t="n">
        <x:v>1</x:v>
      </x:c>
      <x:c r="F476" s="181" t="n">
        <x:v>1</x:v>
      </x:c>
      <x:c r="G476" s="67" t="n">
        <x:v>1</x:v>
      </x:c>
      <x:c r="H476"/>
      <x:c r="I476" s="65" t="n">
        <x:v>307</x:v>
      </x:c>
      <x:c r="J476" s="65" t="str">
        <x:v>埃尔特姆红背U23（Eltham Redbacks）</x:v>
      </x:c>
      <x:c r="K476" s="82" t="n">
        <x:v>1</x:v>
      </x:c>
      <x:c r="L476" s="82" t="n">
        <x:v>1</x:v>
      </x:c>
      <x:c r="M476" s="67" t="n">
        <x:v>1</x:v>
      </x:c>
      <x:c r="N476" s="181" t="n">
        <x:v>1</x:v>
      </x:c>
      <x:c r="O476" s="67" t="n">
        <x:v>1</x:v>
      </x:c>
    </x:row>
    <x:row r="477" ht="24" customHeight="1">
      <x:c r="A477" s="65" t="n">
        <x:v>308</x:v>
      </x:c>
      <x:c r="B477" s="65" t="str">
        <x:v>布尔萨科圣马丁（San Martín de Burzaco）</x:v>
      </x:c>
      <x:c r="C477" s="82" t="n">
        <x:v>1</x:v>
      </x:c>
      <x:c r="D477" s="82" t="n">
        <x:v>1</x:v>
      </x:c>
      <x:c r="E477" s="67" t="n">
        <x:v>1</x:v>
      </x:c>
      <x:c r="F477" s="181" t="n">
        <x:v>1</x:v>
      </x:c>
      <x:c r="G477" s="67" t="n">
        <x:v>1</x:v>
      </x:c>
      <x:c r="H477"/>
      <x:c r="I477" s="65" t="n">
        <x:v>308</x:v>
      </x:c>
      <x:c r="J477" s="65" t="str">
        <x:v>埃尔特姆红背蛛</x:v>
      </x:c>
      <x:c r="K477" s="82" t="n">
        <x:v>1</x:v>
      </x:c>
      <x:c r="L477" s="82" t="n">
        <x:v>1</x:v>
      </x:c>
      <x:c r="M477" s="67" t="n">
        <x:v>1</x:v>
      </x:c>
      <x:c r="N477" s="181" t="n">
        <x:v>1</x:v>
      </x:c>
      <x:c r="O477" s="67" t="n">
        <x:v>1</x:v>
      </x:c>
    </x:row>
    <x:row r="478" ht="24" customHeight="1">
      <x:c r="A478" s="65" t="n">
        <x:v>309</x:v>
      </x:c>
      <x:c r="B478" s="65" t="str">
        <x:v>布拉FC（Bula FC）</x:v>
      </x:c>
      <x:c r="C478" s="82" t="n">
        <x:v>1</x:v>
      </x:c>
      <x:c r="D478" s="82" t="n">
        <x:v>1</x:v>
      </x:c>
      <x:c r="E478" s="67" t="n">
        <x:v>1</x:v>
      </x:c>
      <x:c r="F478" s="181" t="n">
        <x:v>1</x:v>
      </x:c>
      <x:c r="G478" s="67" t="n">
        <x:v>1</x:v>
      </x:c>
      <x:c r="H478"/>
      <x:c r="I478" s="65" t="n">
        <x:v>309</x:v>
      </x:c>
      <x:c r="J478" s="65" t="str">
        <x:v>埃尔特姆红背蛛（Eltham Redbacks）</x:v>
      </x:c>
      <x:c r="K478" s="82" t="n">
        <x:v>1</x:v>
      </x:c>
      <x:c r="L478" s="82" t="n">
        <x:v>1</x:v>
      </x:c>
      <x:c r="M478" s="67" t="n">
        <x:v>1</x:v>
      </x:c>
      <x:c r="N478" s="181" t="n">
        <x:v>1</x:v>
      </x:c>
      <x:c r="O478" s="67" t="n">
        <x:v>1</x:v>
      </x:c>
    </x:row>
    <x:row r="479" ht="24" customHeight="1">
      <x:c r="A479" s="65" t="n">
        <x:v>310</x:v>
      </x:c>
      <x:c r="B479" s="65" t="str">
        <x:v>布拉加</x:v>
      </x:c>
      <x:c r="C479" s="82" t="n">
        <x:v>1</x:v>
      </x:c>
      <x:c r="D479" s="82" t="n">
        <x:v>1</x:v>
      </x:c>
      <x:c r="E479" s="67" t="n">
        <x:v>1</x:v>
      </x:c>
      <x:c r="F479" s="181" t="n">
        <x:v>1</x:v>
      </x:c>
      <x:c r="G479" s="67" t="n">
        <x:v>1</x:v>
      </x:c>
      <x:c r="H479"/>
      <x:c r="I479" s="65" t="n">
        <x:v>310</x:v>
      </x:c>
      <x:c r="J479" s="65" t="str">
        <x:v>培斯塔坦格朗(塔斯塔坦格朗/Persita Tangerang)</x:v>
      </x:c>
      <x:c r="K479" s="82" t="n">
        <x:v>1</x:v>
      </x:c>
      <x:c r="L479" s="82" t="n">
        <x:v>1</x:v>
      </x:c>
      <x:c r="M479" s="67" t="n">
        <x:v>1</x:v>
      </x:c>
      <x:c r="N479" s="181" t="n">
        <x:v>1</x:v>
      </x:c>
      <x:c r="O479" s="67" t="n">
        <x:v>1</x:v>
      </x:c>
    </x:row>
    <x:row r="480" ht="24" customHeight="1">
      <x:c r="A480" s="65" t="n">
        <x:v>311</x:v>
      </x:c>
      <x:c r="B480" s="65" t="str">
        <x:v>布朗德阿德罗格（Brown de Adrogué）</x:v>
      </x:c>
      <x:c r="C480" s="82" t="n">
        <x:v>1</x:v>
      </x:c>
      <x:c r="D480" s="82" t="n">
        <x:v>1</x:v>
      </x:c>
      <x:c r="E480" s="67" t="n">
        <x:v>1</x:v>
      </x:c>
      <x:c r="F480" s="181" t="n">
        <x:v>1</x:v>
      </x:c>
      <x:c r="G480" s="67" t="n">
        <x:v>1</x:v>
      </x:c>
      <x:c r="H480"/>
      <x:c r="I480" s="65" t="n">
        <x:v>311</x:v>
      </x:c>
      <x:c r="J480" s="65" t="str">
        <x:v>基多天主大学（Universidad Católica 厄瓜多尔）</x:v>
      </x:c>
      <x:c r="K480" s="82" t="n">
        <x:v>1</x:v>
      </x:c>
      <x:c r="L480" s="82" t="n">
        <x:v>1</x:v>
      </x:c>
      <x:c r="M480" s="67" t="n">
        <x:v>1</x:v>
      </x:c>
      <x:c r="N480" s="181" t="n">
        <x:v>1</x:v>
      </x:c>
      <x:c r="O480" s="67" t="n">
        <x:v>1</x:v>
      </x:c>
    </x:row>
    <x:row r="481" ht="24" customHeight="1">
      <x:c r="A481" s="65" t="n">
        <x:v>312</x:v>
      </x:c>
      <x:c r="B481" s="65" t="str">
        <x:v>布洛马波卡纳（IF Brommapojkarna）</x:v>
      </x:c>
      <x:c r="C481" s="82" t="n">
        <x:v>2</x:v>
      </x:c>
      <x:c r="D481" s="82" t="n">
        <x:v>2</x:v>
      </x:c>
      <x:c r="E481" s="67" t="n">
        <x:v>1</x:v>
      </x:c>
      <x:c r="F481" s="181" t="n">
        <x:v>1</x:v>
      </x:c>
      <x:c r="G481" s="67" t="n">
        <x:v>0.5</x:v>
      </x:c>
      <x:c r="H481"/>
      <x:c r="I481" s="65" t="n">
        <x:v>312</x:v>
      </x:c>
      <x:c r="J481" s="65" t="str">
        <x:v>基尔马诺克（Kilmarnock）</x:v>
      </x:c>
      <x:c r="K481" s="82" t="n">
        <x:v>1</x:v>
      </x:c>
      <x:c r="L481" s="82" t="n">
        <x:v>1</x:v>
      </x:c>
      <x:c r="M481" s="67" t="n">
        <x:v>1</x:v>
      </x:c>
      <x:c r="N481" s="181" t="n">
        <x:v>1</x:v>
      </x:c>
      <x:c r="O481" s="67" t="n">
        <x:v>1</x:v>
      </x:c>
    </x:row>
    <x:row r="482" ht="24" customHeight="1">
      <x:c r="A482" s="65" t="n">
        <x:v>313</x:v>
      </x:c>
      <x:c r="B482" s="65" t="str">
        <x:v>布琳狮子（Bulleen Lions）</x:v>
      </x:c>
      <x:c r="C482" s="82" t="n">
        <x:v>1</x:v>
      </x:c>
      <x:c r="D482" s="82" t="n">
        <x:v>1</x:v>
      </x:c>
      <x:c r="E482" s="67" t="n">
        <x:v>1</x:v>
      </x:c>
      <x:c r="F482" s="181" t="n">
        <x:v>1</x:v>
      </x:c>
      <x:c r="G482" s="67" t="n">
        <x:v>1</x:v>
      </x:c>
      <x:c r="H482"/>
      <x:c r="I482" s="65" t="n">
        <x:v>313</x:v>
      </x:c>
      <x:c r="J482" s="65" t="str">
        <x:v>堪培拉白鹰队</x:v>
      </x:c>
      <x:c r="K482" s="82" t="n">
        <x:v>1</x:v>
      </x:c>
      <x:c r="L482" s="82" t="n">
        <x:v>1</x:v>
      </x:c>
      <x:c r="M482" s="67" t="n">
        <x:v>1</x:v>
      </x:c>
      <x:c r="N482" s="181" t="n">
        <x:v>1</x:v>
      </x:c>
      <x:c r="O482" s="67" t="n">
        <x:v>1</x:v>
      </x:c>
    </x:row>
    <x:row r="483" ht="24" customHeight="1">
      <x:c r="A483" s="65" t="n">
        <x:v>314</x:v>
      </x:c>
      <x:c r="B483" s="65" t="str">
        <x:v>布琳狮子U23（Bulleen Lions U23）</x:v>
      </x:c>
      <x:c r="C483" s="82" t="n">
        <x:v>1</x:v>
      </x:c>
      <x:c r="D483" s="82" t="n">
        <x:v>1</x:v>
      </x:c>
      <x:c r="E483" s="67" t="n">
        <x:v>1</x:v>
      </x:c>
      <x:c r="F483" s="181" t="n">
        <x:v>1</x:v>
      </x:c>
      <x:c r="G483" s="67" t="n">
        <x:v>1</x:v>
      </x:c>
      <x:c r="H483"/>
      <x:c r="I483" s="65" t="n">
        <x:v>314</x:v>
      </x:c>
      <x:c r="J483" s="65" t="str">
        <x:v>塔亚文（布赖代合作，Al Taawoun）</x:v>
      </x:c>
      <x:c r="K483" s="82" t="n">
        <x:v>1</x:v>
      </x:c>
      <x:c r="L483" s="82" t="n">
        <x:v>1</x:v>
      </x:c>
      <x:c r="M483" s="67" t="n">
        <x:v>1</x:v>
      </x:c>
      <x:c r="N483" s="181" t="n">
        <x:v>1</x:v>
      </x:c>
      <x:c r="O483" s="67" t="n">
        <x:v>1</x:v>
      </x:c>
    </x:row>
    <x:row r="484" ht="24" customHeight="1">
      <x:c r="A484" s="65" t="n">
        <x:v>315</x:v>
      </x:c>
      <x:c r="B484" s="65" t="str">
        <x:v>布里斯班东郊</x:v>
      </x:c>
      <x:c r="C484" s="82" t="n">
        <x:v>1</x:v>
      </x:c>
      <x:c r="D484" s="82" t="n">
        <x:v>1</x:v>
      </x:c>
      <x:c r="E484" s="67" t="n">
        <x:v>1</x:v>
      </x:c>
      <x:c r="F484" s="181" t="n">
        <x:v>1</x:v>
      </x:c>
      <x:c r="G484" s="67" t="n">
        <x:v>1</x:v>
      </x:c>
      <x:c r="H484"/>
      <x:c r="I484" s="65" t="n">
        <x:v>315</x:v>
      </x:c>
      <x:c r="J484" s="65" t="str">
        <x:v>塔帕蒂奥（CD Tapatío）</x:v>
      </x:c>
      <x:c r="K484" s="82" t="n">
        <x:v>1</x:v>
      </x:c>
      <x:c r="L484" s="82" t="n">
        <x:v>1</x:v>
      </x:c>
      <x:c r="M484" s="67" t="n">
        <x:v>1</x:v>
      </x:c>
      <x:c r="N484" s="181" t="n">
        <x:v>1</x:v>
      </x:c>
      <x:c r="O484" s="67" t="n">
        <x:v>1</x:v>
      </x:c>
    </x:row>
    <x:row r="485" ht="24" customHeight="1">
      <x:c r="A485" s="65" t="n">
        <x:v>316</x:v>
      </x:c>
      <x:c r="B485" s="65" t="str">
        <x:v>布里斯班狮吼(Brisbane Roar)</x:v>
      </x:c>
      <x:c r="C485" s="82" t="n">
        <x:v>1</x:v>
      </x:c>
      <x:c r="D485" s="82" t="n">
        <x:v>1</x:v>
      </x:c>
      <x:c r="E485" s="67" t="n">
        <x:v>1</x:v>
      </x:c>
      <x:c r="F485" s="181" t="n">
        <x:v>1</x:v>
      </x:c>
      <x:c r="G485" s="67" t="n">
        <x:v>1</x:v>
      </x:c>
      <x:c r="H485"/>
      <x:c r="I485" s="65" t="n">
        <x:v>316</x:v>
      </x:c>
      <x:c r="J485" s="65" t="str">
        <x:v>塞伊奈约基（SJK）</x:v>
      </x:c>
      <x:c r="K485" s="82" t="n">
        <x:v>1</x:v>
      </x:c>
      <x:c r="L485" s="82" t="n">
        <x:v>1</x:v>
      </x:c>
      <x:c r="M485" s="67" t="n">
        <x:v>1</x:v>
      </x:c>
      <x:c r="N485" s="181" t="n">
        <x:v>1</x:v>
      </x:c>
      <x:c r="O485" s="67" t="n">
        <x:v>1</x:v>
      </x:c>
    </x:row>
    <x:row r="486" ht="24" customHeight="1">
      <x:c r="A486" s="65" t="n">
        <x:v>317</x:v>
      </x:c>
      <x:c r="B486" s="65" t="str">
        <x:v>布里斯班狼队</x:v>
      </x:c>
      <x:c r="C486" s="82" t="n">
        <x:v>1</x:v>
      </x:c>
      <x:c r="D486" s="82" t="n">
        <x:v>1</x:v>
      </x:c>
      <x:c r="E486" s="67" t="n">
        <x:v>1</x:v>
      </x:c>
      <x:c r="F486" s="181" t="n">
        <x:v>1</x:v>
      </x:c>
      <x:c r="G486" s="67" t="n">
        <x:v>1</x:v>
      </x:c>
      <x:c r="H486"/>
      <x:c r="I486" s="65" t="n">
        <x:v>317</x:v>
      </x:c>
      <x:c r="J486" s="65" t="str">
        <x:v>塞哈特海湾（海湾 Al Khaleej）</x:v>
      </x:c>
      <x:c r="K486" s="82" t="n">
        <x:v>1</x:v>
      </x:c>
      <x:c r="L486" s="82" t="n">
        <x:v>1</x:v>
      </x:c>
      <x:c r="M486" s="67" t="n">
        <x:v>1</x:v>
      </x:c>
      <x:c r="N486" s="181" t="n">
        <x:v>1</x:v>
      </x:c>
      <x:c r="O486" s="67" t="n">
        <x:v>1</x:v>
      </x:c>
    </x:row>
    <x:row r="487" ht="24" customHeight="1">
      <x:c r="A487" s="65" t="n">
        <x:v>318</x:v>
      </x:c>
      <x:c r="B487" s="65" t="str">
        <x:v>布里金城（Brechin City）</x:v>
      </x:c>
      <x:c r="C487" s="82" t="n">
        <x:v>1</x:v>
      </x:c>
      <x:c r="D487" s="82" t="n">
        <x:v>1</x:v>
      </x:c>
      <x:c r="E487" s="67" t="n">
        <x:v>1</x:v>
      </x:c>
      <x:c r="F487" s="181" t="n">
        <x:v>1</x:v>
      </x:c>
      <x:c r="G487" s="67" t="n">
        <x:v>1</x:v>
      </x:c>
      <x:c r="H487"/>
      <x:c r="I487" s="65" t="n">
        <x:v>318</x:v>
      </x:c>
      <x:c r="J487" s="65" t="str">
        <x:v>塞尔塔（Celta Vigo）</x:v>
      </x:c>
      <x:c r="K487" s="82" t="n">
        <x:v>1</x:v>
      </x:c>
      <x:c r="L487" s="82" t="n">
        <x:v>1</x:v>
      </x:c>
      <x:c r="M487" s="67" t="n">
        <x:v>1</x:v>
      </x:c>
      <x:c r="N487" s="181" t="n">
        <x:v>1</x:v>
      </x:c>
      <x:c r="O487" s="67" t="n">
        <x:v>1</x:v>
      </x:c>
    </x:row>
    <x:row r="488" ht="24" customHeight="1">
      <x:c r="A488" s="65" t="n">
        <x:v>319</x:v>
      </x:c>
      <x:c r="B488" s="65" t="str">
        <x:v>布雷达（NAC Breda）</x:v>
      </x:c>
      <x:c r="C488" s="82" t="n">
        <x:v>1</x:v>
      </x:c>
      <x:c r="D488" s="82" t="n">
        <x:v>1</x:v>
      </x:c>
      <x:c r="E488" s="67" t="n">
        <x:v>1</x:v>
      </x:c>
      <x:c r="F488" s="181" t="n">
        <x:v>1</x:v>
      </x:c>
      <x:c r="G488" s="67" t="n">
        <x:v>1</x:v>
      </x:c>
      <x:c r="H488"/>
      <x:c r="I488" s="65" t="n">
        <x:v>319</x:v>
      </x:c>
      <x:c r="J488" s="65" t="str">
        <x:v>塞帕</x:v>
      </x:c>
      <x:c r="K488" s="82" t="n">
        <x:v>1</x:v>
      </x:c>
      <x:c r="L488" s="82" t="n">
        <x:v>1</x:v>
      </x:c>
      <x:c r="M488" s="67" t="n">
        <x:v>1</x:v>
      </x:c>
      <x:c r="N488" s="181" t="n">
        <x:v>1</x:v>
      </x:c>
      <x:c r="O488" s="67" t="n">
        <x:v>1</x:v>
      </x:c>
    </x:row>
    <x:row r="489" ht="24" customHeight="1">
      <x:c r="A489" s="65" t="n">
        <x:v>320</x:v>
      </x:c>
      <x:c r="B489" s="65" t="str">
        <x:v>帕尔梅拉斯</x:v>
      </x:c>
      <x:c r="C489" s="82" t="n">
        <x:v>1</x:v>
      </x:c>
      <x:c r="D489" s="82" t="n">
        <x:v>1</x:v>
      </x:c>
      <x:c r="E489" s="67" t="n">
        <x:v>1</x:v>
      </x:c>
      <x:c r="F489" s="181" t="n">
        <x:v>1</x:v>
      </x:c>
      <x:c r="G489" s="67" t="n">
        <x:v>1</x:v>
      </x:c>
      <x:c r="H489"/>
      <x:c r="I489" s="65" t="n">
        <x:v>320</x:v>
      </x:c>
      <x:c r="J489" s="65" t="str">
        <x:v>塞曼巴东（Semen Padang FC）</x:v>
      </x:c>
      <x:c r="K489" s="82" t="n">
        <x:v>1</x:v>
      </x:c>
      <x:c r="L489" s="82" t="n">
        <x:v>1</x:v>
      </x:c>
      <x:c r="M489" s="67" t="n">
        <x:v>1</x:v>
      </x:c>
      <x:c r="N489" s="181" t="n">
        <x:v>1</x:v>
      </x:c>
      <x:c r="O489" s="67" t="n">
        <x:v>1</x:v>
      </x:c>
    </x:row>
    <x:row r="490" ht="24" customHeight="1">
      <x:c r="A490" s="65" t="n">
        <x:v>321</x:v>
      </x:c>
      <x:c r="B490" s="65" t="str">
        <x:v>库斯科（Cusco FC）</x:v>
      </x:c>
      <x:c r="C490" s="82" t="n">
        <x:v>1</x:v>
      </x:c>
      <x:c r="D490" s="82" t="n">
        <x:v>1</x:v>
      </x:c>
      <x:c r="E490" s="67" t="n">
        <x:v>1</x:v>
      </x:c>
      <x:c r="F490" s="181" t="n">
        <x:v>1</x:v>
      </x:c>
      <x:c r="G490" s="67" t="n">
        <x:v>1</x:v>
      </x:c>
      <x:c r="H490"/>
      <x:c r="I490" s="65" t="n">
        <x:v>321</x:v>
      </x:c>
      <x:c r="J490" s="65" t="str">
        <x:v>塞浦路斯</x:v>
      </x:c>
      <x:c r="K490" s="82" t="n">
        <x:v>1</x:v>
      </x:c>
      <x:c r="L490" s="82" t="n">
        <x:v>1</x:v>
      </x:c>
      <x:c r="M490" s="67" t="n">
        <x:v>1</x:v>
      </x:c>
      <x:c r="N490" s="181" t="n">
        <x:v>1</x:v>
      </x:c>
      <x:c r="O490" s="67" t="n">
        <x:v>1</x:v>
      </x:c>
    </x:row>
    <x:row r="491" ht="24" customHeight="1">
      <x:c r="A491" s="65" t="n">
        <x:v>322</x:v>
      </x:c>
      <x:c r="B491" s="65" t="str">
        <x:v>底特律城（Detroit City FC）</x:v>
      </x:c>
      <x:c r="C491" s="82" t="n">
        <x:v>1</x:v>
      </x:c>
      <x:c r="D491" s="82" t="n">
        <x:v>1</x:v>
      </x:c>
      <x:c r="E491" s="67" t="n">
        <x:v>1</x:v>
      </x:c>
      <x:c r="F491" s="181" t="n">
        <x:v>1</x:v>
      </x:c>
      <x:c r="G491" s="67" t="n">
        <x:v>1</x:v>
      </x:c>
      <x:c r="H491"/>
      <x:c r="I491" s="65" t="n">
        <x:v>322</x:v>
      </x:c>
      <x:c r="J491" s="65" t="str">
        <x:v>塞维利亚（Sevilla FC）</x:v>
      </x:c>
      <x:c r="K491" s="82" t="n">
        <x:v>1</x:v>
      </x:c>
      <x:c r="L491" s="82" t="n">
        <x:v>1</x:v>
      </x:c>
      <x:c r="M491" s="67" t="n">
        <x:v>1</x:v>
      </x:c>
      <x:c r="N491" s="181" t="n">
        <x:v>1</x:v>
      </x:c>
      <x:c r="O491" s="67" t="n">
        <x:v>1</x:v>
      </x:c>
    </x:row>
    <x:row r="492" ht="24" customHeight="1">
      <x:c r="A492" s="65" t="n">
        <x:v>323</x:v>
      </x:c>
      <x:c r="B492" s="65" t="str">
        <x:v>开罗国民</x:v>
      </x:c>
      <x:c r="C492" s="82" t="n">
        <x:v>1</x:v>
      </x:c>
      <x:c r="D492" s="82" t="n">
        <x:v>1</x:v>
      </x:c>
      <x:c r="E492" s="67" t="n">
        <x:v>1</x:v>
      </x:c>
      <x:c r="F492" s="181" t="n">
        <x:v>1</x:v>
      </x:c>
      <x:c r="G492" s="67" t="n">
        <x:v>1</x:v>
      </x:c>
      <x:c r="H492"/>
      <x:c r="I492" s="65" t="n">
        <x:v>323</x:v>
      </x:c>
      <x:c r="J492" s="65" t="str">
        <x:v>多克苏德（Dock Sud）</x:v>
      </x:c>
      <x:c r="K492" s="82" t="n">
        <x:v>1</x:v>
      </x:c>
      <x:c r="L492" s="82" t="n">
        <x:v>1</x:v>
      </x:c>
      <x:c r="M492" s="67" t="n">
        <x:v>1</x:v>
      </x:c>
      <x:c r="N492" s="181" t="n">
        <x:v>1</x:v>
      </x:c>
      <x:c r="O492" s="67" t="n">
        <x:v>1</x:v>
      </x:c>
    </x:row>
    <x:row r="493" ht="24" customHeight="1">
      <x:c r="A493" s="65" t="n">
        <x:v>324</x:v>
      </x:c>
      <x:c r="B493" s="65" t="str">
        <x:v>弗兰德利亚（Flandria）</x:v>
      </x:c>
      <x:c r="C493" s="82" t="n">
        <x:v>1</x:v>
      </x:c>
      <x:c r="D493" s="82" t="n">
        <x:v>1</x:v>
      </x:c>
      <x:c r="E493" s="67" t="n">
        <x:v>1</x:v>
      </x:c>
      <x:c r="F493" s="181" t="n">
        <x:v>1</x:v>
      </x:c>
      <x:c r="G493" s="67" t="n">
        <x:v>1</x:v>
      </x:c>
      <x:c r="H493"/>
      <x:c r="I493" s="65" t="n">
        <x:v>324</x:v>
      </x:c>
      <x:c r="J493" s="65" t="str">
        <x:v>多德勒支（FC Dordrecht）</x:v>
      </x:c>
      <x:c r="K493" s="82" t="n">
        <x:v>1</x:v>
      </x:c>
      <x:c r="L493" s="82" t="n">
        <x:v>1</x:v>
      </x:c>
      <x:c r="M493" s="67" t="n">
        <x:v>1</x:v>
      </x:c>
      <x:c r="N493" s="181" t="n">
        <x:v>1</x:v>
      </x:c>
      <x:c r="O493" s="67" t="n">
        <x:v>1</x:v>
      </x:c>
    </x:row>
    <x:row r="494" ht="24" customHeight="1">
      <x:c r="A494" s="65" t="n">
        <x:v>325</x:v>
      </x:c>
      <x:c r="B494" s="65" t="str">
        <x:v>弗洛里亚纳（Floriana）</x:v>
      </x:c>
      <x:c r="C494" s="82" t="n">
        <x:v>1</x:v>
      </x:c>
      <x:c r="D494" s="82" t="n">
        <x:v>1</x:v>
      </x:c>
      <x:c r="E494" s="67" t="n">
        <x:v>1</x:v>
      </x:c>
      <x:c r="F494" s="181" t="n">
        <x:v>1</x:v>
      </x:c>
      <x:c r="G494" s="67" t="n">
        <x:v>1</x:v>
      </x:c>
      <x:c r="H494"/>
      <x:c r="I494" s="65" t="n">
        <x:v>325</x:v>
      </x:c>
      <x:c r="J494" s="65" t="str">
        <x:v>大分三神（Oita Trinita）</x:v>
      </x:c>
      <x:c r="K494" s="82" t="n">
        <x:v>1</x:v>
      </x:c>
      <x:c r="L494" s="82" t="n">
        <x:v>1</x:v>
      </x:c>
      <x:c r="M494" s="67" t="n">
        <x:v>1</x:v>
      </x:c>
      <x:c r="N494" s="181" t="n">
        <x:v>1</x:v>
      </x:c>
      <x:c r="O494" s="67" t="n">
        <x:v>1</x:v>
      </x:c>
    </x:row>
    <x:row r="495" ht="24" customHeight="1">
      <x:c r="A495" s="65" t="n">
        <x:v>326</x:v>
      </x:c>
      <x:c r="B495" s="65" t="str">
        <x:v>弗赖堡（弗莱堡）</x:v>
      </x:c>
      <x:c r="C495" s="82" t="n">
        <x:v>1</x:v>
      </x:c>
      <x:c r="D495" s="82" t="n">
        <x:v>1</x:v>
      </x:c>
      <x:c r="E495" s="67" t="n">
        <x:v>1</x:v>
      </x:c>
      <x:c r="F495" s="181" t="n">
        <x:v>1</x:v>
      </x:c>
      <x:c r="G495" s="67" t="n">
        <x:v>1</x:v>
      </x:c>
      <x:c r="H495"/>
      <x:c r="I495" s="65" t="n">
        <x:v>326</x:v>
      </x:c>
      <x:c r="J495" s="65" t="str">
        <x:v>大邱FC（Daegu FC）</x:v>
      </x:c>
      <x:c r="K495" s="82" t="n">
        <x:v>1</x:v>
      </x:c>
      <x:c r="L495" s="82" t="n">
        <x:v>1</x:v>
      </x:c>
      <x:c r="M495" s="67" t="n">
        <x:v>1</x:v>
      </x:c>
      <x:c r="N495" s="181" t="n">
        <x:v>1</x:v>
      </x:c>
      <x:c r="O495" s="67" t="n">
        <x:v>1</x:v>
      </x:c>
    </x:row>
    <x:row r="496" ht="24" customHeight="1">
      <x:c r="A496" s="65" t="n">
        <x:v>327</x:v>
      </x:c>
      <x:c r="B496" s="65" t="str">
        <x:v>德仁FC（Deren FC）</x:v>
      </x:c>
      <x:c r="C496" s="82" t="n">
        <x:v>1</x:v>
      </x:c>
      <x:c r="D496" s="82" t="n">
        <x:v>1</x:v>
      </x:c>
      <x:c r="E496" s="67" t="n">
        <x:v>1</x:v>
      </x:c>
      <x:c r="F496" s="181" t="n">
        <x:v>1</x:v>
      </x:c>
      <x:c r="G496" s="67" t="n">
        <x:v>1</x:v>
      </x:c>
      <x:c r="H496"/>
      <x:c r="I496" s="65" t="n">
        <x:v>327</x:v>
      </x:c>
      <x:c r="J496" s="65" t="str">
        <x:v>天安城（Cheonan City FC）</x:v>
      </x:c>
      <x:c r="K496" s="82" t="n">
        <x:v>1</x:v>
      </x:c>
      <x:c r="L496" s="82" t="n">
        <x:v>1</x:v>
      </x:c>
      <x:c r="M496" s="67" t="n">
        <x:v>1</x:v>
      </x:c>
      <x:c r="N496" s="181" t="n">
        <x:v>1</x:v>
      </x:c>
      <x:c r="O496" s="67" t="n">
        <x:v>1</x:v>
      </x:c>
    </x:row>
    <x:row r="497" ht="24" customHeight="1">
      <x:c r="A497" s="65" t="n">
        <x:v>328</x:v>
      </x:c>
      <x:c r="B497" s="65" t="str">
        <x:v>德里FC（SC Delhi）</x:v>
      </x:c>
      <x:c r="C497" s="82" t="n">
        <x:v>1</x:v>
      </x:c>
      <x:c r="D497" s="82" t="n">
        <x:v>1</x:v>
      </x:c>
      <x:c r="E497" s="67" t="n">
        <x:v>1</x:v>
      </x:c>
      <x:c r="F497" s="181" t="n">
        <x:v>1</x:v>
      </x:c>
      <x:c r="G497" s="67" t="n">
        <x:v>1</x:v>
      </x:c>
      <x:c r="H497"/>
      <x:c r="I497" s="65" t="n">
        <x:v>328</x:v>
      </x:c>
      <x:c r="J497" s="65" t="str">
        <x:v>奈良俱乐部</x:v>
      </x:c>
      <x:c r="K497" s="82" t="n">
        <x:v>1</x:v>
      </x:c>
      <x:c r="L497" s="82" t="n">
        <x:v>1</x:v>
      </x:c>
      <x:c r="M497" s="67" t="n">
        <x:v>1</x:v>
      </x:c>
      <x:c r="N497" s="181" t="n">
        <x:v>1</x:v>
      </x:c>
      <x:c r="O497" s="67" t="n">
        <x:v>1</x:v>
      </x:c>
    </x:row>
    <x:row r="498" ht="24" customHeight="1">
      <x:c r="A498" s="65" t="n">
        <x:v>329</x:v>
      </x:c>
      <x:c r="B498" s="65" t="str">
        <x:v>恩维加多（Envigado FC）</x:v>
      </x:c>
      <x:c r="C498" s="82" t="n">
        <x:v>1</x:v>
      </x:c>
      <x:c r="D498" s="82" t="n">
        <x:v>1</x:v>
      </x:c>
      <x:c r="E498" s="67" t="n">
        <x:v>1</x:v>
      </x:c>
      <x:c r="F498" s="181" t="n">
        <x:v>1</x:v>
      </x:c>
      <x:c r="G498" s="67" t="n">
        <x:v>1</x:v>
      </x:c>
      <x:c r="H498"/>
      <x:c r="I498" s="65" t="n">
        <x:v>329</x:v>
      </x:c>
      <x:c r="J498" s="65" t="str">
        <x:v>奥克兰根</x:v>
      </x:c>
      <x:c r="K498" s="82" t="n">
        <x:v>1</x:v>
      </x:c>
      <x:c r="L498" s="82" t="n">
        <x:v>1</x:v>
      </x:c>
      <x:c r="M498" s="67" t="n">
        <x:v>1</x:v>
      </x:c>
      <x:c r="N498" s="181" t="n">
        <x:v>1</x:v>
      </x:c>
      <x:c r="O498" s="67" t="n">
        <x:v>1</x:v>
      </x:c>
    </x:row>
    <x:row r="499" ht="24" customHeight="1">
      <x:c r="A499" s="65" t="n">
        <x:v>330</x:v>
      </x:c>
      <x:c r="B499" s="65" t="str">
        <x:v>悉尼FC青年队</x:v>
      </x:c>
      <x:c r="C499" s="82" t="n">
        <x:v>1</x:v>
      </x:c>
      <x:c r="D499" s="82" t="n">
        <x:v>1</x:v>
      </x:c>
      <x:c r="E499" s="67" t="n">
        <x:v>1</x:v>
      </x:c>
      <x:c r="F499" s="181" t="n">
        <x:v>1</x:v>
      </x:c>
      <x:c r="G499" s="67" t="n">
        <x:v>1</x:v>
      </x:c>
      <x:c r="H499"/>
      <x:c r="I499" s="65" t="n">
        <x:v>330</x:v>
      </x:c>
      <x:c r="J499" s="65" t="str">
        <x:v>奥卡斯（SD Aucas）</x:v>
      </x:c>
      <x:c r="K499" s="82" t="n">
        <x:v>1</x:v>
      </x:c>
      <x:c r="L499" s="82" t="n">
        <x:v>1</x:v>
      </x:c>
      <x:c r="M499" s="67" t="n">
        <x:v>1</x:v>
      </x:c>
      <x:c r="N499" s="181" t="n">
        <x:v>1</x:v>
      </x:c>
      <x:c r="O499" s="67" t="n">
        <x:v>1</x:v>
      </x:c>
    </x:row>
    <x:row r="500" ht="24" customHeight="1">
      <x:c r="A500" s="65" t="n">
        <x:v>331</x:v>
      </x:c>
      <x:c r="B500" s="65" t="str">
        <x:v>悉尼联58（Sydney United 58）</x:v>
      </x:c>
      <x:c r="C500" s="82" t="n">
        <x:v>1</x:v>
      </x:c>
      <x:c r="D500" s="82" t="n">
        <x:v>1</x:v>
      </x:c>
      <x:c r="E500" s="67" t="n">
        <x:v>1</x:v>
      </x:c>
      <x:c r="F500" s="181" t="n">
        <x:v>1</x:v>
      </x:c>
      <x:c r="G500" s="67" t="n">
        <x:v>1</x:v>
      </x:c>
      <x:c r="H500"/>
      <x:c r="I500" s="65" t="n">
        <x:v>331</x:v>
      </x:c>
      <x:c r="J500" s="65" t="str">
        <x:v>奥尔索马尔索（Orsomarso SC）</x:v>
      </x:c>
      <x:c r="K500" s="82" t="n">
        <x:v>1</x:v>
      </x:c>
      <x:c r="L500" s="82" t="n">
        <x:v>1</x:v>
      </x:c>
      <x:c r="M500" s="67" t="n">
        <x:v>1</x:v>
      </x:c>
      <x:c r="N500" s="181" t="n">
        <x:v>1</x:v>
      </x:c>
      <x:c r="O500" s="67" t="n">
        <x:v>1</x:v>
      </x:c>
    </x:row>
    <x:row r="501" ht="24" customHeight="1">
      <x:c r="A501" s="65" t="n">
        <x:v>332</x:v>
      </x:c>
      <x:c r="B501" s="65" t="str">
        <x:v>意大利体育会（Sportivo Italiano）</x:v>
      </x:c>
      <x:c r="C501" s="82" t="n">
        <x:v>1</x:v>
      </x:c>
      <x:c r="D501" s="82" t="n">
        <x:v>1</x:v>
      </x:c>
      <x:c r="E501" s="67" t="n">
        <x:v>1</x:v>
      </x:c>
      <x:c r="F501" s="181" t="n">
        <x:v>1</x:v>
      </x:c>
      <x:c r="G501" s="67" t="n">
        <x:v>1</x:v>
      </x:c>
      <x:c r="H501"/>
      <x:c r="I501" s="65" t="n">
        <x:v>332</x:v>
      </x:c>
      <x:c r="J501" s="65" t="str">
        <x:v>奥林匹克萨菲</x:v>
      </x:c>
      <x:c r="K501" s="82" t="n">
        <x:v>1</x:v>
      </x:c>
      <x:c r="L501" s="82" t="n">
        <x:v>1</x:v>
      </x:c>
      <x:c r="M501" s="67" t="n">
        <x:v>1</x:v>
      </x:c>
      <x:c r="N501" s="181" t="n">
        <x:v>1</x:v>
      </x:c>
      <x:c r="O501" s="67" t="n">
        <x:v>1</x:v>
      </x:c>
    </x:row>
    <x:row r="502" ht="24" customHeight="1">
      <x:c r="A502" s="65" t="n">
        <x:v>333</x:v>
      </x:c>
      <x:c r="B502" s="65" t="str">
        <x:v>慕尼斯帕尔利比亚（Municipal Liberia）</x:v>
      </x:c>
      <x:c r="C502" s="82" t="n">
        <x:v>1</x:v>
      </x:c>
      <x:c r="D502" s="82" t="n">
        <x:v>1</x:v>
      </x:c>
      <x:c r="E502" s="67" t="n">
        <x:v>1</x:v>
      </x:c>
      <x:c r="F502" s="181" t="n">
        <x:v>1</x:v>
      </x:c>
      <x:c r="G502" s="67" t="n">
        <x:v>1</x:v>
      </x:c>
      <x:c r="H502"/>
      <x:c r="I502" s="65" t="n">
        <x:v>333</x:v>
      </x:c>
      <x:c r="J502" s="65" t="str">
        <x:v>奥萨苏纳（Osasuna）</x:v>
      </x:c>
      <x:c r="K502" s="82" t="n">
        <x:v>1</x:v>
      </x:c>
      <x:c r="L502" s="82" t="n">
        <x:v>1</x:v>
      </x:c>
      <x:c r="M502" s="67" t="n">
        <x:v>1</x:v>
      </x:c>
      <x:c r="N502" s="181" t="n">
        <x:v>1</x:v>
      </x:c>
      <x:c r="O502" s="67" t="n">
        <x:v>1</x:v>
      </x:c>
    </x:row>
    <x:row r="503" ht="24" customHeight="1">
      <x:c r="A503" s="65" t="n">
        <x:v>334</x:v>
      </x:c>
      <x:c r="B503" s="65" t="str">
        <x:v>托利马(Deportes Tolima)</x:v>
      </x:c>
      <x:c r="C503" s="82" t="n">
        <x:v>1</x:v>
      </x:c>
      <x:c r="D503" s="82" t="n">
        <x:v>1</x:v>
      </x:c>
      <x:c r="E503" s="67" t="n">
        <x:v>1</x:v>
      </x:c>
      <x:c r="F503" s="181" t="n">
        <x:v>1</x:v>
      </x:c>
      <x:c r="G503" s="67" t="n">
        <x:v>1</x:v>
      </x:c>
      <x:c r="H503"/>
      <x:c r="I503" s="65" t="n">
        <x:v>334</x:v>
      </x:c>
      <x:c r="J503" s="65" t="str">
        <x:v>奥达斯意大利人（Audax Italiano）</x:v>
      </x:c>
      <x:c r="K503" s="82" t="n">
        <x:v>1</x:v>
      </x:c>
      <x:c r="L503" s="82" t="n">
        <x:v>1</x:v>
      </x:c>
      <x:c r="M503" s="67" t="n">
        <x:v>1</x:v>
      </x:c>
      <x:c r="N503" s="181" t="n">
        <x:v>1</x:v>
      </x:c>
      <x:c r="O503" s="67" t="n">
        <x:v>1</x:v>
      </x:c>
    </x:row>
    <x:row r="504" ht="24" customHeight="1">
      <x:c r="A504" s="65" t="n">
        <x:v>335</x:v>
      </x:c>
      <x:c r="B504" s="65" t="str">
        <x:v>拉尼罗斯FC</x:v>
      </x:c>
      <x:c r="C504" s="82" t="n">
        <x:v>1</x:v>
      </x:c>
      <x:c r="D504" s="82" t="n">
        <x:v>1</x:v>
      </x:c>
      <x:c r="E504" s="67" t="n">
        <x:v>1</x:v>
      </x:c>
      <x:c r="F504" s="181" t="n">
        <x:v>1</x:v>
      </x:c>
      <x:c r="G504" s="67" t="n">
        <x:v>1</x:v>
      </x:c>
      <x:c r="H504"/>
      <x:c r="I504" s="65" t="n">
        <x:v>335</x:v>
      </x:c>
      <x:c r="J504" s="65" t="str">
        <x:v>奥雷布洛（Örebro SK）</x:v>
      </x:c>
      <x:c r="K504" s="82" t="n">
        <x:v>1</x:v>
      </x:c>
      <x:c r="L504" s="82" t="n">
        <x:v>1</x:v>
      </x:c>
      <x:c r="M504" s="67" t="n">
        <x:v>1</x:v>
      </x:c>
      <x:c r="N504" s="181" t="n">
        <x:v>1</x:v>
      </x:c>
      <x:c r="O504" s="67" t="n">
        <x:v>1</x:v>
      </x:c>
    </x:row>
    <x:row r="505" ht="24" customHeight="1">
      <x:c r="A505" s="65" t="n">
        <x:v>336</x:v>
      </x:c>
      <x:c r="B505" s="65" t="str">
        <x:v>拉巴斯竞技（Atlético La Paz）</x:v>
      </x:c>
      <x:c r="C505" s="82" t="n">
        <x:v>1</x:v>
      </x:c>
      <x:c r="D505" s="82" t="n">
        <x:v>1</x:v>
      </x:c>
      <x:c r="E505" s="67" t="n">
        <x:v>1</x:v>
      </x:c>
      <x:c r="F505" s="181" t="n">
        <x:v>1</x:v>
      </x:c>
      <x:c r="G505" s="67" t="n">
        <x:v>1</x:v>
      </x:c>
      <x:c r="H505"/>
      <x:c r="I505" s="65" t="n">
        <x:v>336</x:v>
      </x:c>
      <x:c r="J505" s="65" t="str">
        <x:v>女王公园（Queen's Park）</x:v>
      </x:c>
      <x:c r="K505" s="82" t="n">
        <x:v>1</x:v>
      </x:c>
      <x:c r="L505" s="82" t="n">
        <x:v>1</x:v>
      </x:c>
      <x:c r="M505" s="67" t="n">
        <x:v>1</x:v>
      </x:c>
      <x:c r="N505" s="181" t="n">
        <x:v>1</x:v>
      </x:c>
      <x:c r="O505" s="67" t="n">
        <x:v>1</x:v>
      </x:c>
    </x:row>
    <x:row r="506" ht="24" customHeight="1">
      <x:c r="A506" s="65" t="n">
        <x:v>337</x:v>
      </x:c>
      <x:c r="B506" s="65" t="str">
        <x:v>拉恩（Larne FC）</x:v>
      </x:c>
      <x:c r="C506" s="82" t="n">
        <x:v>1</x:v>
      </x:c>
      <x:c r="D506" s="82" t="n">
        <x:v>1</x:v>
      </x:c>
      <x:c r="E506" s="67" t="n">
        <x:v>1</x:v>
      </x:c>
      <x:c r="F506" s="181" t="n">
        <x:v>1</x:v>
      </x:c>
      <x:c r="G506" s="67" t="n">
        <x:v>1</x:v>
      </x:c>
      <x:c r="H506"/>
      <x:c r="I506" s="65" t="n">
        <x:v>337</x:v>
      </x:c>
      <x:c r="J506" s="65" t="str">
        <x:v>婆罗洲FC三马林达（Borneo FC Samarinda）</x:v>
      </x:c>
      <x:c r="K506" s="82" t="n">
        <x:v>1</x:v>
      </x:c>
      <x:c r="L506" s="82" t="n">
        <x:v>1</x:v>
      </x:c>
      <x:c r="M506" s="67" t="n">
        <x:v>1</x:v>
      </x:c>
      <x:c r="N506" s="181" t="n">
        <x:v>1</x:v>
      </x:c>
      <x:c r="O506" s="67" t="n">
        <x:v>1</x:v>
      </x:c>
    </x:row>
    <x:row r="507" ht="24" customHeight="1">
      <x:c r="A507" s="65" t="n">
        <x:v>338</x:v>
      </x:c>
      <x:c r="B507" s="65" t="str">
        <x:v>拉斯帕尔马斯（UD Las Palmas）</x:v>
      </x:c>
      <x:c r="C507" s="82" t="n">
        <x:v>1</x:v>
      </x:c>
      <x:c r="D507" s="82" t="n">
        <x:v>1</x:v>
      </x:c>
      <x:c r="E507" s="67" t="n">
        <x:v>1</x:v>
      </x:c>
      <x:c r="F507" s="181" t="n">
        <x:v>1</x:v>
      </x:c>
      <x:c r="G507" s="67" t="n">
        <x:v>1</x:v>
      </x:c>
      <x:c r="H507"/>
      <x:c r="I507" s="65" t="n">
        <x:v>338</x:v>
      </x:c>
      <x:c r="J507" s="65" t="str">
        <x:v>孟买城FC</x:v>
      </x:c>
      <x:c r="K507" s="82" t="n">
        <x:v>1</x:v>
      </x:c>
      <x:c r="L507" s="82" t="n">
        <x:v>1</x:v>
      </x:c>
      <x:c r="M507" s="67" t="n">
        <x:v>1</x:v>
      </x:c>
      <x:c r="N507" s="181" t="n">
        <x:v>1</x:v>
      </x:c>
      <x:c r="O507" s="67" t="n">
        <x:v>1</x:v>
      </x:c>
    </x:row>
    <x:row r="508" ht="24" customHeight="1">
      <x:c r="A508" s="65" t="n">
        <x:v>339</x:v>
      </x:c>
      <x:c r="B508" s="65" t="str">
        <x:v>拉斯维加斯光（Las Vegas Lights FC）</x:v>
      </x:c>
      <x:c r="C508" s="82" t="n">
        <x:v>1</x:v>
      </x:c>
      <x:c r="D508" s="82" t="n">
        <x:v>1</x:v>
      </x:c>
      <x:c r="E508" s="67" t="n">
        <x:v>1</x:v>
      </x:c>
      <x:c r="F508" s="181" t="n">
        <x:v>1</x:v>
      </x:c>
      <x:c r="G508" s="67" t="n">
        <x:v>1</x:v>
      </x:c>
      <x:c r="H508"/>
      <x:c r="I508" s="65" t="n">
        <x:v>339</x:v>
      </x:c>
      <x:c r="J508" s="65" t="str">
        <x:v>安塔利亚体育（Antalyaspor）</x:v>
      </x:c>
      <x:c r="K508" s="82" t="n">
        <x:v>1</x:v>
      </x:c>
      <x:c r="L508" s="82" t="n">
        <x:v>1</x:v>
      </x:c>
      <x:c r="M508" s="67" t="n">
        <x:v>1</x:v>
      </x:c>
      <x:c r="N508" s="181" t="n">
        <x:v>1</x:v>
      </x:c>
      <x:c r="O508" s="67" t="n">
        <x:v>1</x:v>
      </x:c>
    </x:row>
    <x:row r="509" ht="24" customHeight="1">
      <x:c r="A509" s="65" t="n">
        <x:v>340</x:v>
      </x:c>
      <x:c r="B509" s="65" t="str">
        <x:v>拉普拉塔体操</x:v>
      </x:c>
      <x:c r="C509" s="82" t="n">
        <x:v>1</x:v>
      </x:c>
      <x:c r="D509" s="82" t="n">
        <x:v>1</x:v>
      </x:c>
      <x:c r="E509" s="67" t="n">
        <x:v>1</x:v>
      </x:c>
      <x:c r="F509" s="181" t="n">
        <x:v>1</x:v>
      </x:c>
      <x:c r="G509" s="67" t="n">
        <x:v>1</x:v>
      </x:c>
      <x:c r="H509"/>
      <x:c r="I509" s="65" t="n">
        <x:v>340</x:v>
      </x:c>
      <x:c r="J509" s="65" t="str">
        <x:v>富山胜利</x:v>
      </x:c>
      <x:c r="K509" s="82" t="n">
        <x:v>1</x:v>
      </x:c>
      <x:c r="L509" s="82" t="n">
        <x:v>1</x:v>
      </x:c>
      <x:c r="M509" s="67" t="n">
        <x:v>1</x:v>
      </x:c>
      <x:c r="N509" s="181" t="n">
        <x:v>1</x:v>
      </x:c>
      <x:c r="O509" s="67" t="n">
        <x:v>1</x:v>
      </x:c>
    </x:row>
    <x:row r="510" ht="24" customHeight="1">
      <x:c r="A510" s="65" t="n">
        <x:v>341</x:v>
      </x:c>
      <x:c r="B510" s="65" t="str">
        <x:v>拉普拉塔体操(Gimnasia La Plata)</x:v>
      </x:c>
      <x:c r="C510" s="82" t="n">
        <x:v>1</x:v>
      </x:c>
      <x:c r="D510" s="82" t="n">
        <x:v>1</x:v>
      </x:c>
      <x:c r="E510" s="67" t="n">
        <x:v>1</x:v>
      </x:c>
      <x:c r="F510" s="181" t="n">
        <x:v>1</x:v>
      </x:c>
      <x:c r="G510" s="67" t="n">
        <x:v>1</x:v>
      </x:c>
      <x:c r="H510"/>
      <x:c r="I510" s="65" t="n">
        <x:v>341</x:v>
      </x:c>
      <x:c r="J510" s="65" t="str">
        <x:v>尤尔加登（Djurgårdens IF）</x:v>
      </x:c>
      <x:c r="K510" s="82" t="n">
        <x:v>1</x:v>
      </x:c>
      <x:c r="L510" s="82" t="n">
        <x:v>1</x:v>
      </x:c>
      <x:c r="M510" s="67" t="n">
        <x:v>1</x:v>
      </x:c>
      <x:c r="N510" s="181" t="n">
        <x:v>1</x:v>
      </x:c>
      <x:c r="O510" s="67" t="n">
        <x:v>1</x:v>
      </x:c>
    </x:row>
    <x:row r="511" ht="24" customHeight="1">
      <x:c r="A511" s="65" t="n">
        <x:v>342</x:v>
      </x:c>
      <x:c r="B511" s="65" t="str">
        <x:v>拉查布里府（Ratchaburi）</x:v>
      </x:c>
      <x:c r="C511" s="82" t="n">
        <x:v>1</x:v>
      </x:c>
      <x:c r="D511" s="82" t="n">
        <x:v>1</x:v>
      </x:c>
      <x:c r="E511" s="67" t="n">
        <x:v>1</x:v>
      </x:c>
      <x:c r="F511" s="181" t="n">
        <x:v>1</x:v>
      </x:c>
      <x:c r="G511" s="67" t="n">
        <x:v>1</x:v>
      </x:c>
      <x:c r="H511"/>
      <x:c r="I511" s="65" t="n">
        <x:v>342</x:v>
      </x:c>
      <x:c r="J511" s="65" t="str">
        <x:v>尤文图德（拉斯彼德拉斯）</x:v>
      </x:c>
      <x:c r="K511" s="82" t="n">
        <x:v>1</x:v>
      </x:c>
      <x:c r="L511" s="82" t="n">
        <x:v>1</x:v>
      </x:c>
      <x:c r="M511" s="67" t="n">
        <x:v>1</x:v>
      </x:c>
      <x:c r="N511" s="181" t="n">
        <x:v>1</x:v>
      </x:c>
      <x:c r="O511" s="67" t="n">
        <x:v>1</x:v>
      </x:c>
    </x:row>
    <x:row r="512" ht="24" customHeight="1">
      <x:c r="A512" s="65" t="n">
        <x:v>343</x:v>
      </x:c>
      <x:c r="B512" s="65" t="str">
        <x:v>拉茨流浪者（Raith Rovers）</x:v>
      </x:c>
      <x:c r="C512" s="82" t="n">
        <x:v>1</x:v>
      </x:c>
      <x:c r="D512" s="82" t="n">
        <x:v>1</x:v>
      </x:c>
      <x:c r="E512" s="67" t="n">
        <x:v>1</x:v>
      </x:c>
      <x:c r="F512" s="181" t="n">
        <x:v>1</x:v>
      </x:c>
      <x:c r="G512" s="67" t="n">
        <x:v>1</x:v>
      </x:c>
      <x:c r="H512"/>
      <x:c r="I512" s="65" t="n">
        <x:v>343</x:v>
      </x:c>
      <x:c r="J512" s="65" t="str">
        <x:v>尤文图德（拉斯彼德拉斯）（Juventud de Las Piedras）</x:v>
      </x:c>
      <x:c r="K512" s="82" t="n">
        <x:v>1</x:v>
      </x:c>
      <x:c r="L512" s="82" t="n">
        <x:v>1</x:v>
      </x:c>
      <x:c r="M512" s="67" t="n">
        <x:v>1</x:v>
      </x:c>
      <x:c r="N512" s="181" t="n">
        <x:v>1</x:v>
      </x:c>
      <x:c r="O512" s="67" t="n">
        <x:v>1</x:v>
      </x:c>
    </x:row>
    <x:row r="513" ht="24" customHeight="1">
      <x:c r="A513" s="65" t="n">
        <x:v>344</x:v>
      </x:c>
      <x:c r="B513" s="65" t="str">
        <x:v>拉费雷雷（Deportivo Laferrere）</x:v>
      </x:c>
      <x:c r="C513" s="82" t="n">
        <x:v>1</x:v>
      </x:c>
      <x:c r="D513" s="82" t="n">
        <x:v>1</x:v>
      </x:c>
      <x:c r="E513" s="67" t="n">
        <x:v>1</x:v>
      </x:c>
      <x:c r="F513" s="181" t="n">
        <x:v>1</x:v>
      </x:c>
      <x:c r="G513" s="67" t="n">
        <x:v>1</x:v>
      </x:c>
      <x:c r="H513"/>
      <x:c r="I513" s="65" t="n">
        <x:v>344</x:v>
      </x:c>
      <x:c r="J513" s="65" t="str">
        <x:v>山口雷法</x:v>
      </x:c>
      <x:c r="K513" s="82" t="n">
        <x:v>1</x:v>
      </x:c>
      <x:c r="L513" s="82" t="n">
        <x:v>1</x:v>
      </x:c>
      <x:c r="M513" s="67" t="n">
        <x:v>1</x:v>
      </x:c>
      <x:c r="N513" s="181" t="n">
        <x:v>1</x:v>
      </x:c>
      <x:c r="O513" s="67" t="n">
        <x:v>1</x:v>
      </x:c>
    </x:row>
    <x:row r="514" ht="24" customHeight="1">
      <x:c r="A514" s="65" t="n">
        <x:v>345</x:v>
      </x:c>
      <x:c r="B514" s="65" t="str">
        <x:v>拉赫迪（FC Lahti）</x:v>
      </x:c>
      <x:c r="C514" s="82" t="n">
        <x:v>1</x:v>
      </x:c>
      <x:c r="D514" s="82" t="n">
        <x:v>1</x:v>
      </x:c>
      <x:c r="E514" s="67" t="n">
        <x:v>1</x:v>
      </x:c>
      <x:c r="F514" s="181" t="n">
        <x:v>1</x:v>
      </x:c>
      <x:c r="G514" s="67" t="n">
        <x:v>1</x:v>
      </x:c>
      <x:c r="H514"/>
      <x:c r="I514" s="65" t="n">
        <x:v>345</x:v>
      </x:c>
      <x:c r="J514" s="65" t="str">
        <x:v>山形山神（Montedio Yamagata）</x:v>
      </x:c>
      <x:c r="K514" s="82" t="n">
        <x:v>1</x:v>
      </x:c>
      <x:c r="L514" s="82" t="n">
        <x:v>1</x:v>
      </x:c>
      <x:c r="M514" s="67" t="n">
        <x:v>1</x:v>
      </x:c>
      <x:c r="N514" s="181" t="n">
        <x:v>1</x:v>
      </x:c>
      <x:c r="O514" s="67" t="n">
        <x:v>1</x:v>
      </x:c>
    </x:row>
    <x:row r="515" ht="24" customHeight="1">
      <x:c r="A515" s="65" t="n">
        <x:v>346</x:v>
      </x:c>
      <x:c r="B515" s="65" t="str">
        <x:v>拜仁慕尼黑</x:v>
      </x:c>
      <x:c r="C515" s="82" t="n">
        <x:v>1</x:v>
      </x:c>
      <x:c r="D515" s="82" t="n">
        <x:v>1</x:v>
      </x:c>
      <x:c r="E515" s="67" t="n">
        <x:v>1</x:v>
      </x:c>
      <x:c r="F515" s="181" t="n">
        <x:v>1</x:v>
      </x:c>
      <x:c r="G515" s="67" t="n">
        <x:v>1</x:v>
      </x:c>
      <x:c r="H515"/>
      <x:c r="I515" s="65" t="n">
        <x:v>346</x:v>
      </x:c>
      <x:c r="J515" s="65" t="str">
        <x:v>巴伊亚（Bahia）</x:v>
      </x:c>
      <x:c r="K515" s="82" t="n">
        <x:v>1</x:v>
      </x:c>
      <x:c r="L515" s="82" t="n">
        <x:v>1</x:v>
      </x:c>
      <x:c r="M515" s="67" t="n">
        <x:v>1</x:v>
      </x:c>
      <x:c r="N515" s="181" t="n">
        <x:v>1</x:v>
      </x:c>
      <x:c r="O515" s="67" t="n">
        <x:v>1</x:v>
      </x:c>
    </x:row>
    <x:row r="516" ht="24" customHeight="1">
      <x:c r="A516" s="65" t="n">
        <x:v>347</x:v>
      </x:c>
      <x:c r="B516" s="65" t="str">
        <x:v>掸邦联(Shan United)</x:v>
      </x:c>
      <x:c r="C516" s="82" t="n">
        <x:v>1</x:v>
      </x:c>
      <x:c r="D516" s="82" t="n">
        <x:v>1</x:v>
      </x:c>
      <x:c r="E516" s="67" t="n">
        <x:v>1</x:v>
      </x:c>
      <x:c r="F516" s="181" t="n">
        <x:v>1</x:v>
      </x:c>
      <x:c r="G516" s="67" t="n">
        <x:v>1</x:v>
      </x:c>
      <x:c r="H516"/>
      <x:c r="I516" s="65" t="n">
        <x:v>347</x:v>
      </x:c>
      <x:c r="J516" s="65" t="str">
        <x:v>巴伊亚(EC Bahia)</x:v>
      </x:c>
      <x:c r="K516" s="82" t="n">
        <x:v>1</x:v>
      </x:c>
      <x:c r="L516" s="82" t="n">
        <x:v>1</x:v>
      </x:c>
      <x:c r="M516" s="67" t="n">
        <x:v>1</x:v>
      </x:c>
      <x:c r="N516" s="181" t="n">
        <x:v>1</x:v>
      </x:c>
      <x:c r="O516" s="67" t="n">
        <x:v>1</x:v>
      </x:c>
    </x:row>
    <x:row r="517" ht="24" customHeight="1">
      <x:c r="A517" s="65" t="n">
        <x:v>348</x:v>
      </x:c>
      <x:c r="B517" s="65" t="str">
        <x:v>摩顿（Greenock Morton）</x:v>
      </x:c>
      <x:c r="C517" s="82" t="n">
        <x:v>1</x:v>
      </x:c>
      <x:c r="D517" s="82" t="n">
        <x:v>1</x:v>
      </x:c>
      <x:c r="E517" s="67" t="n">
        <x:v>1</x:v>
      </x:c>
      <x:c r="F517" s="181" t="n">
        <x:v>1</x:v>
      </x:c>
      <x:c r="G517" s="67" t="n">
        <x:v>1</x:v>
      </x:c>
      <x:c r="H517"/>
      <x:c r="I517" s="65" t="n">
        <x:v>348</x:v>
      </x:c>
      <x:c r="J517" s="65" t="str">
        <x:v>巴克伦佛（PSBS）</x:v>
      </x:c>
      <x:c r="K517" s="82" t="n">
        <x:v>1</x:v>
      </x:c>
      <x:c r="L517" s="82" t="n">
        <x:v>1</x:v>
      </x:c>
      <x:c r="M517" s="67" t="n">
        <x:v>1</x:v>
      </x:c>
      <x:c r="N517" s="181" t="n">
        <x:v>1</x:v>
      </x:c>
      <x:c r="O517" s="67" t="n">
        <x:v>1</x:v>
      </x:c>
    </x:row>
    <x:row r="518" ht="24" customHeight="1">
      <x:c r="A518" s="65" t="n">
        <x:v>349</x:v>
      </x:c>
      <x:c r="B518" s="65" t="str">
        <x:v>文托大学FC（Universitario de Vinto）</x:v>
      </x:c>
      <x:c r="C518" s="82" t="n">
        <x:v>1</x:v>
      </x:c>
      <x:c r="D518" s="82" t="n">
        <x:v>1</x:v>
      </x:c>
      <x:c r="E518" s="67" t="n">
        <x:v>1</x:v>
      </x:c>
      <x:c r="F518" s="181" t="n">
        <x:v>1</x:v>
      </x:c>
      <x:c r="G518" s="67" t="n">
        <x:v>1</x:v>
      </x:c>
      <x:c r="H518"/>
      <x:c r="I518" s="65" t="n">
        <x:v>349</x:v>
      </x:c>
      <x:c r="J518" s="65" t="str">
        <x:v>巴克伦佛（PSBS比亚克）</x:v>
      </x:c>
      <x:c r="K518" s="82" t="n">
        <x:v>1</x:v>
      </x:c>
      <x:c r="L518" s="82" t="n">
        <x:v>1</x:v>
      </x:c>
      <x:c r="M518" s="67" t="n">
        <x:v>1</x:v>
      </x:c>
      <x:c r="N518" s="181" t="n">
        <x:v>1</x:v>
      </x:c>
      <x:c r="O518" s="67" t="n">
        <x:v>1</x:v>
      </x:c>
    </x:row>
    <x:row r="519" ht="24" customHeight="1">
      <x:c r="A519" s="65" t="n">
        <x:v>350</x:v>
      </x:c>
      <x:c r="B519" s="65" t="str">
        <x:v>文莱</x:v>
      </x:c>
      <x:c r="C519" s="82" t="n">
        <x:v>1</x:v>
      </x:c>
      <x:c r="D519" s="82" t="n">
        <x:v>1</x:v>
      </x:c>
      <x:c r="E519" s="67" t="n">
        <x:v>1</x:v>
      </x:c>
      <x:c r="F519" s="181" t="n">
        <x:v>1</x:v>
      </x:c>
      <x:c r="G519" s="67" t="n">
        <x:v>1</x:v>
      </x:c>
      <x:c r="H519"/>
      <x:c r="I519" s="65" t="n">
        <x:v>350</x:v>
      </x:c>
      <x:c r="J519" s="65" t="str">
        <x:v>巴兰基亚青年(Atlético Junior)</x:v>
      </x:c>
      <x:c r="K519" s="82" t="n">
        <x:v>1</x:v>
      </x:c>
      <x:c r="L519" s="82" t="n">
        <x:v>1</x:v>
      </x:c>
      <x:c r="M519" s="67" t="n">
        <x:v>1</x:v>
      </x:c>
      <x:c r="N519" s="181" t="n">
        <x:v>1</x:v>
      </x:c>
      <x:c r="O519" s="67" t="n">
        <x:v>1</x:v>
      </x:c>
    </x:row>
    <x:row r="520" ht="24" customHeight="1">
      <x:c r="A520" s="65" t="n">
        <x:v>351</x:v>
      </x:c>
      <x:c r="B520" s="65" t="str">
        <x:v>斯旺西（Swansea City）</x:v>
      </x:c>
      <x:c r="C520" s="82" t="n">
        <x:v>1</x:v>
      </x:c>
      <x:c r="D520" s="82" t="n">
        <x:v>1</x:v>
      </x:c>
      <x:c r="E520" s="67" t="n">
        <x:v>1</x:v>
      </x:c>
      <x:c r="F520" s="181" t="n">
        <x:v>1</x:v>
      </x:c>
      <x:c r="G520" s="67" t="n">
        <x:v>1</x:v>
      </x:c>
      <x:c r="H520"/>
      <x:c r="I520" s="65" t="n">
        <x:v>351</x:v>
      </x:c>
      <x:c r="J520" s="65" t="str">
        <x:v>巴兰基亚青年（阿特莱蒂科青年/Atlético Junior）</x:v>
      </x:c>
      <x:c r="K520" s="82" t="n">
        <x:v>1</x:v>
      </x:c>
      <x:c r="L520" s="82" t="n">
        <x:v>1</x:v>
      </x:c>
      <x:c r="M520" s="67" t="n">
        <x:v>1</x:v>
      </x:c>
      <x:c r="N520" s="181" t="n">
        <x:v>1</x:v>
      </x:c>
      <x:c r="O520" s="67" t="n">
        <x:v>1</x:v>
      </x:c>
    </x:row>
    <x:row r="521" ht="24" customHeight="1">
      <x:c r="A521" s="65" t="n">
        <x:v>352</x:v>
      </x:c>
      <x:c r="B521" s="65" t="str">
        <x:v>斯法克斯</x:v>
      </x:c>
      <x:c r="C521" s="82" t="n">
        <x:v>1</x:v>
      </x:c>
      <x:c r="D521" s="82" t="n">
        <x:v>1</x:v>
      </x:c>
      <x:c r="E521" s="67" t="n">
        <x:v>1</x:v>
      </x:c>
      <x:c r="F521" s="181" t="n">
        <x:v>1</x:v>
      </x:c>
      <x:c r="G521" s="67" t="n">
        <x:v>1</x:v>
      </x:c>
      <x:c r="H521"/>
      <x:c r="I521" s="65" t="n">
        <x:v>352</x:v>
      </x:c>
      <x:c r="J521" s="65" t="str">
        <x:v>巴列卡诺</x:v>
      </x:c>
      <x:c r="K521" s="82" t="n">
        <x:v>1</x:v>
      </x:c>
      <x:c r="L521" s="82" t="n">
        <x:v>1</x:v>
      </x:c>
      <x:c r="M521" s="67" t="n">
        <x:v>1</x:v>
      </x:c>
      <x:c r="N521" s="181" t="n">
        <x:v>1</x:v>
      </x:c>
      <x:c r="O521" s="67" t="n">
        <x:v>1</x:v>
      </x:c>
    </x:row>
    <x:row r="522" ht="24" customHeight="1">
      <x:c r="A522" s="65" t="n">
        <x:v>353</x:v>
      </x:c>
      <x:c r="B522" s="65" t="str">
        <x:v>斯达</x:v>
      </x:c>
      <x:c r="C522" s="82" t="n">
        <x:v>1</x:v>
      </x:c>
      <x:c r="D522" s="82" t="n">
        <x:v>1</x:v>
      </x:c>
      <x:c r="E522" s="67" t="n">
        <x:v>1</x:v>
      </x:c>
      <x:c r="F522" s="181" t="n">
        <x:v>1</x:v>
      </x:c>
      <x:c r="G522" s="67" t="n">
        <x:v>1</x:v>
      </x:c>
      <x:c r="H522"/>
      <x:c r="I522" s="65" t="n">
        <x:v>353</x:v>
      </x:c>
      <x:c r="J522" s="65" t="str">
        <x:v>巴勒斯坦</x:v>
      </x:c>
      <x:c r="K522" s="82" t="n">
        <x:v>1</x:v>
      </x:c>
      <x:c r="L522" s="82" t="n">
        <x:v>1</x:v>
      </x:c>
      <x:c r="M522" s="67" t="n">
        <x:v>1</x:v>
      </x:c>
      <x:c r="N522" s="181" t="n">
        <x:v>1</x:v>
      </x:c>
      <x:c r="O522" s="67" t="n">
        <x:v>1</x:v>
      </x:c>
    </x:row>
    <x:row r="523" ht="24" customHeight="1">
      <x:c r="A523" s="65" t="n">
        <x:v>354</x:v>
      </x:c>
      <x:c r="B523" s="65" t="str">
        <x:v>斯里兰卡</x:v>
      </x:c>
      <x:c r="C523" s="82" t="n">
        <x:v>1</x:v>
      </x:c>
      <x:c r="D523" s="82" t="n">
        <x:v>1</x:v>
      </x:c>
      <x:c r="E523" s="67" t="n">
        <x:v>1</x:v>
      </x:c>
      <x:c r="F523" s="181" t="n">
        <x:v>1</x:v>
      </x:c>
      <x:c r="G523" s="67" t="n">
        <x:v>1</x:v>
      </x:c>
      <x:c r="H523"/>
      <x:c r="I523" s="65" t="n">
        <x:v>354</x:v>
      </x:c>
      <x:c r="J523" s="65" t="str">
        <x:v>巴塞罗那（Barcelona）</x:v>
      </x:c>
      <x:c r="K523" s="82" t="n">
        <x:v>1</x:v>
      </x:c>
      <x:c r="L523" s="82" t="n">
        <x:v>1</x:v>
      </x:c>
      <x:c r="M523" s="67" t="n">
        <x:v>1</x:v>
      </x:c>
      <x:c r="N523" s="181" t="n">
        <x:v>1</x:v>
      </x:c>
      <x:c r="O523" s="67" t="n">
        <x:v>1</x:v>
      </x:c>
    </x:row>
    <x:row r="524" ht="24" customHeight="1">
      <x:c r="A524" s="65" t="n">
        <x:v>355</x:v>
      </x:c>
      <x:c r="B524" s="65" t="str">
        <x:v>新南威尔士大学</x:v>
      </x:c>
      <x:c r="C524" s="82" t="n">
        <x:v>1</x:v>
      </x:c>
      <x:c r="D524" s="82" t="n">
        <x:v>1</x:v>
      </x:c>
      <x:c r="E524" s="67" t="n">
        <x:v>1</x:v>
      </x:c>
      <x:c r="F524" s="181" t="n">
        <x:v>1</x:v>
      </x:c>
      <x:c r="G524" s="67" t="n">
        <x:v>1</x:v>
      </x:c>
      <x:c r="H524"/>
      <x:c r="I524" s="65" t="n">
        <x:v>355</x:v>
      </x:c>
      <x:c r="J524" s="65" t="str">
        <x:v>巴拿马</x:v>
      </x:c>
      <x:c r="K524" s="82" t="n">
        <x:v>1</x:v>
      </x:c>
      <x:c r="L524" s="82" t="n">
        <x:v>1</x:v>
      </x:c>
      <x:c r="M524" s="67" t="n">
        <x:v>1</x:v>
      </x:c>
      <x:c r="N524" s="181" t="n">
        <x:v>1</x:v>
      </x:c>
      <x:c r="O524" s="67" t="n">
        <x:v>1</x:v>
      </x:c>
    </x:row>
    <x:row r="525" ht="24" customHeight="1">
      <x:c r="A525" s="65" t="n">
        <x:v>356</x:v>
      </x:c>
      <x:c r="B525" s="65" t="str">
        <x:v>新潟天鹅</x:v>
      </x:c>
      <x:c r="C525" s="82" t="n">
        <x:v>1</x:v>
      </x:c>
      <x:c r="D525" s="82" t="n">
        <x:v>1</x:v>
      </x:c>
      <x:c r="E525" s="67" t="n">
        <x:v>1</x:v>
      </x:c>
      <x:c r="F525" s="181" t="n">
        <x:v>1</x:v>
      </x:c>
      <x:c r="G525" s="67" t="n">
        <x:v>1</x:v>
      </x:c>
      <x:c r="H525"/>
      <x:c r="I525" s="65" t="n">
        <x:v>356</x:v>
      </x:c>
      <x:c r="J525" s="65" t="str">
        <x:v>巴杨卡拉（Bhayangkara Presisi Lampung FC）</x:v>
      </x:c>
      <x:c r="K525" s="82" t="n">
        <x:v>1</x:v>
      </x:c>
      <x:c r="L525" s="82" t="n">
        <x:v>1</x:v>
      </x:c>
      <x:c r="M525" s="67" t="n">
        <x:v>1</x:v>
      </x:c>
      <x:c r="N525" s="181" t="n">
        <x:v>1</x:v>
      </x:c>
      <x:c r="O525" s="67" t="n">
        <x:v>1</x:v>
      </x:c>
    </x:row>
    <x:row r="526" ht="24" customHeight="1">
      <x:c r="A526" s="65" t="n">
        <x:v>357</x:v>
      </x:c>
      <x:c r="B526" s="65" t="str">
        <x:v>日本U19青年队</x:v>
      </x:c>
      <x:c r="C526" s="82" t="n">
        <x:v>1</x:v>
      </x:c>
      <x:c r="D526" s="82" t="n">
        <x:v>1</x:v>
      </x:c>
      <x:c r="E526" s="67" t="n">
        <x:v>1</x:v>
      </x:c>
      <x:c r="F526" s="181" t="n">
        <x:v>1</x:v>
      </x:c>
      <x:c r="G526" s="67" t="n">
        <x:v>1</x:v>
      </x:c>
      <x:c r="H526"/>
      <x:c r="I526" s="65" t="n">
        <x:v>357</x:v>
      </x:c>
      <x:c r="J526" s="65" t="str">
        <x:v>巴杨卡拉（泗水联/印尼警察队）（Bhayangkara）</x:v>
      </x:c>
      <x:c r="K526" s="82" t="n">
        <x:v>1</x:v>
      </x:c>
      <x:c r="L526" s="82" t="n">
        <x:v>1</x:v>
      </x:c>
      <x:c r="M526" s="67" t="n">
        <x:v>1</x:v>
      </x:c>
      <x:c r="N526" s="181" t="n">
        <x:v>1</x:v>
      </x:c>
      <x:c r="O526" s="67" t="n">
        <x:v>1</x:v>
      </x:c>
    </x:row>
    <x:row r="527" ht="24" customHeight="1">
      <x:c r="A527" s="65" t="n">
        <x:v>358</x:v>
      </x:c>
      <x:c r="B527" s="65" t="str">
        <x:v>日本U20（日本青年队）</x:v>
      </x:c>
      <x:c r="C527" s="82" t="n">
        <x:v>1</x:v>
      </x:c>
      <x:c r="D527" s="82" t="n">
        <x:v>1</x:v>
      </x:c>
      <x:c r="E527" s="67" t="n">
        <x:v>1</x:v>
      </x:c>
      <x:c r="F527" s="181" t="n">
        <x:v>1</x:v>
      </x:c>
      <x:c r="G527" s="67" t="n">
        <x:v>1</x:v>
      </x:c>
      <x:c r="H527"/>
      <x:c r="I527" s="65" t="n">
        <x:v>358</x:v>
      </x:c>
      <x:c r="J527" s="65" t="str">
        <x:v>巴杨卡拉泗水联（Bhayangkara Presisi）</x:v>
      </x:c>
      <x:c r="K527" s="82" t="n">
        <x:v>1</x:v>
      </x:c>
      <x:c r="L527" s="82" t="n">
        <x:v>1</x:v>
      </x:c>
      <x:c r="M527" s="67" t="n">
        <x:v>1</x:v>
      </x:c>
      <x:c r="N527" s="181" t="n">
        <x:v>1</x:v>
      </x:c>
      <x:c r="O527" s="67" t="n">
        <x:v>1</x:v>
      </x:c>
    </x:row>
    <x:row r="528" ht="24" customHeight="1">
      <x:c r="A528" s="65" t="n">
        <x:v>359</x:v>
      </x:c>
      <x:c r="B528" s="65" t="str">
        <x:v>昆卡青年（CD Cuenca Juniors）</x:v>
      </x:c>
      <x:c r="C528" s="82" t="n">
        <x:v>1</x:v>
      </x:c>
      <x:c r="D528" s="82" t="n">
        <x:v>1</x:v>
      </x:c>
      <x:c r="E528" s="67" t="n">
        <x:v>1</x:v>
      </x:c>
      <x:c r="F528" s="181" t="n">
        <x:v>1</x:v>
      </x:c>
      <x:c r="G528" s="67" t="n">
        <x:v>1</x:v>
      </x:c>
      <x:c r="H528"/>
      <x:c r="I528" s="65" t="n">
        <x:v>359</x:v>
      </x:c>
      <x:c r="J528" s="65" t="str">
        <x:v>巴杨卡拉泗水联（Bhayangkara）</x:v>
      </x:c>
      <x:c r="K528" s="82" t="n">
        <x:v>1</x:v>
      </x:c>
      <x:c r="L528" s="82" t="n">
        <x:v>1</x:v>
      </x:c>
      <x:c r="M528" s="67" t="n">
        <x:v>1</x:v>
      </x:c>
      <x:c r="N528" s="181" t="n">
        <x:v>1</x:v>
      </x:c>
      <x:c r="O528" s="67" t="n">
        <x:v>1</x:v>
      </x:c>
    </x:row>
    <x:row r="529" ht="24" customHeight="1">
      <x:c r="A529" s="65" t="n">
        <x:v>360</x:v>
      </x:c>
      <x:c r="B529" s="65" t="str">
        <x:v>普塔雷纳斯（Puntarenas FC）</x:v>
      </x:c>
      <x:c r="C529" s="82" t="n">
        <x:v>1</x:v>
      </x:c>
      <x:c r="D529" s="82" t="n">
        <x:v>1</x:v>
      </x:c>
      <x:c r="E529" s="67" t="n">
        <x:v>1</x:v>
      </x:c>
      <x:c r="F529" s="181" t="n">
        <x:v>1</x:v>
      </x:c>
      <x:c r="G529" s="67" t="n">
        <x:v>1</x:v>
      </x:c>
      <x:c r="H529"/>
      <x:c r="I529" s="65" t="n">
        <x:v>360</x:v>
      </x:c>
      <x:c r="J529" s="65" t="str">
        <x:v>巴洛比学院（ABB/Academia del Balompié Boliviano）</x:v>
      </x:c>
      <x:c r="K529" s="82" t="n">
        <x:v>1</x:v>
      </x:c>
      <x:c r="L529" s="82" t="n">
        <x:v>1</x:v>
      </x:c>
      <x:c r="M529" s="67" t="n">
        <x:v>1</x:v>
      </x:c>
      <x:c r="N529" s="181" t="n">
        <x:v>1</x:v>
      </x:c>
      <x:c r="O529" s="67" t="n">
        <x:v>1</x:v>
      </x:c>
    </x:row>
    <x:row r="530" ht="24" customHeight="1">
      <x:c r="A530" s="65" t="n">
        <x:v>361</x:v>
      </x:c>
      <x:c r="B530" s="65" t="str">
        <x:v>普拉滕斯（CA Platense）</x:v>
      </x:c>
      <x:c r="C530" s="82" t="n">
        <x:v>1</x:v>
      </x:c>
      <x:c r="D530" s="82" t="n">
        <x:v>1</x:v>
      </x:c>
      <x:c r="E530" s="67" t="n">
        <x:v>1</x:v>
      </x:c>
      <x:c r="F530" s="181" t="n">
        <x:v>1</x:v>
      </x:c>
      <x:c r="G530" s="67" t="n">
        <x:v>1</x:v>
      </x:c>
      <x:c r="H530"/>
      <x:c r="I530" s="65" t="n">
        <x:v>361</x:v>
      </x:c>
      <x:c r="J530" s="65" t="str">
        <x:v>布伦瑞克城（Brunswick City）</x:v>
      </x:c>
      <x:c r="K530" s="82" t="n">
        <x:v>1</x:v>
      </x:c>
      <x:c r="L530" s="82" t="n">
        <x:v>1</x:v>
      </x:c>
      <x:c r="M530" s="67" t="n">
        <x:v>1</x:v>
      </x:c>
      <x:c r="N530" s="181" t="n">
        <x:v>1</x:v>
      </x:c>
      <x:c r="O530" s="67" t="n">
        <x:v>1</x:v>
      </x:c>
    </x:row>
    <x:row r="531" ht="24" customHeight="1">
      <x:c r="A531" s="65" t="n">
        <x:v>362</x:v>
      </x:c>
      <x:c r="B531" s="65" t="str">
        <x:v>普斯SC</x:v>
      </x:c>
      <x:c r="C531" s="82" t="n">
        <x:v>1</x:v>
      </x:c>
      <x:c r="D531" s="82" t="n">
        <x:v>1</x:v>
      </x:c>
      <x:c r="E531" s="67" t="n">
        <x:v>1</x:v>
      </x:c>
      <x:c r="F531" s="181" t="n">
        <x:v>1</x:v>
      </x:c>
      <x:c r="G531" s="67" t="n">
        <x:v>1</x:v>
      </x:c>
      <x:c r="H531"/>
      <x:c r="I531" s="65" t="n">
        <x:v>362</x:v>
      </x:c>
      <x:c r="J531" s="65" t="str">
        <x:v>布朗德阿德罗格（Brown de Adrogué）</x:v>
      </x:c>
      <x:c r="K531" s="82" t="n">
        <x:v>1</x:v>
      </x:c>
      <x:c r="L531" s="82" t="n">
        <x:v>1</x:v>
      </x:c>
      <x:c r="M531" s="67" t="n">
        <x:v>1</x:v>
      </x:c>
      <x:c r="N531" s="181" t="n">
        <x:v>1</x:v>
      </x:c>
      <x:c r="O531" s="67" t="n">
        <x:v>1</x:v>
      </x:c>
    </x:row>
    <x:row r="532" ht="24" customHeight="1">
      <x:c r="A532" s="65" t="n">
        <x:v>363</x:v>
      </x:c>
      <x:c r="B532" s="65" t="str">
        <x:v>智利大学</x:v>
      </x:c>
      <x:c r="C532" s="82" t="n">
        <x:v>1</x:v>
      </x:c>
      <x:c r="D532" s="82" t="n">
        <x:v>1</x:v>
      </x:c>
      <x:c r="E532" s="67" t="n">
        <x:v>1</x:v>
      </x:c>
      <x:c r="F532" s="181" t="n">
        <x:v>1</x:v>
      </x:c>
      <x:c r="G532" s="67" t="n">
        <x:v>1</x:v>
      </x:c>
      <x:c r="H532"/>
      <x:c r="I532" s="65" t="n">
        <x:v>363</x:v>
      </x:c>
      <x:c r="J532" s="65" t="str">
        <x:v>布林狮子女足（FC Bulleen Lions Women）</x:v>
      </x:c>
      <x:c r="K532" s="82" t="n">
        <x:v>1</x:v>
      </x:c>
      <x:c r="L532" s="82" t="n">
        <x:v>1</x:v>
      </x:c>
      <x:c r="M532" s="67" t="n">
        <x:v>1</x:v>
      </x:c>
      <x:c r="N532" s="181" t="n">
        <x:v>1</x:v>
      </x:c>
      <x:c r="O532" s="67" t="n">
        <x:v>1</x:v>
      </x:c>
    </x:row>
    <x:row r="533" ht="24" customHeight="1">
      <x:c r="A533" s="65" t="n">
        <x:v>364</x:v>
      </x:c>
      <x:c r="B533" s="65" t="str">
        <x:v>智利天主大学（Universidad Católica）</x:v>
      </x:c>
      <x:c r="C533" s="82" t="n">
        <x:v>1</x:v>
      </x:c>
      <x:c r="D533" s="82" t="n">
        <x:v>1</x:v>
      </x:c>
      <x:c r="E533" s="67" t="n">
        <x:v>1</x:v>
      </x:c>
      <x:c r="F533" s="181" t="n">
        <x:v>1</x:v>
      </x:c>
      <x:c r="G533" s="67" t="n">
        <x:v>1</x:v>
      </x:c>
      <x:c r="H533"/>
      <x:c r="I533" s="65" t="n">
        <x:v>364</x:v>
      </x:c>
      <x:c r="J533" s="65" t="str">
        <x:v>布琳狮子U23（Bulleen Lions）</x:v>
      </x:c>
      <x:c r="K533" s="82" t="n">
        <x:v>1</x:v>
      </x:c>
      <x:c r="L533" s="82" t="n">
        <x:v>1</x:v>
      </x:c>
      <x:c r="M533" s="67" t="n">
        <x:v>1</x:v>
      </x:c>
      <x:c r="N533" s="181" t="n">
        <x:v>1</x:v>
      </x:c>
      <x:c r="O533" s="67" t="n">
        <x:v>1</x:v>
      </x:c>
    </x:row>
    <x:row r="534" ht="24" customHeight="1">
      <x:c r="A534" s="65" t="n">
        <x:v>365</x:v>
      </x:c>
      <x:c r="B534" s="65" t="str">
        <x:v>曼彻斯特联（Manchester United）</x:v>
      </x:c>
      <x:c r="C534" s="82" t="n">
        <x:v>1</x:v>
      </x:c>
      <x:c r="D534" s="82" t="n">
        <x:v>1</x:v>
      </x:c>
      <x:c r="E534" s="67" t="n">
        <x:v>1</x:v>
      </x:c>
      <x:c r="F534" s="181" t="n">
        <x:v>1</x:v>
      </x:c>
      <x:c r="G534" s="67" t="n">
        <x:v>1</x:v>
      </x:c>
      <x:c r="H534"/>
      <x:c r="I534" s="65" t="n">
        <x:v>365</x:v>
      </x:c>
      <x:c r="J534" s="65" t="str">
        <x:v>布莱顿（Brighton）</x:v>
      </x:c>
      <x:c r="K534" s="82" t="n">
        <x:v>1</x:v>
      </x:c>
      <x:c r="L534" s="82" t="n">
        <x:v>1</x:v>
      </x:c>
      <x:c r="M534" s="67" t="n">
        <x:v>1</x:v>
      </x:c>
      <x:c r="N534" s="181" t="n">
        <x:v>1</x:v>
      </x:c>
      <x:c r="O534" s="67" t="n">
        <x:v>1</x:v>
      </x:c>
    </x:row>
    <x:row r="535" ht="24" customHeight="1">
      <x:c r="A535" s="65" t="n">
        <x:v>366</x:v>
      </x:c>
      <x:c r="B535" s="65" t="str">
        <x:v>曼立联（Manly United）</x:v>
      </x:c>
      <x:c r="C535" s="82" t="n">
        <x:v>1</x:v>
      </x:c>
      <x:c r="D535" s="82" t="n">
        <x:v>1</x:v>
      </x:c>
      <x:c r="E535" s="67" t="n">
        <x:v>1</x:v>
      </x:c>
      <x:c r="F535" s="181" t="n">
        <x:v>1</x:v>
      </x:c>
      <x:c r="G535" s="67" t="n">
        <x:v>1</x:v>
      </x:c>
      <x:c r="H535"/>
      <x:c r="I535" s="65" t="n">
        <x:v>366</x:v>
      </x:c>
      <x:c r="J535" s="65" t="str">
        <x:v>布里斯班狮吼(Brisbane Roar)</x:v>
      </x:c>
      <x:c r="K535" s="82" t="n">
        <x:v>1</x:v>
      </x:c>
      <x:c r="L535" s="82" t="n">
        <x:v>1</x:v>
      </x:c>
      <x:c r="M535" s="67" t="n">
        <x:v>1</x:v>
      </x:c>
      <x:c r="N535" s="181" t="n">
        <x:v>1</x:v>
      </x:c>
      <x:c r="O535" s="67" t="n">
        <x:v>1</x:v>
      </x:c>
    </x:row>
    <x:row r="536" ht="24" customHeight="1">
      <x:c r="A536" s="65" t="n">
        <x:v>367</x:v>
      </x:c>
      <x:c r="B536" s="65" t="str">
        <x:v>曼立联U20（Manly United U20）</x:v>
      </x:c>
      <x:c r="C536" s="82" t="n">
        <x:v>1</x:v>
      </x:c>
      <x:c r="D536" s="82" t="n">
        <x:v>1</x:v>
      </x:c>
      <x:c r="E536" s="67" t="n">
        <x:v>1</x:v>
      </x:c>
      <x:c r="F536" s="181" t="n">
        <x:v>1</x:v>
      </x:c>
      <x:c r="G536" s="67" t="n">
        <x:v>1</x:v>
      </x:c>
      <x:c r="H536"/>
      <x:c r="I536" s="65" t="n">
        <x:v>367</x:v>
      </x:c>
      <x:c r="J536" s="65" t="str">
        <x:v>布里金城（Brechin City）</x:v>
      </x:c>
      <x:c r="K536" s="82" t="n">
        <x:v>1</x:v>
      </x:c>
      <x:c r="L536" s="82" t="n">
        <x:v>1</x:v>
      </x:c>
      <x:c r="M536" s="67" t="n">
        <x:v>1</x:v>
      </x:c>
      <x:c r="N536" s="181" t="n">
        <x:v>1</x:v>
      </x:c>
      <x:c r="O536" s="67" t="n">
        <x:v>1</x:v>
      </x:c>
    </x:row>
    <x:row r="537" ht="24" customHeight="1">
      <x:c r="A537" s="65" t="n">
        <x:v>368</x:v>
      </x:c>
      <x:c r="B537" s="65" t="str">
        <x:v>曼谷联(True Bangkok United)</x:v>
      </x:c>
      <x:c r="C537" s="82" t="n">
        <x:v>1</x:v>
      </x:c>
      <x:c r="D537" s="82" t="n">
        <x:v>1</x:v>
      </x:c>
      <x:c r="E537" s="67" t="n">
        <x:v>1</x:v>
      </x:c>
      <x:c r="F537" s="181" t="n">
        <x:v>1</x:v>
      </x:c>
      <x:c r="G537" s="67" t="n">
        <x:v>1</x:v>
      </x:c>
      <x:c r="H537"/>
      <x:c r="I537" s="65" t="n">
        <x:v>368</x:v>
      </x:c>
      <x:c r="J537" s="65" t="str">
        <x:v>帕尔米拉国际（Internacional FC de Palmira）</x:v>
      </x:c>
      <x:c r="K537" s="82" t="n">
        <x:v>1</x:v>
      </x:c>
      <x:c r="L537" s="82" t="n">
        <x:v>1</x:v>
      </x:c>
      <x:c r="M537" s="67" t="n">
        <x:v>1</x:v>
      </x:c>
      <x:c r="N537" s="181" t="n">
        <x:v>1</x:v>
      </x:c>
      <x:c r="O537" s="67" t="n">
        <x:v>1</x:v>
      </x:c>
    </x:row>
    <x:row r="538" ht="24" customHeight="1">
      <x:c r="A538" s="65" t="n">
        <x:v>369</x:v>
      </x:c>
      <x:c r="B538" s="65" t="str">
        <x:v>曼谷联（True Bangkok United）</x:v>
      </x:c>
      <x:c r="C538" s="82" t="n">
        <x:v>1</x:v>
      </x:c>
      <x:c r="D538" s="82" t="n">
        <x:v>1</x:v>
      </x:c>
      <x:c r="E538" s="67" t="n">
        <x:v>1</x:v>
      </x:c>
      <x:c r="F538" s="181" t="n">
        <x:v>1</x:v>
      </x:c>
      <x:c r="G538" s="67" t="n">
        <x:v>1</x:v>
      </x:c>
      <x:c r="H538"/>
      <x:c r="I538" s="65" t="n">
        <x:v>369</x:v>
      </x:c>
      <x:c r="J538" s="65" t="str">
        <x:v>帕德博恩07（SC Paderborn 07）</x:v>
      </x:c>
      <x:c r="K538" s="82" t="n">
        <x:v>1</x:v>
      </x:c>
      <x:c r="L538" s="82" t="n">
        <x:v>1</x:v>
      </x:c>
      <x:c r="M538" s="67" t="n">
        <x:v>1</x:v>
      </x:c>
      <x:c r="N538" s="181" t="n">
        <x:v>1</x:v>
      </x:c>
      <x:c r="O538" s="67" t="n">
        <x:v>1</x:v>
      </x:c>
    </x:row>
    <x:row r="539" ht="24" customHeight="1">
      <x:c r="A539" s="65" t="n">
        <x:v>370</x:v>
      </x:c>
      <x:c r="B539" s="65" t="str">
        <x:v>朗斯（RC Lens）</x:v>
      </x:c>
      <x:c r="C539" s="82" t="n">
        <x:v>1</x:v>
      </x:c>
      <x:c r="D539" s="82" t="n">
        <x:v>1</x:v>
      </x:c>
      <x:c r="E539" s="67" t="n">
        <x:v>1</x:v>
      </x:c>
      <x:c r="F539" s="181" t="n">
        <x:v>1</x:v>
      </x:c>
      <x:c r="G539" s="67" t="n">
        <x:v>1</x:v>
      </x:c>
      <x:c r="H539"/>
      <x:c r="I539" s="65" t="n">
        <x:v>370</x:v>
      </x:c>
      <x:c r="J539" s="65" t="str">
        <x:v>帕特里奥塔斯博亚卡（Patriotas Boyacá）</x:v>
      </x:c>
      <x:c r="K539" s="82" t="n">
        <x:v>1</x:v>
      </x:c>
      <x:c r="L539" s="82" t="n">
        <x:v>1</x:v>
      </x:c>
      <x:c r="M539" s="67" t="n">
        <x:v>1</x:v>
      </x:c>
      <x:c r="N539" s="181" t="n">
        <x:v>1</x:v>
      </x:c>
      <x:c r="O539" s="67" t="n">
        <x:v>1</x:v>
      </x:c>
    </x:row>
    <x:row r="540" ht="24" customHeight="1">
      <x:c r="A540" s="65" t="n">
        <x:v>371</x:v>
      </x:c>
      <x:c r="B540" s="65" t="str">
        <x:v>本特利绿茵（Bentleigh Greens FC）</x:v>
      </x:c>
      <x:c r="C540" s="82" t="n">
        <x:v>1</x:v>
      </x:c>
      <x:c r="D540" s="82" t="n">
        <x:v>1</x:v>
      </x:c>
      <x:c r="E540" s="67" t="n">
        <x:v>1</x:v>
      </x:c>
      <x:c r="F540" s="181" t="n">
        <x:v>1</x:v>
      </x:c>
      <x:c r="G540" s="67" t="n">
        <x:v>1</x:v>
      </x:c>
      <x:c r="H540"/>
      <x:c r="I540" s="65" t="n">
        <x:v>371</x:v>
      </x:c>
      <x:c r="J540" s="65" t="str">
        <x:v>干亚斯堡（科尼亚体育/Konyaspor）</x:v>
      </x:c>
      <x:c r="K540" s="82" t="n">
        <x:v>1</x:v>
      </x:c>
      <x:c r="L540" s="82" t="n">
        <x:v>1</x:v>
      </x:c>
      <x:c r="M540" s="67" t="n">
        <x:v>1</x:v>
      </x:c>
      <x:c r="N540" s="181" t="n">
        <x:v>1</x:v>
      </x:c>
      <x:c r="O540" s="67" t="n">
        <x:v>1</x:v>
      </x:c>
    </x:row>
    <x:row r="541" ht="24" customHeight="1">
      <x:c r="A541" s="65" t="n">
        <x:v>372</x:v>
      </x:c>
      <x:c r="B541" s="65" t="str">
        <x:v>本菲卡</x:v>
      </x:c>
      <x:c r="C541" s="82" t="n">
        <x:v>1</x:v>
      </x:c>
      <x:c r="D541" s="82" t="n">
        <x:v>1</x:v>
      </x:c>
      <x:c r="E541" s="67" t="n">
        <x:v>1</x:v>
      </x:c>
      <x:c r="F541" s="181" t="n">
        <x:v>1</x:v>
      </x:c>
      <x:c r="G541" s="67" t="n">
        <x:v>1</x:v>
      </x:c>
      <x:c r="H541"/>
      <x:c r="I541" s="65" t="n">
        <x:v>372</x:v>
      </x:c>
      <x:c r="J541" s="65" t="str">
        <x:v>开赛利体育（Kayserispor）</x:v>
      </x:c>
      <x:c r="K541" s="82" t="n">
        <x:v>1</x:v>
      </x:c>
      <x:c r="L541" s="82" t="n">
        <x:v>1</x:v>
      </x:c>
      <x:c r="M541" s="67" t="n">
        <x:v>1</x:v>
      </x:c>
      <x:c r="N541" s="181" t="n">
        <x:v>1</x:v>
      </x:c>
      <x:c r="O541" s="67" t="n">
        <x:v>1</x:v>
      </x:c>
    </x:row>
    <x:row r="542" ht="24" customHeight="1">
      <x:c r="A542" s="65" t="n">
        <x:v>373</x:v>
      </x:c>
      <x:c r="B542" s="65" t="str">
        <x:v>杜海勒（Al Duhail）</x:v>
      </x:c>
      <x:c r="C542" s="82" t="n">
        <x:v>1</x:v>
      </x:c>
      <x:c r="D542" s="82" t="n">
        <x:v>1</x:v>
      </x:c>
      <x:c r="E542" s="67" t="n">
        <x:v>1</x:v>
      </x:c>
      <x:c r="F542" s="181" t="n">
        <x:v>1</x:v>
      </x:c>
      <x:c r="G542" s="67" t="n">
        <x:v>1</x:v>
      </x:c>
      <x:c r="H542"/>
      <x:c r="I542" s="65" t="n">
        <x:v>373</x:v>
      </x:c>
      <x:c r="J542" s="65" t="str">
        <x:v>弗兰德利亚（Flandria）</x:v>
      </x:c>
      <x:c r="K542" s="82" t="n">
        <x:v>1</x:v>
      </x:c>
      <x:c r="L542" s="82" t="n">
        <x:v>1</x:v>
      </x:c>
      <x:c r="M542" s="67" t="n">
        <x:v>1</x:v>
      </x:c>
      <x:c r="N542" s="181" t="n">
        <x:v>1</x:v>
      </x:c>
      <x:c r="O542" s="67" t="n">
        <x:v>1</x:v>
      </x:c>
    </x:row>
    <x:row r="543" ht="24" customHeight="1">
      <x:c r="A543" s="65" t="n">
        <x:v>374</x:v>
      </x:c>
      <x:c r="B543" s="65" t="str">
        <x:v>松本山雅FC（Matsumoto Yamaga）</x:v>
      </x:c>
      <x:c r="C543" s="82" t="n">
        <x:v>1</x:v>
      </x:c>
      <x:c r="D543" s="82" t="n">
        <x:v>1</x:v>
      </x:c>
      <x:c r="E543" s="67" t="n">
        <x:v>1</x:v>
      </x:c>
      <x:c r="F543" s="181" t="n">
        <x:v>1</x:v>
      </x:c>
      <x:c r="G543" s="67" t="n">
        <x:v>1</x:v>
      </x:c>
      <x:c r="H543"/>
      <x:c r="I543" s="65" t="n">
        <x:v>374</x:v>
      </x:c>
      <x:c r="J543" s="65" t="str">
        <x:v>弗鲁米嫩塞(Fluminense)</x:v>
      </x:c>
      <x:c r="K543" s="82" t="n">
        <x:v>1</x:v>
      </x:c>
      <x:c r="L543" s="82" t="n">
        <x:v>1</x:v>
      </x:c>
      <x:c r="M543" s="67" t="n">
        <x:v>1</x:v>
      </x:c>
      <x:c r="N543" s="181" t="n">
        <x:v>1</x:v>
      </x:c>
      <x:c r="O543" s="67" t="n">
        <x:v>1</x:v>
      </x:c>
    </x:row>
    <x:row r="544" ht="24" customHeight="1">
      <x:c r="A544" s="65" t="n">
        <x:v>375</x:v>
      </x:c>
      <x:c r="B544" s="65" t="str">
        <x:v>林肯红魔</x:v>
      </x:c>
      <x:c r="C544" s="82" t="n">
        <x:v>1</x:v>
      </x:c>
      <x:c r="D544" s="82" t="n">
        <x:v>1</x:v>
      </x:c>
      <x:c r="E544" s="67" t="n">
        <x:v>1</x:v>
      </x:c>
      <x:c r="F544" s="181" t="n">
        <x:v>1</x:v>
      </x:c>
      <x:c r="G544" s="67" t="n">
        <x:v>1</x:v>
      </x:c>
      <x:c r="H544"/>
      <x:c r="I544" s="65" t="n">
        <x:v>375</x:v>
      </x:c>
      <x:c r="J544" s="65" t="str">
        <x:v>德文波特城</x:v>
      </x:c>
      <x:c r="K544" s="82" t="n">
        <x:v>1</x:v>
      </x:c>
      <x:c r="L544" s="82" t="n">
        <x:v>1</x:v>
      </x:c>
      <x:c r="M544" s="67" t="n">
        <x:v>1</x:v>
      </x:c>
      <x:c r="N544" s="181" t="n">
        <x:v>1</x:v>
      </x:c>
      <x:c r="O544" s="67" t="n">
        <x:v>1</x:v>
      </x:c>
    </x:row>
    <x:row r="545" ht="24" customHeight="1">
      <x:c r="A545" s="65" t="n">
        <x:v>376</x:v>
      </x:c>
      <x:c r="B545" s="65" t="str">
        <x:v>林肯红魔（Lincoln Red Imps）</x:v>
      </x:c>
      <x:c r="C545" s="82" t="n">
        <x:v>1</x:v>
      </x:c>
      <x:c r="D545" s="82" t="n">
        <x:v>1</x:v>
      </x:c>
      <x:c r="E545" s="67" t="n">
        <x:v>1</x:v>
      </x:c>
      <x:c r="F545" s="181" t="n">
        <x:v>1</x:v>
      </x:c>
      <x:c r="G545" s="67" t="n">
        <x:v>1</x:v>
      </x:c>
      <x:c r="H545"/>
      <x:c r="I545" s="65" t="n">
        <x:v>376</x:v>
      </x:c>
      <x:c r="J545" s="65" t="str">
        <x:v>德瓦联（Dewa United FC）</x:v>
      </x:c>
      <x:c r="K545" s="82" t="n">
        <x:v>1</x:v>
      </x:c>
      <x:c r="L545" s="82" t="n">
        <x:v>1</x:v>
      </x:c>
      <x:c r="M545" s="67" t="n">
        <x:v>1</x:v>
      </x:c>
      <x:c r="N545" s="181" t="n">
        <x:v>1</x:v>
      </x:c>
      <x:c r="O545" s="67" t="n">
        <x:v>1</x:v>
      </x:c>
    </x:row>
    <x:row r="546" ht="24" customHeight="1">
      <x:c r="A546" s="65" t="n">
        <x:v>377</x:v>
      </x:c>
      <x:c r="B546" s="65" t="str">
        <x:v>枥木城FC（Tochigi City FC）</x:v>
      </x:c>
      <x:c r="C546" s="82" t="n">
        <x:v>1</x:v>
      </x:c>
      <x:c r="D546" s="82" t="n">
        <x:v>1</x:v>
      </x:c>
      <x:c r="E546" s="67" t="n">
        <x:v>1</x:v>
      </x:c>
      <x:c r="F546" s="181" t="n">
        <x:v>1</x:v>
      </x:c>
      <x:c r="G546" s="67" t="n">
        <x:v>1</x:v>
      </x:c>
      <x:c r="H546"/>
      <x:c r="I546" s="65" t="n">
        <x:v>377</x:v>
      </x:c>
      <x:c r="J546" s="65" t="str">
        <x:v>德瓦联(德瓦/Dewa United)</x:v>
      </x:c>
      <x:c r="K546" s="82" t="n">
        <x:v>1</x:v>
      </x:c>
      <x:c r="L546" s="82" t="n">
        <x:v>1</x:v>
      </x:c>
      <x:c r="M546" s="67" t="n">
        <x:v>1</x:v>
      </x:c>
      <x:c r="N546" s="181" t="n">
        <x:v>1</x:v>
      </x:c>
      <x:c r="O546" s="67" t="n">
        <x:v>1</x:v>
      </x:c>
    </x:row>
    <x:row r="547" ht="24" customHeight="1">
      <x:c r="A547" s="65" t="n">
        <x:v>378</x:v>
      </x:c>
      <x:c r="B547" s="65" t="str">
        <x:v>柔佛新山(Johor Darul Ta'zim)</x:v>
      </x:c>
      <x:c r="C547" s="82" t="n">
        <x:v>1</x:v>
      </x:c>
      <x:c r="D547" s="82" t="n">
        <x:v>1</x:v>
      </x:c>
      <x:c r="E547" s="67" t="n">
        <x:v>1</x:v>
      </x:c>
      <x:c r="F547" s="181" t="n">
        <x:v>1</x:v>
      </x:c>
      <x:c r="G547" s="67" t="n">
        <x:v>1</x:v>
      </x:c>
      <x:c r="H547"/>
      <x:c r="I547" s="65" t="n">
        <x:v>378</x:v>
      </x:c>
      <x:c r="J547" s="65" t="str">
        <x:v>德里FC（SC Delhi）</x:v>
      </x:c>
      <x:c r="K547" s="82" t="n">
        <x:v>1</x:v>
      </x:c>
      <x:c r="L547" s="82" t="n">
        <x:v>1</x:v>
      </x:c>
      <x:c r="M547" s="67" t="n">
        <x:v>1</x:v>
      </x:c>
      <x:c r="N547" s="181" t="n">
        <x:v>1</x:v>
      </x:c>
      <x:c r="O547" s="67" t="n">
        <x:v>1</x:v>
      </x:c>
    </x:row>
    <x:row r="548" ht="24" customHeight="1">
      <x:c r="A548" s="65" t="n">
        <x:v>379</x:v>
      </x:c>
      <x:c r="B548" s="65" t="str">
        <x:v>查尔顿</x:v>
      </x:c>
      <x:c r="C548" s="82" t="n">
        <x:v>1</x:v>
      </x:c>
      <x:c r="D548" s="82" t="n">
        <x:v>1</x:v>
      </x:c>
      <x:c r="E548" s="67" t="n">
        <x:v>1</x:v>
      </x:c>
      <x:c r="F548" s="181" t="n">
        <x:v>1</x:v>
      </x:c>
      <x:c r="G548" s="67" t="n">
        <x:v>1</x:v>
      </x:c>
      <x:c r="H548"/>
      <x:c r="I548" s="65" t="n">
        <x:v>379</x:v>
      </x:c>
      <x:c r="J548" s="65" t="str">
        <x:v>德里体育（SC Delhi）</x:v>
      </x:c>
      <x:c r="K548" s="82" t="n">
        <x:v>1</x:v>
      </x:c>
      <x:c r="L548" s="82" t="n">
        <x:v>1</x:v>
      </x:c>
      <x:c r="M548" s="67" t="n">
        <x:v>1</x:v>
      </x:c>
      <x:c r="N548" s="181" t="n">
        <x:v>1</x:v>
      </x:c>
      <x:c r="O548" s="67" t="n">
        <x:v>1</x:v>
      </x:c>
    </x:row>
    <x:row r="549" ht="24" customHeight="1">
      <x:c r="A549" s="65" t="n">
        <x:v>380</x:v>
      </x:c>
      <x:c r="B549" s="65" t="str">
        <x:v>查普斯（JäPS）</x:v>
      </x:c>
      <x:c r="C549" s="82" t="n">
        <x:v>1</x:v>
      </x:c>
      <x:c r="D549" s="82" t="n">
        <x:v>1</x:v>
      </x:c>
      <x:c r="E549" s="67" t="n">
        <x:v>1</x:v>
      </x:c>
      <x:c r="F549" s="181" t="n">
        <x:v>1</x:v>
      </x:c>
      <x:c r="G549" s="67" t="n">
        <x:v>1</x:v>
      </x:c>
      <x:c r="H549"/>
      <x:c r="I549" s="65" t="n">
        <x:v>380</x:v>
      </x:c>
      <x:c r="J549" s="65" t="str">
        <x:v>忠北清州（Chungbuk Cheongju FC）</x:v>
      </x:c>
      <x:c r="K549" s="82" t="n">
        <x:v>1</x:v>
      </x:c>
      <x:c r="L549" s="82" t="n">
        <x:v>1</x:v>
      </x:c>
      <x:c r="M549" s="67" t="n">
        <x:v>1</x:v>
      </x:c>
      <x:c r="N549" s="181" t="n">
        <x:v>1</x:v>
      </x:c>
      <x:c r="O549" s="67" t="n">
        <x:v>1</x:v>
      </x:c>
    </x:row>
    <x:row r="550" ht="24" customHeight="1">
      <x:c r="A550" s="65" t="n">
        <x:v>381</x:v>
      </x:c>
      <x:c r="B550" s="65" t="str">
        <x:v>柴帧(Svay Rieng)</x:v>
      </x:c>
      <x:c r="C550" s="82" t="n">
        <x:v>1</x:v>
      </x:c>
      <x:c r="D550" s="82" t="n">
        <x:v>1</x:v>
      </x:c>
      <x:c r="E550" s="67" t="n">
        <x:v>1</x:v>
      </x:c>
      <x:c r="F550" s="181" t="n">
        <x:v>1</x:v>
      </x:c>
      <x:c r="G550" s="67" t="n">
        <x:v>1</x:v>
      </x:c>
      <x:c r="H550"/>
      <x:c r="I550" s="65" t="n">
        <x:v>381</x:v>
      </x:c>
      <x:c r="J550" s="65" t="str">
        <x:v>恩比</x:v>
      </x:c>
      <x:c r="K550" s="82" t="n">
        <x:v>1</x:v>
      </x:c>
      <x:c r="L550" s="82" t="n">
        <x:v>1</x:v>
      </x:c>
      <x:c r="M550" s="67" t="n">
        <x:v>1</x:v>
      </x:c>
      <x:c r="N550" s="181" t="n">
        <x:v>1</x:v>
      </x:c>
      <x:c r="O550" s="67" t="n">
        <x:v>1</x:v>
      </x:c>
    </x:row>
    <x:row r="551" ht="24" customHeight="1">
      <x:c r="A551" s="65" t="n">
        <x:v>382</x:v>
      </x:c>
      <x:c r="B551" s="65" t="str">
        <x:v>栃木市（栃木C，Tochigi City FC）</x:v>
      </x:c>
      <x:c r="C551" s="82" t="n">
        <x:v>1</x:v>
      </x:c>
      <x:c r="D551" s="82" t="n">
        <x:v>1</x:v>
      </x:c>
      <x:c r="E551" s="67" t="n">
        <x:v>1</x:v>
      </x:c>
      <x:c r="F551" s="181" t="n">
        <x:v>1</x:v>
      </x:c>
      <x:c r="G551" s="67" t="n">
        <x:v>1</x:v>
      </x:c>
      <x:c r="H551"/>
      <x:c r="I551" s="65" t="n">
        <x:v>382</x:v>
      </x:c>
      <x:c r="J551" s="65" t="str">
        <x:v>恩比瑞特（NWS Spirit）</x:v>
      </x:c>
      <x:c r="K551" s="82" t="n">
        <x:v>1</x:v>
      </x:c>
      <x:c r="L551" s="82" t="n">
        <x:v>1</x:v>
      </x:c>
      <x:c r="M551" s="67" t="n">
        <x:v>1</x:v>
      </x:c>
      <x:c r="N551" s="181" t="n">
        <x:v>1</x:v>
      </x:c>
      <x:c r="O551" s="67" t="n">
        <x:v>1</x:v>
      </x:c>
    </x:row>
    <x:row r="552" ht="24" customHeight="1">
      <x:c r="A552" s="65" t="n">
        <x:v>383</x:v>
      </x:c>
      <x:c r="B552" s="65" t="str">
        <x:v>桑德兰</x:v>
      </x:c>
      <x:c r="C552" s="82" t="n">
        <x:v>1</x:v>
      </x:c>
      <x:c r="D552" s="82" t="n">
        <x:v>1</x:v>
      </x:c>
      <x:c r="E552" s="67" t="n">
        <x:v>1</x:v>
      </x:c>
      <x:c r="F552" s="181" t="n">
        <x:v>1</x:v>
      </x:c>
      <x:c r="G552" s="67" t="n">
        <x:v>1</x:v>
      </x:c>
      <x:c r="H552"/>
      <x:c r="I552" s="65" t="n">
        <x:v>383</x:v>
      </x:c>
      <x:c r="J552" s="65" t="str">
        <x:v>恩维加多</x:v>
      </x:c>
      <x:c r="K552" s="82" t="n">
        <x:v>1</x:v>
      </x:c>
      <x:c r="L552" s="82" t="n">
        <x:v>1</x:v>
      </x:c>
      <x:c r="M552" s="67" t="n">
        <x:v>1</x:v>
      </x:c>
      <x:c r="N552" s="181" t="n">
        <x:v>1</x:v>
      </x:c>
      <x:c r="O552" s="67" t="n">
        <x:v>1</x:v>
      </x:c>
    </x:row>
    <x:row r="553" ht="24" customHeight="1">
      <x:c r="A553" s="65" t="n">
        <x:v>384</x:v>
      </x:c>
      <x:c r="B553" s="65" t="str">
        <x:v>梅洛阿根廷人（Argentino de Merlo）</x:v>
      </x:c>
      <x:c r="C553" s="82" t="n">
        <x:v>1</x:v>
      </x:c>
      <x:c r="D553" s="82" t="n">
        <x:v>1</x:v>
      </x:c>
      <x:c r="E553" s="67" t="n">
        <x:v>1</x:v>
      </x:c>
      <x:c r="F553" s="181" t="n">
        <x:v>1</x:v>
      </x:c>
      <x:c r="G553" s="67" t="n">
        <x:v>1</x:v>
      </x:c>
      <x:c r="H553"/>
      <x:c r="I553" s="65" t="n">
        <x:v>384</x:v>
      </x:c>
      <x:c r="J553" s="65" t="str">
        <x:v>恩维加多（Envigado）</x:v>
      </x:c>
      <x:c r="K553" s="82" t="n">
        <x:v>1</x:v>
      </x:c>
      <x:c r="L553" s="82" t="n">
        <x:v>1</x:v>
      </x:c>
      <x:c r="M553" s="67" t="n">
        <x:v>1</x:v>
      </x:c>
      <x:c r="N553" s="181" t="n">
        <x:v>1</x:v>
      </x:c>
      <x:c r="O553" s="67" t="n">
        <x:v>1</x:v>
      </x:c>
    </x:row>
    <x:row r="554" ht="24" customHeight="1">
      <x:c r="A554" s="65" t="n">
        <x:v>385</x:v>
      </x:c>
      <x:c r="B554" s="65" t="str">
        <x:v>歌库拉姆喀拉拉（Gokulam Kerala FC）</x:v>
      </x:c>
      <x:c r="C554" s="82" t="n">
        <x:v>1</x:v>
      </x:c>
      <x:c r="D554" s="82" t="n">
        <x:v>1</x:v>
      </x:c>
      <x:c r="E554" s="67" t="n">
        <x:v>1</x:v>
      </x:c>
      <x:c r="F554" s="181" t="n">
        <x:v>1</x:v>
      </x:c>
      <x:c r="G554" s="67" t="n">
        <x:v>1</x:v>
      </x:c>
      <x:c r="H554"/>
      <x:c r="I554" s="65" t="n">
        <x:v>385</x:v>
      </x:c>
      <x:c r="J554" s="65" t="str">
        <x:v>悉尼FC青年队（Sydney FC Academy Youth）</x:v>
      </x:c>
      <x:c r="K554" s="82" t="n">
        <x:v>1</x:v>
      </x:c>
      <x:c r="L554" s="82" t="n">
        <x:v>1</x:v>
      </x:c>
      <x:c r="M554" s="67" t="n">
        <x:v>1</x:v>
      </x:c>
      <x:c r="N554" s="181" t="n">
        <x:v>1</x:v>
      </x:c>
      <x:c r="O554" s="67" t="n">
        <x:v>1</x:v>
      </x:c>
    </x:row>
    <x:row r="555" ht="24" customHeight="1">
      <x:c r="A555" s="65" t="n">
        <x:v>386</x:v>
      </x:c>
      <x:c r="B555" s="65" t="str">
        <x:v>比利亚雷亚尔（Villarreal）</x:v>
      </x:c>
      <x:c r="C555" s="82" t="n">
        <x:v>1</x:v>
      </x:c>
      <x:c r="D555" s="82" t="n">
        <x:v>1</x:v>
      </x:c>
      <x:c r="E555" s="67" t="n">
        <x:v>1</x:v>
      </x:c>
      <x:c r="F555" s="181" t="n">
        <x:v>1</x:v>
      </x:c>
      <x:c r="G555" s="67" t="n">
        <x:v>1</x:v>
      </x:c>
      <x:c r="H555"/>
      <x:c r="I555" s="65" t="n">
        <x:v>386</x:v>
      </x:c>
      <x:c r="J555" s="65" t="str">
        <x:v>悉尼联58（Sydney United 58）</x:v>
      </x:c>
      <x:c r="K555" s="82" t="n">
        <x:v>1</x:v>
      </x:c>
      <x:c r="L555" s="82" t="n">
        <x:v>1</x:v>
      </x:c>
      <x:c r="M555" s="67" t="n">
        <x:v>1</x:v>
      </x:c>
      <x:c r="N555" s="181" t="n">
        <x:v>1</x:v>
      </x:c>
      <x:c r="O555" s="67" t="n">
        <x:v>1</x:v>
      </x:c>
    </x:row>
    <x:row r="556" ht="24" customHeight="1">
      <x:c r="A556" s="65" t="n">
        <x:v>387</x:v>
      </x:c>
      <x:c r="B556" s="65" t="str">
        <x:v>水原FC（Suwon FC）</x:v>
      </x:c>
      <x:c r="C556" s="82" t="n">
        <x:v>1</x:v>
      </x:c>
      <x:c r="D556" s="82" t="n">
        <x:v>1</x:v>
      </x:c>
      <x:c r="E556" s="67" t="n">
        <x:v>1</x:v>
      </x:c>
      <x:c r="F556" s="181" t="n">
        <x:v>1</x:v>
      </x:c>
      <x:c r="G556" s="67" t="n">
        <x:v>1</x:v>
      </x:c>
      <x:c r="H556"/>
      <x:c r="I556" s="65" t="n">
        <x:v>387</x:v>
      </x:c>
      <x:c r="J556" s="65" t="str">
        <x:v>意大利体育会（Sportivo Italiano）</x:v>
      </x:c>
      <x:c r="K556" s="82" t="n">
        <x:v>1</x:v>
      </x:c>
      <x:c r="L556" s="82" t="n">
        <x:v>1</x:v>
      </x:c>
      <x:c r="M556" s="67" t="n">
        <x:v>1</x:v>
      </x:c>
      <x:c r="N556" s="181" t="n">
        <x:v>1</x:v>
      </x:c>
      <x:c r="O556" s="67" t="n">
        <x:v>1</x:v>
      </x:c>
    </x:row>
    <x:row r="557" ht="24" customHeight="1">
      <x:c r="A557" s="65" t="n">
        <x:v>388</x:v>
      </x:c>
      <x:c r="B557" s="65" t="str">
        <x:v>汗加里德（Khangarid）</x:v>
      </x:c>
      <x:c r="C557" s="82" t="n">
        <x:v>1</x:v>
      </x:c>
      <x:c r="D557" s="82" t="n">
        <x:v>1</x:v>
      </x:c>
      <x:c r="E557" s="67" t="n">
        <x:v>1</x:v>
      </x:c>
      <x:c r="F557" s="181" t="n">
        <x:v>1</x:v>
      </x:c>
      <x:c r="G557" s="67" t="n">
        <x:v>1</x:v>
      </x:c>
      <x:c r="H557"/>
      <x:c r="I557" s="65" t="n">
        <x:v>388</x:v>
      </x:c>
      <x:c r="J557" s="65" t="str">
        <x:v>慕尼斯帕尔利亚（Municipal Liberia）</x:v>
      </x:c>
      <x:c r="K557" s="82" t="n">
        <x:v>1</x:v>
      </x:c>
      <x:c r="L557" s="82" t="n">
        <x:v>1</x:v>
      </x:c>
      <x:c r="M557" s="67" t="n">
        <x:v>1</x:v>
      </x:c>
      <x:c r="N557" s="181" t="n">
        <x:v>1</x:v>
      </x:c>
      <x:c r="O557" s="67" t="n">
        <x:v>1</x:v>
      </x:c>
    </x:row>
    <x:row r="558" ht="24" customHeight="1">
      <x:c r="A558" s="65" t="n">
        <x:v>389</x:v>
      </x:c>
      <x:c r="B558" s="65" t="str">
        <x:v>沙佩科恩斯（Chapecoense AF）</x:v>
      </x:c>
      <x:c r="C558" s="82" t="n">
        <x:v>1</x:v>
      </x:c>
      <x:c r="D558" s="82" t="n">
        <x:v>1</x:v>
      </x:c>
      <x:c r="E558" s="67" t="n">
        <x:v>1</x:v>
      </x:c>
      <x:c r="F558" s="181" t="n">
        <x:v>1</x:v>
      </x:c>
      <x:c r="G558" s="67" t="n">
        <x:v>1</x:v>
      </x:c>
      <x:c r="H558"/>
      <x:c r="I558" s="65" t="n">
        <x:v>389</x:v>
      </x:c>
      <x:c r="J558" s="65" t="str">
        <x:v>扎卡特卡斯（Mineros de Zacatecas）</x:v>
      </x:c>
      <x:c r="K558" s="82" t="n">
        <x:v>1</x:v>
      </x:c>
      <x:c r="L558" s="82" t="n">
        <x:v>1</x:v>
      </x:c>
      <x:c r="M558" s="67" t="n">
        <x:v>1</x:v>
      </x:c>
      <x:c r="N558" s="181" t="n">
        <x:v>1</x:v>
      </x:c>
      <x:c r="O558" s="67" t="n">
        <x:v>1</x:v>
      </x:c>
    </x:row>
    <x:row r="559" ht="24" customHeight="1">
      <x:c r="A559" s="65" t="n">
        <x:v>390</x:v>
      </x:c>
      <x:c r="B559" s="65" t="str">
        <x:v>沙佩科恩斯(Chapecoense)</x:v>
      </x:c>
      <x:c r="C559" s="82" t="n">
        <x:v>1</x:v>
      </x:c>
      <x:c r="D559" s="82" t="n">
        <x:v>1</x:v>
      </x:c>
      <x:c r="E559" s="67" t="n">
        <x:v>1</x:v>
      </x:c>
      <x:c r="F559" s="181" t="n">
        <x:v>1</x:v>
      </x:c>
      <x:c r="G559" s="67" t="n">
        <x:v>1</x:v>
      </x:c>
      <x:c r="H559"/>
      <x:c r="I559" s="65" t="n">
        <x:v>390</x:v>
      </x:c>
      <x:c r="J559" s="65" t="str">
        <x:v>扎马雷克</x:v>
      </x:c>
      <x:c r="K559" s="82" t="n">
        <x:v>1</x:v>
      </x:c>
      <x:c r="L559" s="82" t="n">
        <x:v>1</x:v>
      </x:c>
      <x:c r="M559" s="67" t="n">
        <x:v>1</x:v>
      </x:c>
      <x:c r="N559" s="181" t="n">
        <x:v>1</x:v>
      </x:c>
      <x:c r="O559" s="67" t="n">
        <x:v>1</x:v>
      </x:c>
    </x:row>
    <x:row r="560" ht="24" customHeight="1">
      <x:c r="A560" s="65" t="n">
        <x:v>391</x:v>
      </x:c>
      <x:c r="B560" s="65" t="str">
        <x:v>沙姆洛克流浪（Shamrock Rovers）</x:v>
      </x:c>
      <x:c r="C560" s="82" t="n">
        <x:v>1</x:v>
      </x:c>
      <x:c r="D560" s="82" t="n">
        <x:v>1</x:v>
      </x:c>
      <x:c r="E560" s="67" t="n">
        <x:v>1</x:v>
      </x:c>
      <x:c r="F560" s="181" t="n">
        <x:v>1</x:v>
      </x:c>
      <x:c r="G560" s="67" t="n">
        <x:v>1</x:v>
      </x:c>
      <x:c r="H560"/>
      <x:c r="I560" s="65" t="n">
        <x:v>391</x:v>
      </x:c>
      <x:c r="J560" s="65" t="str">
        <x:v>拉巴斯准备（Always Ready）</x:v>
      </x:c>
      <x:c r="K560" s="82" t="n">
        <x:v>1</x:v>
      </x:c>
      <x:c r="L560" s="82" t="n">
        <x:v>1</x:v>
      </x:c>
      <x:c r="M560" s="67" t="n">
        <x:v>1</x:v>
      </x:c>
      <x:c r="N560" s="181" t="n">
        <x:v>1</x:v>
      </x:c>
      <x:c r="O560" s="67" t="n">
        <x:v>1</x:v>
      </x:c>
    </x:row>
    <x:row r="561" ht="24" customHeight="1">
      <x:c r="A561" s="65" t="n">
        <x:v>392</x:v>
      </x:c>
      <x:c r="B561" s="65" t="str">
        <x:v>河南</x:v>
      </x:c>
      <x:c r="C561" s="82" t="n">
        <x:v>1</x:v>
      </x:c>
      <x:c r="D561" s="82" t="n">
        <x:v>1</x:v>
      </x:c>
      <x:c r="E561" s="67" t="n">
        <x:v>1</x:v>
      </x:c>
      <x:c r="F561" s="181" t="n">
        <x:v>1</x:v>
      </x:c>
      <x:c r="G561" s="67" t="n">
        <x:v>1</x:v>
      </x:c>
      <x:c r="H561"/>
      <x:c r="I561" s="65" t="n">
        <x:v>392</x:v>
      </x:c>
      <x:c r="J561" s="65" t="str">
        <x:v>拉巴斯竞技（Atlético La Paz）</x:v>
      </x:c>
      <x:c r="K561" s="82" t="n">
        <x:v>1</x:v>
      </x:c>
      <x:c r="L561" s="82" t="n">
        <x:v>1</x:v>
      </x:c>
      <x:c r="M561" s="67" t="n">
        <x:v>1</x:v>
      </x:c>
      <x:c r="N561" s="181" t="n">
        <x:v>1</x:v>
      </x:c>
      <x:c r="O561" s="67" t="n">
        <x:v>1</x:v>
      </x:c>
    </x:row>
    <x:row r="562" ht="24" customHeight="1">
      <x:c r="A562" s="65" t="n">
        <x:v>393</x:v>
      </x:c>
      <x:c r="B562" s="65" t="str">
        <x:v>河南队（酒祖杜康）</x:v>
      </x:c>
      <x:c r="C562" s="82" t="n">
        <x:v>1</x:v>
      </x:c>
      <x:c r="D562" s="82" t="n">
        <x:v>1</x:v>
      </x:c>
      <x:c r="E562" s="67" t="n">
        <x:v>1</x:v>
      </x:c>
      <x:c r="F562" s="181" t="n">
        <x:v>1</x:v>
      </x:c>
      <x:c r="G562" s="67" t="n">
        <x:v>1</x:v>
      </x:c>
      <x:c r="H562"/>
      <x:c r="I562" s="65" t="n">
        <x:v>393</x:v>
      </x:c>
      <x:c r="J562" s="65" t="str">
        <x:v>拉普拉塔体操（Gimnasia La Plata）</x:v>
      </x:c>
      <x:c r="K562" s="82" t="n">
        <x:v>1</x:v>
      </x:c>
      <x:c r="L562" s="82" t="n">
        <x:v>1</x:v>
      </x:c>
      <x:c r="M562" s="67" t="n">
        <x:v>1</x:v>
      </x:c>
      <x:c r="N562" s="181" t="n">
        <x:v>1</x:v>
      </x:c>
      <x:c r="O562" s="67" t="n">
        <x:v>1</x:v>
      </x:c>
    </x:row>
    <x:row r="563" ht="24" customHeight="1">
      <x:c r="A563" s="65" t="n">
        <x:v>394</x:v>
      </x:c>
      <x:c r="B563" s="65" t="str">
        <x:v>河静鸿岭（Hồng Lĩnh Hà Tĩnh）</x:v>
      </x:c>
      <x:c r="C563" s="82" t="n">
        <x:v>1</x:v>
      </x:c>
      <x:c r="D563" s="82" t="n">
        <x:v>1</x:v>
      </x:c>
      <x:c r="E563" s="67" t="n">
        <x:v>1</x:v>
      </x:c>
      <x:c r="F563" s="181" t="n">
        <x:v>1</x:v>
      </x:c>
      <x:c r="G563" s="67" t="n">
        <x:v>1</x:v>
      </x:c>
      <x:c r="H563"/>
      <x:c r="I563" s="65" t="n">
        <x:v>394</x:v>
      </x:c>
      <x:c r="J563" s="65" t="str">
        <x:v>拉普拉塔体操（Gimnasia y Esgrima La Plata）</x:v>
      </x:c>
      <x:c r="K563" s="82" t="n">
        <x:v>1</x:v>
      </x:c>
      <x:c r="L563" s="82" t="n">
        <x:v>1</x:v>
      </x:c>
      <x:c r="M563" s="67" t="n">
        <x:v>1</x:v>
      </x:c>
      <x:c r="N563" s="181" t="n">
        <x:v>1</x:v>
      </x:c>
      <x:c r="O563" s="67" t="n">
        <x:v>1</x:v>
      </x:c>
    </x:row>
    <x:row r="564" ht="24" customHeight="1">
      <x:c r="A564" s="65" t="n">
        <x:v>395</x:v>
      </x:c>
      <x:c r="B564" s="65" t="str">
        <x:v>波克海尔联（Box Hill United）</x:v>
      </x:c>
      <x:c r="C564" s="82" t="n">
        <x:v>1</x:v>
      </x:c>
      <x:c r="D564" s="82" t="n">
        <x:v>1</x:v>
      </x:c>
      <x:c r="E564" s="67" t="n">
        <x:v>1</x:v>
      </x:c>
      <x:c r="F564" s="181" t="n">
        <x:v>1</x:v>
      </x:c>
      <x:c r="G564" s="67" t="n">
        <x:v>1</x:v>
      </x:c>
      <x:c r="H564"/>
      <x:c r="I564" s="65" t="n">
        <x:v>395</x:v>
      </x:c>
      <x:c r="J564" s="65" t="str">
        <x:v>拉茨流浪者（Raith Rovers）</x:v>
      </x:c>
      <x:c r="K564" s="82" t="n">
        <x:v>1</x:v>
      </x:c>
      <x:c r="L564" s="82" t="n">
        <x:v>1</x:v>
      </x:c>
      <x:c r="M564" s="67" t="n">
        <x:v>1</x:v>
      </x:c>
      <x:c r="N564" s="181" t="n">
        <x:v>1</x:v>
      </x:c>
      <x:c r="O564" s="67" t="n">
        <x:v>1</x:v>
      </x:c>
    </x:row>
    <x:row r="565" ht="24" customHeight="1">
      <x:c r="A565" s="65" t="n">
        <x:v>396</x:v>
      </x:c>
      <x:c r="B565" s="65" t="str">
        <x:v>波哥塔FC（Bogotá FC）</x:v>
      </x:c>
      <x:c r="C565" s="82" t="n">
        <x:v>1</x:v>
      </x:c>
      <x:c r="D565" s="82" t="n">
        <x:v>1</x:v>
      </x:c>
      <x:c r="E565" s="67" t="n">
        <x:v>1</x:v>
      </x:c>
      <x:c r="F565" s="181" t="n">
        <x:v>1</x:v>
      </x:c>
      <x:c r="G565" s="67" t="n">
        <x:v>1</x:v>
      </x:c>
      <x:c r="H565"/>
      <x:c r="I565" s="65" t="n">
        <x:v>396</x:v>
      </x:c>
      <x:c r="J565" s="65" t="str">
        <x:v>拉费雷雷（Deportivo Laferrere）</x:v>
      </x:c>
      <x:c r="K565" s="82" t="n">
        <x:v>1</x:v>
      </x:c>
      <x:c r="L565" s="82" t="n">
        <x:v>1</x:v>
      </x:c>
      <x:c r="M565" s="67" t="n">
        <x:v>1</x:v>
      </x:c>
      <x:c r="N565" s="181" t="n">
        <x:v>1</x:v>
      </x:c>
      <x:c r="O565" s="67" t="n">
        <x:v>1</x:v>
      </x:c>
    </x:row>
    <x:row r="566" ht="24" customHeight="1">
      <x:c r="A566" s="65" t="n">
        <x:v>397</x:v>
      </x:c>
      <x:c r="B566" s="65" t="str">
        <x:v>波特诺山丘</x:v>
      </x:c>
      <x:c r="C566" s="82" t="n">
        <x:v>1</x:v>
      </x:c>
      <x:c r="D566" s="82" t="n">
        <x:v>1</x:v>
      </x:c>
      <x:c r="E566" s="67" t="n">
        <x:v>1</x:v>
      </x:c>
      <x:c r="F566" s="181" t="n">
        <x:v>1</x:v>
      </x:c>
      <x:c r="G566" s="67" t="n">
        <x:v>1</x:v>
      </x:c>
      <x:c r="H566"/>
      <x:c r="I566" s="65" t="n">
        <x:v>397</x:v>
      </x:c>
      <x:c r="J566" s="65" t="str">
        <x:v>拉赫迪（FC Lahti）</x:v>
      </x:c>
      <x:c r="K566" s="82" t="n">
        <x:v>1</x:v>
      </x:c>
      <x:c r="L566" s="82" t="n">
        <x:v>1</x:v>
      </x:c>
      <x:c r="M566" s="67" t="n">
        <x:v>1</x:v>
      </x:c>
      <x:c r="N566" s="181" t="n">
        <x:v>1</x:v>
      </x:c>
      <x:c r="O566" s="67" t="n">
        <x:v>1</x:v>
      </x:c>
    </x:row>
    <x:row r="567" ht="24" customHeight="1">
      <x:c r="A567" s="65" t="n">
        <x:v>398</x:v>
      </x:c>
      <x:c r="B567" s="65" t="str">
        <x:v>泰利尼登斯（Sportivo Trinidense）</x:v>
      </x:c>
      <x:c r="C567" s="82" t="n">
        <x:v>1</x:v>
      </x:c>
      <x:c r="D567" s="82" t="n">
        <x:v>1</x:v>
      </x:c>
      <x:c r="E567" s="67" t="n">
        <x:v>1</x:v>
      </x:c>
      <x:c r="F567" s="181" t="n">
        <x:v>1</x:v>
      </x:c>
      <x:c r="G567" s="67" t="n">
        <x:v>1</x:v>
      </x:c>
      <x:c r="H567"/>
      <x:c r="I567" s="65" t="n">
        <x:v>398</x:v>
      </x:c>
      <x:c r="J567" s="65" t="str">
        <x:v>掸邦联(Shan United)</x:v>
      </x:c>
      <x:c r="K567" s="82" t="n">
        <x:v>1</x:v>
      </x:c>
      <x:c r="L567" s="82" t="n">
        <x:v>1</x:v>
      </x:c>
      <x:c r="M567" s="67" t="n">
        <x:v>1</x:v>
      </x:c>
      <x:c r="N567" s="181" t="n">
        <x:v>1</x:v>
      </x:c>
      <x:c r="O567" s="67" t="n">
        <x:v>1</x:v>
      </x:c>
    </x:row>
    <x:row r="568" ht="24" customHeight="1">
      <x:c r="A568" s="65" t="n">
        <x:v>399</x:v>
      </x:c>
      <x:c r="B568" s="65" t="str">
        <x:v>洛克达尔伊利登</x:v>
      </x:c>
      <x:c r="C568" s="82" t="n">
        <x:v>1</x:v>
      </x:c>
      <x:c r="D568" s="82" t="n">
        <x:v>1</x:v>
      </x:c>
      <x:c r="E568" s="67" t="n">
        <x:v>1</x:v>
      </x:c>
      <x:c r="F568" s="181" t="n">
        <x:v>1</x:v>
      </x:c>
      <x:c r="G568" s="67" t="n">
        <x:v>1</x:v>
      </x:c>
      <x:c r="H568"/>
      <x:c r="I568" s="65" t="n">
        <x:v>399</x:v>
      </x:c>
      <x:c r="J568" s="65" t="str">
        <x:v>摩顿（Greenock Morton）</x:v>
      </x:c>
      <x:c r="K568" s="82" t="n">
        <x:v>1</x:v>
      </x:c>
      <x:c r="L568" s="82" t="n">
        <x:v>1</x:v>
      </x:c>
      <x:c r="M568" s="67" t="n">
        <x:v>1</x:v>
      </x:c>
      <x:c r="N568" s="181" t="n">
        <x:v>1</x:v>
      </x:c>
      <x:c r="O568" s="67" t="n">
        <x:v>1</x:v>
      </x:c>
    </x:row>
    <x:row r="569" ht="24" customHeight="1">
      <x:c r="A569" s="65" t="n">
        <x:v>400</x:v>
      </x:c>
      <x:c r="B569" s="65" t="str">
        <x:v>洛克达尔伊利登（Rockdale Ilinden）</x:v>
      </x:c>
      <x:c r="C569" s="82" t="n">
        <x:v>1</x:v>
      </x:c>
      <x:c r="D569" s="82" t="n">
        <x:v>1</x:v>
      </x:c>
      <x:c r="E569" s="67" t="n">
        <x:v>1</x:v>
      </x:c>
      <x:c r="F569" s="181" t="n">
        <x:v>1</x:v>
      </x:c>
      <x:c r="G569" s="67" t="n">
        <x:v>1</x:v>
      </x:c>
      <x:c r="H569"/>
      <x:c r="I569" s="65" t="n">
        <x:v>400</x:v>
      </x:c>
      <x:c r="J569" s="65" t="str">
        <x:v>文莱</x:v>
      </x:c>
      <x:c r="K569" s="82" t="n">
        <x:v>1</x:v>
      </x:c>
      <x:c r="L569" s="82" t="n">
        <x:v>1</x:v>
      </x:c>
      <x:c r="M569" s="67" t="n">
        <x:v>1</x:v>
      </x:c>
      <x:c r="N569" s="181" t="n">
        <x:v>1</x:v>
      </x:c>
      <x:c r="O569" s="67" t="n">
        <x:v>1</x:v>
      </x:c>
    </x:row>
    <x:row r="570" ht="24" customHeight="1">
      <x:c r="A570" s="65" t="n">
        <x:v>401</x:v>
      </x:c>
      <x:c r="B570" s="65" t="str">
        <x:v>洛杉矶银河(LA Galaxy)</x:v>
      </x:c>
      <x:c r="C570" s="82" t="n">
        <x:v>1</x:v>
      </x:c>
      <x:c r="D570" s="82" t="n">
        <x:v>1</x:v>
      </x:c>
      <x:c r="E570" s="67" t="n">
        <x:v>1</x:v>
      </x:c>
      <x:c r="F570" s="181" t="n">
        <x:v>1</x:v>
      </x:c>
      <x:c r="G570" s="67" t="n">
        <x:v>1</x:v>
      </x:c>
      <x:c r="H570"/>
      <x:c r="I570" s="65" t="n">
        <x:v>401</x:v>
      </x:c>
      <x:c r="J570" s="65" t="str">
        <x:v>斯托曼（Strømmen IF）</x:v>
      </x:c>
      <x:c r="K570" s="82" t="n">
        <x:v>1</x:v>
      </x:c>
      <x:c r="L570" s="82" t="n">
        <x:v>1</x:v>
      </x:c>
      <x:c r="M570" s="67" t="n">
        <x:v>1</x:v>
      </x:c>
      <x:c r="N570" s="181" t="n">
        <x:v>1</x:v>
      </x:c>
      <x:c r="O570" s="67" t="n">
        <x:v>1</x:v>
      </x:c>
    </x:row>
    <x:row r="571" ht="24" customHeight="1">
      <x:c r="A571" s="65" t="n">
        <x:v>402</x:v>
      </x:c>
      <x:c r="B571" s="65" t="str">
        <x:v>海德堡联（Heidelberg United）</x:v>
      </x:c>
      <x:c r="C571" s="82" t="n">
        <x:v>1</x:v>
      </x:c>
      <x:c r="D571" s="82" t="n">
        <x:v>1</x:v>
      </x:c>
      <x:c r="E571" s="67" t="n">
        <x:v>1</x:v>
      </x:c>
      <x:c r="F571" s="181" t="n">
        <x:v>1</x:v>
      </x:c>
      <x:c r="G571" s="67" t="n">
        <x:v>1</x:v>
      </x:c>
      <x:c r="H571"/>
      <x:c r="I571" s="65" t="n">
        <x:v>402</x:v>
      </x:c>
      <x:c r="J571" s="65" t="str">
        <x:v>斯法克斯</x:v>
      </x:c>
      <x:c r="K571" s="82" t="n">
        <x:v>1</x:v>
      </x:c>
      <x:c r="L571" s="82" t="n">
        <x:v>1</x:v>
      </x:c>
      <x:c r="M571" s="67" t="n">
        <x:v>1</x:v>
      </x:c>
      <x:c r="N571" s="181" t="n">
        <x:v>1</x:v>
      </x:c>
      <x:c r="O571" s="67" t="n">
        <x:v>1</x:v>
      </x:c>
    </x:row>
    <x:row r="572" ht="24" customHeight="1">
      <x:c r="A572" s="65" t="n">
        <x:v>403</x:v>
      </x:c>
      <x:c r="B572" s="65" t="str">
        <x:v>海格于松（FK Haugesund）</x:v>
      </x:c>
      <x:c r="C572" s="82" t="n">
        <x:v>1</x:v>
      </x:c>
      <x:c r="D572" s="82" t="n">
        <x:v>1</x:v>
      </x:c>
      <x:c r="E572" s="67" t="n">
        <x:v>1</x:v>
      </x:c>
      <x:c r="F572" s="181" t="n">
        <x:v>1</x:v>
      </x:c>
      <x:c r="G572" s="67" t="n">
        <x:v>1</x:v>
      </x:c>
      <x:c r="H572"/>
      <x:c r="I572" s="65" t="n">
        <x:v>403</x:v>
      </x:c>
      <x:c r="J572" s="65" t="str">
        <x:v>斯里兰卡</x:v>
      </x:c>
      <x:c r="K572" s="82" t="n">
        <x:v>1</x:v>
      </x:c>
      <x:c r="L572" s="82" t="n">
        <x:v>1</x:v>
      </x:c>
      <x:c r="M572" s="67" t="n">
        <x:v>1</x:v>
      </x:c>
      <x:c r="N572" s="181" t="n">
        <x:v>1</x:v>
      </x:c>
      <x:c r="O572" s="67" t="n">
        <x:v>1</x:v>
      </x:c>
    </x:row>
    <x:row r="573" ht="24" customHeight="1">
      <x:c r="A573" s="65" t="n">
        <x:v>404</x:v>
      </x:c>
      <x:c r="B573" s="65" t="str">
        <x:v>深圳新鹏城</x:v>
      </x:c>
      <x:c r="C573" s="82" t="n">
        <x:v>1</x:v>
      </x:c>
      <x:c r="D573" s="82" t="n">
        <x:v>1</x:v>
      </x:c>
      <x:c r="E573" s="67" t="n">
        <x:v>1</x:v>
      </x:c>
      <x:c r="F573" s="181" t="n">
        <x:v>1</x:v>
      </x:c>
      <x:c r="G573" s="67" t="n">
        <x:v>1</x:v>
      </x:c>
      <x:c r="H573"/>
      <x:c r="I573" s="65" t="n">
        <x:v>404</x:v>
      </x:c>
      <x:c r="J573" s="65" t="str">
        <x:v>新南威尔士大学</x:v>
      </x:c>
      <x:c r="K573" s="82" t="n">
        <x:v>1</x:v>
      </x:c>
      <x:c r="L573" s="82" t="n">
        <x:v>1</x:v>
      </x:c>
      <x:c r="M573" s="67" t="n">
        <x:v>1</x:v>
      </x:c>
      <x:c r="N573" s="181" t="n">
        <x:v>1</x:v>
      </x:c>
      <x:c r="O573" s="67" t="n">
        <x:v>1</x:v>
      </x:c>
    </x:row>
    <x:row r="574" ht="24" customHeight="1">
      <x:c r="A574" s="65" t="n">
        <x:v>405</x:v>
      </x:c>
      <x:c r="B574" s="65" t="str">
        <x:v>温哥华白帽(Whitecaps)</x:v>
      </x:c>
      <x:c r="C574" s="82" t="n">
        <x:v>1</x:v>
      </x:c>
      <x:c r="D574" s="82" t="n">
        <x:v>1</x:v>
      </x:c>
      <x:c r="E574" s="67" t="n">
        <x:v>1</x:v>
      </x:c>
      <x:c r="F574" s="181" t="n">
        <x:v>1</x:v>
      </x:c>
      <x:c r="G574" s="67" t="n">
        <x:v>1</x:v>
      </x:c>
      <x:c r="H574"/>
      <x:c r="I574" s="65" t="n">
        <x:v>405</x:v>
      </x:c>
      <x:c r="J574" s="65" t="str">
        <x:v>新潟天鹅</x:v>
      </x:c>
      <x:c r="K574" s="82" t="n">
        <x:v>1</x:v>
      </x:c>
      <x:c r="L574" s="82" t="n">
        <x:v>1</x:v>
      </x:c>
      <x:c r="M574" s="67" t="n">
        <x:v>1</x:v>
      </x:c>
      <x:c r="N574" s="181" t="n">
        <x:v>1</x:v>
      </x:c>
      <x:c r="O574" s="67" t="n">
        <x:v>1</x:v>
      </x:c>
    </x:row>
    <x:row r="575" ht="24" customHeight="1">
      <x:c r="A575" s="65" t="n">
        <x:v>406</x:v>
      </x:c>
      <x:c r="B575" s="65" t="str">
        <x:v>温纳姆狼队（WDSC Wolves FC）</x:v>
      </x:c>
      <x:c r="C575" s="82" t="n">
        <x:v>1</x:v>
      </x:c>
      <x:c r="D575" s="82" t="n">
        <x:v>1</x:v>
      </x:c>
      <x:c r="E575" s="67" t="n">
        <x:v>1</x:v>
      </x:c>
      <x:c r="F575" s="181" t="n">
        <x:v>1</x:v>
      </x:c>
      <x:c r="G575" s="67" t="n">
        <x:v>1</x:v>
      </x:c>
      <x:c r="H575"/>
      <x:c r="I575" s="65" t="n">
        <x:v>406</x:v>
      </x:c>
      <x:c r="J575" s="65" t="str">
        <x:v>昆卡青年（CD Cuenca Juniors）</x:v>
      </x:c>
      <x:c r="K575" s="82" t="n">
        <x:v>1</x:v>
      </x:c>
      <x:c r="L575" s="82" t="n">
        <x:v>1</x:v>
      </x:c>
      <x:c r="M575" s="67" t="n">
        <x:v>1</x:v>
      </x:c>
      <x:c r="N575" s="181" t="n">
        <x:v>1</x:v>
      </x:c>
      <x:c r="O575" s="67" t="n">
        <x:v>1</x:v>
      </x:c>
    </x:row>
    <x:row r="576" ht="24" customHeight="1">
      <x:c r="A576" s="65" t="n">
        <x:v>407</x:v>
      </x:c>
      <x:c r="B576" s="65" t="str">
        <x:v>湘南丽海</x:v>
      </x:c>
      <x:c r="C576" s="82" t="n">
        <x:v>1</x:v>
      </x:c>
      <x:c r="D576" s="82" t="n">
        <x:v>1</x:v>
      </x:c>
      <x:c r="E576" s="67" t="n">
        <x:v>1</x:v>
      </x:c>
      <x:c r="F576" s="181" t="n">
        <x:v>1</x:v>
      </x:c>
      <x:c r="G576" s="67" t="n">
        <x:v>1</x:v>
      </x:c>
      <x:c r="H576"/>
      <x:c r="I576" s="65" t="n">
        <x:v>407</x:v>
      </x:c>
      <x:c r="J576" s="65" t="str">
        <x:v>普塔雷纳斯（Puntarenas FC）</x:v>
      </x:c>
      <x:c r="K576" s="82" t="n">
        <x:v>1</x:v>
      </x:c>
      <x:c r="L576" s="82" t="n">
        <x:v>1</x:v>
      </x:c>
      <x:c r="M576" s="67" t="n">
        <x:v>1</x:v>
      </x:c>
      <x:c r="N576" s="181" t="n">
        <x:v>1</x:v>
      </x:c>
      <x:c r="O576" s="67" t="n">
        <x:v>1</x:v>
      </x:c>
    </x:row>
    <x:row r="577" ht="24" customHeight="1">
      <x:c r="A577" s="65" t="n">
        <x:v>408</x:v>
      </x:c>
      <x:c r="B577" s="65" t="str">
        <x:v>澳尼塔（Universitario de Vinto）</x:v>
      </x:c>
      <x:c r="C577" s="82" t="n">
        <x:v>1</x:v>
      </x:c>
      <x:c r="D577" s="82" t="n">
        <x:v>1</x:v>
      </x:c>
      <x:c r="E577" s="67" t="n">
        <x:v>1</x:v>
      </x:c>
      <x:c r="F577" s="181" t="n">
        <x:v>1</x:v>
      </x:c>
      <x:c r="G577" s="67" t="n">
        <x:v>1</x:v>
      </x:c>
      <x:c r="H577"/>
      <x:c r="I577" s="65" t="n">
        <x:v>408</x:v>
      </x:c>
      <x:c r="J577" s="65" t="str">
        <x:v>普拉滕斯竞技（Platense）</x:v>
      </x:c>
      <x:c r="K577" s="82" t="n">
        <x:v>1</x:v>
      </x:c>
      <x:c r="L577" s="82" t="n">
        <x:v>1</x:v>
      </x:c>
      <x:c r="M577" s="67" t="n">
        <x:v>1</x:v>
      </x:c>
      <x:c r="N577" s="181" t="n">
        <x:v>1</x:v>
      </x:c>
      <x:c r="O577" s="67" t="n">
        <x:v>1</x:v>
      </x:c>
    </x:row>
    <x:row r="578" ht="24" customHeight="1">
      <x:c r="A578" s="65" t="n">
        <x:v>409</x:v>
      </x:c>
      <x:c r="B578" s="65" t="str">
        <x:v>热刺（Tottenham Hotspur）</x:v>
      </x:c>
      <x:c r="C578" s="82" t="n">
        <x:v>1</x:v>
      </x:c>
      <x:c r="D578" s="82" t="n">
        <x:v>1</x:v>
      </x:c>
      <x:c r="E578" s="67" t="n">
        <x:v>1</x:v>
      </x:c>
      <x:c r="F578" s="181" t="n">
        <x:v>1</x:v>
      </x:c>
      <x:c r="G578" s="67" t="n">
        <x:v>1</x:v>
      </x:c>
      <x:c r="H578"/>
      <x:c r="I578" s="65" t="n">
        <x:v>409</x:v>
      </x:c>
      <x:c r="J578" s="65" t="str">
        <x:v>普拉腾斯（Club Atlético Platense）</x:v>
      </x:c>
      <x:c r="K578" s="82" t="n">
        <x:v>1</x:v>
      </x:c>
      <x:c r="L578" s="82" t="n">
        <x:v>1</x:v>
      </x:c>
      <x:c r="M578" s="67" t="n">
        <x:v>1</x:v>
      </x:c>
      <x:c r="N578" s="181" t="n">
        <x:v>1</x:v>
      </x:c>
      <x:c r="O578" s="67" t="n">
        <x:v>1</x:v>
      </x:c>
    </x:row>
    <x:row r="579" ht="24" customHeight="1">
      <x:c r="A579" s="65" t="n">
        <x:v>410</x:v>
      </x:c>
      <x:c r="B579" s="65" t="str">
        <x:v>爱媛FC</x:v>
      </x:c>
      <x:c r="C579" s="82" t="n">
        <x:v>1</x:v>
      </x:c>
      <x:c r="D579" s="82" t="n">
        <x:v>1</x:v>
      </x:c>
      <x:c r="E579" s="67" t="n">
        <x:v>1</x:v>
      </x:c>
      <x:c r="F579" s="181" t="n">
        <x:v>1</x:v>
      </x:c>
      <x:c r="G579" s="67" t="n">
        <x:v>1</x:v>
      </x:c>
      <x:c r="H579"/>
      <x:c r="I579" s="65" t="n">
        <x:v>410</x:v>
      </x:c>
      <x:c r="J579" s="65" t="str">
        <x:v>普拉腾斯（Platense FC）</x:v>
      </x:c>
      <x:c r="K579" s="82" t="n">
        <x:v>1</x:v>
      </x:c>
      <x:c r="L579" s="82" t="n">
        <x:v>1</x:v>
      </x:c>
      <x:c r="M579" s="67" t="n">
        <x:v>1</x:v>
      </x:c>
      <x:c r="N579" s="181" t="n">
        <x:v>1</x:v>
      </x:c>
      <x:c r="O579" s="67" t="n">
        <x:v>1</x:v>
      </x:c>
    </x:row>
    <x:row r="580" ht="24" customHeight="1">
      <x:c r="A580" s="65" t="n">
        <x:v>411</x:v>
      </x:c>
      <x:c r="B580" s="65" t="str">
        <x:v>特拉斯卡拉FC</x:v>
      </x:c>
      <x:c r="C580" s="82" t="n">
        <x:v>1</x:v>
      </x:c>
      <x:c r="D580" s="82" t="n">
        <x:v>1</x:v>
      </x:c>
      <x:c r="E580" s="67" t="n">
        <x:v>1</x:v>
      </x:c>
      <x:c r="F580" s="181" t="n">
        <x:v>1</x:v>
      </x:c>
      <x:c r="G580" s="67" t="n">
        <x:v>1</x:v>
      </x:c>
      <x:c r="H580"/>
      <x:c r="I580" s="65" t="n">
        <x:v>411</x:v>
      </x:c>
      <x:c r="J580" s="65" t="str">
        <x:v>普斯SC</x:v>
      </x:c>
      <x:c r="K580" s="82" t="n">
        <x:v>1</x:v>
      </x:c>
      <x:c r="L580" s="82" t="n">
        <x:v>1</x:v>
      </x:c>
      <x:c r="M580" s="67" t="n">
        <x:v>1</x:v>
      </x:c>
      <x:c r="N580" s="181" t="n">
        <x:v>1</x:v>
      </x:c>
      <x:c r="O580" s="67" t="n">
        <x:v>1</x:v>
      </x:c>
    </x:row>
    <x:row r="581" ht="24" customHeight="1">
      <x:c r="A581" s="65" t="n">
        <x:v>412</x:v>
      </x:c>
      <x:c r="B581" s="65" t="str">
        <x:v>特雷菲奥里（SP Tre Fiori）</x:v>
      </x:c>
      <x:c r="C581" s="82" t="n">
        <x:v>1</x:v>
      </x:c>
      <x:c r="D581" s="82" t="n">
        <x:v>1</x:v>
      </x:c>
      <x:c r="E581" s="67" t="n">
        <x:v>1</x:v>
      </x:c>
      <x:c r="F581" s="181" t="n">
        <x:v>1</x:v>
      </x:c>
      <x:c r="G581" s="67" t="n">
        <x:v>1</x:v>
      </x:c>
      <x:c r="H581"/>
      <x:c r="I581" s="65" t="n">
        <x:v>412</x:v>
      </x:c>
      <x:c r="J581" s="65" t="str">
        <x:v>普罗斯佩联（Prospect United）</x:v>
      </x:c>
      <x:c r="K581" s="82" t="n">
        <x:v>1</x:v>
      </x:c>
      <x:c r="L581" s="82" t="n">
        <x:v>1</x:v>
      </x:c>
      <x:c r="M581" s="67" t="n">
        <x:v>1</x:v>
      </x:c>
      <x:c r="N581" s="181" t="n">
        <x:v>1</x:v>
      </x:c>
      <x:c r="O581" s="67" t="n">
        <x:v>1</x:v>
      </x:c>
    </x:row>
    <x:row r="582" ht="24" customHeight="1">
      <x:c r="A582" s="65" t="n">
        <x:v>413</x:v>
      </x:c>
      <x:c r="B582" s="65" t="str">
        <x:v>独立圣菲（Independiente Santa Fe）</x:v>
      </x:c>
      <x:c r="C582" s="82" t="n">
        <x:v>1</x:v>
      </x:c>
      <x:c r="D582" s="82" t="n">
        <x:v>1</x:v>
      </x:c>
      <x:c r="E582" s="67" t="n">
        <x:v>1</x:v>
      </x:c>
      <x:c r="F582" s="181" t="n">
        <x:v>1</x:v>
      </x:c>
      <x:c r="G582" s="67" t="n">
        <x:v>1</x:v>
      </x:c>
      <x:c r="H582"/>
      <x:c r="I582" s="65" t="n">
        <x:v>413</x:v>
      </x:c>
      <x:c r="J582" s="65" t="str">
        <x:v>普雷斯顿狮子女足（Preston Lions Women）</x:v>
      </x:c>
      <x:c r="K582" s="82" t="n">
        <x:v>1</x:v>
      </x:c>
      <x:c r="L582" s="82" t="n">
        <x:v>1</x:v>
      </x:c>
      <x:c r="M582" s="67" t="n">
        <x:v>1</x:v>
      </x:c>
      <x:c r="N582" s="181" t="n">
        <x:v>1</x:v>
      </x:c>
      <x:c r="O582" s="67" t="n">
        <x:v>1</x:v>
      </x:c>
    </x:row>
    <x:row r="583" ht="24" customHeight="1">
      <x:c r="A583" s="65" t="n">
        <x:v>414</x:v>
      </x:c>
      <x:c r="B583" s="65" t="str">
        <x:v>狮城水手(Lion City Sailors)</x:v>
      </x:c>
      <x:c r="C583" s="82" t="n">
        <x:v>1</x:v>
      </x:c>
      <x:c r="D583" s="82" t="n">
        <x:v>1</x:v>
      </x:c>
      <x:c r="E583" s="67" t="n">
        <x:v>1</x:v>
      </x:c>
      <x:c r="F583" s="181" t="n">
        <x:v>1</x:v>
      </x:c>
      <x:c r="G583" s="67" t="n">
        <x:v>1</x:v>
      </x:c>
      <x:c r="H583"/>
      <x:c r="I583" s="65" t="n">
        <x:v>414</x:v>
      </x:c>
      <x:c r="J583" s="65" t="str">
        <x:v>智利天主大学（Universidad Católica）</x:v>
      </x:c>
      <x:c r="K583" s="82" t="n">
        <x:v>1</x:v>
      </x:c>
      <x:c r="L583" s="82" t="n">
        <x:v>1</x:v>
      </x:c>
      <x:c r="M583" s="67" t="n">
        <x:v>1</x:v>
      </x:c>
      <x:c r="N583" s="181" t="n">
        <x:v>1</x:v>
      </x:c>
      <x:c r="O583" s="67" t="n">
        <x:v>1</x:v>
      </x:c>
    </x:row>
    <x:row r="584" ht="24" customHeight="1">
      <x:c r="A584" s="65" t="n">
        <x:v>415</x:v>
      </x:c>
      <x:c r="B584" s="65" t="str">
        <x:v>狼队（伍尔弗汉普顿流浪者/Wolverhampton）</x:v>
      </x:c>
      <x:c r="C584" s="82" t="n">
        <x:v>1</x:v>
      </x:c>
      <x:c r="D584" s="82" t="n">
        <x:v>1</x:v>
      </x:c>
      <x:c r="E584" s="67" t="n">
        <x:v>1</x:v>
      </x:c>
      <x:c r="F584" s="181" t="n">
        <x:v>1</x:v>
      </x:c>
      <x:c r="G584" s="67" t="n">
        <x:v>1</x:v>
      </x:c>
      <x:c r="H584"/>
      <x:c r="I584" s="65" t="n">
        <x:v>415</x:v>
      </x:c>
      <x:c r="J584" s="65" t="str">
        <x:v>曼宁厄姆联蓝调（Manningham United Blues）</x:v>
      </x:c>
      <x:c r="K584" s="82" t="n">
        <x:v>1</x:v>
      </x:c>
      <x:c r="L584" s="82" t="n">
        <x:v>1</x:v>
      </x:c>
      <x:c r="M584" s="67" t="n">
        <x:v>1</x:v>
      </x:c>
      <x:c r="N584" s="181" t="n">
        <x:v>1</x:v>
      </x:c>
      <x:c r="O584" s="67" t="n">
        <x:v>1</x:v>
      </x:c>
    </x:row>
    <x:row r="585" ht="24" customHeight="1">
      <x:c r="A585" s="65" t="n">
        <x:v>416</x:v>
      </x:c>
      <x:c r="B585" s="65" t="str">
        <x:v>玛丽港（IFK Mariehamn）</x:v>
      </x:c>
      <x:c r="C585" s="82" t="n">
        <x:v>1</x:v>
      </x:c>
      <x:c r="D585" s="82" t="n">
        <x:v>1</x:v>
      </x:c>
      <x:c r="E585" s="67" t="n">
        <x:v>1</x:v>
      </x:c>
      <x:c r="F585" s="181" t="n">
        <x:v>1</x:v>
      </x:c>
      <x:c r="G585" s="67" t="n">
        <x:v>1</x:v>
      </x:c>
      <x:c r="H585"/>
      <x:c r="I585" s="65" t="n">
        <x:v>416</x:v>
      </x:c>
      <x:c r="J585" s="65" t="str">
        <x:v>曼立联（Manly United）</x:v>
      </x:c>
      <x:c r="K585" s="82" t="n">
        <x:v>1</x:v>
      </x:c>
      <x:c r="L585" s="82" t="n">
        <x:v>1</x:v>
      </x:c>
      <x:c r="M585" s="67" t="n">
        <x:v>1</x:v>
      </x:c>
      <x:c r="N585" s="181" t="n">
        <x:v>1</x:v>
      </x:c>
      <x:c r="O585" s="67" t="n">
        <x:v>1</x:v>
      </x:c>
    </x:row>
    <x:row r="586" ht="24" customHeight="1">
      <x:c r="A586" s="65" t="n">
        <x:v>417</x:v>
      </x:c>
      <x:c r="B586" s="65" t="str">
        <x:v>玻利维亚足球学院（ABB，Academia del Balompié Boliviano）</x:v>
      </x:c>
      <x:c r="C586" s="82" t="n">
        <x:v>1</x:v>
      </x:c>
      <x:c r="D586" s="82" t="n">
        <x:v>1</x:v>
      </x:c>
      <x:c r="E586" s="67" t="n">
        <x:v>1</x:v>
      </x:c>
      <x:c r="F586" s="181" t="n">
        <x:v>1</x:v>
      </x:c>
      <x:c r="G586" s="67" t="n">
        <x:v>1</x:v>
      </x:c>
      <x:c r="H586"/>
      <x:c r="I586" s="65" t="n">
        <x:v>417</x:v>
      </x:c>
      <x:c r="J586" s="65" t="str">
        <x:v>曼立联U20（Manly United U20）</x:v>
      </x:c>
      <x:c r="K586" s="82" t="n">
        <x:v>1</x:v>
      </x:c>
      <x:c r="L586" s="82" t="n">
        <x:v>1</x:v>
      </x:c>
      <x:c r="M586" s="67" t="n">
        <x:v>1</x:v>
      </x:c>
      <x:c r="N586" s="181" t="n">
        <x:v>1</x:v>
      </x:c>
      <x:c r="O586" s="67" t="n">
        <x:v>1</x:v>
      </x:c>
    </x:row>
    <x:row r="587" ht="24" customHeight="1">
      <x:c r="A587" s="65" t="n">
        <x:v>418</x:v>
      </x:c>
      <x:c r="B587" s="65" t="str">
        <x:v>班加罗尔FC（Bengaluru FC）</x:v>
      </x:c>
      <x:c r="C587" s="82" t="n">
        <x:v>1</x:v>
      </x:c>
      <x:c r="D587" s="82" t="n">
        <x:v>1</x:v>
      </x:c>
      <x:c r="E587" s="67" t="n">
        <x:v>1</x:v>
      </x:c>
      <x:c r="F587" s="181" t="n">
        <x:v>1</x:v>
      </x:c>
      <x:c r="G587" s="67" t="n">
        <x:v>1</x:v>
      </x:c>
      <x:c r="H587"/>
      <x:c r="I587" s="65" t="n">
        <x:v>418</x:v>
      </x:c>
      <x:c r="J587" s="65" t="str">
        <x:v>曼谷联(True Bangkok United)</x:v>
      </x:c>
      <x:c r="K587" s="82" t="n">
        <x:v>1</x:v>
      </x:c>
      <x:c r="L587" s="82" t="n">
        <x:v>1</x:v>
      </x:c>
      <x:c r="M587" s="67" t="n">
        <x:v>1</x:v>
      </x:c>
      <x:c r="N587" s="181" t="n">
        <x:v>1</x:v>
      </x:c>
      <x:c r="O587" s="67" t="n">
        <x:v>1</x:v>
      </x:c>
    </x:row>
    <x:row r="588" ht="24" customHeight="1">
      <x:c r="A588" s="65" t="n">
        <x:v>419</x:v>
      </x:c>
      <x:c r="B588" s="65" t="str">
        <x:v>瑟亚米卡克娄巴特拉</x:v>
      </x:c>
      <x:c r="C588" s="82" t="n">
        <x:v>1</x:v>
      </x:c>
      <x:c r="D588" s="82" t="n">
        <x:v>1</x:v>
      </x:c>
      <x:c r="E588" s="67" t="n">
        <x:v>1</x:v>
      </x:c>
      <x:c r="F588" s="181" t="n">
        <x:v>1</x:v>
      </x:c>
      <x:c r="G588" s="67" t="n">
        <x:v>1</x:v>
      </x:c>
      <x:c r="H588"/>
      <x:c r="I588" s="65" t="n">
        <x:v>419</x:v>
      </x:c>
      <x:c r="J588" s="65" t="str">
        <x:v>曼谷联（True Bangkok United）</x:v>
      </x:c>
      <x:c r="K588" s="82" t="n">
        <x:v>1</x:v>
      </x:c>
      <x:c r="L588" s="82" t="n">
        <x:v>1</x:v>
      </x:c>
      <x:c r="M588" s="67" t="n">
        <x:v>1</x:v>
      </x:c>
      <x:c r="N588" s="181" t="n">
        <x:v>1</x:v>
      </x:c>
      <x:c r="O588" s="67" t="n">
        <x:v>1</x:v>
      </x:c>
    </x:row>
    <x:row r="589" ht="24" customHeight="1">
      <x:c r="A589" s="65" t="n">
        <x:v>420</x:v>
      </x:c>
      <x:c r="B589" s="65" t="str">
        <x:v>瓜亚基尔巴塞罗那（Barcelona SC）</x:v>
      </x:c>
      <x:c r="C589" s="82" t="n">
        <x:v>1</x:v>
      </x:c>
      <x:c r="D589" s="82" t="n">
        <x:v>1</x:v>
      </x:c>
      <x:c r="E589" s="67" t="n">
        <x:v>1</x:v>
      </x:c>
      <x:c r="F589" s="181" t="n">
        <x:v>1</x:v>
      </x:c>
      <x:c r="G589" s="67" t="n">
        <x:v>1</x:v>
      </x:c>
      <x:c r="H589"/>
      <x:c r="I589" s="65" t="n">
        <x:v>420</x:v>
      </x:c>
      <x:c r="J589" s="65" t="str">
        <x:v>未来FC（Modern Sport FC）</x:v>
      </x:c>
      <x:c r="K589" s="82" t="n">
        <x:v>1</x:v>
      </x:c>
      <x:c r="L589" s="82" t="n">
        <x:v>1</x:v>
      </x:c>
      <x:c r="M589" s="67" t="n">
        <x:v>1</x:v>
      </x:c>
      <x:c r="N589" s="181" t="n">
        <x:v>1</x:v>
      </x:c>
      <x:c r="O589" s="67" t="n">
        <x:v>1</x:v>
      </x:c>
    </x:row>
    <x:row r="590" ht="24" customHeight="1">
      <x:c r="A590" s="65" t="n">
        <x:v>421</x:v>
      </x:c>
      <x:c r="B590" s="65" t="str">
        <x:v>瓜亚基尔巴塞罗那(巴塞罗那SC/Barcelona SC)</x:v>
      </x:c>
      <x:c r="C590" s="82" t="n">
        <x:v>1</x:v>
      </x:c>
      <x:c r="D590" s="82" t="n">
        <x:v>1</x:v>
      </x:c>
      <x:c r="E590" s="67" t="n">
        <x:v>1</x:v>
      </x:c>
      <x:c r="F590" s="181" t="n">
        <x:v>1</x:v>
      </x:c>
      <x:c r="G590" s="67" t="n">
        <x:v>1</x:v>
      </x:c>
      <x:c r="H590"/>
      <x:c r="I590" s="65" t="n">
        <x:v>421</x:v>
      </x:c>
      <x:c r="J590" s="65" t="str">
        <x:v>本特利绿茵（Bentleigh Greens FC）</x:v>
      </x:c>
      <x:c r="K590" s="82" t="n">
        <x:v>1</x:v>
      </x:c>
      <x:c r="L590" s="82" t="n">
        <x:v>1</x:v>
      </x:c>
      <x:c r="M590" s="67" t="n">
        <x:v>1</x:v>
      </x:c>
      <x:c r="N590" s="181" t="n">
        <x:v>1</x:v>
      </x:c>
      <x:c r="O590" s="67" t="n">
        <x:v>1</x:v>
      </x:c>
    </x:row>
    <x:row r="591" ht="24" customHeight="1">
      <x:c r="A591" s="65" t="n">
        <x:v>422</x:v>
      </x:c>
      <x:c r="B591" s="65" t="str">
        <x:v>瓜达拉哈拉（Chivas）</x:v>
      </x:c>
      <x:c r="C591" s="82" t="n">
        <x:v>1</x:v>
      </x:c>
      <x:c r="D591" s="82" t="n">
        <x:v>1</x:v>
      </x:c>
      <x:c r="E591" s="67" t="n">
        <x:v>1</x:v>
      </x:c>
      <x:c r="F591" s="181" t="n">
        <x:v>1</x:v>
      </x:c>
      <x:c r="G591" s="67" t="n">
        <x:v>1</x:v>
      </x:c>
      <x:c r="H591"/>
      <x:c r="I591" s="65" t="n">
        <x:v>422</x:v>
      </x:c>
      <x:c r="J591" s="65" t="str">
        <x:v>松本山雅FC（Matsumoto Yamaga）</x:v>
      </x:c>
      <x:c r="K591" s="82" t="n">
        <x:v>1</x:v>
      </x:c>
      <x:c r="L591" s="82" t="n">
        <x:v>1</x:v>
      </x:c>
      <x:c r="M591" s="67" t="n">
        <x:v>1</x:v>
      </x:c>
      <x:c r="N591" s="181" t="n">
        <x:v>1</x:v>
      </x:c>
      <x:c r="O591" s="67" t="n">
        <x:v>1</x:v>
      </x:c>
    </x:row>
    <x:row r="592" ht="24" customHeight="1">
      <x:c r="A592" s="65" t="n">
        <x:v>423</x:v>
      </x:c>
      <x:c r="B592" s="65" t="str">
        <x:v>瓜达拉哈拉大学（UdeG/Leones Negros）</x:v>
      </x:c>
      <x:c r="C592" s="82" t="n">
        <x:v>1</x:v>
      </x:c>
      <x:c r="D592" s="82" t="n">
        <x:v>1</x:v>
      </x:c>
      <x:c r="E592" s="67" t="n">
        <x:v>1</x:v>
      </x:c>
      <x:c r="F592" s="181" t="n">
        <x:v>1</x:v>
      </x:c>
      <x:c r="G592" s="67" t="n">
        <x:v>1</x:v>
      </x:c>
      <x:c r="H592"/>
      <x:c r="I592" s="65" t="n">
        <x:v>423</x:v>
      </x:c>
      <x:c r="J592" s="65" t="str">
        <x:v>林肯红魔</x:v>
      </x:c>
      <x:c r="K592" s="82" t="n">
        <x:v>1</x:v>
      </x:c>
      <x:c r="L592" s="82" t="n">
        <x:v>1</x:v>
      </x:c>
      <x:c r="M592" s="67" t="n">
        <x:v>1</x:v>
      </x:c>
      <x:c r="N592" s="181" t="n">
        <x:v>1</x:v>
      </x:c>
      <x:c r="O592" s="67" t="n">
        <x:v>1</x:v>
      </x:c>
    </x:row>
    <x:row r="593" ht="24" customHeight="1">
      <x:c r="A593" s="65" t="n">
        <x:v>424</x:v>
      </x:c>
      <x:c r="B593" s="65" t="str">
        <x:v>瓦勒伦加</x:v>
      </x:c>
      <x:c r="C593" s="82" t="n">
        <x:v>1</x:v>
      </x:c>
      <x:c r="D593" s="82" t="n">
        <x:v>1</x:v>
      </x:c>
      <x:c r="E593" s="67" t="n">
        <x:v>1</x:v>
      </x:c>
      <x:c r="F593" s="181" t="n">
        <x:v>1</x:v>
      </x:c>
      <x:c r="G593" s="67" t="n">
        <x:v>1</x:v>
      </x:c>
      <x:c r="H593"/>
      <x:c r="I593" s="65" t="n">
        <x:v>424</x:v>
      </x:c>
      <x:c r="J593" s="65" t="str">
        <x:v>果阿</x:v>
      </x:c>
      <x:c r="K593" s="82" t="n">
        <x:v>1</x:v>
      </x:c>
      <x:c r="L593" s="82" t="n">
        <x:v>1</x:v>
      </x:c>
      <x:c r="M593" s="67" t="n">
        <x:v>1</x:v>
      </x:c>
      <x:c r="N593" s="181" t="n">
        <x:v>1</x:v>
      </x:c>
      <x:c r="O593" s="67" t="n">
        <x:v>1</x:v>
      </x:c>
    </x:row>
    <x:row r="594" ht="24" customHeight="1">
      <x:c r="A594" s="65" t="n">
        <x:v>425</x:v>
      </x:c>
      <x:c r="B594" s="65" t="str">
        <x:v>瓦斯科达伽马(Vasco da Gama)</x:v>
      </x:c>
      <x:c r="C594" s="82" t="n">
        <x:v>1</x:v>
      </x:c>
      <x:c r="D594" s="82" t="n">
        <x:v>1</x:v>
      </x:c>
      <x:c r="E594" s="67" t="n">
        <x:v>1</x:v>
      </x:c>
      <x:c r="F594" s="181" t="n">
        <x:v>1</x:v>
      </x:c>
      <x:c r="G594" s="67" t="n">
        <x:v>1</x:v>
      </x:c>
      <x:c r="H594"/>
      <x:c r="I594" s="65" t="n">
        <x:v>425</x:v>
      </x:c>
      <x:c r="J594" s="65" t="str">
        <x:v>果阿FC（FC Goa）</x:v>
      </x:c>
      <x:c r="K594" s="82" t="n">
        <x:v>1</x:v>
      </x:c>
      <x:c r="L594" s="82" t="n">
        <x:v>1</x:v>
      </x:c>
      <x:c r="M594" s="67" t="n">
        <x:v>1</x:v>
      </x:c>
      <x:c r="N594" s="181" t="n">
        <x:v>1</x:v>
      </x:c>
      <x:c r="O594" s="67" t="n">
        <x:v>1</x:v>
      </x:c>
    </x:row>
    <x:row r="595" ht="24" customHeight="1">
      <x:c r="A595" s="65" t="n">
        <x:v>426</x:v>
      </x:c>
      <x:c r="B595" s="65" t="str">
        <x:v>瓦斯达伽马（Vasco da Gama）</x:v>
      </x:c>
      <x:c r="C595" s="82" t="n">
        <x:v>1</x:v>
      </x:c>
      <x:c r="D595" s="82" t="n">
        <x:v>1</x:v>
      </x:c>
      <x:c r="E595" s="67" t="n">
        <x:v>1</x:v>
      </x:c>
      <x:c r="F595" s="181" t="n">
        <x:v>1</x:v>
      </x:c>
      <x:c r="G595" s="67" t="n">
        <x:v>1</x:v>
      </x:c>
      <x:c r="H595"/>
      <x:c r="I595" s="65" t="n">
        <x:v>426</x:v>
      </x:c>
      <x:c r="J595" s="65" t="str">
        <x:v>枥木SC（Tochigi SC）</x:v>
      </x:c>
      <x:c r="K595" s="82" t="n">
        <x:v>1</x:v>
      </x:c>
      <x:c r="L595" s="82" t="n">
        <x:v>1</x:v>
      </x:c>
      <x:c r="M595" s="67" t="n">
        <x:v>1</x:v>
      </x:c>
      <x:c r="N595" s="181" t="n">
        <x:v>1</x:v>
      </x:c>
      <x:c r="O595" s="67" t="n">
        <x:v>1</x:v>
      </x:c>
    </x:row>
    <x:row r="596" ht="24" customHeight="1">
      <x:c r="A596" s="65" t="n">
        <x:v>427</x:v>
      </x:c>
      <x:c r="B596" s="65" t="str">
        <x:v>甘拿斯亚门多萨（Gimnasia Mendoza）</x:v>
      </x:c>
      <x:c r="C596" s="82" t="n">
        <x:v>1</x:v>
      </x:c>
      <x:c r="D596" s="82" t="n">
        <x:v>1</x:v>
      </x:c>
      <x:c r="E596" s="67" t="n">
        <x:v>1</x:v>
      </x:c>
      <x:c r="F596" s="181" t="n">
        <x:v>1</x:v>
      </x:c>
      <x:c r="G596" s="67" t="n">
        <x:v>1</x:v>
      </x:c>
      <x:c r="H596"/>
      <x:c r="I596" s="65" t="n">
        <x:v>427</x:v>
      </x:c>
      <x:c r="J596" s="65" t="str">
        <x:v>枥木市（Tochigi City FC）</x:v>
      </x:c>
      <x:c r="K596" s="82" t="n">
        <x:v>1</x:v>
      </x:c>
      <x:c r="L596" s="82" t="n">
        <x:v>1</x:v>
      </x:c>
      <x:c r="M596" s="67" t="n">
        <x:v>1</x:v>
      </x:c>
      <x:c r="N596" s="181" t="n">
        <x:v>1</x:v>
      </x:c>
      <x:c r="O596" s="67" t="n">
        <x:v>1</x:v>
      </x:c>
    </x:row>
    <x:row r="597" ht="24" customHeight="1">
      <x:c r="A597" s="65" t="n">
        <x:v>428</x:v>
      </x:c>
      <x:c r="B597" s="65" t="str">
        <x:v>甲府风林（Ventforet Kofu）</x:v>
      </x:c>
      <x:c r="C597" s="82" t="n">
        <x:v>1</x:v>
      </x:c>
      <x:c r="D597" s="82" t="n">
        <x:v>1</x:v>
      </x:c>
      <x:c r="E597" s="67" t="n">
        <x:v>1</x:v>
      </x:c>
      <x:c r="F597" s="181" t="n">
        <x:v>1</x:v>
      </x:c>
      <x:c r="G597" s="67" t="n">
        <x:v>1</x:v>
      </x:c>
      <x:c r="H597"/>
      <x:c r="I597" s="65" t="n">
        <x:v>428</x:v>
      </x:c>
      <x:c r="J597" s="65" t="str">
        <x:v>柏林赫塔（Hertha BSC）</x:v>
      </x:c>
      <x:c r="K597" s="82" t="n">
        <x:v>1</x:v>
      </x:c>
      <x:c r="L597" s="82" t="n">
        <x:v>1</x:v>
      </x:c>
      <x:c r="M597" s="67" t="n">
        <x:v>1</x:v>
      </x:c>
      <x:c r="N597" s="181" t="n">
        <x:v>1</x:v>
      </x:c>
      <x:c r="O597" s="67" t="n">
        <x:v>1</x:v>
      </x:c>
    </x:row>
    <x:row r="598" ht="24" customHeight="1">
      <x:c r="A598" s="65" t="n">
        <x:v>429</x:v>
      </x:c>
      <x:c r="B598" s="65" t="str">
        <x:v>百慕大</x:v>
      </x:c>
      <x:c r="C598" s="82" t="n">
        <x:v>1</x:v>
      </x:c>
      <x:c r="D598" s="82" t="n">
        <x:v>1</x:v>
      </x:c>
      <x:c r="E598" s="67" t="n">
        <x:v>1</x:v>
      </x:c>
      <x:c r="F598" s="181" t="n">
        <x:v>1</x:v>
      </x:c>
      <x:c r="G598" s="67" t="n">
        <x:v>1</x:v>
      </x:c>
      <x:c r="H598"/>
      <x:c r="I598" s="65" t="n">
        <x:v>429</x:v>
      </x:c>
      <x:c r="J598" s="65" t="str">
        <x:v>柔佛新山(Johor Darul Ta'zim)</x:v>
      </x:c>
      <x:c r="K598" s="82" t="n">
        <x:v>1</x:v>
      </x:c>
      <x:c r="L598" s="82" t="n">
        <x:v>1</x:v>
      </x:c>
      <x:c r="M598" s="67" t="n">
        <x:v>1</x:v>
      </x:c>
      <x:c r="N598" s="181" t="n">
        <x:v>1</x:v>
      </x:c>
      <x:c r="O598" s="67" t="n">
        <x:v>1</x:v>
      </x:c>
    </x:row>
    <x:row r="599" ht="24" customHeight="1">
      <x:c r="A599" s="65" t="n">
        <x:v>430</x:v>
      </x:c>
      <x:c r="B599" s="65" t="str">
        <x:v>皇家伊斯柏纳（Real España）</x:v>
      </x:c>
      <x:c r="C599" s="82" t="n">
        <x:v>1</x:v>
      </x:c>
      <x:c r="D599" s="82" t="n">
        <x:v>1</x:v>
      </x:c>
      <x:c r="E599" s="67" t="n">
        <x:v>1</x:v>
      </x:c>
      <x:c r="F599" s="181" t="n">
        <x:v>1</x:v>
      </x:c>
      <x:c r="G599" s="67" t="n">
        <x:v>1</x:v>
      </x:c>
      <x:c r="H599"/>
      <x:c r="I599" s="65" t="n">
        <x:v>430</x:v>
      </x:c>
      <x:c r="J599" s="65" t="str">
        <x:v>查尔顿</x:v>
      </x:c>
      <x:c r="K599" s="82" t="n">
        <x:v>1</x:v>
      </x:c>
      <x:c r="L599" s="82" t="n">
        <x:v>1</x:v>
      </x:c>
      <x:c r="M599" s="67" t="n">
        <x:v>1</x:v>
      </x:c>
      <x:c r="N599" s="181" t="n">
        <x:v>1</x:v>
      </x:c>
      <x:c r="O599" s="67" t="n">
        <x:v>1</x:v>
      </x:c>
    </x:row>
    <x:row r="600" ht="24" customHeight="1">
      <x:c r="A600" s="65" t="n">
        <x:v>431</x:v>
      </x:c>
      <x:c r="B600" s="65" t="str">
        <x:v>皇家卡塔赫纳（Real Cartagena，卡达根拿）</x:v>
      </x:c>
      <x:c r="C600" s="82" t="n">
        <x:v>1</x:v>
      </x:c>
      <x:c r="D600" s="82" t="n">
        <x:v>1</x:v>
      </x:c>
      <x:c r="E600" s="67" t="n">
        <x:v>1</x:v>
      </x:c>
      <x:c r="F600" s="181" t="n">
        <x:v>1</x:v>
      </x:c>
      <x:c r="G600" s="67" t="n">
        <x:v>1</x:v>
      </x:c>
      <x:c r="H600"/>
      <x:c r="I600" s="65" t="n">
        <x:v>431</x:v>
      </x:c>
      <x:c r="J600" s="65" t="str">
        <x:v>查尔顿竞技（Charlton Athletic）</x:v>
      </x:c>
      <x:c r="K600" s="82" t="n">
        <x:v>1</x:v>
      </x:c>
      <x:c r="L600" s="82" t="n">
        <x:v>1</x:v>
      </x:c>
      <x:c r="M600" s="67" t="n">
        <x:v>1</x:v>
      </x:c>
      <x:c r="N600" s="181" t="n">
        <x:v>1</x:v>
      </x:c>
      <x:c r="O600" s="67" t="n">
        <x:v>1</x:v>
      </x:c>
    </x:row>
    <x:row r="601" ht="24" customHeight="1">
      <x:c r="A601" s="65" t="n">
        <x:v>432</x:v>
      </x:c>
      <x:c r="B601" s="65" t="str">
        <x:v>皇家卡塔赫纳（Real Cartagena）</x:v>
      </x:c>
      <x:c r="C601" s="82" t="n">
        <x:v>1</x:v>
      </x:c>
      <x:c r="D601" s="82" t="n">
        <x:v>1</x:v>
      </x:c>
      <x:c r="E601" s="67" t="n">
        <x:v>1</x:v>
      </x:c>
      <x:c r="F601" s="181" t="n">
        <x:v>1</x:v>
      </x:c>
      <x:c r="G601" s="67" t="n">
        <x:v>1</x:v>
      </x:c>
      <x:c r="H601"/>
      <x:c r="I601" s="65" t="n">
        <x:v>432</x:v>
      </x:c>
      <x:c r="J601" s="65" t="str">
        <x:v>查玛里</x:v>
      </x:c>
      <x:c r="K601" s="82" t="n">
        <x:v>1</x:v>
      </x:c>
      <x:c r="L601" s="82" t="n">
        <x:v>1</x:v>
      </x:c>
      <x:c r="M601" s="67" t="n">
        <x:v>1</x:v>
      </x:c>
      <x:c r="N601" s="181" t="n">
        <x:v>1</x:v>
      </x:c>
      <x:c r="O601" s="67" t="n">
        <x:v>1</x:v>
      </x:c>
    </x:row>
    <x:row r="602" ht="24" customHeight="1">
      <x:c r="A602" s="65" t="n">
        <x:v>433</x:v>
      </x:c>
      <x:c r="B602" s="65" t="str">
        <x:v>皇家奥鲁罗（CDT Real Oruro）</x:v>
      </x:c>
      <x:c r="C602" s="82" t="n">
        <x:v>1</x:v>
      </x:c>
      <x:c r="D602" s="82" t="n">
        <x:v>1</x:v>
      </x:c>
      <x:c r="E602" s="67" t="n">
        <x:v>1</x:v>
      </x:c>
      <x:c r="F602" s="181" t="n">
        <x:v>1</x:v>
      </x:c>
      <x:c r="G602" s="67" t="n">
        <x:v>1</x:v>
      </x:c>
      <x:c r="H602"/>
      <x:c r="I602" s="65" t="n">
        <x:v>433</x:v>
      </x:c>
      <x:c r="J602" s="65" t="str">
        <x:v>栃木市（栃木C，Tochigi City FC）</x:v>
      </x:c>
      <x:c r="K602" s="82" t="n">
        <x:v>1</x:v>
      </x:c>
      <x:c r="L602" s="82" t="n">
        <x:v>1</x:v>
      </x:c>
      <x:c r="M602" s="67" t="n">
        <x:v>1</x:v>
      </x:c>
      <x:c r="N602" s="181" t="n">
        <x:v>1</x:v>
      </x:c>
      <x:c r="O602" s="67" t="n">
        <x:v>1</x:v>
      </x:c>
    </x:row>
    <x:row r="603" ht="24" customHeight="1">
      <x:c r="A603" s="65" t="n">
        <x:v>434</x:v>
      </x:c>
      <x:c r="B603" s="65" t="str">
        <x:v>皇家托马亚波（Real Tomayapo）</x:v>
      </x:c>
      <x:c r="C603" s="82" t="n">
        <x:v>1</x:v>
      </x:c>
      <x:c r="D603" s="82" t="n">
        <x:v>1</x:v>
      </x:c>
      <x:c r="E603" s="67" t="n">
        <x:v>1</x:v>
      </x:c>
      <x:c r="F603" s="181" t="n">
        <x:v>1</x:v>
      </x:c>
      <x:c r="G603" s="67" t="n">
        <x:v>1</x:v>
      </x:c>
      <x:c r="H603"/>
      <x:c r="I603" s="65" t="n">
        <x:v>434</x:v>
      </x:c>
      <x:c r="J603" s="65" t="str">
        <x:v>格拉斯哥流浪者</x:v>
      </x:c>
      <x:c r="K603" s="82" t="n">
        <x:v>1</x:v>
      </x:c>
      <x:c r="L603" s="82" t="n">
        <x:v>1</x:v>
      </x:c>
      <x:c r="M603" s="67" t="n">
        <x:v>1</x:v>
      </x:c>
      <x:c r="N603" s="181" t="n">
        <x:v>1</x:v>
      </x:c>
      <x:c r="O603" s="67" t="n">
        <x:v>1</x:v>
      </x:c>
    </x:row>
    <x:row r="604" ht="24" customHeight="1">
      <x:c r="A604" s="65" t="n">
        <x:v>435</x:v>
      </x:c>
      <x:c r="B604" s="65" t="str">
        <x:v>皇家桑坦德</x:v>
      </x:c>
      <x:c r="C604" s="82" t="n">
        <x:v>1</x:v>
      </x:c>
      <x:c r="D604" s="82" t="n">
        <x:v>1</x:v>
      </x:c>
      <x:c r="E604" s="67" t="n">
        <x:v>1</x:v>
      </x:c>
      <x:c r="F604" s="181" t="n">
        <x:v>1</x:v>
      </x:c>
      <x:c r="G604" s="67" t="n">
        <x:v>1</x:v>
      </x:c>
      <x:c r="H604"/>
      <x:c r="I604" s="65" t="n">
        <x:v>435</x:v>
      </x:c>
      <x:c r="J604" s="65" t="str">
        <x:v>格林古利(Green Gully)</x:v>
      </x:c>
      <x:c r="K604" s="82" t="n">
        <x:v>1</x:v>
      </x:c>
      <x:c r="L604" s="82" t="n">
        <x:v>1</x:v>
      </x:c>
      <x:c r="M604" s="67" t="n">
        <x:v>1</x:v>
      </x:c>
      <x:c r="N604" s="181" t="n">
        <x:v>1</x:v>
      </x:c>
      <x:c r="O604" s="67" t="n">
        <x:v>1</x:v>
      </x:c>
    </x:row>
    <x:row r="605" ht="24" customHeight="1">
      <x:c r="A605" s="65" t="n">
        <x:v>436</x:v>
      </x:c>
      <x:c r="B605" s="65" t="str">
        <x:v>皇家波托斯（Real Potosí）</x:v>
      </x:c>
      <x:c r="C605" s="82" t="n">
        <x:v>1</x:v>
      </x:c>
      <x:c r="D605" s="82" t="n">
        <x:v>1</x:v>
      </x:c>
      <x:c r="E605" s="67" t="n">
        <x:v>1</x:v>
      </x:c>
      <x:c r="F605" s="181" t="n">
        <x:v>1</x:v>
      </x:c>
      <x:c r="G605" s="67" t="n">
        <x:v>1</x:v>
      </x:c>
      <x:c r="H605"/>
      <x:c r="I605" s="65" t="n">
        <x:v>436</x:v>
      </x:c>
      <x:c r="J605" s="65" t="str">
        <x:v>桑托斯（Santos FC）</x:v>
      </x:c>
      <x:c r="K605" s="82" t="n">
        <x:v>1</x:v>
      </x:c>
      <x:c r="L605" s="82" t="n">
        <x:v>1</x:v>
      </x:c>
      <x:c r="M605" s="67" t="n">
        <x:v>1</x:v>
      </x:c>
      <x:c r="N605" s="181" t="n">
        <x:v>1</x:v>
      </x:c>
      <x:c r="O605" s="67" t="n">
        <x:v>1</x:v>
      </x:c>
    </x:row>
    <x:row r="606" ht="24" customHeight="1">
      <x:c r="A606" s="65" t="n">
        <x:v>437</x:v>
      </x:c>
      <x:c r="B606" s="65" t="str">
        <x:v>皇家马德里（Real Madrid）</x:v>
      </x:c>
      <x:c r="C606" s="82" t="n">
        <x:v>1</x:v>
      </x:c>
      <x:c r="D606" s="82" t="n">
        <x:v>1</x:v>
      </x:c>
      <x:c r="E606" s="67" t="n">
        <x:v>1</x:v>
      </x:c>
      <x:c r="F606" s="181" t="n">
        <x:v>1</x:v>
      </x:c>
      <x:c r="G606" s="67" t="n">
        <x:v>1</x:v>
      </x:c>
      <x:c r="H606"/>
      <x:c r="I606" s="65" t="n">
        <x:v>437</x:v>
      </x:c>
      <x:c r="J606" s="65" t="str">
        <x:v>梅洛阿根廷人（Argentino de Merlo）</x:v>
      </x:c>
      <x:c r="K606" s="82" t="n">
        <x:v>1</x:v>
      </x:c>
      <x:c r="L606" s="82" t="n">
        <x:v>1</x:v>
      </x:c>
      <x:c r="M606" s="67" t="n">
        <x:v>1</x:v>
      </x:c>
      <x:c r="N606" s="181" t="n">
        <x:v>1</x:v>
      </x:c>
      <x:c r="O606" s="67" t="n">
        <x:v>1</x:v>
      </x:c>
    </x:row>
    <x:row r="607" ht="24" customHeight="1">
      <x:c r="A607" s="65" t="n">
        <x:v>438</x:v>
      </x:c>
      <x:c r="B607" s="65" t="str">
        <x:v>皇家马略卡（Mallorca）</x:v>
      </x:c>
      <x:c r="C607" s="82" t="n">
        <x:v>1</x:v>
      </x:c>
      <x:c r="D607" s="82" t="n">
        <x:v>1</x:v>
      </x:c>
      <x:c r="E607" s="67" t="n">
        <x:v>1</x:v>
      </x:c>
      <x:c r="F607" s="181" t="n">
        <x:v>1</x:v>
      </x:c>
      <x:c r="G607" s="67" t="n">
        <x:v>1</x:v>
      </x:c>
      <x:c r="H607"/>
      <x:c r="I607" s="65" t="n">
        <x:v>438</x:v>
      </x:c>
      <x:c r="J607" s="65" t="str">
        <x:v>欧克莱卡诺（Oakleigh Cannons FC）</x:v>
      </x:c>
      <x:c r="K607" s="82" t="n">
        <x:v>1</x:v>
      </x:c>
      <x:c r="L607" s="82" t="n">
        <x:v>1</x:v>
      </x:c>
      <x:c r="M607" s="67" t="n">
        <x:v>1</x:v>
      </x:c>
      <x:c r="N607" s="181" t="n">
        <x:v>1</x:v>
      </x:c>
      <x:c r="O607" s="67" t="n">
        <x:v>1</x:v>
      </x:c>
    </x:row>
    <x:row r="608" ht="24" customHeight="1">
      <x:c r="A608" s="65" t="n">
        <x:v>439</x:v>
      </x:c>
      <x:c r="B608" s="65" t="str">
        <x:v>秋田闪电（秋田蓝色闪电/Blaublitz Akita）</x:v>
      </x:c>
      <x:c r="C608" s="82" t="n">
        <x:v>1</x:v>
      </x:c>
      <x:c r="D608" s="82" t="n">
        <x:v>1</x:v>
      </x:c>
      <x:c r="E608" s="67" t="n">
        <x:v>1</x:v>
      </x:c>
      <x:c r="F608" s="181" t="n">
        <x:v>1</x:v>
      </x:c>
      <x:c r="G608" s="67" t="n">
        <x:v>1</x:v>
      </x:c>
      <x:c r="H608"/>
      <x:c r="I608" s="65" t="n">
        <x:v>439</x:v>
      </x:c>
      <x:c r="J608" s="65" t="str">
        <x:v>歌库拉姆喀拉拉（Gokulam Kerala FC）</x:v>
      </x:c>
      <x:c r="K608" s="82" t="n">
        <x:v>1</x:v>
      </x:c>
      <x:c r="L608" s="82" t="n">
        <x:v>1</x:v>
      </x:c>
      <x:c r="M608" s="67" t="n">
        <x:v>1</x:v>
      </x:c>
      <x:c r="N608" s="181" t="n">
        <x:v>1</x:v>
      </x:c>
      <x:c r="O608" s="67" t="n">
        <x:v>1</x:v>
      </x:c>
    </x:row>
    <x:row r="609" ht="24" customHeight="1">
      <x:c r="A609" s="65" t="n">
        <x:v>440</x:v>
      </x:c>
      <x:c r="B609" s="65" t="str">
        <x:v>科尔多巴美洲豹（Jaguares de Córdoba）</x:v>
      </x:c>
      <x:c r="C609" s="82" t="n">
        <x:v>1</x:v>
      </x:c>
      <x:c r="D609" s="82" t="n">
        <x:v>1</x:v>
      </x:c>
      <x:c r="E609" s="67" t="n">
        <x:v>1</x:v>
      </x:c>
      <x:c r="F609" s="181" t="n">
        <x:v>1</x:v>
      </x:c>
      <x:c r="G609" s="67" t="n">
        <x:v>1</x:v>
      </x:c>
      <x:c r="H609"/>
      <x:c r="I609" s="65" t="n">
        <x:v>440</x:v>
      </x:c>
      <x:c r="J609" s="65" t="str">
        <x:v>比利时U17</x:v>
      </x:c>
      <x:c r="K609" s="82" t="n">
        <x:v>1</x:v>
      </x:c>
      <x:c r="L609" s="82" t="n">
        <x:v>1</x:v>
      </x:c>
      <x:c r="M609" s="67" t="n">
        <x:v>1</x:v>
      </x:c>
      <x:c r="N609" s="181" t="n">
        <x:v>1</x:v>
      </x:c>
      <x:c r="O609" s="67" t="n">
        <x:v>1</x:v>
      </x:c>
    </x:row>
    <x:row r="610" ht="24" customHeight="1">
      <x:c r="A610" s="65" t="n">
        <x:v>441</x:v>
      </x:c>
      <x:c r="B610" s="65" t="str">
        <x:v>科尔多瓦学院（Instituto ACC）</x:v>
      </x:c>
      <x:c r="C610" s="82" t="n">
        <x:v>1</x:v>
      </x:c>
      <x:c r="D610" s="82" t="n">
        <x:v>1</x:v>
      </x:c>
      <x:c r="E610" s="67" t="n">
        <x:v>1</x:v>
      </x:c>
      <x:c r="F610" s="181" t="n">
        <x:v>1</x:v>
      </x:c>
      <x:c r="G610" s="67" t="n">
        <x:v>1</x:v>
      </x:c>
      <x:c r="H610"/>
      <x:c r="I610" s="65" t="n">
        <x:v>441</x:v>
      </x:c>
      <x:c r="J610" s="65" t="str">
        <x:v>毕尔巴鄂竞技（Athletic Club Bilbao）</x:v>
      </x:c>
      <x:c r="K610" s="82" t="n">
        <x:v>1</x:v>
      </x:c>
      <x:c r="L610" s="82" t="n">
        <x:v>1</x:v>
      </x:c>
      <x:c r="M610" s="67" t="n">
        <x:v>1</x:v>
      </x:c>
      <x:c r="N610" s="181" t="n">
        <x:v>1</x:v>
      </x:c>
      <x:c r="O610" s="67" t="n">
        <x:v>1</x:v>
      </x:c>
    </x:row>
    <x:row r="611" ht="24" customHeight="1">
      <x:c r="A611" s="65" t="n">
        <x:v>442</x:v>
      </x:c>
      <x:c r="B611" s="65" t="str">
        <x:v>科尔多瓦贾瓜雷斯</x:v>
      </x:c>
      <x:c r="C611" s="82" t="n">
        <x:v>1</x:v>
      </x:c>
      <x:c r="D611" s="82" t="n">
        <x:v>1</x:v>
      </x:c>
      <x:c r="E611" s="67" t="n">
        <x:v>1</x:v>
      </x:c>
      <x:c r="F611" s="181" t="n">
        <x:v>1</x:v>
      </x:c>
      <x:c r="G611" s="67" t="n">
        <x:v>1</x:v>
      </x:c>
      <x:c r="H611"/>
      <x:c r="I611" s="65" t="n">
        <x:v>442</x:v>
      </x:c>
      <x:c r="J611" s="65" t="str">
        <x:v>水原FC（Suwon FC）</x:v>
      </x:c>
      <x:c r="K611" s="82" t="n">
        <x:v>1</x:v>
      </x:c>
      <x:c r="L611" s="82" t="n">
        <x:v>1</x:v>
      </x:c>
      <x:c r="M611" s="67" t="n">
        <x:v>1</x:v>
      </x:c>
      <x:c r="N611" s="181" t="n">
        <x:v>1</x:v>
      </x:c>
      <x:c r="O611" s="67" t="n">
        <x:v>1</x:v>
      </x:c>
    </x:row>
    <x:row r="612" ht="24" customHeight="1">
      <x:c r="A612" s="65" t="n">
        <x:v>443</x:v>
      </x:c>
      <x:c r="B612" s="65" t="str">
        <x:v>科特迪瓦U23（青年队）</x:v>
      </x:c>
      <x:c r="C612" s="82" t="n">
        <x:v>1</x:v>
      </x:c>
      <x:c r="D612" s="82" t="n">
        <x:v>1</x:v>
      </x:c>
      <x:c r="E612" s="67" t="n">
        <x:v>1</x:v>
      </x:c>
      <x:c r="F612" s="181" t="n">
        <x:v>1</x:v>
      </x:c>
      <x:c r="G612" s="67" t="n">
        <x:v>1</x:v>
      </x:c>
      <x:c r="H612"/>
      <x:c r="I612" s="65" t="n">
        <x:v>443</x:v>
      </x:c>
      <x:c r="J612" s="65" t="str">
        <x:v>水晶竞技</x:v>
      </x:c>
      <x:c r="K612" s="82" t="n">
        <x:v>1</x:v>
      </x:c>
      <x:c r="L612" s="82" t="n">
        <x:v>1</x:v>
      </x:c>
      <x:c r="M612" s="67" t="n">
        <x:v>1</x:v>
      </x:c>
      <x:c r="N612" s="181" t="n">
        <x:v>1</x:v>
      </x:c>
      <x:c r="O612" s="67" t="n">
        <x:v>1</x:v>
      </x:c>
    </x:row>
    <x:row r="613" ht="24" customHeight="1">
      <x:c r="A613" s="65" t="n">
        <x:v>444</x:v>
      </x:c>
      <x:c r="B613" s="65" t="str">
        <x:v>科珀斯克里斯蒂FC（Corpus Christi FC）</x:v>
      </x:c>
      <x:c r="C613" s="82" t="n">
        <x:v>1</x:v>
      </x:c>
      <x:c r="D613" s="82" t="n">
        <x:v>1</x:v>
      </x:c>
      <x:c r="E613" s="67" t="n">
        <x:v>1</x:v>
      </x:c>
      <x:c r="F613" s="181" t="n">
        <x:v>1</x:v>
      </x:c>
      <x:c r="G613" s="67" t="n">
        <x:v>1</x:v>
      </x:c>
      <x:c r="H613"/>
      <x:c r="I613" s="65" t="n">
        <x:v>444</x:v>
      </x:c>
      <x:c r="J613" s="65" t="str">
        <x:v>江原FC</x:v>
      </x:c>
      <x:c r="K613" s="82" t="n">
        <x:v>1</x:v>
      </x:c>
      <x:c r="L613" s="82" t="n">
        <x:v>1</x:v>
      </x:c>
      <x:c r="M613" s="67" t="n">
        <x:v>1</x:v>
      </x:c>
      <x:c r="N613" s="181" t="n">
        <x:v>1</x:v>
      </x:c>
      <x:c r="O613" s="67" t="n">
        <x:v>1</x:v>
      </x:c>
    </x:row>
    <x:row r="614" ht="24" customHeight="1">
      <x:c r="A614" s="65" t="n">
        <x:v>445</x:v>
      </x:c>
      <x:c r="B614" s="65" t="str">
        <x:v>科罗拉多涌泉（Colorado Springs Switchbacks）</x:v>
      </x:c>
      <x:c r="C614" s="82" t="n">
        <x:v>1</x:v>
      </x:c>
      <x:c r="D614" s="82" t="n">
        <x:v>1</x:v>
      </x:c>
      <x:c r="E614" s="67" t="n">
        <x:v>1</x:v>
      </x:c>
      <x:c r="F614" s="181" t="n">
        <x:v>1</x:v>
      </x:c>
      <x:c r="G614" s="67" t="n">
        <x:v>1</x:v>
      </x:c>
      <x:c r="H614"/>
      <x:c r="I614" s="65" t="n">
        <x:v>445</x:v>
      </x:c>
      <x:c r="J614" s="65" t="str">
        <x:v>沙佩科恩斯(Chapecoense)</x:v>
      </x:c>
      <x:c r="K614" s="82" t="n">
        <x:v>1</x:v>
      </x:c>
      <x:c r="L614" s="82" t="n">
        <x:v>1</x:v>
      </x:c>
      <x:c r="M614" s="67" t="n">
        <x:v>1</x:v>
      </x:c>
      <x:c r="N614" s="181" t="n">
        <x:v>1</x:v>
      </x:c>
      <x:c r="O614" s="67" t="n">
        <x:v>1</x:v>
      </x:c>
    </x:row>
    <x:row r="615" ht="24" customHeight="1">
      <x:c r="A615" s="65" t="n">
        <x:v>446</x:v>
      </x:c>
      <x:c r="B615" s="65" t="str">
        <x:v>科里蒂巴</x:v>
      </x:c>
      <x:c r="C615" s="82" t="n">
        <x:v>1</x:v>
      </x:c>
      <x:c r="D615" s="82" t="n">
        <x:v>1</x:v>
      </x:c>
      <x:c r="E615" s="67" t="n">
        <x:v>1</x:v>
      </x:c>
      <x:c r="F615" s="181" t="n">
        <x:v>1</x:v>
      </x:c>
      <x:c r="G615" s="67" t="n">
        <x:v>1</x:v>
      </x:c>
      <x:c r="H615"/>
      <x:c r="I615" s="65" t="n">
        <x:v>446</x:v>
      </x:c>
      <x:c r="J615" s="65" t="str">
        <x:v>河南队（酒祖杜康）</x:v>
      </x:c>
      <x:c r="K615" s="82" t="n">
        <x:v>1</x:v>
      </x:c>
      <x:c r="L615" s="82" t="n">
        <x:v>1</x:v>
      </x:c>
      <x:c r="M615" s="67" t="n">
        <x:v>1</x:v>
      </x:c>
      <x:c r="N615" s="181" t="n">
        <x:v>1</x:v>
      </x:c>
      <x:c r="O615" s="67" t="n">
        <x:v>1</x:v>
      </x:c>
    </x:row>
    <x:row r="616" ht="24" customHeight="1">
      <x:c r="A616" s="65" t="n">
        <x:v>447</x:v>
      </x:c>
      <x:c r="B616" s="65" t="str">
        <x:v>科金博联合（Coquimbo Unido）</x:v>
      </x:c>
      <x:c r="C616" s="82" t="n">
        <x:v>1</x:v>
      </x:c>
      <x:c r="D616" s="82" t="n">
        <x:v>1</x:v>
      </x:c>
      <x:c r="E616" s="67" t="n">
        <x:v>1</x:v>
      </x:c>
      <x:c r="F616" s="181" t="n">
        <x:v>1</x:v>
      </x:c>
      <x:c r="G616" s="67" t="n">
        <x:v>1</x:v>
      </x:c>
      <x:c r="H616"/>
      <x:c r="I616" s="65" t="n">
        <x:v>447</x:v>
      </x:c>
      <x:c r="J616" s="65" t="str">
        <x:v>河静鸿岭（Hồng Lĩnh Hà Tĩnh）</x:v>
      </x:c>
      <x:c r="K616" s="82" t="n">
        <x:v>1</x:v>
      </x:c>
      <x:c r="L616" s="82" t="n">
        <x:v>1</x:v>
      </x:c>
      <x:c r="M616" s="67" t="n">
        <x:v>1</x:v>
      </x:c>
      <x:c r="N616" s="181" t="n">
        <x:v>1</x:v>
      </x:c>
      <x:c r="O616" s="67" t="n">
        <x:v>1</x:v>
      </x:c>
    </x:row>
    <x:row r="617" ht="24" customHeight="1">
      <x:c r="A617" s="65" t="n">
        <x:v>448</x:v>
      </x:c>
      <x:c r="B617" s="65" t="str">
        <x:v>突尼斯U23（青年队）</x:v>
      </x:c>
      <x:c r="C617" s="82" t="n">
        <x:v>1</x:v>
      </x:c>
      <x:c r="D617" s="82" t="n">
        <x:v>1</x:v>
      </x:c>
      <x:c r="E617" s="67" t="n">
        <x:v>1</x:v>
      </x:c>
      <x:c r="F617" s="181" t="n">
        <x:v>1</x:v>
      </x:c>
      <x:c r="G617" s="67" t="n">
        <x:v>1</x:v>
      </x:c>
      <x:c r="H617"/>
      <x:c r="I617" s="65" t="n">
        <x:v>448</x:v>
      </x:c>
      <x:c r="J617" s="65" t="str">
        <x:v>法国U17</x:v>
      </x:c>
      <x:c r="K617" s="82" t="n">
        <x:v>1</x:v>
      </x:c>
      <x:c r="L617" s="82" t="n">
        <x:v>1</x:v>
      </x:c>
      <x:c r="M617" s="67" t="n">
        <x:v>1</x:v>
      </x:c>
      <x:c r="N617" s="181" t="n">
        <x:v>1</x:v>
      </x:c>
      <x:c r="O617" s="67" t="n">
        <x:v>1</x:v>
      </x:c>
    </x:row>
    <x:row r="618" ht="24" customHeight="1">
      <x:c r="A618" s="65" t="n">
        <x:v>449</x:v>
      </x:c>
      <x:c r="B618" s="65" t="str">
        <x:v>突尼斯希望</x:v>
      </x:c>
      <x:c r="C618" s="82" t="n">
        <x:v>1</x:v>
      </x:c>
      <x:c r="D618" s="82" t="n">
        <x:v>1</x:v>
      </x:c>
      <x:c r="E618" s="67" t="n">
        <x:v>1</x:v>
      </x:c>
      <x:c r="F618" s="181" t="n">
        <x:v>1</x:v>
      </x:c>
      <x:c r="G618" s="67" t="n">
        <x:v>1</x:v>
      </x:c>
      <x:c r="H618"/>
      <x:c r="I618" s="65" t="n">
        <x:v>449</x:v>
      </x:c>
      <x:c r="J618" s="65" t="str">
        <x:v>波哥大国际（Internacional de Bogotá/Inter Bogotá）</x:v>
      </x:c>
      <x:c r="K618" s="82" t="n">
        <x:v>1</x:v>
      </x:c>
      <x:c r="L618" s="82" t="n">
        <x:v>1</x:v>
      </x:c>
      <x:c r="M618" s="67" t="n">
        <x:v>1</x:v>
      </x:c>
      <x:c r="N618" s="181" t="n">
        <x:v>1</x:v>
      </x:c>
      <x:c r="O618" s="67" t="n">
        <x:v>1</x:v>
      </x:c>
    </x:row>
    <x:row r="619" ht="24" customHeight="1">
      <x:c r="A619" s="65" t="n">
        <x:v>450</x:v>
      </x:c>
      <x:c r="B619" s="65" t="str">
        <x:v>竞技俱乐部（阿根廷）</x:v>
      </x:c>
      <x:c r="C619" s="82" t="n">
        <x:v>1</x:v>
      </x:c>
      <x:c r="D619" s="82" t="n">
        <x:v>1</x:v>
      </x:c>
      <x:c r="E619" s="67" t="n">
        <x:v>1</x:v>
      </x:c>
      <x:c r="F619" s="181" t="n">
        <x:v>1</x:v>
      </x:c>
      <x:c r="G619" s="67" t="n">
        <x:v>1</x:v>
      </x:c>
      <x:c r="H619"/>
      <x:c r="I619" s="65" t="n">
        <x:v>450</x:v>
      </x:c>
      <x:c r="J619" s="65" t="str">
        <x:v>波特诺山丘</x:v>
      </x:c>
      <x:c r="K619" s="82" t="n">
        <x:v>1</x:v>
      </x:c>
      <x:c r="L619" s="82" t="n">
        <x:v>1</x:v>
      </x:c>
      <x:c r="M619" s="67" t="n">
        <x:v>1</x:v>
      </x:c>
      <x:c r="N619" s="181" t="n">
        <x:v>1</x:v>
      </x:c>
      <x:c r="O619" s="67" t="n">
        <x:v>1</x:v>
      </x:c>
    </x:row>
    <x:row r="620" ht="24" customHeight="1">
      <x:c r="A620" s="65" t="n">
        <x:v>451</x:v>
      </x:c>
      <x:c r="B620" s="65" t="str">
        <x:v>米亚尔比AIF（Mjällby AIF）</x:v>
      </x:c>
      <x:c r="C620" s="82" t="n">
        <x:v>1</x:v>
      </x:c>
      <x:c r="D620" s="82" t="n">
        <x:v>1</x:v>
      </x:c>
      <x:c r="E620" s="67" t="n">
        <x:v>1</x:v>
      </x:c>
      <x:c r="F620" s="181" t="n">
        <x:v>1</x:v>
      </x:c>
      <x:c r="G620" s="67" t="n">
        <x:v>1</x:v>
      </x:c>
      <x:c r="H620"/>
      <x:c r="I620" s="65" t="n">
        <x:v>451</x:v>
      </x:c>
      <x:c r="J620" s="65" t="str">
        <x:v>泰利尼登斯（Sportivo Trinidense）</x:v>
      </x:c>
      <x:c r="K620" s="82" t="n">
        <x:v>1</x:v>
      </x:c>
      <x:c r="L620" s="82" t="n">
        <x:v>1</x:v>
      </x:c>
      <x:c r="M620" s="67" t="n">
        <x:v>1</x:v>
      </x:c>
      <x:c r="N620" s="181" t="n">
        <x:v>1</x:v>
      </x:c>
      <x:c r="O620" s="67" t="n">
        <x:v>1</x:v>
      </x:c>
    </x:row>
    <x:row r="621" ht="24" customHeight="1">
      <x:c r="A621" s="65" t="n">
        <x:v>452</x:v>
      </x:c>
      <x:c r="B621" s="65" t="str">
        <x:v>米凯利MP（Mikkelin Palloilijat/MP）</x:v>
      </x:c>
      <x:c r="C621" s="82" t="n">
        <x:v>1</x:v>
      </x:c>
      <x:c r="D621" s="82" t="n">
        <x:v>1</x:v>
      </x:c>
      <x:c r="E621" s="67" t="n">
        <x:v>1</x:v>
      </x:c>
      <x:c r="F621" s="181" t="n">
        <x:v>1</x:v>
      </x:c>
      <x:c r="G621" s="67" t="n">
        <x:v>1</x:v>
      </x:c>
      <x:c r="H621"/>
      <x:c r="I621" s="65" t="n">
        <x:v>452</x:v>
      </x:c>
      <x:c r="J621" s="65" t="str">
        <x:v>洛杉矶FC（Los Angeles FC）</x:v>
      </x:c>
      <x:c r="K621" s="82" t="n">
        <x:v>1</x:v>
      </x:c>
      <x:c r="L621" s="82" t="n">
        <x:v>1</x:v>
      </x:c>
      <x:c r="M621" s="67" t="n">
        <x:v>1</x:v>
      </x:c>
      <x:c r="N621" s="181" t="n">
        <x:v>1</x:v>
      </x:c>
      <x:c r="O621" s="67" t="n">
        <x:v>1</x:v>
      </x:c>
    </x:row>
    <x:row r="622" ht="24" customHeight="1">
      <x:c r="A622" s="65" t="n">
        <x:v>453</x:v>
      </x:c>
      <x:c r="B622" s="65" t="str">
        <x:v>红牛布拉甘蒂诺</x:v>
      </x:c>
      <x:c r="C622" s="82" t="n">
        <x:v>1</x:v>
      </x:c>
      <x:c r="D622" s="82" t="n">
        <x:v>1</x:v>
      </x:c>
      <x:c r="E622" s="67" t="n">
        <x:v>1</x:v>
      </x:c>
      <x:c r="F622" s="181" t="n">
        <x:v>1</x:v>
      </x:c>
      <x:c r="G622" s="67" t="n">
        <x:v>1</x:v>
      </x:c>
      <x:c r="H622"/>
      <x:c r="I622" s="65" t="n">
        <x:v>453</x:v>
      </x:c>
      <x:c r="J622" s="65" t="str">
        <x:v>洛杉矶银河(LA Galaxy)</x:v>
      </x:c>
      <x:c r="K622" s="82" t="n">
        <x:v>1</x:v>
      </x:c>
      <x:c r="L622" s="82" t="n">
        <x:v>1</x:v>
      </x:c>
      <x:c r="M622" s="67" t="n">
        <x:v>1</x:v>
      </x:c>
      <x:c r="N622" s="181" t="n">
        <x:v>1</x:v>
      </x:c>
      <x:c r="O622" s="67" t="n">
        <x:v>1</x:v>
      </x:c>
    </x:row>
    <x:row r="623" ht="24" customHeight="1">
      <x:c r="A623" s="65" t="n">
        <x:v>454</x:v>
      </x:c>
      <x:c r="B623" s="65" t="str">
        <x:v>索尔纳（AIK）</x:v>
      </x:c>
      <x:c r="C623" s="82" t="n">
        <x:v>1</x:v>
      </x:c>
      <x:c r="D623" s="82" t="n">
        <x:v>1</x:v>
      </x:c>
      <x:c r="E623" s="67" t="n">
        <x:v>1</x:v>
      </x:c>
      <x:c r="F623" s="181" t="n">
        <x:v>1</x:v>
      </x:c>
      <x:c r="G623" s="67" t="n">
        <x:v>1</x:v>
      </x:c>
      <x:c r="H623"/>
      <x:c r="I623" s="65" t="n">
        <x:v>454</x:v>
      </x:c>
      <x:c r="J623" s="65" t="str">
        <x:v>洛沃斯墨（Lobos UPNFM）</x:v>
      </x:c>
      <x:c r="K623" s="82" t="n">
        <x:v>1</x:v>
      </x:c>
      <x:c r="L623" s="82" t="n">
        <x:v>1</x:v>
      </x:c>
      <x:c r="M623" s="67" t="n">
        <x:v>1</x:v>
      </x:c>
      <x:c r="N623" s="181" t="n">
        <x:v>1</x:v>
      </x:c>
      <x:c r="O623" s="67" t="n">
        <x:v>1</x:v>
      </x:c>
    </x:row>
    <x:row r="624" ht="24" customHeight="1">
      <x:c r="A624" s="65" t="n">
        <x:v>455</x:v>
      </x:c>
      <x:c r="B624" s="65" t="str">
        <x:v>索菲亚列夫斯基（Levski Sofia）</x:v>
      </x:c>
      <x:c r="C624" s="82" t="n">
        <x:v>1</x:v>
      </x:c>
      <x:c r="D624" s="82" t="n">
        <x:v>1</x:v>
      </x:c>
      <x:c r="E624" s="67" t="n">
        <x:v>1</x:v>
      </x:c>
      <x:c r="F624" s="181" t="n">
        <x:v>1</x:v>
      </x:c>
      <x:c r="G624" s="67" t="n">
        <x:v>1</x:v>
      </x:c>
      <x:c r="H624"/>
      <x:c r="I624" s="65" t="n">
        <x:v>455</x:v>
      </x:c>
      <x:c r="J624" s="65" t="str">
        <x:v>洪都拉斯</x:v>
      </x:c>
      <x:c r="K624" s="82" t="n">
        <x:v>1</x:v>
      </x:c>
      <x:c r="L624" s="82" t="n">
        <x:v>1</x:v>
      </x:c>
      <x:c r="M624" s="67" t="n">
        <x:v>1</x:v>
      </x:c>
      <x:c r="N624" s="181" t="n">
        <x:v>1</x:v>
      </x:c>
      <x:c r="O624" s="67" t="n">
        <x:v>1</x:v>
      </x:c>
    </x:row>
    <x:row r="625" ht="24" customHeight="1">
      <x:c r="A625" s="65" t="n">
        <x:v>456</x:v>
      </x:c>
      <x:c r="B625" s="65" t="str">
        <x:v>纽约城（New York City FC）</x:v>
      </x:c>
      <x:c r="C625" s="82" t="n">
        <x:v>1</x:v>
      </x:c>
      <x:c r="D625" s="82" t="n">
        <x:v>1</x:v>
      </x:c>
      <x:c r="E625" s="67" t="n">
        <x:v>1</x:v>
      </x:c>
      <x:c r="F625" s="181" t="n">
        <x:v>1</x:v>
      </x:c>
      <x:c r="G625" s="67" t="n">
        <x:v>1</x:v>
      </x:c>
      <x:c r="H625"/>
      <x:c r="I625" s="65" t="n">
        <x:v>456</x:v>
      </x:c>
      <x:c r="J625" s="65" t="str">
        <x:v>海德堡联（Heidelberg United FC）</x:v>
      </x:c>
      <x:c r="K625" s="82" t="n">
        <x:v>1</x:v>
      </x:c>
      <x:c r="L625" s="82" t="n">
        <x:v>1</x:v>
      </x:c>
      <x:c r="M625" s="67" t="n">
        <x:v>1</x:v>
      </x:c>
      <x:c r="N625" s="181" t="n">
        <x:v>1</x:v>
      </x:c>
      <x:c r="O625" s="67" t="n">
        <x:v>1</x:v>
      </x:c>
    </x:row>
    <x:row r="626" ht="24" customHeight="1">
      <x:c r="A626" s="65" t="n">
        <x:v>457</x:v>
      </x:c>
      <x:c r="B626" s="65" t="str">
        <x:v>纽约城（NYCFC）</x:v>
      </x:c>
      <x:c r="C626" s="82" t="n">
        <x:v>1</x:v>
      </x:c>
      <x:c r="D626" s="82" t="n">
        <x:v>1</x:v>
      </x:c>
      <x:c r="E626" s="67" t="n">
        <x:v>1</x:v>
      </x:c>
      <x:c r="F626" s="181" t="n">
        <x:v>1</x:v>
      </x:c>
      <x:c r="G626" s="67" t="n">
        <x:v>1</x:v>
      </x:c>
      <x:c r="H626"/>
      <x:c r="I626" s="65" t="n">
        <x:v>457</x:v>
      </x:c>
      <x:c r="J626" s="65" t="str">
        <x:v>海格于松（FK Haugesund）</x:v>
      </x:c>
      <x:c r="K626" s="82" t="n">
        <x:v>1</x:v>
      </x:c>
      <x:c r="L626" s="82" t="n">
        <x:v>1</x:v>
      </x:c>
      <x:c r="M626" s="67" t="n">
        <x:v>1</x:v>
      </x:c>
      <x:c r="N626" s="181" t="n">
        <x:v>1</x:v>
      </x:c>
      <x:c r="O626" s="67" t="n">
        <x:v>1</x:v>
      </x:c>
    </x:row>
    <x:row r="627" ht="24" customHeight="1">
      <x:c r="A627" s="65" t="n">
        <x:v>458</x:v>
      </x:c>
      <x:c r="B627" s="65" t="str">
        <x:v>纽约红牛</x:v>
      </x:c>
      <x:c r="C627" s="82" t="n">
        <x:v>1</x:v>
      </x:c>
      <x:c r="D627" s="82" t="n">
        <x:v>1</x:v>
      </x:c>
      <x:c r="E627" s="67" t="n">
        <x:v>1</x:v>
      </x:c>
      <x:c r="F627" s="181" t="n">
        <x:v>1</x:v>
      </x:c>
      <x:c r="G627" s="67" t="n">
        <x:v>1</x:v>
      </x:c>
      <x:c r="H627"/>
      <x:c r="I627" s="65" t="n">
        <x:v>458</x:v>
      </x:c>
      <x:c r="J627" s="65" t="str">
        <x:v>深圳新鹏城</x:v>
      </x:c>
      <x:c r="K627" s="82" t="n">
        <x:v>1</x:v>
      </x:c>
      <x:c r="L627" s="82" t="n">
        <x:v>1</x:v>
      </x:c>
      <x:c r="M627" s="67" t="n">
        <x:v>1</x:v>
      </x:c>
      <x:c r="N627" s="181" t="n">
        <x:v>1</x:v>
      </x:c>
      <x:c r="O627" s="67" t="n">
        <x:v>1</x:v>
      </x:c>
    </x:row>
    <x:row r="628" ht="24" customHeight="1">
      <x:c r="A628" s="65" t="n">
        <x:v>459</x:v>
      </x:c>
      <x:c r="B628" s="65" t="str">
        <x:v>纽约红牛（New York Red Bulls）</x:v>
      </x:c>
      <x:c r="C628" s="82" t="n">
        <x:v>1</x:v>
      </x:c>
      <x:c r="D628" s="82" t="n">
        <x:v>1</x:v>
      </x:c>
      <x:c r="E628" s="67" t="n">
        <x:v>1</x:v>
      </x:c>
      <x:c r="F628" s="181" t="n">
        <x:v>1</x:v>
      </x:c>
      <x:c r="G628" s="67" t="n">
        <x:v>1</x:v>
      </x:c>
      <x:c r="H628"/>
      <x:c r="I628" s="65" t="n">
        <x:v>459</x:v>
      </x:c>
      <x:c r="J628" s="65" t="str">
        <x:v>清奈泰坦</x:v>
      </x:c>
      <x:c r="K628" s="82" t="n">
        <x:v>1</x:v>
      </x:c>
      <x:c r="L628" s="82" t="n">
        <x:v>1</x:v>
      </x:c>
      <x:c r="M628" s="67" t="n">
        <x:v>1</x:v>
      </x:c>
      <x:c r="N628" s="181" t="n">
        <x:v>1</x:v>
      </x:c>
      <x:c r="O628" s="67" t="n">
        <x:v>1</x:v>
      </x:c>
    </x:row>
    <x:row r="629" ht="24" customHeight="1">
      <x:c r="A629" s="65" t="n">
        <x:v>460</x:v>
      </x:c>
      <x:c r="B629" s="65" t="str">
        <x:v>纽约红牛（Red Bull New York）</x:v>
      </x:c>
      <x:c r="C629" s="82" t="n">
        <x:v>1</x:v>
      </x:c>
      <x:c r="D629" s="82" t="n">
        <x:v>1</x:v>
      </x:c>
      <x:c r="E629" s="67" t="n">
        <x:v>1</x:v>
      </x:c>
      <x:c r="F629" s="181" t="n">
        <x:v>1</x:v>
      </x:c>
      <x:c r="G629" s="67" t="n">
        <x:v>1</x:v>
      </x:c>
      <x:c r="H629"/>
      <x:c r="I629" s="65" t="n">
        <x:v>460</x:v>
      </x:c>
      <x:c r="J629" s="65" t="str">
        <x:v>温哥华白帽(Whitecaps)</x:v>
      </x:c>
      <x:c r="K629" s="82" t="n">
        <x:v>1</x:v>
      </x:c>
      <x:c r="L629" s="82" t="n">
        <x:v>1</x:v>
      </x:c>
      <x:c r="M629" s="67" t="n">
        <x:v>1</x:v>
      </x:c>
      <x:c r="N629" s="181" t="n">
        <x:v>1</x:v>
      </x:c>
      <x:c r="O629" s="67" t="n">
        <x:v>1</x:v>
      </x:c>
    </x:row>
    <x:row r="630" ht="24" customHeight="1">
      <x:c r="A630" s="65" t="n">
        <x:v>461</x:v>
      </x:c>
      <x:c r="B630" s="65" t="str">
        <x:v>维多利亚（CD Victoria）</x:v>
      </x:c>
      <x:c r="C630" s="82" t="n">
        <x:v>1</x:v>
      </x:c>
      <x:c r="D630" s="82" t="n">
        <x:v>1</x:v>
      </x:c>
      <x:c r="E630" s="67" t="n">
        <x:v>1</x:v>
      </x:c>
      <x:c r="F630" s="181" t="n">
        <x:v>1</x:v>
      </x:c>
      <x:c r="G630" s="67" t="n">
        <x:v>1</x:v>
      </x:c>
      <x:c r="H630"/>
      <x:c r="I630" s="65" t="n">
        <x:v>461</x:v>
      </x:c>
      <x:c r="J630" s="65" t="str">
        <x:v>澳尼塔（Universitario de Vinto）</x:v>
      </x:c>
      <x:c r="K630" s="82" t="n">
        <x:v>1</x:v>
      </x:c>
      <x:c r="L630" s="82" t="n">
        <x:v>1</x:v>
      </x:c>
      <x:c r="M630" s="67" t="n">
        <x:v>1</x:v>
      </x:c>
      <x:c r="N630" s="181" t="n">
        <x:v>1</x:v>
      </x:c>
      <x:c r="O630" s="67" t="n">
        <x:v>1</x:v>
      </x:c>
    </x:row>
    <x:row r="631" ht="24" customHeight="1">
      <x:c r="A631" s="65" t="n">
        <x:v>462</x:v>
      </x:c>
      <x:c r="B631" s="65" t="str">
        <x:v>维拉圣卡洛斯（Villa San Carlos）</x:v>
      </x:c>
      <x:c r="C631" s="82" t="n">
        <x:v>1</x:v>
      </x:c>
      <x:c r="D631" s="82" t="n">
        <x:v>1</x:v>
      </x:c>
      <x:c r="E631" s="67" t="n">
        <x:v>1</x:v>
      </x:c>
      <x:c r="F631" s="181" t="n">
        <x:v>1</x:v>
      </x:c>
      <x:c r="G631" s="67" t="n">
        <x:v>1</x:v>
      </x:c>
      <x:c r="H631"/>
      <x:c r="I631" s="65" t="n">
        <x:v>462</x:v>
      </x:c>
      <x:c r="J631" s="65" t="str">
        <x:v>熊本深红</x:v>
      </x:c>
      <x:c r="K631" s="82" t="n">
        <x:v>1</x:v>
      </x:c>
      <x:c r="L631" s="82" t="n">
        <x:v>1</x:v>
      </x:c>
      <x:c r="M631" s="67" t="n">
        <x:v>1</x:v>
      </x:c>
      <x:c r="N631" s="181" t="n">
        <x:v>1</x:v>
      </x:c>
      <x:c r="O631" s="67" t="n">
        <x:v>1</x:v>
      </x:c>
    </x:row>
    <x:row r="632" ht="24" customHeight="1">
      <x:c r="A632" s="65" t="n">
        <x:v>463</x:v>
      </x:c>
      <x:c r="B632" s="65" t="str">
        <x:v>罗德岛FC（Rhode Island FC）</x:v>
      </x:c>
      <x:c r="C632" s="82" t="n">
        <x:v>1</x:v>
      </x:c>
      <x:c r="D632" s="82" t="n">
        <x:v>1</x:v>
      </x:c>
      <x:c r="E632" s="67" t="n">
        <x:v>1</x:v>
      </x:c>
      <x:c r="F632" s="181" t="n">
        <x:v>1</x:v>
      </x:c>
      <x:c r="G632" s="67" t="n">
        <x:v>1</x:v>
      </x:c>
      <x:c r="H632"/>
      <x:c r="I632" s="65" t="n">
        <x:v>463</x:v>
      </x:c>
      <x:c r="J632" s="65" t="str">
        <x:v>爱媛FC</x:v>
      </x:c>
      <x:c r="K632" s="82" t="n">
        <x:v>1</x:v>
      </x:c>
      <x:c r="L632" s="82" t="n">
        <x:v>1</x:v>
      </x:c>
      <x:c r="M632" s="67" t="n">
        <x:v>1</x:v>
      </x:c>
      <x:c r="N632" s="181" t="n">
        <x:v>1</x:v>
      </x:c>
      <x:c r="O632" s="67" t="n">
        <x:v>1</x:v>
      </x:c>
    </x:row>
    <x:row r="633" ht="24" customHeight="1">
      <x:c r="A633" s="65" t="n">
        <x:v>464</x:v>
      </x:c>
      <x:c r="B633" s="65" t="str">
        <x:v>罗萨里奥中央(Rosario Central)</x:v>
      </x:c>
      <x:c r="C633" s="82" t="n">
        <x:v>1</x:v>
      </x:c>
      <x:c r="D633" s="82" t="n">
        <x:v>1</x:v>
      </x:c>
      <x:c r="E633" s="67" t="n">
        <x:v>1</x:v>
      </x:c>
      <x:c r="F633" s="181" t="n">
        <x:v>1</x:v>
      </x:c>
      <x:c r="G633" s="67" t="n">
        <x:v>1</x:v>
      </x:c>
      <x:c r="H633"/>
      <x:c r="I633" s="65" t="n">
        <x:v>464</x:v>
      </x:c>
      <x:c r="J633" s="65" t="str">
        <x:v>特帕迪特兰</x:v>
      </x:c>
      <x:c r="K633" s="82" t="n">
        <x:v>1</x:v>
      </x:c>
      <x:c r="L633" s="82" t="n">
        <x:v>1</x:v>
      </x:c>
      <x:c r="M633" s="67" t="n">
        <x:v>1</x:v>
      </x:c>
      <x:c r="N633" s="181" t="n">
        <x:v>1</x:v>
      </x:c>
      <x:c r="O633" s="67" t="n">
        <x:v>1</x:v>
      </x:c>
    </x:row>
    <x:row r="634" ht="24" customHeight="1">
      <x:c r="A634" s="65" t="n">
        <x:v>465</x:v>
      </x:c>
      <x:c r="B634" s="65" t="str">
        <x:v>美因茨05</x:v>
      </x:c>
      <x:c r="C634" s="82" t="n">
        <x:v>1</x:v>
      </x:c>
      <x:c r="D634" s="82" t="n">
        <x:v>1</x:v>
      </x:c>
      <x:c r="E634" s="67" t="n">
        <x:v>1</x:v>
      </x:c>
      <x:c r="F634" s="181" t="n">
        <x:v>1</x:v>
      </x:c>
      <x:c r="G634" s="67" t="n">
        <x:v>1</x:v>
      </x:c>
      <x:c r="H634"/>
      <x:c r="I634" s="65" t="n">
        <x:v>465</x:v>
      </x:c>
      <x:c r="J634" s="65" t="str">
        <x:v>特拉斯卡拉FC</x:v>
      </x:c>
      <x:c r="K634" s="82" t="n">
        <x:v>1</x:v>
      </x:c>
      <x:c r="L634" s="82" t="n">
        <x:v>1</x:v>
      </x:c>
      <x:c r="M634" s="67" t="n">
        <x:v>1</x:v>
      </x:c>
      <x:c r="N634" s="181" t="n">
        <x:v>1</x:v>
      </x:c>
      <x:c r="O634" s="67" t="n">
        <x:v>1</x:v>
      </x:c>
    </x:row>
    <x:row r="635" ht="24" customHeight="1">
      <x:c r="A635" s="65" t="n">
        <x:v>466</x:v>
      </x:c>
      <x:c r="B635" s="65" t="str">
        <x:v>美洲狮（普马斯UNAM）</x:v>
      </x:c>
      <x:c r="C635" s="82" t="n">
        <x:v>1</x:v>
      </x:c>
      <x:c r="D635" s="82" t="n">
        <x:v>1</x:v>
      </x:c>
      <x:c r="E635" s="67" t="n">
        <x:v>1</x:v>
      </x:c>
      <x:c r="F635" s="181" t="n">
        <x:v>1</x:v>
      </x:c>
      <x:c r="G635" s="67" t="n">
        <x:v>1</x:v>
      </x:c>
      <x:c r="H635"/>
      <x:c r="I635" s="65" t="n">
        <x:v>466</x:v>
      </x:c>
      <x:c r="J635" s="65" t="str">
        <x:v>狼队</x:v>
      </x:c>
      <x:c r="K635" s="82" t="n">
        <x:v>1</x:v>
      </x:c>
      <x:c r="L635" s="82" t="n">
        <x:v>1</x:v>
      </x:c>
      <x:c r="M635" s="67" t="n">
        <x:v>1</x:v>
      </x:c>
      <x:c r="N635" s="181" t="n">
        <x:v>1</x:v>
      </x:c>
      <x:c r="O635" s="67" t="n">
        <x:v>1</x:v>
      </x:c>
    </x:row>
    <x:row r="636" ht="24" customHeight="1">
      <x:c r="A636" s="65" t="n">
        <x:v>467</x:v>
      </x:c>
      <x:c r="B636" s="65" t="str">
        <x:v>群马温泉</x:v>
      </x:c>
      <x:c r="C636" s="82" t="n">
        <x:v>1</x:v>
      </x:c>
      <x:c r="D636" s="82" t="n">
        <x:v>1</x:v>
      </x:c>
      <x:c r="E636" s="67" t="n">
        <x:v>1</x:v>
      </x:c>
      <x:c r="F636" s="181" t="n">
        <x:v>1</x:v>
      </x:c>
      <x:c r="G636" s="67" t="n">
        <x:v>1</x:v>
      </x:c>
      <x:c r="H636"/>
      <x:c r="I636" s="65" t="n">
        <x:v>467</x:v>
      </x:c>
      <x:c r="J636" s="65" t="str">
        <x:v>玻利维亚足球学院（ABB，Academia del Balompié Boliviano）</x:v>
      </x:c>
      <x:c r="K636" s="82" t="n">
        <x:v>1</x:v>
      </x:c>
      <x:c r="L636" s="82" t="n">
        <x:v>1</x:v>
      </x:c>
      <x:c r="M636" s="67" t="n">
        <x:v>1</x:v>
      </x:c>
      <x:c r="N636" s="181" t="n">
        <x:v>1</x:v>
      </x:c>
      <x:c r="O636" s="67" t="n">
        <x:v>1</x:v>
      </x:c>
    </x:row>
    <x:row r="637" ht="24" customHeight="1">
      <x:c r="A637" s="65" t="n">
        <x:v>468</x:v>
      </x:c>
      <x:c r="B637" s="65" t="str">
        <x:v>群马草津温泉（Thespa Gunma）</x:v>
      </x:c>
      <x:c r="C637" s="82" t="n">
        <x:v>1</x:v>
      </x:c>
      <x:c r="D637" s="82" t="n">
        <x:v>1</x:v>
      </x:c>
      <x:c r="E637" s="67" t="n">
        <x:v>1</x:v>
      </x:c>
      <x:c r="F637" s="181" t="n">
        <x:v>1</x:v>
      </x:c>
      <x:c r="G637" s="67" t="n">
        <x:v>1</x:v>
      </x:c>
      <x:c r="H637"/>
      <x:c r="I637" s="65" t="n">
        <x:v>468</x:v>
      </x:c>
      <x:c r="J637" s="65" t="str">
        <x:v>班加罗尔FC（Bengaluru FC）</x:v>
      </x:c>
      <x:c r="K637" s="82" t="n">
        <x:v>1</x:v>
      </x:c>
      <x:c r="L637" s="82" t="n">
        <x:v>1</x:v>
      </x:c>
      <x:c r="M637" s="67" t="n">
        <x:v>1</x:v>
      </x:c>
      <x:c r="N637" s="181" t="n">
        <x:v>1</x:v>
      </x:c>
      <x:c r="O637" s="67" t="n">
        <x:v>1</x:v>
      </x:c>
    </x:row>
    <x:row r="638" ht="24" customHeight="1">
      <x:c r="A638" s="65" t="n">
        <x:v>469</x:v>
      </x:c>
      <x:c r="B638" s="65" t="str">
        <x:v>老虎大学（墨西哥老虎）</x:v>
      </x:c>
      <x:c r="C638" s="82" t="n">
        <x:v>1</x:v>
      </x:c>
      <x:c r="D638" s="82" t="n">
        <x:v>1</x:v>
      </x:c>
      <x:c r="E638" s="67" t="n">
        <x:v>1</x:v>
      </x:c>
      <x:c r="F638" s="181" t="n">
        <x:v>1</x:v>
      </x:c>
      <x:c r="G638" s="67" t="n">
        <x:v>1</x:v>
      </x:c>
      <x:c r="H638"/>
      <x:c r="I638" s="65" t="n">
        <x:v>469</x:v>
      </x:c>
      <x:c r="J638" s="65" t="str">
        <x:v>瑞典U21</x:v>
      </x:c>
      <x:c r="K638" s="82" t="n">
        <x:v>1</x:v>
      </x:c>
      <x:c r="L638" s="82" t="n">
        <x:v>1</x:v>
      </x:c>
      <x:c r="M638" s="67" t="n">
        <x:v>1</x:v>
      </x:c>
      <x:c r="N638" s="181" t="n">
        <x:v>1</x:v>
      </x:c>
      <x:c r="O638" s="67" t="n">
        <x:v>1</x:v>
      </x:c>
    </x:row>
    <x:row r="639" ht="24" customHeight="1">
      <x:c r="A639" s="65" t="n">
        <x:v>470</x:v>
      </x:c>
      <x:c r="B639" s="65" t="str">
        <x:v>考文垂城</x:v>
      </x:c>
      <x:c r="C639" s="82" t="n">
        <x:v>1</x:v>
      </x:c>
      <x:c r="D639" s="82" t="n">
        <x:v>1</x:v>
      </x:c>
      <x:c r="E639" s="67" t="n">
        <x:v>1</x:v>
      </x:c>
      <x:c r="F639" s="181" t="n">
        <x:v>1</x:v>
      </x:c>
      <x:c r="G639" s="67" t="n">
        <x:v>1</x:v>
      </x:c>
      <x:c r="H639"/>
      <x:c r="I639" s="65" t="n">
        <x:v>470</x:v>
      </x:c>
      <x:c r="J639" s="65" t="str">
        <x:v>瑞德兰茨联（Redlands United）</x:v>
      </x:c>
      <x:c r="K639" s="82" t="n">
        <x:v>1</x:v>
      </x:c>
      <x:c r="L639" s="82" t="n">
        <x:v>1</x:v>
      </x:c>
      <x:c r="M639" s="67" t="n">
        <x:v>1</x:v>
      </x:c>
      <x:c r="N639" s="181" t="n">
        <x:v>1</x:v>
      </x:c>
      <x:c r="O639" s="67" t="n">
        <x:v>1</x:v>
      </x:c>
    </x:row>
    <x:row r="640" ht="24" customHeight="1">
      <x:c r="A640" s="65" t="n">
        <x:v>471</x:v>
      </x:c>
      <x:c r="B640" s="65" t="str">
        <x:v>考文垂城（Coventry City）</x:v>
      </x:c>
      <x:c r="C640" s="82" t="n">
        <x:v>1</x:v>
      </x:c>
      <x:c r="D640" s="82" t="n">
        <x:v>1</x:v>
      </x:c>
      <x:c r="E640" s="67" t="n">
        <x:v>1</x:v>
      </x:c>
      <x:c r="F640" s="181" t="n">
        <x:v>1</x:v>
      </x:c>
      <x:c r="G640" s="67" t="n">
        <x:v>1</x:v>
      </x:c>
      <x:c r="H640"/>
      <x:c r="I640" s="65" t="n">
        <x:v>471</x:v>
      </x:c>
      <x:c r="J640" s="65" t="str">
        <x:v>瑞模贝雷</x:v>
      </x:c>
      <x:c r="K640" s="82" t="n">
        <x:v>1</x:v>
      </x:c>
      <x:c r="L640" s="82" t="n">
        <x:v>1</x:v>
      </x:c>
      <x:c r="M640" s="67" t="n">
        <x:v>1</x:v>
      </x:c>
      <x:c r="N640" s="181" t="n">
        <x:v>1</x:v>
      </x:c>
      <x:c r="O640" s="67" t="n">
        <x:v>1</x:v>
      </x:c>
    </x:row>
    <x:row r="641" ht="24" customHeight="1">
      <x:c r="A641" s="65" t="n">
        <x:v>472</x:v>
      </x:c>
      <x:c r="B641" s="65" t="str">
        <x:v>肯塔吉内斯(CS Cartaginés)</x:v>
      </x:c>
      <x:c r="C641" s="82" t="n">
        <x:v>1</x:v>
      </x:c>
      <x:c r="D641" s="82" t="n">
        <x:v>1</x:v>
      </x:c>
      <x:c r="E641" s="67" t="n">
        <x:v>1</x:v>
      </x:c>
      <x:c r="F641" s="181" t="n">
        <x:v>1</x:v>
      </x:c>
      <x:c r="G641" s="67" t="n">
        <x:v>1</x:v>
      </x:c>
      <x:c r="H641"/>
      <x:c r="I641" s="65" t="n">
        <x:v>472</x:v>
      </x:c>
      <x:c r="J641" s="65" t="str">
        <x:v>瑞模贝雷（雷莫）</x:v>
      </x:c>
      <x:c r="K641" s="82" t="n">
        <x:v>1</x:v>
      </x:c>
      <x:c r="L641" s="82" t="n">
        <x:v>1</x:v>
      </x:c>
      <x:c r="M641" s="67" t="n">
        <x:v>1</x:v>
      </x:c>
      <x:c r="N641" s="181" t="n">
        <x:v>1</x:v>
      </x:c>
      <x:c r="O641" s="67" t="n">
        <x:v>1</x:v>
      </x:c>
    </x:row>
    <x:row r="642" ht="24" customHeight="1">
      <x:c r="A642" s="65" t="n">
        <x:v>473</x:v>
      </x:c>
      <x:c r="B642" s="65" t="str">
        <x:v>艾克纳斯IF（EIF）</x:v>
      </x:c>
      <x:c r="C642" s="82" t="n">
        <x:v>1</x:v>
      </x:c>
      <x:c r="D642" s="82" t="n">
        <x:v>1</x:v>
      </x:c>
      <x:c r="E642" s="67" t="n">
        <x:v>1</x:v>
      </x:c>
      <x:c r="F642" s="181" t="n">
        <x:v>1</x:v>
      </x:c>
      <x:c r="G642" s="67" t="n">
        <x:v>1</x:v>
      </x:c>
      <x:c r="H642"/>
      <x:c r="I642" s="65" t="n">
        <x:v>473</x:v>
      </x:c>
      <x:c r="J642" s="65" t="str">
        <x:v>瓜亚基尔城（Guayaquil City）</x:v>
      </x:c>
      <x:c r="K642" s="82" t="n">
        <x:v>2</x:v>
      </x:c>
      <x:c r="L642" s="82" t="n">
        <x:v>1</x:v>
      </x:c>
      <x:c r="M642" s="67" t="n">
        <x:v>1</x:v>
      </x:c>
      <x:c r="N642" s="181" t="n">
        <x:v>1</x:v>
      </x:c>
      <x:c r="O642" s="67" t="n">
        <x:v>1</x:v>
      </x:c>
    </x:row>
    <x:row r="643" ht="24" customHeight="1">
      <x:c r="A643" s="65" t="n">
        <x:v>474</x:v>
      </x:c>
      <x:c r="B643" s="65" t="str">
        <x:v>茨高（博亚卡奇科）</x:v>
      </x:c>
      <x:c r="C643" s="82" t="n">
        <x:v>1</x:v>
      </x:c>
      <x:c r="D643" s="82" t="n">
        <x:v>1</x:v>
      </x:c>
      <x:c r="E643" s="67" t="n">
        <x:v>1</x:v>
      </x:c>
      <x:c r="F643" s="181" t="n">
        <x:v>1</x:v>
      </x:c>
      <x:c r="G643" s="67" t="n">
        <x:v>1</x:v>
      </x:c>
      <x:c r="H643"/>
      <x:c r="I643" s="65" t="n">
        <x:v>474</x:v>
      </x:c>
      <x:c r="J643" s="65" t="str">
        <x:v>瓜亚基尔巴塞罗那（Barcelona SC）</x:v>
      </x:c>
      <x:c r="K643" s="82" t="n">
        <x:v>1</x:v>
      </x:c>
      <x:c r="L643" s="82" t="n">
        <x:v>1</x:v>
      </x:c>
      <x:c r="M643" s="67" t="n">
        <x:v>1</x:v>
      </x:c>
      <x:c r="N643" s="181" t="n">
        <x:v>1</x:v>
      </x:c>
      <x:c r="O643" s="67" t="n">
        <x:v>1</x:v>
      </x:c>
    </x:row>
    <x:row r="644" ht="24" customHeight="1">
      <x:c r="A644" s="65" t="n">
        <x:v>475</x:v>
      </x:c>
      <x:c r="B644" s="65" t="str">
        <x:v>莫亨巴根超级巨人(Mohun Bagan Super Giant)</x:v>
      </x:c>
      <x:c r="C644" s="82" t="n">
        <x:v>1</x:v>
      </x:c>
      <x:c r="D644" s="82" t="n">
        <x:v>1</x:v>
      </x:c>
      <x:c r="E644" s="67" t="n">
        <x:v>1</x:v>
      </x:c>
      <x:c r="F644" s="181" t="n">
        <x:v>1</x:v>
      </x:c>
      <x:c r="G644" s="67" t="n">
        <x:v>1</x:v>
      </x:c>
      <x:c r="H644"/>
      <x:c r="I644" s="65" t="n">
        <x:v>475</x:v>
      </x:c>
      <x:c r="J644" s="65" t="str">
        <x:v>瓜达拉哈拉（Chivas）</x:v>
      </x:c>
      <x:c r="K644" s="82" t="n">
        <x:v>1</x:v>
      </x:c>
      <x:c r="L644" s="82" t="n">
        <x:v>1</x:v>
      </x:c>
      <x:c r="M644" s="67" t="n">
        <x:v>1</x:v>
      </x:c>
      <x:c r="N644" s="181" t="n">
        <x:v>1</x:v>
      </x:c>
      <x:c r="O644" s="67" t="n">
        <x:v>1</x:v>
      </x:c>
    </x:row>
    <x:row r="645" ht="24" customHeight="1">
      <x:c r="A645" s="65" t="n">
        <x:v>476</x:v>
      </x:c>
      <x:c r="B645" s="65" t="str">
        <x:v>莫雷利亚竞技</x:v>
      </x:c>
      <x:c r="C645" s="82" t="n">
        <x:v>1</x:v>
      </x:c>
      <x:c r="D645" s="82" t="n">
        <x:v>1</x:v>
      </x:c>
      <x:c r="E645" s="67" t="n">
        <x:v>1</x:v>
      </x:c>
      <x:c r="F645" s="181" t="n">
        <x:v>1</x:v>
      </x:c>
      <x:c r="G645" s="67" t="n">
        <x:v>1</x:v>
      </x:c>
      <x:c r="H645"/>
      <x:c r="I645" s="65" t="n">
        <x:v>476</x:v>
      </x:c>
      <x:c r="J645" s="65" t="str">
        <x:v>瓜达拉哈拉（瓜达拉哈拉芝华士/Chivas Guadalajara）</x:v>
      </x:c>
      <x:c r="K645" s="82" t="n">
        <x:v>1</x:v>
      </x:c>
      <x:c r="L645" s="82" t="n">
        <x:v>1</x:v>
      </x:c>
      <x:c r="M645" s="67" t="n">
        <x:v>1</x:v>
      </x:c>
      <x:c r="N645" s="181" t="n">
        <x:v>1</x:v>
      </x:c>
      <x:c r="O645" s="67" t="n">
        <x:v>1</x:v>
      </x:c>
    </x:row>
    <x:row r="646" ht="24" customHeight="1">
      <x:c r="A646" s="65" t="n">
        <x:v>477</x:v>
      </x:c>
      <x:c r="B646" s="65" t="str">
        <x:v>莱卡特老虎（APIA Leichhardt）</x:v>
      </x:c>
      <x:c r="C646" s="82" t="n">
        <x:v>1</x:v>
      </x:c>
      <x:c r="D646" s="82" t="n">
        <x:v>1</x:v>
      </x:c>
      <x:c r="E646" s="67" t="n">
        <x:v>1</x:v>
      </x:c>
      <x:c r="F646" s="181" t="n">
        <x:v>1</x:v>
      </x:c>
      <x:c r="G646" s="67" t="n">
        <x:v>1</x:v>
      </x:c>
      <x:c r="H646"/>
      <x:c r="I646" s="65" t="n">
        <x:v>477</x:v>
      </x:c>
      <x:c r="J646" s="65" t="str">
        <x:v>瓜达拉哈拉（芝华士）</x:v>
      </x:c>
      <x:c r="K646" s="82" t="n">
        <x:v>1</x:v>
      </x:c>
      <x:c r="L646" s="82" t="n">
        <x:v>1</x:v>
      </x:c>
      <x:c r="M646" s="67" t="n">
        <x:v>1</x:v>
      </x:c>
      <x:c r="N646" s="181" t="n">
        <x:v>1</x:v>
      </x:c>
      <x:c r="O646" s="67" t="n">
        <x:v>1</x:v>
      </x:c>
    </x:row>
    <x:row r="647" ht="24" customHeight="1">
      <x:c r="A647" s="65" t="n">
        <x:v>478</x:v>
      </x:c>
      <x:c r="B647" s="65" t="str">
        <x:v>菲律宾</x:v>
      </x:c>
      <x:c r="C647" s="82" t="n">
        <x:v>1</x:v>
      </x:c>
      <x:c r="D647" s="82" t="n">
        <x:v>1</x:v>
      </x:c>
      <x:c r="E647" s="67" t="n">
        <x:v>1</x:v>
      </x:c>
      <x:c r="F647" s="181" t="n">
        <x:v>1</x:v>
      </x:c>
      <x:c r="G647" s="67" t="n">
        <x:v>1</x:v>
      </x:c>
      <x:c r="H647"/>
      <x:c r="I647" s="65" t="n">
        <x:v>478</x:v>
      </x:c>
      <x:c r="J647" s="65" t="str">
        <x:v>瓦伦西亚（Valencia CF）</x:v>
      </x:c>
      <x:c r="K647" s="82" t="n">
        <x:v>1</x:v>
      </x:c>
      <x:c r="L647" s="82" t="n">
        <x:v>1</x:v>
      </x:c>
      <x:c r="M647" s="67" t="n">
        <x:v>1</x:v>
      </x:c>
      <x:c r="N647" s="181" t="n">
        <x:v>1</x:v>
      </x:c>
      <x:c r="O647" s="67" t="n">
        <x:v>1</x:v>
      </x:c>
    </x:row>
    <x:row r="648" ht="24" customHeight="1">
      <x:c r="A648" s="65" t="n">
        <x:v>479</x:v>
      </x:c>
      <x:c r="B648" s="65" t="str">
        <x:v>萨克拉门托共和国（Sacramento Republic）</x:v>
      </x:c>
      <x:c r="C648" s="82" t="n">
        <x:v>1</x:v>
      </x:c>
      <x:c r="D648" s="82" t="n">
        <x:v>1</x:v>
      </x:c>
      <x:c r="E648" s="67" t="n">
        <x:v>1</x:v>
      </x:c>
      <x:c r="F648" s="181" t="n">
        <x:v>1</x:v>
      </x:c>
      <x:c r="G648" s="67" t="n">
        <x:v>1</x:v>
      </x:c>
      <x:c r="H648"/>
      <x:c r="I648" s="65" t="n">
        <x:v>479</x:v>
      </x:c>
      <x:c r="J648" s="65" t="str">
        <x:v>瓦尔达尔（FK Vardar）</x:v>
      </x:c>
      <x:c r="K648" s="82" t="n">
        <x:v>1</x:v>
      </x:c>
      <x:c r="L648" s="82" t="n">
        <x:v>1</x:v>
      </x:c>
      <x:c r="M648" s="67" t="n">
        <x:v>1</x:v>
      </x:c>
      <x:c r="N648" s="181" t="n">
        <x:v>1</x:v>
      </x:c>
      <x:c r="O648" s="67" t="n">
        <x:v>1</x:v>
      </x:c>
    </x:row>
    <x:row r="649" ht="24" customHeight="1">
      <x:c r="A649" s="65" t="n">
        <x:v>480</x:v>
      </x:c>
      <x:c r="B649" s="65" t="str">
        <x:v>萨兰迪兵工厂（Arsenal de Sarandí）</x:v>
      </x:c>
      <x:c r="C649" s="82" t="n">
        <x:v>1</x:v>
      </x:c>
      <x:c r="D649" s="82" t="n">
        <x:v>1</x:v>
      </x:c>
      <x:c r="E649" s="67" t="n">
        <x:v>1</x:v>
      </x:c>
      <x:c r="F649" s="181" t="n">
        <x:v>1</x:v>
      </x:c>
      <x:c r="G649" s="67" t="n">
        <x:v>1</x:v>
      </x:c>
      <x:c r="H649"/>
      <x:c r="I649" s="65" t="n">
        <x:v>480</x:v>
      </x:c>
      <x:c r="J649" s="65" t="str">
        <x:v>瓦斯科达伽马(Vasco da Gama)</x:v>
      </x:c>
      <x:c r="K649" s="82" t="n">
        <x:v>1</x:v>
      </x:c>
      <x:c r="L649" s="82" t="n">
        <x:v>1</x:v>
      </x:c>
      <x:c r="M649" s="67" t="n">
        <x:v>1</x:v>
      </x:c>
      <x:c r="N649" s="181" t="n">
        <x:v>1</x:v>
      </x:c>
      <x:c r="O649" s="67" t="n">
        <x:v>1</x:v>
      </x:c>
    </x:row>
    <x:row r="650" ht="24" customHeight="1">
      <x:c r="A650" s="65" t="n">
        <x:v>481</x:v>
      </x:c>
      <x:c r="B650" s="65" t="str">
        <x:v>萨普斯堡08（Sarpsborg 08）</x:v>
      </x:c>
      <x:c r="C650" s="82" t="n">
        <x:v>1</x:v>
      </x:c>
      <x:c r="D650" s="82" t="n">
        <x:v>1</x:v>
      </x:c>
      <x:c r="E650" s="67" t="n">
        <x:v>1</x:v>
      </x:c>
      <x:c r="F650" s="181" t="n">
        <x:v>1</x:v>
      </x:c>
      <x:c r="G650" s="67" t="n">
        <x:v>1</x:v>
      </x:c>
      <x:c r="H650"/>
      <x:c r="I650" s="65" t="n">
        <x:v>481</x:v>
      </x:c>
      <x:c r="J650" s="65" t="str">
        <x:v>瓦斯达伽马（Vasco da Gama）</x:v>
      </x:c>
      <x:c r="K650" s="82" t="n">
        <x:v>1</x:v>
      </x:c>
      <x:c r="L650" s="82" t="n">
        <x:v>1</x:v>
      </x:c>
      <x:c r="M650" s="67" t="n">
        <x:v>1</x:v>
      </x:c>
      <x:c r="N650" s="181" t="n">
        <x:v>1</x:v>
      </x:c>
      <x:c r="O650" s="67" t="n">
        <x:v>1</x:v>
      </x:c>
    </x:row>
    <x:row r="651" ht="24" customHeight="1">
      <x:c r="A651" s="65" t="n">
        <x:v>482</x:v>
      </x:c>
      <x:c r="B651" s="65" t="str">
        <x:v>萨米恩托</x:v>
      </x:c>
      <x:c r="C651" s="82" t="n">
        <x:v>1</x:v>
      </x:c>
      <x:c r="D651" s="82" t="n">
        <x:v>1</x:v>
      </x:c>
      <x:c r="E651" s="67" t="n">
        <x:v>1</x:v>
      </x:c>
      <x:c r="F651" s="181" t="n">
        <x:v>1</x:v>
      </x:c>
      <x:c r="G651" s="67" t="n">
        <x:v>1</x:v>
      </x:c>
      <x:c r="H651"/>
      <x:c r="I651" s="65" t="n">
        <x:v>482</x:v>
      </x:c>
      <x:c r="J651" s="65" t="str">
        <x:v>瓦纳默（IFK Värnamo）</x:v>
      </x:c>
      <x:c r="K651" s="82" t="n">
        <x:v>1</x:v>
      </x:c>
      <x:c r="L651" s="82" t="n">
        <x:v>1</x:v>
      </x:c>
      <x:c r="M651" s="67" t="n">
        <x:v>1</x:v>
      </x:c>
      <x:c r="N651" s="181" t="n">
        <x:v>1</x:v>
      </x:c>
      <x:c r="O651" s="67" t="n">
        <x:v>1</x:v>
      </x:c>
    </x:row>
    <x:row r="652" ht="24" customHeight="1">
      <x:c r="A652" s="65" t="n">
        <x:v>483</x:v>
      </x:c>
      <x:c r="B652" s="65" t="str">
        <x:v>萨米恩托（Sarmiento）</x:v>
      </x:c>
      <x:c r="C652" s="82" t="n">
        <x:v>1</x:v>
      </x:c>
      <x:c r="D652" s="82" t="n">
        <x:v>1</x:v>
      </x:c>
      <x:c r="E652" s="67" t="n">
        <x:v>1</x:v>
      </x:c>
      <x:c r="F652" s="181" t="n">
        <x:v>1</x:v>
      </x:c>
      <x:c r="G652" s="67" t="n">
        <x:v>1</x:v>
      </x:c>
      <x:c r="H652"/>
      <x:c r="I652" s="65" t="n">
        <x:v>483</x:v>
      </x:c>
      <x:c r="J652" s="65" t="str">
        <x:v>瓦萨VPS（Vaasan Palloseura）</x:v>
      </x:c>
      <x:c r="K652" s="82" t="n">
        <x:v>1</x:v>
      </x:c>
      <x:c r="L652" s="82" t="n">
        <x:v>1</x:v>
      </x:c>
      <x:c r="M652" s="67" t="n">
        <x:v>1</x:v>
      </x:c>
      <x:c r="N652" s="181" t="n">
        <x:v>1</x:v>
      </x:c>
      <x:c r="O652" s="67" t="n">
        <x:v>1</x:v>
      </x:c>
    </x:row>
    <x:row r="653" ht="24" customHeight="1">
      <x:c r="A653" s="65" t="n">
        <x:v>484</x:v>
      </x:c>
      <x:c r="B653" s="65" t="str">
        <x:v>葡萄牙U20青年队</x:v>
      </x:c>
      <x:c r="C653" s="82" t="n">
        <x:v>1</x:v>
      </x:c>
      <x:c r="D653" s="82" t="n">
        <x:v>1</x:v>
      </x:c>
      <x:c r="E653" s="67" t="n">
        <x:v>1</x:v>
      </x:c>
      <x:c r="F653" s="181" t="n">
        <x:v>1</x:v>
      </x:c>
      <x:c r="G653" s="67" t="n">
        <x:v>1</x:v>
      </x:c>
      <x:c r="H653"/>
      <x:c r="I653" s="65" t="n">
        <x:v>484</x:v>
      </x:c>
      <x:c r="J653" s="65" t="str">
        <x:v>甘拿斯亚门多萨（Gimnasia Mendoza）</x:v>
      </x:c>
      <x:c r="K653" s="82" t="n">
        <x:v>1</x:v>
      </x:c>
      <x:c r="L653" s="82" t="n">
        <x:v>1</x:v>
      </x:c>
      <x:c r="M653" s="67" t="n">
        <x:v>1</x:v>
      </x:c>
      <x:c r="N653" s="181" t="n">
        <x:v>1</x:v>
      </x:c>
      <x:c r="O653" s="67" t="n">
        <x:v>1</x:v>
      </x:c>
    </x:row>
    <x:row r="654" ht="24" customHeight="1">
      <x:c r="A654" s="65" t="n">
        <x:v>485</x:v>
      </x:c>
      <x:c r="B654" s="65" t="str">
        <x:v>蒙德维的亚流浪者（Montevideo Wanderers）</x:v>
      </x:c>
      <x:c r="C654" s="82" t="n">
        <x:v>1</x:v>
      </x:c>
      <x:c r="D654" s="82" t="n">
        <x:v>1</x:v>
      </x:c>
      <x:c r="E654" s="67" t="n">
        <x:v>1</x:v>
      </x:c>
      <x:c r="F654" s="181" t="n">
        <x:v>1</x:v>
      </x:c>
      <x:c r="G654" s="67" t="n">
        <x:v>1</x:v>
      </x:c>
      <x:c r="H654"/>
      <x:c r="I654" s="65" t="n">
        <x:v>485</x:v>
      </x:c>
      <x:c r="J654" s="65" t="str">
        <x:v>甲府风林（Ventforet Kofu）</x:v>
      </x:c>
      <x:c r="K654" s="82" t="n">
        <x:v>1</x:v>
      </x:c>
      <x:c r="L654" s="82" t="n">
        <x:v>1</x:v>
      </x:c>
      <x:c r="M654" s="67" t="n">
        <x:v>1</x:v>
      </x:c>
      <x:c r="N654" s="181" t="n">
        <x:v>1</x:v>
      </x:c>
      <x:c r="O654" s="67" t="n">
        <x:v>1</x:v>
      </x:c>
    </x:row>
    <x:row r="655" ht="24" customHeight="1">
      <x:c r="A655" s="65" t="n">
        <x:v>486</x:v>
      </x:c>
      <x:c r="B655" s="65" t="str">
        <x:v>蔚山HD（Ulsan HD）</x:v>
      </x:c>
      <x:c r="C655" s="82" t="n">
        <x:v>1</x:v>
      </x:c>
      <x:c r="D655" s="82" t="n">
        <x:v>1</x:v>
      </x:c>
      <x:c r="E655" s="67" t="n">
        <x:v>1</x:v>
      </x:c>
      <x:c r="F655" s="181" t="n">
        <x:v>1</x:v>
      </x:c>
      <x:c r="G655" s="67" t="n">
        <x:v>1</x:v>
      </x:c>
      <x:c r="H655"/>
      <x:c r="I655" s="65" t="n">
        <x:v>486</x:v>
      </x:c>
      <x:c r="J655" s="65" t="str">
        <x:v>百慕大</x:v>
      </x:c>
      <x:c r="K655" s="82" t="n">
        <x:v>1</x:v>
      </x:c>
      <x:c r="L655" s="82" t="n">
        <x:v>1</x:v>
      </x:c>
      <x:c r="M655" s="67" t="n">
        <x:v>1</x:v>
      </x:c>
      <x:c r="N655" s="181" t="n">
        <x:v>1</x:v>
      </x:c>
      <x:c r="O655" s="67" t="n">
        <x:v>1</x:v>
      </x:c>
    </x:row>
    <x:row r="656" ht="24" customHeight="1">
      <x:c r="A656" s="65" t="n">
        <x:v>487</x:v>
      </x:c>
      <x:c r="B656" s="65" t="str">
        <x:v>蔚山HD（蔚山现代）</x:v>
      </x:c>
      <x:c r="C656" s="82" t="n">
        <x:v>1</x:v>
      </x:c>
      <x:c r="D656" s="82" t="n">
        <x:v>1</x:v>
      </x:c>
      <x:c r="E656" s="67" t="n">
        <x:v>1</x:v>
      </x:c>
      <x:c r="F656" s="181" t="n">
        <x:v>1</x:v>
      </x:c>
      <x:c r="G656" s="67" t="n">
        <x:v>1</x:v>
      </x:c>
      <x:c r="H656"/>
      <x:c r="I656" s="65" t="n">
        <x:v>487</x:v>
      </x:c>
      <x:c r="J656" s="65" t="str">
        <x:v>皇家伊斯柏纳（Real España）</x:v>
      </x:c>
      <x:c r="K656" s="82" t="n">
        <x:v>1</x:v>
      </x:c>
      <x:c r="L656" s="82" t="n">
        <x:v>1</x:v>
      </x:c>
      <x:c r="M656" s="67" t="n">
        <x:v>1</x:v>
      </x:c>
      <x:c r="N656" s="181" t="n">
        <x:v>1</x:v>
      </x:c>
      <x:c r="O656" s="67" t="n">
        <x:v>1</x:v>
      </x:c>
    </x:row>
    <x:row r="657" ht="24" customHeight="1">
      <x:c r="A657" s="65" t="n">
        <x:v>488</x:v>
      </x:c>
      <x:c r="B657" s="65" t="str">
        <x:v>西悉尼流浪者青年队（Western Sydney Wanderers Youth）</x:v>
      </x:c>
      <x:c r="C657" s="82" t="n">
        <x:v>1</x:v>
      </x:c>
      <x:c r="D657" s="82" t="n">
        <x:v>1</x:v>
      </x:c>
      <x:c r="E657" s="67" t="n">
        <x:v>1</x:v>
      </x:c>
      <x:c r="F657" s="181" t="n">
        <x:v>1</x:v>
      </x:c>
      <x:c r="G657" s="67" t="n">
        <x:v>1</x:v>
      </x:c>
      <x:c r="H657"/>
      <x:c r="I657" s="65" t="n">
        <x:v>488</x:v>
      </x:c>
      <x:c r="J657" s="65" t="str">
        <x:v>皇家卡塔赫纳</x:v>
      </x:c>
      <x:c r="K657" s="82" t="n">
        <x:v>1</x:v>
      </x:c>
      <x:c r="L657" s="82" t="n">
        <x:v>1</x:v>
      </x:c>
      <x:c r="M657" s="67" t="n">
        <x:v>1</x:v>
      </x:c>
      <x:c r="N657" s="181" t="n">
        <x:v>1</x:v>
      </x:c>
      <x:c r="O657" s="67" t="n">
        <x:v>1</x:v>
      </x:c>
    </x:row>
    <x:row r="658" ht="24" customHeight="1">
      <x:c r="A658" s="65" t="n">
        <x:v>489</x:v>
      </x:c>
      <x:c r="B658" s="65" t="str">
        <x:v>西汉姆联（West Ham United）</x:v>
      </x:c>
      <x:c r="C658" s="82" t="n">
        <x:v>1</x:v>
      </x:c>
      <x:c r="D658" s="82" t="n">
        <x:v>1</x:v>
      </x:c>
      <x:c r="E658" s="67" t="n">
        <x:v>1</x:v>
      </x:c>
      <x:c r="F658" s="181" t="n">
        <x:v>1</x:v>
      </x:c>
      <x:c r="G658" s="67" t="n">
        <x:v>1</x:v>
      </x:c>
      <x:c r="H658"/>
      <x:c r="I658" s="65" t="n">
        <x:v>489</x:v>
      </x:c>
      <x:c r="J658" s="65" t="str">
        <x:v>皇家奥维耶多</x:v>
      </x:c>
      <x:c r="K658" s="82" t="n">
        <x:v>1</x:v>
      </x:c>
      <x:c r="L658" s="82" t="n">
        <x:v>1</x:v>
      </x:c>
      <x:c r="M658" s="67" t="n">
        <x:v>1</x:v>
      </x:c>
      <x:c r="N658" s="181" t="n">
        <x:v>1</x:v>
      </x:c>
      <x:c r="O658" s="67" t="n">
        <x:v>1</x:v>
      </x:c>
    </x:row>
    <x:row r="659" ht="24" customHeight="1">
      <x:c r="A659" s="65" t="n">
        <x:v>490</x:v>
      </x:c>
      <x:c r="B659" s="65" t="str">
        <x:v>西班牙人</x:v>
      </x:c>
      <x:c r="C659" s="82" t="n">
        <x:v>1</x:v>
      </x:c>
      <x:c r="D659" s="82" t="n">
        <x:v>1</x:v>
      </x:c>
      <x:c r="E659" s="67" t="n">
        <x:v>1</x:v>
      </x:c>
      <x:c r="F659" s="181" t="n">
        <x:v>1</x:v>
      </x:c>
      <x:c r="G659" s="67" t="n">
        <x:v>1</x:v>
      </x:c>
      <x:c r="H659"/>
      <x:c r="I659" s="65" t="n">
        <x:v>490</x:v>
      </x:c>
      <x:c r="J659" s="65" t="str">
        <x:v>皇家桑坦德</x:v>
      </x:c>
      <x:c r="K659" s="82" t="n">
        <x:v>1</x:v>
      </x:c>
      <x:c r="L659" s="82" t="n">
        <x:v>1</x:v>
      </x:c>
      <x:c r="M659" s="67" t="n">
        <x:v>1</x:v>
      </x:c>
      <x:c r="N659" s="181" t="n">
        <x:v>1</x:v>
      </x:c>
      <x:c r="O659" s="67" t="n">
        <x:v>1</x:v>
      </x:c>
    </x:row>
    <x:row r="660" ht="24" customHeight="1">
      <x:c r="A660" s="65" t="n">
        <x:v>491</x:v>
      </x:c>
      <x:c r="B660" s="65" t="str">
        <x:v>西班牙人（Espanyol）</x:v>
      </x:c>
      <x:c r="C660" s="82" t="n">
        <x:v>1</x:v>
      </x:c>
      <x:c r="D660" s="82" t="n">
        <x:v>1</x:v>
      </x:c>
      <x:c r="E660" s="67" t="n">
        <x:v>1</x:v>
      </x:c>
      <x:c r="F660" s="181" t="n">
        <x:v>1</x:v>
      </x:c>
      <x:c r="G660" s="67" t="n">
        <x:v>1</x:v>
      </x:c>
      <x:c r="H660"/>
      <x:c r="I660" s="65" t="n">
        <x:v>491</x:v>
      </x:c>
      <x:c r="J660" s="65" t="str">
        <x:v>皇家波托斯</x:v>
      </x:c>
      <x:c r="K660" s="82" t="n">
        <x:v>1</x:v>
      </x:c>
      <x:c r="L660" s="82" t="n">
        <x:v>1</x:v>
      </x:c>
      <x:c r="M660" s="67" t="n">
        <x:v>1</x:v>
      </x:c>
      <x:c r="N660" s="181" t="n">
        <x:v>1</x:v>
      </x:c>
      <x:c r="O660" s="67" t="n">
        <x:v>1</x:v>
      </x:c>
    </x:row>
    <x:row r="661" ht="24" customHeight="1">
      <x:c r="A661" s="65" t="n">
        <x:v>492</x:v>
      </x:c>
      <x:c r="B661" s="65" t="str">
        <x:v>詹普谢尔FC</x:v>
      </x:c>
      <x:c r="C661" s="82" t="n">
        <x:v>1</x:v>
      </x:c>
      <x:c r="D661" s="82" t="n">
        <x:v>1</x:v>
      </x:c>
      <x:c r="E661" s="67" t="n">
        <x:v>1</x:v>
      </x:c>
      <x:c r="F661" s="181" t="n">
        <x:v>1</x:v>
      </x:c>
      <x:c r="G661" s="67" t="n">
        <x:v>1</x:v>
      </x:c>
      <x:c r="H661"/>
      <x:c r="I661" s="65" t="n">
        <x:v>492</x:v>
      </x:c>
      <x:c r="J661" s="65" t="str">
        <x:v>皇家波托斯（Real Potosí）</x:v>
      </x:c>
      <x:c r="K661" s="82" t="n">
        <x:v>1</x:v>
      </x:c>
      <x:c r="L661" s="82" t="n">
        <x:v>1</x:v>
      </x:c>
      <x:c r="M661" s="67" t="n">
        <x:v>1</x:v>
      </x:c>
      <x:c r="N661" s="181" t="n">
        <x:v>1</x:v>
      </x:c>
      <x:c r="O661" s="67" t="n">
        <x:v>1</x:v>
      </x:c>
    </x:row>
    <x:row r="662" ht="24" customHeight="1">
      <x:c r="A662" s="65" t="n">
        <x:v>493</x:v>
      </x:c>
      <x:c r="B662" s="65" t="str">
        <x:v>诺斯科特市（Northcote City）</x:v>
      </x:c>
      <x:c r="C662" s="82" t="n">
        <x:v>1</x:v>
      </x:c>
      <x:c r="D662" s="82" t="n">
        <x:v>1</x:v>
      </x:c>
      <x:c r="E662" s="67" t="n">
        <x:v>1</x:v>
      </x:c>
      <x:c r="F662" s="181" t="n">
        <x:v>1</x:v>
      </x:c>
      <x:c r="G662" s="67" t="n">
        <x:v>1</x:v>
      </x:c>
      <x:c r="H662"/>
      <x:c r="I662" s="65" t="n">
        <x:v>493</x:v>
      </x:c>
      <x:c r="J662" s="65" t="str">
        <x:v>皇家西班牙（Real España/Real CD España）</x:v>
      </x:c>
      <x:c r="K662" s="82" t="n">
        <x:v>1</x:v>
      </x:c>
      <x:c r="L662" s="82" t="n">
        <x:v>1</x:v>
      </x:c>
      <x:c r="M662" s="67" t="n">
        <x:v>1</x:v>
      </x:c>
      <x:c r="N662" s="181" t="n">
        <x:v>1</x:v>
      </x:c>
      <x:c r="O662" s="67" t="n">
        <x:v>1</x:v>
      </x:c>
    </x:row>
    <x:row r="663" ht="24" customHeight="1">
      <x:c r="A663" s="65" t="n">
        <x:v>494</x:v>
      </x:c>
      <x:c r="B663" s="65" t="str">
        <x:v>诺维奇城（Norwich City）</x:v>
      </x:c>
      <x:c r="C663" s="82" t="n">
        <x:v>1</x:v>
      </x:c>
      <x:c r="D663" s="82" t="n">
        <x:v>1</x:v>
      </x:c>
      <x:c r="E663" s="67" t="n">
        <x:v>1</x:v>
      </x:c>
      <x:c r="F663" s="181" t="n">
        <x:v>1</x:v>
      </x:c>
      <x:c r="G663" s="67" t="n">
        <x:v>1</x:v>
      </x:c>
      <x:c r="H663"/>
      <x:c r="I663" s="65" t="n">
        <x:v>494</x:v>
      </x:c>
      <x:c r="J663" s="65" t="str">
        <x:v>皇家马德里</x:v>
      </x:c>
      <x:c r="K663" s="82" t="n">
        <x:v>1</x:v>
      </x:c>
      <x:c r="L663" s="82" t="n">
        <x:v>1</x:v>
      </x:c>
      <x:c r="M663" s="67" t="n">
        <x:v>1</x:v>
      </x:c>
      <x:c r="N663" s="181" t="n">
        <x:v>1</x:v>
      </x:c>
      <x:c r="O663" s="67" t="n">
        <x:v>1</x:v>
      </x:c>
    </x:row>
    <x:row r="664" ht="24" customHeight="1">
      <x:c r="A664" s="65" t="n">
        <x:v>495</x:v>
      </x:c>
      <x:c r="B664" s="65" t="str">
        <x:v>谢菲联（Sheffield United）</x:v>
      </x:c>
      <x:c r="C664" s="82" t="n">
        <x:v>1</x:v>
      </x:c>
      <x:c r="D664" s="82" t="n">
        <x:v>1</x:v>
      </x:c>
      <x:c r="E664" s="67" t="n">
        <x:v>1</x:v>
      </x:c>
      <x:c r="F664" s="181" t="n">
        <x:v>1</x:v>
      </x:c>
      <x:c r="G664" s="67" t="n">
        <x:v>1</x:v>
      </x:c>
      <x:c r="H664"/>
      <x:c r="I664" s="65" t="n">
        <x:v>495</x:v>
      </x:c>
      <x:c r="J664" s="65" t="str">
        <x:v>皇家马德里（Real Madrid）</x:v>
      </x:c>
      <x:c r="K664" s="82" t="n">
        <x:v>1</x:v>
      </x:c>
      <x:c r="L664" s="82" t="n">
        <x:v>1</x:v>
      </x:c>
      <x:c r="M664" s="67" t="n">
        <x:v>1</x:v>
      </x:c>
      <x:c r="N664" s="181" t="n">
        <x:v>1</x:v>
      </x:c>
      <x:c r="O664" s="67" t="n">
        <x:v>1</x:v>
      </x:c>
    </x:row>
    <x:row r="665" ht="24" customHeight="1">
      <x:c r="A665" s="65" t="n">
        <x:v>496</x:v>
      </x:c>
      <x:c r="B665" s="65" t="str">
        <x:v>贝尔格拉诺</x:v>
      </x:c>
      <x:c r="C665" s="82" t="n">
        <x:v>1</x:v>
      </x:c>
      <x:c r="D665" s="82" t="n">
        <x:v>1</x:v>
      </x:c>
      <x:c r="E665" s="67" t="n">
        <x:v>1</x:v>
      </x:c>
      <x:c r="F665" s="181" t="n">
        <x:v>1</x:v>
      </x:c>
      <x:c r="G665" s="67" t="n">
        <x:v>1</x:v>
      </x:c>
      <x:c r="H665"/>
      <x:c r="I665" s="65" t="n">
        <x:v>496</x:v>
      </x:c>
      <x:c r="J665" s="65" t="str">
        <x:v>皇家马略卡（Mallorca）</x:v>
      </x:c>
      <x:c r="K665" s="82" t="n">
        <x:v>1</x:v>
      </x:c>
      <x:c r="L665" s="82" t="n">
        <x:v>1</x:v>
      </x:c>
      <x:c r="M665" s="67" t="n">
        <x:v>1</x:v>
      </x:c>
      <x:c r="N665" s="181" t="n">
        <x:v>1</x:v>
      </x:c>
      <x:c r="O665" s="67" t="n">
        <x:v>1</x:v>
      </x:c>
    </x:row>
    <x:row r="666" ht="24" customHeight="1">
      <x:c r="A666" s="65" t="n">
        <x:v>497</x:v>
      </x:c>
      <x:c r="B666" s="65" t="str">
        <x:v>费哈(Al-Fayha)</x:v>
      </x:c>
      <x:c r="C666" s="82" t="n">
        <x:v>1</x:v>
      </x:c>
      <x:c r="D666" s="82" t="n">
        <x:v>1</x:v>
      </x:c>
      <x:c r="E666" s="67" t="n">
        <x:v>1</x:v>
      </x:c>
      <x:c r="F666" s="181" t="n">
        <x:v>1</x:v>
      </x:c>
      <x:c r="G666" s="67" t="n">
        <x:v>1</x:v>
      </x:c>
      <x:c r="H666"/>
      <x:c r="I666" s="65" t="n">
        <x:v>497</x:v>
      </x:c>
      <x:c r="J666" s="65" t="str">
        <x:v>磐城FC</x:v>
      </x:c>
      <x:c r="K666" s="82" t="n">
        <x:v>1</x:v>
      </x:c>
      <x:c r="L666" s="82" t="n">
        <x:v>1</x:v>
      </x:c>
      <x:c r="M666" s="67" t="n">
        <x:v>1</x:v>
      </x:c>
      <x:c r="N666" s="181" t="n">
        <x:v>1</x:v>
      </x:c>
      <x:c r="O666" s="67" t="n">
        <x:v>1</x:v>
      </x:c>
    </x:row>
    <x:row r="667" ht="24" customHeight="1">
      <x:c r="A667" s="65" t="n">
        <x:v>498</x:v>
      </x:c>
      <x:c r="B667" s="65" t="str">
        <x:v>贾奎斯科尔多巴（Jaguares de Córdoba）</x:v>
      </x:c>
      <x:c r="C667" s="82" t="n">
        <x:v>1</x:v>
      </x:c>
      <x:c r="D667" s="82" t="n">
        <x:v>1</x:v>
      </x:c>
      <x:c r="E667" s="67" t="n">
        <x:v>1</x:v>
      </x:c>
      <x:c r="F667" s="181" t="n">
        <x:v>1</x:v>
      </x:c>
      <x:c r="G667" s="67" t="n">
        <x:v>1</x:v>
      </x:c>
      <x:c r="H667"/>
      <x:c r="I667" s="65" t="n">
        <x:v>498</x:v>
      </x:c>
      <x:c r="J667" s="65" t="str">
        <x:v>福岛联（Fukushima United FC）</x:v>
      </x:c>
      <x:c r="K667" s="82" t="n">
        <x:v>1</x:v>
      </x:c>
      <x:c r="L667" s="82" t="n">
        <x:v>1</x:v>
      </x:c>
      <x:c r="M667" s="67" t="n">
        <x:v>1</x:v>
      </x:c>
      <x:c r="N667" s="181" t="n">
        <x:v>1</x:v>
      </x:c>
      <x:c r="O667" s="67" t="n">
        <x:v>1</x:v>
      </x:c>
    </x:row>
    <x:row r="668" ht="24" customHeight="1">
      <x:c r="A668" s="65" t="n">
        <x:v>499</x:v>
      </x:c>
      <x:c r="B668" s="65" t="str">
        <x:v>赛曼巴东</x:v>
      </x:c>
      <x:c r="C668" s="82" t="n">
        <x:v>1</x:v>
      </x:c>
      <x:c r="D668" s="82" t="n">
        <x:v>1</x:v>
      </x:c>
      <x:c r="E668" s="67" t="n">
        <x:v>1</x:v>
      </x:c>
      <x:c r="F668" s="181" t="n">
        <x:v>1</x:v>
      </x:c>
      <x:c r="G668" s="67" t="n">
        <x:v>1</x:v>
      </x:c>
      <x:c r="H668"/>
      <x:c r="I668" s="65" t="n">
        <x:v>499</x:v>
      </x:c>
      <x:c r="J668" s="65" t="str">
        <x:v>秋田蓝闪电</x:v>
      </x:c>
      <x:c r="K668" s="82" t="n">
        <x:v>1</x:v>
      </x:c>
      <x:c r="L668" s="82" t="n">
        <x:v>1</x:v>
      </x:c>
      <x:c r="M668" s="67" t="n">
        <x:v>1</x:v>
      </x:c>
      <x:c r="N668" s="181" t="n">
        <x:v>1</x:v>
      </x:c>
      <x:c r="O668" s="67" t="n">
        <x:v>1</x:v>
      </x:c>
    </x:row>
    <x:row r="669" ht="24" customHeight="1">
      <x:c r="A669" s="65" t="n">
        <x:v>500</x:v>
      </x:c>
      <x:c r="B669" s="65" t="str">
        <x:v>赫尔蒙德体育（Helmond Sport）</x:v>
      </x:c>
      <x:c r="C669" s="82" t="n">
        <x:v>1</x:v>
      </x:c>
      <x:c r="D669" s="82" t="n">
        <x:v>1</x:v>
      </x:c>
      <x:c r="E669" s="67" t="n">
        <x:v>1</x:v>
      </x:c>
      <x:c r="F669" s="181" t="n">
        <x:v>1</x:v>
      </x:c>
      <x:c r="G669" s="67" t="n">
        <x:v>1</x:v>
      </x:c>
      <x:c r="H669"/>
      <x:c r="I669" s="65" t="n">
        <x:v>500</x:v>
      </x:c>
      <x:c r="J669" s="65" t="str">
        <x:v>秋田蓝闪电（Blaublitz Akita）</x:v>
      </x:c>
      <x:c r="K669" s="82" t="n">
        <x:v>1</x:v>
      </x:c>
      <x:c r="L669" s="82" t="n">
        <x:v>1</x:v>
      </x:c>
      <x:c r="M669" s="67" t="n">
        <x:v>1</x:v>
      </x:c>
      <x:c r="N669" s="181" t="n">
        <x:v>1</x:v>
      </x:c>
      <x:c r="O669" s="67" t="n">
        <x:v>1</x:v>
      </x:c>
    </x:row>
    <x:row r="670" ht="24" customHeight="1">
      <x:c r="A670" s="65" t="n">
        <x:v>501</x:v>
      </x:c>
      <x:c r="B670" s="65" t="str">
        <x:v>赫尔辛基（HJK）</x:v>
      </x:c>
      <x:c r="C670" s="82" t="n">
        <x:v>1</x:v>
      </x:c>
      <x:c r="D670" s="82" t="n">
        <x:v>1</x:v>
      </x:c>
      <x:c r="E670" s="67" t="n">
        <x:v>1</x:v>
      </x:c>
      <x:c r="F670" s="181" t="n">
        <x:v>1</x:v>
      </x:c>
      <x:c r="G670" s="67" t="n">
        <x:v>1</x:v>
      </x:c>
      <x:c r="H670"/>
      <x:c r="I670" s="65" t="n">
        <x:v>501</x:v>
      </x:c>
      <x:c r="J670" s="65" t="str">
        <x:v>科尔多瓦中央（圣地亚哥）</x:v>
      </x:c>
      <x:c r="K670" s="82" t="n">
        <x:v>1</x:v>
      </x:c>
      <x:c r="L670" s="82" t="n">
        <x:v>1</x:v>
      </x:c>
      <x:c r="M670" s="67" t="n">
        <x:v>1</x:v>
      </x:c>
      <x:c r="N670" s="181" t="n">
        <x:v>1</x:v>
      </x:c>
      <x:c r="O670" s="67" t="n">
        <x:v>1</x:v>
      </x:c>
    </x:row>
    <x:row r="671" ht="24" customHeight="1">
      <x:c r="A671" s="65" t="n">
        <x:v>502</x:v>
      </x:c>
      <x:c r="B671" s="65" t="str">
        <x:v>赫根</x:v>
      </x:c>
      <x:c r="C671" s="82" t="n">
        <x:v>1</x:v>
      </x:c>
      <x:c r="D671" s="82" t="n">
        <x:v>1</x:v>
      </x:c>
      <x:c r="E671" s="67" t="n">
        <x:v>1</x:v>
      </x:c>
      <x:c r="F671" s="181" t="n">
        <x:v>1</x:v>
      </x:c>
      <x:c r="G671" s="67" t="n">
        <x:v>1</x:v>
      </x:c>
      <x:c r="H671"/>
      <x:c r="I671" s="65" t="n">
        <x:v>502</x:v>
      </x:c>
      <x:c r="J671" s="65" t="str">
        <x:v>科尔多瓦学院（Instituto ACC）</x:v>
      </x:c>
      <x:c r="K671" s="82" t="n">
        <x:v>1</x:v>
      </x:c>
      <x:c r="L671" s="82" t="n">
        <x:v>1</x:v>
      </x:c>
      <x:c r="M671" s="67" t="n">
        <x:v>1</x:v>
      </x:c>
      <x:c r="N671" s="181" t="n">
        <x:v>1</x:v>
      </x:c>
      <x:c r="O671" s="67" t="n">
        <x:v>1</x:v>
      </x:c>
    </x:row>
    <x:row r="672" ht="24" customHeight="1">
      <x:c r="A672" s="65" t="n">
        <x:v>503</x:v>
      </x:c>
      <x:c r="B672" s="65" t="str">
        <x:v>越电信体工（Thể Công - Viettel）</x:v>
      </x:c>
      <x:c r="C672" s="82" t="n">
        <x:v>1</x:v>
      </x:c>
      <x:c r="D672" s="82" t="n">
        <x:v>1</x:v>
      </x:c>
      <x:c r="E672" s="67" t="n">
        <x:v>1</x:v>
      </x:c>
      <x:c r="F672" s="181" t="n">
        <x:v>1</x:v>
      </x:c>
      <x:c r="G672" s="67" t="n">
        <x:v>1</x:v>
      </x:c>
      <x:c r="H672"/>
      <x:c r="I672" s="65" t="n">
        <x:v>503</x:v>
      </x:c>
      <x:c r="J672" s="65" t="str">
        <x:v>科尔多瓦贾瓜雷斯</x:v>
      </x:c>
      <x:c r="K672" s="82" t="n">
        <x:v>1</x:v>
      </x:c>
      <x:c r="L672" s="82" t="n">
        <x:v>1</x:v>
      </x:c>
      <x:c r="M672" s="67" t="n">
        <x:v>1</x:v>
      </x:c>
      <x:c r="N672" s="181" t="n">
        <x:v>1</x:v>
      </x:c>
      <x:c r="O672" s="67" t="n">
        <x:v>1</x:v>
      </x:c>
    </x:row>
    <x:row r="673" ht="24" customHeight="1">
      <x:c r="A673" s="65" t="n">
        <x:v>504</x:v>
      </x:c>
      <x:c r="B673" s="65" t="str">
        <x:v>辛辛那提FC</x:v>
      </x:c>
      <x:c r="C673" s="82" t="n">
        <x:v>1</x:v>
      </x:c>
      <x:c r="D673" s="82" t="n">
        <x:v>1</x:v>
      </x:c>
      <x:c r="E673" s="67" t="n">
        <x:v>1</x:v>
      </x:c>
      <x:c r="F673" s="181" t="n">
        <x:v>1</x:v>
      </x:c>
      <x:c r="G673" s="67" t="n">
        <x:v>1</x:v>
      </x:c>
      <x:c r="H673"/>
      <x:c r="I673" s="65" t="n">
        <x:v>504</x:v>
      </x:c>
      <x:c r="J673" s="65" t="str">
        <x:v>科里蒂巴</x:v>
      </x:c>
      <x:c r="K673" s="82" t="n">
        <x:v>1</x:v>
      </x:c>
      <x:c r="L673" s="82" t="n">
        <x:v>1</x:v>
      </x:c>
      <x:c r="M673" s="67" t="n">
        <x:v>1</x:v>
      </x:c>
      <x:c r="N673" s="181" t="n">
        <x:v>1</x:v>
      </x:c>
      <x:c r="O673" s="67" t="n">
        <x:v>1</x:v>
      </x:c>
    </x:row>
    <x:row r="674" ht="24" customHeight="1">
      <x:c r="A674" s="65" t="n">
        <x:v>505</x:v>
      </x:c>
      <x:c r="B674" s="65" t="str">
        <x:v>达尔维奇希尔</x:v>
      </x:c>
      <x:c r="C674" s="82" t="n">
        <x:v>1</x:v>
      </x:c>
      <x:c r="D674" s="82" t="n">
        <x:v>1</x:v>
      </x:c>
      <x:c r="E674" s="67" t="n">
        <x:v>1</x:v>
      </x:c>
      <x:c r="F674" s="181" t="n">
        <x:v>1</x:v>
      </x:c>
      <x:c r="G674" s="67" t="n">
        <x:v>1</x:v>
      </x:c>
      <x:c r="H674"/>
      <x:c r="I674" s="65" t="n">
        <x:v>505</x:v>
      </x:c>
      <x:c r="J674" s="65" t="str">
        <x:v>科金博联合（Coquimbo Unido）</x:v>
      </x:c>
      <x:c r="K674" s="82" t="n">
        <x:v>1</x:v>
      </x:c>
      <x:c r="L674" s="82" t="n">
        <x:v>1</x:v>
      </x:c>
      <x:c r="M674" s="67" t="n">
        <x:v>1</x:v>
      </x:c>
      <x:c r="N674" s="181" t="n">
        <x:v>1</x:v>
      </x:c>
      <x:c r="O674" s="67" t="n">
        <x:v>1</x:v>
      </x:c>
    </x:row>
    <x:row r="675" ht="24" customHeight="1">
      <x:c r="A675" s="65" t="n">
        <x:v>506</x:v>
      </x:c>
      <x:c r="B675" s="65" t="str">
        <x:v>达曼协作（Al Ettifaq）</x:v>
      </x:c>
      <x:c r="C675" s="82" t="n">
        <x:v>1</x:v>
      </x:c>
      <x:c r="D675" s="82" t="n">
        <x:v>1</x:v>
      </x:c>
      <x:c r="E675" s="67" t="n">
        <x:v>1</x:v>
      </x:c>
      <x:c r="F675" s="181" t="n">
        <x:v>1</x:v>
      </x:c>
      <x:c r="G675" s="67" t="n">
        <x:v>1</x:v>
      </x:c>
      <x:c r="H675"/>
      <x:c r="I675" s="65" t="n">
        <x:v>506</x:v>
      </x:c>
      <x:c r="J675" s="65" t="str">
        <x:v>科隆（1. FC 科隆/FC Köln）</x:v>
      </x:c>
      <x:c r="K675" s="82" t="n">
        <x:v>1</x:v>
      </x:c>
      <x:c r="L675" s="82" t="n">
        <x:v>1</x:v>
      </x:c>
      <x:c r="M675" s="67" t="n">
        <x:v>1</x:v>
      </x:c>
      <x:c r="N675" s="181" t="n">
        <x:v>1</x:v>
      </x:c>
      <x:c r="O675" s="67" t="n">
        <x:v>1</x:v>
      </x:c>
    </x:row>
    <x:row r="676" ht="24" customHeight="1">
      <x:c r="A676" s="65" t="n">
        <x:v>507</x:v>
      </x:c>
      <x:c r="B676" s="65" t="str">
        <x:v>达马克（Damac）</x:v>
      </x:c>
      <x:c r="C676" s="82" t="n">
        <x:v>1</x:v>
      </x:c>
      <x:c r="D676" s="82" t="n">
        <x:v>1</x:v>
      </x:c>
      <x:c r="E676" s="67" t="n">
        <x:v>1</x:v>
      </x:c>
      <x:c r="F676" s="181" t="n">
        <x:v>1</x:v>
      </x:c>
      <x:c r="G676" s="67" t="n">
        <x:v>1</x:v>
      </x:c>
      <x:c r="H676"/>
      <x:c r="I676" s="65" t="n">
        <x:v>507</x:v>
      </x:c>
      <x:c r="J676" s="65" t="str">
        <x:v>突尼斯U23（青年队）</x:v>
      </x:c>
      <x:c r="K676" s="82" t="n">
        <x:v>1</x:v>
      </x:c>
      <x:c r="L676" s="82" t="n">
        <x:v>1</x:v>
      </x:c>
      <x:c r="M676" s="67" t="n">
        <x:v>1</x:v>
      </x:c>
      <x:c r="N676" s="181" t="n">
        <x:v>1</x:v>
      </x:c>
      <x:c r="O676" s="67" t="n">
        <x:v>1</x:v>
      </x:c>
    </x:row>
    <x:row r="677" ht="24" customHeight="1">
      <x:c r="A677" s="65" t="n">
        <x:v>508</x:v>
      </x:c>
      <x:c r="B677" s="65" t="str">
        <x:v>邓巴顿（Dumbarton）</x:v>
      </x:c>
      <x:c r="C677" s="82" t="n">
        <x:v>1</x:v>
      </x:c>
      <x:c r="D677" s="82" t="n">
        <x:v>1</x:v>
      </x:c>
      <x:c r="E677" s="67" t="n">
        <x:v>1</x:v>
      </x:c>
      <x:c r="F677" s="181" t="n">
        <x:v>1</x:v>
      </x:c>
      <x:c r="G677" s="67" t="n">
        <x:v>1</x:v>
      </x:c>
      <x:c r="H677"/>
      <x:c r="I677" s="65" t="n">
        <x:v>508</x:v>
      </x:c>
      <x:c r="J677" s="65" t="str">
        <x:v>突尼斯希望</x:v>
      </x:c>
      <x:c r="K677" s="82" t="n">
        <x:v>1</x:v>
      </x:c>
      <x:c r="L677" s="82" t="n">
        <x:v>1</x:v>
      </x:c>
      <x:c r="M677" s="67" t="n">
        <x:v>1</x:v>
      </x:c>
      <x:c r="N677" s="181" t="n">
        <x:v>1</x:v>
      </x:c>
      <x:c r="O677" s="67" t="n">
        <x:v>1</x:v>
      </x:c>
    </x:row>
    <x:row r="678" ht="24" customHeight="1">
      <x:c r="A678" s="65" t="n">
        <x:v>509</x:v>
      </x:c>
      <x:c r="B678" s="65" t="str">
        <x:v>邓弗姆林（Dunfermline Athletic）</x:v>
      </x:c>
      <x:c r="C678" s="82" t="n">
        <x:v>1</x:v>
      </x:c>
      <x:c r="D678" s="82" t="n">
        <x:v>1</x:v>
      </x:c>
      <x:c r="E678" s="67" t="n">
        <x:v>1</x:v>
      </x:c>
      <x:c r="F678" s="181" t="n">
        <x:v>1</x:v>
      </x:c>
      <x:c r="G678" s="67" t="n">
        <x:v>1</x:v>
      </x:c>
      <x:c r="H678"/>
      <x:c r="I678" s="65" t="n">
        <x:v>509</x:v>
      </x:c>
      <x:c r="J678" s="65" t="str">
        <x:v>米亚尔比</x:v>
      </x:c>
      <x:c r="K678" s="82" t="n">
        <x:v>1</x:v>
      </x:c>
      <x:c r="L678" s="82" t="n">
        <x:v>1</x:v>
      </x:c>
      <x:c r="M678" s="67" t="n">
        <x:v>1</x:v>
      </x:c>
      <x:c r="N678" s="181" t="n">
        <x:v>1</x:v>
      </x:c>
      <x:c r="O678" s="67" t="n">
        <x:v>1</x:v>
      </x:c>
    </x:row>
    <x:row r="679" ht="24" customHeight="1">
      <x:c r="A679" s="65" t="n">
        <x:v>510</x:v>
      </x:c>
      <x:c r="B679" s="65" t="str">
        <x:v>邓迪（Dundee）</x:v>
      </x:c>
      <x:c r="C679" s="82" t="n">
        <x:v>1</x:v>
      </x:c>
      <x:c r="D679" s="82" t="n">
        <x:v>1</x:v>
      </x:c>
      <x:c r="E679" s="67" t="n">
        <x:v>1</x:v>
      </x:c>
      <x:c r="F679" s="181" t="n">
        <x:v>1</x:v>
      </x:c>
      <x:c r="G679" s="67" t="n">
        <x:v>1</x:v>
      </x:c>
      <x:c r="H679"/>
      <x:c r="I679" s="65" t="n">
        <x:v>510</x:v>
      </x:c>
      <x:c r="J679" s="65" t="str">
        <x:v>红牛布拉干蒂诺</x:v>
      </x:c>
      <x:c r="K679" s="82" t="n">
        <x:v>1</x:v>
      </x:c>
      <x:c r="L679" s="82" t="n">
        <x:v>1</x:v>
      </x:c>
      <x:c r="M679" s="67" t="n">
        <x:v>1</x:v>
      </x:c>
      <x:c r="N679" s="181" t="n">
        <x:v>1</x:v>
      </x:c>
      <x:c r="O679" s="67" t="n">
        <x:v>1</x:v>
      </x:c>
    </x:row>
    <x:row r="680" ht="24" customHeight="1">
      <x:c r="A680" s="65" t="n">
        <x:v>511</x:v>
      </x:c>
      <x:c r="B680" s="65" t="str">
        <x:v>里奥内格罗老鹰（Rionegro Águilas Doradas）</x:v>
      </x:c>
      <x:c r="C680" s="82" t="n">
        <x:v>1</x:v>
      </x:c>
      <x:c r="D680" s="82" t="n">
        <x:v>1</x:v>
      </x:c>
      <x:c r="E680" s="67" t="n">
        <x:v>1</x:v>
      </x:c>
      <x:c r="F680" s="181" t="n">
        <x:v>1</x:v>
      </x:c>
      <x:c r="G680" s="67" t="n">
        <x:v>1</x:v>
      </x:c>
      <x:c r="H680"/>
      <x:c r="I680" s="65" t="n">
        <x:v>511</x:v>
      </x:c>
      <x:c r="J680" s="65" t="str">
        <x:v>红牛布拉甘蒂诺</x:v>
      </x:c>
      <x:c r="K680" s="82" t="n">
        <x:v>1</x:v>
      </x:c>
      <x:c r="L680" s="82" t="n">
        <x:v>1</x:v>
      </x:c>
      <x:c r="M680" s="67" t="n">
        <x:v>1</x:v>
      </x:c>
      <x:c r="N680" s="181" t="n">
        <x:v>1</x:v>
      </x:c>
      <x:c r="O680" s="67" t="n">
        <x:v>1</x:v>
      </x:c>
    </x:row>
    <x:row r="681" ht="24" customHeight="1">
      <x:c r="A681" s="65" t="n">
        <x:v>512</x:v>
      </x:c>
      <x:c r="B681" s="65" t="str">
        <x:v>里奥夸尔托学生队（Estudiantes de Río Cuarto）</x:v>
      </x:c>
      <x:c r="C681" s="82" t="n">
        <x:v>1</x:v>
      </x:c>
      <x:c r="D681" s="82" t="n">
        <x:v>1</x:v>
      </x:c>
      <x:c r="E681" s="67" t="n">
        <x:v>1</x:v>
      </x:c>
      <x:c r="F681" s="181" t="n">
        <x:v>1</x:v>
      </x:c>
      <x:c r="G681" s="67" t="n">
        <x:v>1</x:v>
      </x:c>
      <x:c r="H681"/>
      <x:c r="I681" s="65" t="n">
        <x:v>512</x:v>
      </x:c>
      <x:c r="J681" s="65" t="str">
        <x:v>索尔纳（AIK）</x:v>
      </x:c>
      <x:c r="K681" s="82" t="n">
        <x:v>1</x:v>
      </x:c>
      <x:c r="L681" s="82" t="n">
        <x:v>1</x:v>
      </x:c>
      <x:c r="M681" s="67" t="n">
        <x:v>1</x:v>
      </x:c>
      <x:c r="N681" s="181" t="n">
        <x:v>1</x:v>
      </x:c>
      <x:c r="O681" s="67" t="n">
        <x:v>1</x:v>
      </x:c>
    </x:row>
    <x:row r="682" ht="24" customHeight="1">
      <x:c r="A682" s="65" t="n">
        <x:v>513</x:v>
      </x:c>
      <x:c r="B682" s="65" t="str">
        <x:v>金字塔</x:v>
      </x:c>
      <x:c r="C682" s="82" t="n">
        <x:v>1</x:v>
      </x:c>
      <x:c r="D682" s="82" t="n">
        <x:v>1</x:v>
      </x:c>
      <x:c r="E682" s="67" t="n">
        <x:v>1</x:v>
      </x:c>
      <x:c r="F682" s="181" t="n">
        <x:v>1</x:v>
      </x:c>
      <x:c r="G682" s="67" t="n">
        <x:v>1</x:v>
      </x:c>
      <x:c r="H682"/>
      <x:c r="I682" s="65" t="n">
        <x:v>513</x:v>
      </x:c>
      <x:c r="J682" s="65" t="str">
        <x:v>纽约红牛（Red Bull New York）</x:v>
      </x:c>
      <x:c r="K682" s="82" t="n">
        <x:v>1</x:v>
      </x:c>
      <x:c r="L682" s="82" t="n">
        <x:v>1</x:v>
      </x:c>
      <x:c r="M682" s="67" t="n">
        <x:v>1</x:v>
      </x:c>
      <x:c r="N682" s="181" t="n">
        <x:v>1</x:v>
      </x:c>
      <x:c r="O682" s="67" t="n">
        <x:v>1</x:v>
      </x:c>
    </x:row>
    <x:row r="683" ht="24" customHeight="1">
      <x:c r="A683" s="65" t="n">
        <x:v>514</x:v>
      </x:c>
      <x:c r="B683" s="65" t="str">
        <x:v>金泉尚武</x:v>
      </x:c>
      <x:c r="C683" s="82" t="n">
        <x:v>2</x:v>
      </x:c>
      <x:c r="D683" s="82" t="n">
        <x:v>2</x:v>
      </x:c>
      <x:c r="E683" s="67" t="n">
        <x:v>1</x:v>
      </x:c>
      <x:c r="F683" s="181" t="n">
        <x:v>1</x:v>
      </x:c>
      <x:c r="G683" s="67" t="n">
        <x:v>0.5</x:v>
      </x:c>
      <x:c r="H683"/>
      <x:c r="I683" s="65" t="n">
        <x:v>514</x:v>
      </x:c>
      <x:c r="J683" s="65" t="str">
        <x:v>维戈塞尔塔（Celta Vigo）</x:v>
      </x:c>
      <x:c r="K683" s="82" t="n">
        <x:v>1</x:v>
      </x:c>
      <x:c r="L683" s="82" t="n">
        <x:v>1</x:v>
      </x:c>
      <x:c r="M683" s="67" t="n">
        <x:v>1</x:v>
      </x:c>
      <x:c r="N683" s="181" t="n">
        <x:v>1</x:v>
      </x:c>
      <x:c r="O683" s="67" t="n">
        <x:v>1</x:v>
      </x:c>
    </x:row>
    <x:row r="684" ht="24" customHeight="1">
      <x:c r="A684" s="65" t="n">
        <x:v>515</x:v>
      </x:c>
      <x:c r="B684" s="65" t="str">
        <x:v>钦奈泰坦（Chennaiyin FC）</x:v>
      </x:c>
      <x:c r="C684" s="82" t="n">
        <x:v>1</x:v>
      </x:c>
      <x:c r="D684" s="82" t="n">
        <x:v>1</x:v>
      </x:c>
      <x:c r="E684" s="67" t="n">
        <x:v>1</x:v>
      </x:c>
      <x:c r="F684" s="181" t="n">
        <x:v>1</x:v>
      </x:c>
      <x:c r="G684" s="67" t="n">
        <x:v>1</x:v>
      </x:c>
      <x:c r="H684"/>
      <x:c r="I684" s="65" t="n">
        <x:v>515</x:v>
      </x:c>
      <x:c r="J684" s="65" t="str">
        <x:v>维拉圣卡洛斯（Villa San Carlos）</x:v>
      </x:c>
      <x:c r="K684" s="82" t="n">
        <x:v>1</x:v>
      </x:c>
      <x:c r="L684" s="82" t="n">
        <x:v>1</x:v>
      </x:c>
      <x:c r="M684" s="67" t="n">
        <x:v>1</x:v>
      </x:c>
      <x:c r="N684" s="181" t="n">
        <x:v>1</x:v>
      </x:c>
      <x:c r="O684" s="67" t="n">
        <x:v>1</x:v>
      </x:c>
    </x:row>
    <x:row r="685" ht="24" customHeight="1">
      <x:c r="A685" s="65" t="n">
        <x:v>516</x:v>
      </x:c>
      <x:c r="B685" s="65" t="str">
        <x:v>锡帕基拉老虎（Tigres FC）</x:v>
      </x:c>
      <x:c r="C685" s="82" t="n">
        <x:v>1</x:v>
      </x:c>
      <x:c r="D685" s="82" t="n">
        <x:v>1</x:v>
      </x:c>
      <x:c r="E685" s="67" t="n">
        <x:v>1</x:v>
      </x:c>
      <x:c r="F685" s="181" t="n">
        <x:v>1</x:v>
      </x:c>
      <x:c r="G685" s="67" t="n">
        <x:v>1</x:v>
      </x:c>
      <x:c r="H685"/>
      <x:c r="I685" s="65" t="n">
        <x:v>516</x:v>
      </x:c>
      <x:c r="J685" s="65" t="str">
        <x:v>罗德岛FC（Rhode Island FC）</x:v>
      </x:c>
      <x:c r="K685" s="82" t="n">
        <x:v>1</x:v>
      </x:c>
      <x:c r="L685" s="82" t="n">
        <x:v>1</x:v>
      </x:c>
      <x:c r="M685" s="67" t="n">
        <x:v>1</x:v>
      </x:c>
      <x:c r="N685" s="181" t="n">
        <x:v>1</x:v>
      </x:c>
      <x:c r="O685" s="67" t="n">
        <x:v>1</x:v>
      </x:c>
    </x:row>
    <x:row r="686" ht="24" customHeight="1">
      <x:c r="A686" s="65" t="n">
        <x:v>517</x:v>
      </x:c>
      <x:c r="B686" s="65" t="str">
        <x:v>阿东那魔术（Altona Magic）</x:v>
      </x:c>
      <x:c r="C686" s="82" t="n">
        <x:v>1</x:v>
      </x:c>
      <x:c r="D686" s="82" t="n">
        <x:v>1</x:v>
      </x:c>
      <x:c r="E686" s="67" t="n">
        <x:v>1</x:v>
      </x:c>
      <x:c r="F686" s="181" t="n">
        <x:v>1</x:v>
      </x:c>
      <x:c r="G686" s="67" t="n">
        <x:v>1</x:v>
      </x:c>
      <x:c r="H686"/>
      <x:c r="I686" s="65" t="n">
        <x:v>517</x:v>
      </x:c>
      <x:c r="J686" s="65" t="str">
        <x:v>美因茨（1. FSV Mainz 05）</x:v>
      </x:c>
      <x:c r="K686" s="82" t="n">
        <x:v>1</x:v>
      </x:c>
      <x:c r="L686" s="82" t="n">
        <x:v>1</x:v>
      </x:c>
      <x:c r="M686" s="67" t="n">
        <x:v>1</x:v>
      </x:c>
      <x:c r="N686" s="181" t="n">
        <x:v>1</x:v>
      </x:c>
      <x:c r="O686" s="67" t="n">
        <x:v>1</x:v>
      </x:c>
    </x:row>
    <x:row r="687" ht="24" customHeight="1">
      <x:c r="A687" s="65" t="n">
        <x:v>518</x:v>
      </x:c>
      <x:c r="B687" s="65" t="str">
        <x:v>阿利安萨（Alianza FC）</x:v>
      </x:c>
      <x:c r="C687" s="82" t="n">
        <x:v>1</x:v>
      </x:c>
      <x:c r="D687" s="82" t="n">
        <x:v>1</x:v>
      </x:c>
      <x:c r="E687" s="67" t="n">
        <x:v>1</x:v>
      </x:c>
      <x:c r="F687" s="181" t="n">
        <x:v>1</x:v>
      </x:c>
      <x:c r="G687" s="67" t="n">
        <x:v>1</x:v>
      </x:c>
      <x:c r="H687"/>
      <x:c r="I687" s="65" t="n">
        <x:v>518</x:v>
      </x:c>
      <x:c r="J687" s="65" t="str">
        <x:v>美因茨05</x:v>
      </x:c>
      <x:c r="K687" s="82" t="n">
        <x:v>1</x:v>
      </x:c>
      <x:c r="L687" s="82" t="n">
        <x:v>1</x:v>
      </x:c>
      <x:c r="M687" s="67" t="n">
        <x:v>1</x:v>
      </x:c>
      <x:c r="N687" s="181" t="n">
        <x:v>1</x:v>
      </x:c>
      <x:c r="O687" s="67" t="n">
        <x:v>1</x:v>
      </x:c>
    </x:row>
    <x:row r="688" ht="24" customHeight="1">
      <x:c r="A688" s="65" t="n">
        <x:v>519</x:v>
      </x:c>
      <x:c r="B688" s="65" t="str">
        <x:v>阿利安萨FC</x:v>
      </x:c>
      <x:c r="C688" s="82" t="n">
        <x:v>1</x:v>
      </x:c>
      <x:c r="D688" s="82" t="n">
        <x:v>1</x:v>
      </x:c>
      <x:c r="E688" s="67" t="n">
        <x:v>1</x:v>
      </x:c>
      <x:c r="F688" s="181" t="n">
        <x:v>1</x:v>
      </x:c>
      <x:c r="G688" s="67" t="n">
        <x:v>1</x:v>
      </x:c>
      <x:c r="H688"/>
      <x:c r="I688" s="65" t="n">
        <x:v>519</x:v>
      </x:c>
      <x:c r="J688" s="65" t="str">
        <x:v>美洲狮（UNAM Pumas）</x:v>
      </x:c>
      <x:c r="K688" s="82" t="n">
        <x:v>1</x:v>
      </x:c>
      <x:c r="L688" s="82" t="n">
        <x:v>1</x:v>
      </x:c>
      <x:c r="M688" s="67" t="n">
        <x:v>1</x:v>
      </x:c>
      <x:c r="N688" s="181" t="n">
        <x:v>1</x:v>
      </x:c>
      <x:c r="O688" s="67" t="n">
        <x:v>1</x:v>
      </x:c>
    </x:row>
    <x:row r="689" ht="24" customHeight="1">
      <x:c r="A689" s="65" t="n">
        <x:v>520</x:v>
      </x:c>
      <x:c r="B689" s="65" t="str">
        <x:v>阿尔托那魔法（Altona Magic SC）</x:v>
      </x:c>
      <x:c r="C689" s="82" t="n">
        <x:v>1</x:v>
      </x:c>
      <x:c r="D689" s="82" t="n">
        <x:v>1</x:v>
      </x:c>
      <x:c r="E689" s="67" t="n">
        <x:v>1</x:v>
      </x:c>
      <x:c r="F689" s="181" t="n">
        <x:v>1</x:v>
      </x:c>
      <x:c r="G689" s="67" t="n">
        <x:v>1</x:v>
      </x:c>
      <x:c r="H689"/>
      <x:c r="I689" s="65" t="n">
        <x:v>520</x:v>
      </x:c>
      <x:c r="J689" s="65" t="str">
        <x:v>美洲狮（普马斯UNAM）</x:v>
      </x:c>
      <x:c r="K689" s="82" t="n">
        <x:v>1</x:v>
      </x:c>
      <x:c r="L689" s="82" t="n">
        <x:v>1</x:v>
      </x:c>
      <x:c r="M689" s="67" t="n">
        <x:v>1</x:v>
      </x:c>
      <x:c r="N689" s="181" t="n">
        <x:v>1</x:v>
      </x:c>
      <x:c r="O689" s="67" t="n">
        <x:v>1</x:v>
      </x:c>
    </x:row>
    <x:row r="690" ht="24" customHeight="1">
      <x:c r="A690" s="65" t="n">
        <x:v>521</x:v>
      </x:c>
      <x:c r="B690" s="65" t="str">
        <x:v>阿尔托那魔法（Altona Magic）</x:v>
      </x:c>
      <x:c r="C690" s="82" t="n">
        <x:v>1</x:v>
      </x:c>
      <x:c r="D690" s="82" t="n">
        <x:v>1</x:v>
      </x:c>
      <x:c r="E690" s="67" t="n">
        <x:v>1</x:v>
      </x:c>
      <x:c r="F690" s="181" t="n">
        <x:v>1</x:v>
      </x:c>
      <x:c r="G690" s="67" t="n">
        <x:v>1</x:v>
      </x:c>
      <x:c r="H690"/>
      <x:c r="I690" s="65" t="n">
        <x:v>521</x:v>
      </x:c>
      <x:c r="J690" s="65" t="str">
        <x:v>群马温泉</x:v>
      </x:c>
      <x:c r="K690" s="82" t="n">
        <x:v>1</x:v>
      </x:c>
      <x:c r="L690" s="82" t="n">
        <x:v>1</x:v>
      </x:c>
      <x:c r="M690" s="67" t="n">
        <x:v>1</x:v>
      </x:c>
      <x:c r="N690" s="181" t="n">
        <x:v>1</x:v>
      </x:c>
      <x:c r="O690" s="67" t="n">
        <x:v>1</x:v>
      </x:c>
    </x:row>
    <x:row r="691" ht="24" customHeight="1">
      <x:c r="A691" s="65" t="n">
        <x:v>522</x:v>
      </x:c>
      <x:c r="B691" s="65" t="str">
        <x:v>阿尔纳泽马(Al-Najma SC)</x:v>
      </x:c>
      <x:c r="C691" s="82" t="n">
        <x:v>1</x:v>
      </x:c>
      <x:c r="D691" s="82" t="n">
        <x:v>1</x:v>
      </x:c>
      <x:c r="E691" s="67" t="n">
        <x:v>1</x:v>
      </x:c>
      <x:c r="F691" s="181" t="n">
        <x:v>1</x:v>
      </x:c>
      <x:c r="G691" s="67" t="n">
        <x:v>1</x:v>
      </x:c>
      <x:c r="H691"/>
      <x:c r="I691" s="65" t="n">
        <x:v>522</x:v>
      </x:c>
      <x:c r="J691" s="65" t="str">
        <x:v>考文垂城</x:v>
      </x:c>
      <x:c r="K691" s="82" t="n">
        <x:v>1</x:v>
      </x:c>
      <x:c r="L691" s="82" t="n">
        <x:v>1</x:v>
      </x:c>
      <x:c r="M691" s="67" t="n">
        <x:v>1</x:v>
      </x:c>
      <x:c r="N691" s="181" t="n">
        <x:v>1</x:v>
      </x:c>
      <x:c r="O691" s="67" t="n">
        <x:v>1</x:v>
      </x:c>
    </x:row>
    <x:row r="692" ht="24" customHeight="1">
      <x:c r="A692" s="65" t="n">
        <x:v>523</x:v>
      </x:c>
      <x:c r="B692" s="65" t="str">
        <x:v>阿拉伯建筑（Al Mokawloon Al Arab/Arab Contractors）</x:v>
      </x:c>
      <x:c r="C692" s="82" t="n">
        <x:v>1</x:v>
      </x:c>
      <x:c r="D692" s="82" t="n">
        <x:v>1</x:v>
      </x:c>
      <x:c r="E692" s="67" t="n">
        <x:v>1</x:v>
      </x:c>
      <x:c r="F692" s="181" t="n">
        <x:v>1</x:v>
      </x:c>
      <x:c r="G692" s="67" t="n">
        <x:v>1</x:v>
      </x:c>
      <x:c r="H692"/>
      <x:c r="I692" s="65" t="n">
        <x:v>523</x:v>
      </x:c>
      <x:c r="J692" s="65" t="str">
        <x:v>肯塔吉内斯</x:v>
      </x:c>
      <x:c r="K692" s="82" t="n">
        <x:v>1</x:v>
      </x:c>
      <x:c r="L692" s="82" t="n">
        <x:v>1</x:v>
      </x:c>
      <x:c r="M692" s="67" t="n">
        <x:v>1</x:v>
      </x:c>
      <x:c r="N692" s="181" t="n">
        <x:v>1</x:v>
      </x:c>
      <x:c r="O692" s="67" t="n">
        <x:v>1</x:v>
      </x:c>
    </x:row>
    <x:row r="693" ht="24" customHeight="1">
      <x:c r="A693" s="65" t="n">
        <x:v>524</x:v>
      </x:c>
      <x:c r="B693" s="65" t="str">
        <x:v>阿根廷基尔梅斯（Argentino de Quilmes）</x:v>
      </x:c>
      <x:c r="C693" s="82" t="n">
        <x:v>1</x:v>
      </x:c>
      <x:c r="D693" s="82" t="n">
        <x:v>1</x:v>
      </x:c>
      <x:c r="E693" s="67" t="n">
        <x:v>1</x:v>
      </x:c>
      <x:c r="F693" s="181" t="n">
        <x:v>1</x:v>
      </x:c>
      <x:c r="G693" s="67" t="n">
        <x:v>1</x:v>
      </x:c>
      <x:c r="H693"/>
      <x:c r="I693" s="65" t="n">
        <x:v>524</x:v>
      </x:c>
      <x:c r="J693" s="65" t="str">
        <x:v>肯塔吉内斯(CS Cartaginés)</x:v>
      </x:c>
      <x:c r="K693" s="82" t="n">
        <x:v>1</x:v>
      </x:c>
      <x:c r="L693" s="82" t="n">
        <x:v>1</x:v>
      </x:c>
      <x:c r="M693" s="67" t="n">
        <x:v>1</x:v>
      </x:c>
      <x:c r="N693" s="181" t="n">
        <x:v>1</x:v>
      </x:c>
      <x:c r="O693" s="67" t="n">
        <x:v>1</x:v>
      </x:c>
    </x:row>
    <x:row r="694" ht="24" customHeight="1">
      <x:c r="A694" s="65" t="n">
        <x:v>525</x:v>
      </x:c>
      <x:c r="B694" s="65" t="str">
        <x:v>阿根廷独立（CA Independiente）</x:v>
      </x:c>
      <x:c r="C694" s="82" t="n">
        <x:v>1</x:v>
      </x:c>
      <x:c r="D694" s="82" t="n">
        <x:v>1</x:v>
      </x:c>
      <x:c r="E694" s="67" t="n">
        <x:v>1</x:v>
      </x:c>
      <x:c r="F694" s="181" t="n">
        <x:v>1</x:v>
      </x:c>
      <x:c r="G694" s="67" t="n">
        <x:v>1</x:v>
      </x:c>
      <x:c r="H694"/>
      <x:c r="I694" s="65" t="n">
        <x:v>525</x:v>
      </x:c>
      <x:c r="J694" s="65" t="str">
        <x:v>胡志明市公安（Công An TP.HCM）</x:v>
      </x:c>
      <x:c r="K694" s="82" t="n">
        <x:v>1</x:v>
      </x:c>
      <x:c r="L694" s="82" t="n">
        <x:v>1</x:v>
      </x:c>
      <x:c r="M694" s="67" t="n">
        <x:v>1</x:v>
      </x:c>
      <x:c r="N694" s="181" t="n">
        <x:v>1</x:v>
      </x:c>
      <x:c r="O694" s="67" t="n">
        <x:v>1</x:v>
      </x:c>
    </x:row>
    <x:row r="695" ht="24" customHeight="1">
      <x:c r="A695" s="65" t="n">
        <x:v>526</x:v>
      </x:c>
      <x:c r="B695" s="65" t="str">
        <x:v>阿根廷青年人(Argentinos Juniors)</x:v>
      </x:c>
      <x:c r="C695" s="82" t="n">
        <x:v>1</x:v>
      </x:c>
      <x:c r="D695" s="82" t="n">
        <x:v>1</x:v>
      </x:c>
      <x:c r="E695" s="67" t="n">
        <x:v>1</x:v>
      </x:c>
      <x:c r="F695" s="181" t="n">
        <x:v>1</x:v>
      </x:c>
      <x:c r="G695" s="67" t="n">
        <x:v>1</x:v>
      </x:c>
      <x:c r="H695"/>
      <x:c r="I695" s="65" t="n">
        <x:v>526</x:v>
      </x:c>
      <x:c r="J695" s="65" t="str">
        <x:v>胡拜尔库迪西亚（卡达西亚 Al Qadsiah）</x:v>
      </x:c>
      <x:c r="K695" s="82" t="n">
        <x:v>1</x:v>
      </x:c>
      <x:c r="L695" s="82" t="n">
        <x:v>1</x:v>
      </x:c>
      <x:c r="M695" s="67" t="n">
        <x:v>1</x:v>
      </x:c>
      <x:c r="N695" s="181" t="n">
        <x:v>1</x:v>
      </x:c>
      <x:c r="O695" s="67" t="n">
        <x:v>1</x:v>
      </x:c>
    </x:row>
    <x:row r="696" ht="24" customHeight="1">
      <x:c r="A696" s="65" t="n">
        <x:v>527</x:v>
      </x:c>
      <x:c r="B696" s="65" t="str">
        <x:v>阿梅尼奥（Deportivo Armenio）</x:v>
      </x:c>
      <x:c r="C696" s="82" t="n">
        <x:v>1</x:v>
      </x:c>
      <x:c r="D696" s="82" t="n">
        <x:v>1</x:v>
      </x:c>
      <x:c r="E696" s="67" t="n">
        <x:v>1</x:v>
      </x:c>
      <x:c r="F696" s="181" t="n">
        <x:v>1</x:v>
      </x:c>
      <x:c r="G696" s="67" t="n">
        <x:v>1</x:v>
      </x:c>
      <x:c r="H696"/>
      <x:c r="I696" s="65" t="n">
        <x:v>527</x:v>
      </x:c>
      <x:c r="J696" s="65" t="str">
        <x:v>艾云达尔FC</x:v>
      </x:c>
      <x:c r="K696" s="82" t="n">
        <x:v>1</x:v>
      </x:c>
      <x:c r="L696" s="82" t="n">
        <x:v>1</x:v>
      </x:c>
      <x:c r="M696" s="67" t="n">
        <x:v>1</x:v>
      </x:c>
      <x:c r="N696" s="181" t="n">
        <x:v>1</x:v>
      </x:c>
      <x:c r="O696" s="67" t="n">
        <x:v>1</x:v>
      </x:c>
    </x:row>
    <x:row r="697" ht="24" customHeight="1">
      <x:c r="A697" s="65" t="n">
        <x:v>528</x:v>
      </x:c>
      <x:c r="B697" s="65" t="str">
        <x:v>阿雷马(马兰/Arema FC)</x:v>
      </x:c>
      <x:c r="C697" s="82" t="n">
        <x:v>1</x:v>
      </x:c>
      <x:c r="D697" s="82" t="n">
        <x:v>1</x:v>
      </x:c>
      <x:c r="E697" s="67" t="n">
        <x:v>1</x:v>
      </x:c>
      <x:c r="F697" s="181" t="n">
        <x:v>1</x:v>
      </x:c>
      <x:c r="G697" s="67" t="n">
        <x:v>1</x:v>
      </x:c>
      <x:c r="H697"/>
      <x:c r="I697" s="65" t="n">
        <x:v>528</x:v>
      </x:c>
      <x:c r="J697" s="65" t="str">
        <x:v>艾尔德里联（Airdrieonians）</x:v>
      </x:c>
      <x:c r="K697" s="82" t="n">
        <x:v>1</x:v>
      </x:c>
      <x:c r="L697" s="82" t="n">
        <x:v>1</x:v>
      </x:c>
      <x:c r="M697" s="67" t="n">
        <x:v>1</x:v>
      </x:c>
      <x:c r="N697" s="181" t="n">
        <x:v>1</x:v>
      </x:c>
      <x:c r="O697" s="67" t="n">
        <x:v>1</x:v>
      </x:c>
    </x:row>
    <x:row r="698" ht="24" customHeight="1">
      <x:c r="A698" s="65" t="n">
        <x:v>529</x:v>
      </x:c>
      <x:c r="B698" s="65" t="str">
        <x:v>阿鲁巴</x:v>
      </x:c>
      <x:c r="C698" s="82" t="n">
        <x:v>1</x:v>
      </x:c>
      <x:c r="D698" s="82" t="n">
        <x:v>1</x:v>
      </x:c>
      <x:c r="E698" s="67" t="n">
        <x:v>1</x:v>
      </x:c>
      <x:c r="F698" s="181" t="n">
        <x:v>1</x:v>
      </x:c>
      <x:c r="G698" s="67" t="n">
        <x:v>1</x:v>
      </x:c>
      <x:c r="H698"/>
      <x:c r="I698" s="65" t="n">
        <x:v>529</x:v>
      </x:c>
      <x:c r="J698" s="65" t="str">
        <x:v>艾尔格纳（El Gouna）</x:v>
      </x:c>
      <x:c r="K698" s="82" t="n">
        <x:v>1</x:v>
      </x:c>
      <x:c r="L698" s="82" t="n">
        <x:v>1</x:v>
      </x:c>
      <x:c r="M698" s="67" t="n">
        <x:v>1</x:v>
      </x:c>
      <x:c r="N698" s="181" t="n">
        <x:v>1</x:v>
      </x:c>
      <x:c r="O698" s="67" t="n">
        <x:v>1</x:v>
      </x:c>
    </x:row>
    <x:row r="699" ht="24" customHeight="1">
      <x:c r="A699" s="65" t="n">
        <x:v>530</x:v>
      </x:c>
      <x:c r="B699" s="65" t="str">
        <x:v>雅盖隆（Jagiellonia Białystok）</x:v>
      </x:c>
      <x:c r="C699" s="82" t="n">
        <x:v>1</x:v>
      </x:c>
      <x:c r="D699" s="82" t="n">
        <x:v>1</x:v>
      </x:c>
      <x:c r="E699" s="67" t="n">
        <x:v>1</x:v>
      </x:c>
      <x:c r="F699" s="181" t="n">
        <x:v>1</x:v>
      </x:c>
      <x:c r="G699" s="67" t="n">
        <x:v>1</x:v>
      </x:c>
      <x:c r="H699"/>
      <x:c r="I699" s="65" t="n">
        <x:v>530</x:v>
      </x:c>
      <x:c r="J699" s="65" t="str">
        <x:v>艾查威尔</x:v>
      </x:c>
      <x:c r="K699" s="82" t="n">
        <x:v>1</x:v>
      </x:c>
      <x:c r="L699" s="82" t="n">
        <x:v>1</x:v>
      </x:c>
      <x:c r="M699" s="67" t="n">
        <x:v>1</x:v>
      </x:c>
      <x:c r="N699" s="181" t="n">
        <x:v>1</x:v>
      </x:c>
      <x:c r="O699" s="67" t="n">
        <x:v>1</x:v>
      </x:c>
    </x:row>
    <x:row r="700" ht="24" customHeight="1">
      <x:c r="A700" s="65" t="n">
        <x:v>531</x:v>
      </x:c>
      <x:c r="B700" s="65" t="str">
        <x:v>雷克雅未克维京人（Víkingur Reykjavík）</x:v>
      </x:c>
      <x:c r="C700" s="82" t="n">
        <x:v>1</x:v>
      </x:c>
      <x:c r="D700" s="82" t="n">
        <x:v>1</x:v>
      </x:c>
      <x:c r="E700" s="67" t="n">
        <x:v>1</x:v>
      </x:c>
      <x:c r="F700" s="181" t="n">
        <x:v>1</x:v>
      </x:c>
      <x:c r="G700" s="67" t="n">
        <x:v>1</x:v>
      </x:c>
      <x:c r="H700"/>
      <x:c r="I700" s="65" t="n">
        <x:v>531</x:v>
      </x:c>
      <x:c r="J700" s="65" t="str">
        <x:v>芬兰U21</x:v>
      </x:c>
      <x:c r="K700" s="82" t="n">
        <x:v>1</x:v>
      </x:c>
      <x:c r="L700" s="82" t="n">
        <x:v>1</x:v>
      </x:c>
      <x:c r="M700" s="67" t="n">
        <x:v>1</x:v>
      </x:c>
      <x:c r="N700" s="181" t="n">
        <x:v>1</x:v>
      </x:c>
      <x:c r="O700" s="67" t="n">
        <x:v>1</x:v>
      </x:c>
    </x:row>
    <x:row r="701" ht="24" customHeight="1">
      <x:c r="A701" s="65" t="n">
        <x:v>532</x:v>
      </x:c>
      <x:c r="B701" s="65" t="str">
        <x:v>飓风队</x:v>
      </x:c>
      <x:c r="C701" s="82" t="n">
        <x:v>1</x:v>
      </x:c>
      <x:c r="D701" s="82" t="n">
        <x:v>1</x:v>
      </x:c>
      <x:c r="E701" s="67" t="n">
        <x:v>1</x:v>
      </x:c>
      <x:c r="F701" s="181" t="n">
        <x:v>1</x:v>
      </x:c>
      <x:c r="G701" s="67" t="n">
        <x:v>1</x:v>
      </x:c>
      <x:c r="H701"/>
      <x:c r="I701" s="65" t="n">
        <x:v>532</x:v>
      </x:c>
      <x:c r="J701" s="65" t="str">
        <x:v>茨高（博亚卡奇科）</x:v>
      </x:c>
      <x:c r="K701" s="82" t="n">
        <x:v>1</x:v>
      </x:c>
      <x:c r="L701" s="82" t="n">
        <x:v>1</x:v>
      </x:c>
      <x:c r="M701" s="67" t="n">
        <x:v>1</x:v>
      </x:c>
      <x:c r="N701" s="181" t="n">
        <x:v>1</x:v>
      </x:c>
      <x:c r="O701" s="67" t="n">
        <x:v>1</x:v>
      </x:c>
    </x:row>
    <x:row r="702" ht="24" customHeight="1">
      <x:c r="A702" s="65" t="n">
        <x:v>533</x:v>
      </x:c>
      <x:c r="B702" s="65" t="str">
        <x:v>马林海岸流浪者（Marlin Coast Rangers）</x:v>
      </x:c>
      <x:c r="C702" s="82" t="n">
        <x:v>1</x:v>
      </x:c>
      <x:c r="D702" s="82" t="n">
        <x:v>1</x:v>
      </x:c>
      <x:c r="E702" s="67" t="n">
        <x:v>1</x:v>
      </x:c>
      <x:c r="F702" s="181" t="n">
        <x:v>1</x:v>
      </x:c>
      <x:c r="G702" s="67" t="n">
        <x:v>1</x:v>
      </x:c>
      <x:c r="H702"/>
      <x:c r="I702" s="65" t="n">
        <x:v>533</x:v>
      </x:c>
      <x:c r="J702" s="65" t="str">
        <x:v>莫亨巴根</x:v>
      </x:c>
      <x:c r="K702" s="82" t="n">
        <x:v>1</x:v>
      </x:c>
      <x:c r="L702" s="82" t="n">
        <x:v>1</x:v>
      </x:c>
      <x:c r="M702" s="67" t="n">
        <x:v>1</x:v>
      </x:c>
      <x:c r="N702" s="181" t="n">
        <x:v>1</x:v>
      </x:c>
      <x:c r="O702" s="67" t="n">
        <x:v>1</x:v>
      </x:c>
    </x:row>
    <x:row r="703" ht="24" customHeight="1">
      <x:c r="A703" s="65" t="n">
        <x:v>534</x:v>
      </x:c>
      <x:c r="B703" s="65" t="str">
        <x:v>马洛卡</x:v>
      </x:c>
      <x:c r="C703" s="82" t="n">
        <x:v>1</x:v>
      </x:c>
      <x:c r="D703" s="82" t="n">
        <x:v>1</x:v>
      </x:c>
      <x:c r="E703" s="67" t="n">
        <x:v>1</x:v>
      </x:c>
      <x:c r="F703" s="181" t="n">
        <x:v>1</x:v>
      </x:c>
      <x:c r="G703" s="67" t="n">
        <x:v>1</x:v>
      </x:c>
      <x:c r="H703"/>
      <x:c r="I703" s="65" t="n">
        <x:v>534</x:v>
      </x:c>
      <x:c r="J703" s="65" t="str">
        <x:v>莫雷利亚（Atlético Morelia）</x:v>
      </x:c>
      <x:c r="K703" s="82" t="n">
        <x:v>1</x:v>
      </x:c>
      <x:c r="L703" s="82" t="n">
        <x:v>1</x:v>
      </x:c>
      <x:c r="M703" s="67" t="n">
        <x:v>1</x:v>
      </x:c>
      <x:c r="N703" s="181" t="n">
        <x:v>1</x:v>
      </x:c>
      <x:c r="O703" s="67" t="n">
        <x:v>1</x:v>
      </x:c>
    </x:row>
    <x:row r="704" ht="24" customHeight="1">
      <x:c r="A704" s="65" t="n">
        <x:v>535</x:v>
      </x:c>
      <x:c r="B704" s="65" t="str">
        <x:v>马萨特兰（Mazatlán）</x:v>
      </x:c>
      <x:c r="C704" s="82" t="n">
        <x:v>1</x:v>
      </x:c>
      <x:c r="D704" s="82" t="n">
        <x:v>1</x:v>
      </x:c>
      <x:c r="E704" s="67" t="n">
        <x:v>1</x:v>
      </x:c>
      <x:c r="F704" s="181" t="n">
        <x:v>1</x:v>
      </x:c>
      <x:c r="G704" s="67" t="n">
        <x:v>1</x:v>
      </x:c>
      <x:c r="H704"/>
      <x:c r="I704" s="65" t="n">
        <x:v>535</x:v>
      </x:c>
      <x:c r="J704" s="65" t="str">
        <x:v>莫雷利亚竞技</x:v>
      </x:c>
      <x:c r="K704" s="82" t="n">
        <x:v>1</x:v>
      </x:c>
      <x:c r="L704" s="82" t="n">
        <x:v>1</x:v>
      </x:c>
      <x:c r="M704" s="67" t="n">
        <x:v>1</x:v>
      </x:c>
      <x:c r="N704" s="181" t="n">
        <x:v>1</x:v>
      </x:c>
      <x:c r="O704" s="67" t="n">
        <x:v>1</x:v>
      </x:c>
    </x:row>
    <x:row r="705" ht="24" customHeight="1">
      <x:c r="A705" s="65" t="n">
        <x:v>536</x:v>
      </x:c>
      <x:c r="B705" s="65" t="str">
        <x:v>马达莱纳联盟（Unión Magdalena）</x:v>
      </x:c>
      <x:c r="C705" s="82" t="n">
        <x:v>1</x:v>
      </x:c>
      <x:c r="D705" s="82" t="n">
        <x:v>1</x:v>
      </x:c>
      <x:c r="E705" s="67" t="n">
        <x:v>1</x:v>
      </x:c>
      <x:c r="F705" s="181" t="n">
        <x:v>1</x:v>
      </x:c>
      <x:c r="G705" s="67" t="n">
        <x:v>1</x:v>
      </x:c>
      <x:c r="H705"/>
      <x:c r="I705" s="65" t="n">
        <x:v>536</x:v>
      </x:c>
      <x:c r="J705" s="65" t="str">
        <x:v>莱比锡红牛（RB Leipzig）</x:v>
      </x:c>
      <x:c r="K705" s="82" t="n">
        <x:v>1</x:v>
      </x:c>
      <x:c r="L705" s="82" t="n">
        <x:v>1</x:v>
      </x:c>
      <x:c r="M705" s="67" t="n">
        <x:v>1</x:v>
      </x:c>
      <x:c r="N705" s="181" t="n">
        <x:v>1</x:v>
      </x:c>
      <x:c r="O705" s="67" t="n">
        <x:v>1</x:v>
      </x:c>
    </x:row>
    <x:row r="706" ht="24" customHeight="1">
      <x:c r="A706" s="65" t="n">
        <x:v>537</x:v>
      </x:c>
      <x:c r="B706" s="65" t="str">
        <x:v>马都拉联(Madura United)</x:v>
      </x:c>
      <x:c r="C706" s="82" t="n">
        <x:v>1</x:v>
      </x:c>
      <x:c r="D706" s="82" t="n">
        <x:v>1</x:v>
      </x:c>
      <x:c r="E706" s="67" t="n">
        <x:v>1</x:v>
      </x:c>
      <x:c r="F706" s="181" t="n">
        <x:v>1</x:v>
      </x:c>
      <x:c r="G706" s="67" t="n">
        <x:v>1</x:v>
      </x:c>
      <x:c r="H706"/>
      <x:c r="I706" s="65" t="n">
        <x:v>537</x:v>
      </x:c>
      <x:c r="J706" s="65" t="str">
        <x:v>菲尔特（SpVgg Greuther Fürth）</x:v>
      </x:c>
      <x:c r="K706" s="82" t="n">
        <x:v>1</x:v>
      </x:c>
      <x:c r="L706" s="82" t="n">
        <x:v>1</x:v>
      </x:c>
      <x:c r="M706" s="67" t="n">
        <x:v>1</x:v>
      </x:c>
      <x:c r="N706" s="181" t="n">
        <x:v>1</x:v>
      </x:c>
      <x:c r="O706" s="67" t="n">
        <x:v>1</x:v>
      </x:c>
    </x:row>
    <x:row r="707" ht="24" customHeight="1">
      <x:c r="A707" s="65" t="n">
        <x:v>538</x:v>
      </x:c>
      <x:c r="B707" s="65" t="str">
        <x:v>马鲁特联（Malut United FC）</x:v>
      </x:c>
      <x:c r="C707" s="82" t="n">
        <x:v>1</x:v>
      </x:c>
      <x:c r="D707" s="82" t="n">
        <x:v>1</x:v>
      </x:c>
      <x:c r="E707" s="67" t="n">
        <x:v>1</x:v>
      </x:c>
      <x:c r="F707" s="181" t="n">
        <x:v>1</x:v>
      </x:c>
      <x:c r="G707" s="67" t="n">
        <x:v>1</x:v>
      </x:c>
      <x:c r="H707"/>
      <x:c r="I707" s="65" t="n">
        <x:v>538</x:v>
      </x:c>
      <x:c r="J707" s="65" t="str">
        <x:v>萨克拉门托共和国（Sacramento Republic）</x:v>
      </x:c>
      <x:c r="K707" s="82" t="n">
        <x:v>1</x:v>
      </x:c>
      <x:c r="L707" s="82" t="n">
        <x:v>1</x:v>
      </x:c>
      <x:c r="M707" s="67" t="n">
        <x:v>1</x:v>
      </x:c>
      <x:c r="N707" s="181" t="n">
        <x:v>1</x:v>
      </x:c>
      <x:c r="O707" s="67" t="n">
        <x:v>1</x:v>
      </x:c>
    </x:row>
    <x:row r="708" ht="24" customHeight="1">
      <x:c r="A708" s="65" t="n">
        <x:v>539</x:v>
      </x:c>
      <x:c r="B708" s="65" t="str">
        <x:v>骑兵队（Cavalry FC）</x:v>
      </x:c>
      <x:c r="C708" s="82" t="n">
        <x:v>1</x:v>
      </x:c>
      <x:c r="D708" s="82" t="n">
        <x:v>1</x:v>
      </x:c>
      <x:c r="E708" s="67" t="n">
        <x:v>1</x:v>
      </x:c>
      <x:c r="F708" s="181" t="n">
        <x:v>1</x:v>
      </x:c>
      <x:c r="G708" s="67" t="n">
        <x:v>1</x:v>
      </x:c>
      <x:c r="H708"/>
      <x:c r="I708" s="65" t="n">
        <x:v>539</x:v>
      </x:c>
      <x:c r="J708" s="65" t="str">
        <x:v>萨兰迪兵工厂（Arsenal de Sarandí）</x:v>
      </x:c>
      <x:c r="K708" s="82" t="n">
        <x:v>1</x:v>
      </x:c>
      <x:c r="L708" s="82" t="n">
        <x:v>1</x:v>
      </x:c>
      <x:c r="M708" s="67" t="n">
        <x:v>1</x:v>
      </x:c>
      <x:c r="N708" s="181" t="n">
        <x:v>1</x:v>
      </x:c>
      <x:c r="O708" s="67" t="n">
        <x:v>1</x:v>
      </x:c>
    </x:row>
    <x:row r="709" ht="24" customHeight="1">
      <x:c r="A709" s="65" t="n">
        <x:v>540</x:v>
      </x:c>
      <x:c r="B709" s="65" t="str">
        <x:v>鸟取飞翔</x:v>
      </x:c>
      <x:c r="C709" s="82" t="n">
        <x:v>1</x:v>
      </x:c>
      <x:c r="D709" s="82" t="n">
        <x:v>1</x:v>
      </x:c>
      <x:c r="E709" s="67" t="n">
        <x:v>1</x:v>
      </x:c>
      <x:c r="F709" s="181" t="n">
        <x:v>1</x:v>
      </x:c>
      <x:c r="G709" s="67" t="n">
        <x:v>1</x:v>
      </x:c>
      <x:c r="H709"/>
      <x:c r="I709" s="65" t="n">
        <x:v>540</x:v>
      </x:c>
      <x:c r="J709" s="65" t="str">
        <x:v>萨尔米安杜（胡宁）（Sarmiento Junín）</x:v>
      </x:c>
      <x:c r="K709" s="82" t="n">
        <x:v>1</x:v>
      </x:c>
      <x:c r="L709" s="82" t="n">
        <x:v>1</x:v>
      </x:c>
      <x:c r="M709" s="67" t="n">
        <x:v>1</x:v>
      </x:c>
      <x:c r="N709" s="181" t="n">
        <x:v>1</x:v>
      </x:c>
      <x:c r="O709" s="67" t="n">
        <x:v>1</x:v>
      </x:c>
    </x:row>
    <x:row r="710" ht="24" customHeight="1">
      <x:c r="A710" s="65" t="n">
        <x:v>541</x:v>
      </x:c>
      <x:c r="B710" s="65" t="str">
        <x:v>墨尔本城青年队（Melbourne City U23/VPL1）</x:v>
      </x:c>
      <x:c r="C710" s="82" t="n">
        <x:v>1</x:v>
      </x:c>
      <x:c r="D710" s="82" t="n">
        <x:v>1</x:v>
      </x:c>
      <x:c r="E710" s="67" t="n">
        <x:v>1</x:v>
      </x:c>
      <x:c r="F710" s="181" t="n">
        <x:v>1</x:v>
      </x:c>
      <x:c r="G710" s="67" t="n">
        <x:v>1</x:v>
      </x:c>
      <x:c r="H710"/>
      <x:c r="I710" s="65" t="n">
        <x:v>541</x:v>
      </x:c>
      <x:c r="J710" s="65" t="str">
        <x:v>萨瑟兰德鲨鱼</x:v>
      </x:c>
      <x:c r="K710" s="82" t="n">
        <x:v>1</x:v>
      </x:c>
      <x:c r="L710" s="82" t="n">
        <x:v>1</x:v>
      </x:c>
      <x:c r="M710" s="67" t="n">
        <x:v>1</x:v>
      </x:c>
      <x:c r="N710" s="181" t="n">
        <x:v>1</x:v>
      </x:c>
      <x:c r="O710" s="67" t="n">
        <x:v>1</x:v>
      </x:c>
    </x:row>
    <x:row r="711" ht="24" customHeight="1">
      <x:c r="A711" s="65" t="n">
        <x:v>542</x:v>
      </x:c>
      <x:c r="B711" s="65" t="str">
        <x:v>墨尔本港鲨鱼</x:v>
      </x:c>
      <x:c r="C711" s="82" t="n">
        <x:v>1</x:v>
      </x:c>
      <x:c r="D711" s="82" t="n">
        <x:v>1</x:v>
      </x:c>
      <x:c r="E711" s="67" t="n">
        <x:v>1</x:v>
      </x:c>
      <x:c r="F711" s="181" t="n">
        <x:v>1</x:v>
      </x:c>
      <x:c r="G711" s="67" t="n">
        <x:v>1</x:v>
      </x:c>
      <x:c r="H711"/>
      <x:c r="I711" s="65" t="n">
        <x:v>542</x:v>
      </x:c>
      <x:c r="J711" s="65" t="str">
        <x:v>萨米恩托（Sarmiento Junín）</x:v>
      </x:c>
      <x:c r="K711" s="82" t="n">
        <x:v>1</x:v>
      </x:c>
      <x:c r="L711" s="82" t="n">
        <x:v>1</x:v>
      </x:c>
      <x:c r="M711" s="67" t="n">
        <x:v>1</x:v>
      </x:c>
      <x:c r="N711" s="181" t="n">
        <x:v>1</x:v>
      </x:c>
      <x:c r="O711" s="67" t="n">
        <x:v>1</x:v>
      </x:c>
    </x:row>
    <x:row r="712" ht="24" customHeight="1">
      <x:c r="A712" s="65" t="n">
        <x:v>543</x:v>
      </x:c>
      <x:c r="B712" s="65" t="str">
        <x:v>墨尔本胜利青年队（Melbourne Victory U21）</x:v>
      </x:c>
      <x:c r="C712" s="82" t="n">
        <x:v>1</x:v>
      </x:c>
      <x:c r="D712" s="82" t="n">
        <x:v>1</x:v>
      </x:c>
      <x:c r="E712" s="67" t="n">
        <x:v>1</x:v>
      </x:c>
      <x:c r="F712" s="181" t="n">
        <x:v>1</x:v>
      </x:c>
      <x:c r="G712" s="67" t="n">
        <x:v>1</x:v>
      </x:c>
      <x:c r="H712"/>
      <x:c r="I712" s="65" t="n">
        <x:v>543</x:v>
      </x:c>
      <x:c r="J712" s="65" t="str">
        <x:v>蒙特罗斯（Montrose）</x:v>
      </x:c>
      <x:c r="K712" s="82" t="n">
        <x:v>1</x:v>
      </x:c>
      <x:c r="L712" s="82" t="n">
        <x:v>1</x:v>
      </x:c>
      <x:c r="M712" s="67" t="n">
        <x:v>1</x:v>
      </x:c>
      <x:c r="N712" s="181" t="n">
        <x:v>1</x:v>
      </x:c>
      <x:c r="O712" s="67" t="n">
        <x:v>1</x:v>
      </x:c>
    </x:row>
    <x:row r="713" ht="24" customHeight="1">
      <x:c r="A713" s="65" t="n">
        <x:v>544</x:v>
      </x:c>
      <x:c r="B713" s="65" t="str">
        <x:v>京都不死鸟（Kyoto Sanga）</x:v>
      </x:c>
      <x:c r="C713" s="82" t="n">
        <x:v>4</x:v>
      </x:c>
      <x:c r="D713" s="82" t="n">
        <x:v>4</x:v>
      </x:c>
      <x:c r="E713" s="67" t="n">
        <x:v>1</x:v>
      </x:c>
      <x:c r="F713" s="181" t="n">
        <x:v>0.75</x:v>
      </x:c>
      <x:c r="G713" s="67" t="n">
        <x:v>0.25</x:v>
      </x:c>
      <x:c r="H713"/>
      <x:c r="I713" s="65" t="n">
        <x:v>544</x:v>
      </x:c>
      <x:c r="J713" s="65" t="str">
        <x:v>蔚山HD（Ulsan HD）</x:v>
      </x:c>
      <x:c r="K713" s="82" t="n">
        <x:v>1</x:v>
      </x:c>
      <x:c r="L713" s="82" t="n">
        <x:v>1</x:v>
      </x:c>
      <x:c r="M713" s="67" t="n">
        <x:v>1</x:v>
      </x:c>
      <x:c r="N713" s="181" t="n">
        <x:v>1</x:v>
      </x:c>
      <x:c r="O713" s="67" t="n">
        <x:v>1</x:v>
      </x:c>
    </x:row>
    <x:row r="714" ht="24" customHeight="1">
      <x:c r="A714" s="65" t="n">
        <x:v>545</x:v>
      </x:c>
      <x:c r="B714" s="65" t="str">
        <x:v>荷兰</x:v>
      </x:c>
      <x:c r="C714" s="82" t="n">
        <x:v>4</x:v>
      </x:c>
      <x:c r="D714" s="82" t="n">
        <x:v>4</x:v>
      </x:c>
      <x:c r="E714" s="67" t="n">
        <x:v>1</x:v>
      </x:c>
      <x:c r="F714" s="181" t="n">
        <x:v>0.75</x:v>
      </x:c>
      <x:c r="G714" s="67" t="n">
        <x:v>0.25</x:v>
      </x:c>
      <x:c r="H714"/>
      <x:c r="I714" s="65" t="n">
        <x:v>545</x:v>
      </x:c>
      <x:c r="J714" s="65" t="str">
        <x:v>蔚山HD（蔚山现代）</x:v>
      </x:c>
      <x:c r="K714" s="82" t="n">
        <x:v>1</x:v>
      </x:c>
      <x:c r="L714" s="82" t="n">
        <x:v>1</x:v>
      </x:c>
      <x:c r="M714" s="67" t="n">
        <x:v>1</x:v>
      </x:c>
      <x:c r="N714" s="181" t="n">
        <x:v>1</x:v>
      </x:c>
      <x:c r="O714" s="67" t="n">
        <x:v>1</x:v>
      </x:c>
    </x:row>
    <x:row r="715" ht="24" customHeight="1">
      <x:c r="A715" s="65" t="n">
        <x:v>546</x:v>
      </x:c>
      <x:c r="B715" s="65" t="str">
        <x:v>云南玉昆</x:v>
      </x:c>
      <x:c r="C715" s="82" t="n">
        <x:v>3</x:v>
      </x:c>
      <x:c r="D715" s="82" t="n">
        <x:v>3</x:v>
      </x:c>
      <x:c r="E715" s="67" t="n">
        <x:v>1</x:v>
      </x:c>
      <x:c r="F715" s="181" t="n">
        <x:v>0.6666666666666666</x:v>
      </x:c>
      <x:c r="G715" s="67" t="n">
        <x:v>0.3333333333333333</x:v>
      </x:c>
      <x:c r="H715"/>
      <x:c r="I715" s="65" t="n">
        <x:v>546</x:v>
      </x:c>
      <x:c r="J715" s="65" t="str">
        <x:v>蔚山HD（蔚山现代）（Ulsan HD）</x:v>
      </x:c>
      <x:c r="K715" s="82" t="n">
        <x:v>1</x:v>
      </x:c>
      <x:c r="L715" s="82" t="n">
        <x:v>1</x:v>
      </x:c>
      <x:c r="M715" s="67" t="n">
        <x:v>1</x:v>
      </x:c>
      <x:c r="N715" s="181" t="n">
        <x:v>1</x:v>
      </x:c>
      <x:c r="O715" s="67" t="n">
        <x:v>1</x:v>
      </x:c>
    </x:row>
    <x:row r="716" ht="24" customHeight="1">
      <x:c r="A716" s="65" t="n">
        <x:v>547</x:v>
      </x:c>
      <x:c r="B716" s="65" t="str">
        <x:v>亚特兰大（Atalanta）</x:v>
      </x:c>
      <x:c r="C716" s="82" t="n">
        <x:v>3</x:v>
      </x:c>
      <x:c r="D716" s="82" t="n">
        <x:v>3</x:v>
      </x:c>
      <x:c r="E716" s="67" t="n">
        <x:v>1</x:v>
      </x:c>
      <x:c r="F716" s="181" t="n">
        <x:v>0.6666666666666666</x:v>
      </x:c>
      <x:c r="G716" s="67" t="n">
        <x:v>0.3333333333333333</x:v>
      </x:c>
      <x:c r="H716"/>
      <x:c r="I716" s="65" t="n">
        <x:v>547</x:v>
      </x:c>
      <x:c r="J716" s="65" t="str">
        <x:v>藤枝MYFC</x:v>
      </x:c>
      <x:c r="K716" s="82" t="n">
        <x:v>1</x:v>
      </x:c>
      <x:c r="L716" s="82" t="n">
        <x:v>1</x:v>
      </x:c>
      <x:c r="M716" s="67" t="n">
        <x:v>1</x:v>
      </x:c>
      <x:c r="N716" s="181" t="n">
        <x:v>1</x:v>
      </x:c>
      <x:c r="O716" s="67" t="n">
        <x:v>1</x:v>
      </x:c>
    </x:row>
    <x:row r="717" ht="24" customHeight="1">
      <x:c r="A717" s="65" t="n">
        <x:v>548</x:v>
      </x:c>
      <x:c r="B717" s="65" t="str">
        <x:v>伊拉普阿托（Irapuato）</x:v>
      </x:c>
      <x:c r="C717" s="82" t="n">
        <x:v>3</x:v>
      </x:c>
      <x:c r="D717" s="82" t="n">
        <x:v>3</x:v>
      </x:c>
      <x:c r="E717" s="67" t="n">
        <x:v>1</x:v>
      </x:c>
      <x:c r="F717" s="181" t="n">
        <x:v>0.6666666666666666</x:v>
      </x:c>
      <x:c r="G717" s="67" t="n">
        <x:v>0.3333333333333333</x:v>
      </x:c>
      <x:c r="H717"/>
      <x:c r="I717" s="65" t="n">
        <x:v>548</x:v>
      </x:c>
      <x:c r="J717" s="65" t="str">
        <x:v>西悉尼流浪者青年队（Western Sydney Wanderers Youth）</x:v>
      </x:c>
      <x:c r="K717" s="82" t="n">
        <x:v>1</x:v>
      </x:c>
      <x:c r="L717" s="82" t="n">
        <x:v>1</x:v>
      </x:c>
      <x:c r="M717" s="67" t="n">
        <x:v>1</x:v>
      </x:c>
      <x:c r="N717" s="181" t="n">
        <x:v>1</x:v>
      </x:c>
      <x:c r="O717" s="67" t="n">
        <x:v>1</x:v>
      </x:c>
    </x:row>
    <x:row r="718" ht="24" customHeight="1">
      <x:c r="A718" s="65" t="n">
        <x:v>549</x:v>
      </x:c>
      <x:c r="B718" s="65" t="str">
        <x:v>八户云罗里</x:v>
      </x:c>
      <x:c r="C718" s="82" t="n">
        <x:v>3</x:v>
      </x:c>
      <x:c r="D718" s="82" t="n">
        <x:v>3</x:v>
      </x:c>
      <x:c r="E718" s="67" t="n">
        <x:v>1</x:v>
      </x:c>
      <x:c r="F718" s="181" t="n">
        <x:v>0.6666666666666666</x:v>
      </x:c>
      <x:c r="G718" s="67" t="n">
        <x:v>0.3333333333333333</x:v>
      </x:c>
      <x:c r="H718"/>
      <x:c r="I718" s="65" t="n">
        <x:v>549</x:v>
      </x:c>
      <x:c r="J718" s="65" t="str">
        <x:v>西汉姆联（West Ham United）</x:v>
      </x:c>
      <x:c r="K718" s="82" t="n">
        <x:v>1</x:v>
      </x:c>
      <x:c r="L718" s="82" t="n">
        <x:v>1</x:v>
      </x:c>
      <x:c r="M718" s="67" t="n">
        <x:v>1</x:v>
      </x:c>
      <x:c r="N718" s="181" t="n">
        <x:v>1</x:v>
      </x:c>
      <x:c r="O718" s="67" t="n">
        <x:v>1</x:v>
      </x:c>
    </x:row>
    <x:row r="719" ht="24" customHeight="1">
      <x:c r="A719" s="65" t="n">
        <x:v>550</x:v>
      </x:c>
      <x:c r="B719" s="65" t="str">
        <x:v>最强者（The Strongest）</x:v>
      </x:c>
      <x:c r="C719" s="82" t="n">
        <x:v>4</x:v>
      </x:c>
      <x:c r="D719" s="82" t="n">
        <x:v>3</x:v>
      </x:c>
      <x:c r="E719" s="67" t="n">
        <x:v>1</x:v>
      </x:c>
      <x:c r="F719" s="181" t="n">
        <x:v>0.6666666666666666</x:v>
      </x:c>
      <x:c r="G719" s="67" t="n">
        <x:v>0.3333333333333333</x:v>
      </x:c>
      <x:c r="H719"/>
      <x:c r="I719" s="65" t="n">
        <x:v>550</x:v>
      </x:c>
      <x:c r="J719" s="65" t="str">
        <x:v>西部联青年（Western United Reserves Youth）</x:v>
      </x:c>
      <x:c r="K719" s="82" t="n">
        <x:v>1</x:v>
      </x:c>
      <x:c r="L719" s="82" t="n">
        <x:v>1</x:v>
      </x:c>
      <x:c r="M719" s="67" t="n">
        <x:v>1</x:v>
      </x:c>
      <x:c r="N719" s="181" t="n">
        <x:v>1</x:v>
      </x:c>
      <x:c r="O719" s="67" t="n">
        <x:v>1</x:v>
      </x:c>
    </x:row>
    <x:row r="720" ht="24" customHeight="1">
      <x:c r="A720" s="65" t="n">
        <x:v>551</x:v>
      </x:c>
      <x:c r="B720" s="65" t="str">
        <x:v>南墨尔本（South Melbourne FC）</x:v>
      </x:c>
      <x:c r="C720" s="82" t="n">
        <x:v>3</x:v>
      </x:c>
      <x:c r="D720" s="82" t="n">
        <x:v>3</x:v>
      </x:c>
      <x:c r="E720" s="67" t="n">
        <x:v>1</x:v>
      </x:c>
      <x:c r="F720" s="181" t="n">
        <x:v>0.6666666666666666</x:v>
      </x:c>
      <x:c r="G720" s="67" t="n">
        <x:v>0.3333333333333333</x:v>
      </x:c>
      <x:c r="H720"/>
      <x:c r="I720" s="65" t="n">
        <x:v>551</x:v>
      </x:c>
      <x:c r="J720" s="65" t="str">
        <x:v>西部联青年队（Western United Reserves Youth）</x:v>
      </x:c>
      <x:c r="K720" s="82" t="n">
        <x:v>1</x:v>
      </x:c>
      <x:c r="L720" s="82" t="n">
        <x:v>1</x:v>
      </x:c>
      <x:c r="M720" s="67" t="n">
        <x:v>1</x:v>
      </x:c>
      <x:c r="N720" s="181" t="n">
        <x:v>1</x:v>
      </x:c>
      <x:c r="O720" s="67" t="n">
        <x:v>1</x:v>
      </x:c>
    </x:row>
    <x:row r="721" ht="24" customHeight="1">
      <x:c r="A721" s="65" t="n">
        <x:v>552</x:v>
      </x:c>
      <x:c r="B721" s="65" t="str">
        <x:v>卡尔斯鲁厄（Karlsruher SC）</x:v>
      </x:c>
      <x:c r="C721" s="82" t="n">
        <x:v>3</x:v>
      </x:c>
      <x:c r="D721" s="82" t="n">
        <x:v>3</x:v>
      </x:c>
      <x:c r="E721" s="67" t="n">
        <x:v>1</x:v>
      </x:c>
      <x:c r="F721" s="181" t="n">
        <x:v>0.6666666666666666</x:v>
      </x:c>
      <x:c r="G721" s="67" t="n">
        <x:v>0.3333333333333333</x:v>
      </x:c>
      <x:c r="H721"/>
      <x:c r="I721" s="65" t="n">
        <x:v>552</x:v>
      </x:c>
      <x:c r="J721" s="65" t="str">
        <x:v>詹谢普尔FC（Jamshedpur FC）</x:v>
      </x:c>
      <x:c r="K721" s="82" t="n">
        <x:v>1</x:v>
      </x:c>
      <x:c r="L721" s="82" t="n">
        <x:v>1</x:v>
      </x:c>
      <x:c r="M721" s="67" t="n">
        <x:v>1</x:v>
      </x:c>
      <x:c r="N721" s="181" t="n">
        <x:v>1</x:v>
      </x:c>
      <x:c r="O721" s="67" t="n">
        <x:v>1</x:v>
      </x:c>
    </x:row>
    <x:row r="722" ht="24" customHeight="1">
      <x:c r="A722" s="65" t="n">
        <x:v>553</x:v>
      </x:c>
      <x:c r="B722" s="65" t="str">
        <x:v>国际米兰</x:v>
      </x:c>
      <x:c r="C722" s="82" t="n">
        <x:v>3</x:v>
      </x:c>
      <x:c r="D722" s="82" t="n">
        <x:v>3</x:v>
      </x:c>
      <x:c r="E722" s="67" t="n">
        <x:v>1</x:v>
      </x:c>
      <x:c r="F722" s="181" t="n">
        <x:v>0.6666666666666666</x:v>
      </x:c>
      <x:c r="G722" s="67" t="n">
        <x:v>0.3333333333333333</x:v>
      </x:c>
      <x:c r="H722"/>
      <x:c r="I722" s="65" t="n">
        <x:v>553</x:v>
      </x:c>
      <x:c r="J722" s="65" t="str">
        <x:v>诺斯科特市（Northcote City）</x:v>
      </x:c>
      <x:c r="K722" s="82" t="n">
        <x:v>1</x:v>
      </x:c>
      <x:c r="L722" s="82" t="n">
        <x:v>1</x:v>
      </x:c>
      <x:c r="M722" s="67" t="n">
        <x:v>1</x:v>
      </x:c>
      <x:c r="N722" s="181" t="n">
        <x:v>1</x:v>
      </x:c>
      <x:c r="O722" s="67" t="n">
        <x:v>1</x:v>
      </x:c>
    </x:row>
    <x:row r="723" ht="24" customHeight="1">
      <x:c r="A723" s="65" t="n">
        <x:v>554</x:v>
      </x:c>
      <x:c r="B723" s="65" t="str">
        <x:v>奥哈卡（Alebrijes de Oaxaca）</x:v>
      </x:c>
      <x:c r="C723" s="82" t="n">
        <x:v>3</x:v>
      </x:c>
      <x:c r="D723" s="82" t="n">
        <x:v>3</x:v>
      </x:c>
      <x:c r="E723" s="67" t="n">
        <x:v>1</x:v>
      </x:c>
      <x:c r="F723" s="181" t="n">
        <x:v>0.6666666666666666</x:v>
      </x:c>
      <x:c r="G723" s="67" t="n">
        <x:v>0.3333333333333333</x:v>
      </x:c>
      <x:c r="H723"/>
      <x:c r="I723" s="65" t="n">
        <x:v>554</x:v>
      </x:c>
      <x:c r="J723" s="65" t="str">
        <x:v>贝伦蝎子（Escorpiones Belén）</x:v>
      </x:c>
      <x:c r="K723" s="82" t="n">
        <x:v>1</x:v>
      </x:c>
      <x:c r="L723" s="82" t="n">
        <x:v>1</x:v>
      </x:c>
      <x:c r="M723" s="67" t="n">
        <x:v>1</x:v>
      </x:c>
      <x:c r="N723" s="181" t="n">
        <x:v>1</x:v>
      </x:c>
      <x:c r="O723" s="67" t="n">
        <x:v>1</x:v>
      </x:c>
    </x:row>
    <x:row r="724" ht="24" customHeight="1">
      <x:c r="A724" s="65" t="n">
        <x:v>555</x:v>
      </x:c>
      <x:c r="B724" s="65" t="str">
        <x:v>孟买城（Mumbai City FC）</x:v>
      </x:c>
      <x:c r="C724" s="82" t="n">
        <x:v>3</x:v>
      </x:c>
      <x:c r="D724" s="82" t="n">
        <x:v>3</x:v>
      </x:c>
      <x:c r="E724" s="67" t="n">
        <x:v>1</x:v>
      </x:c>
      <x:c r="F724" s="181" t="n">
        <x:v>0.6666666666666666</x:v>
      </x:c>
      <x:c r="G724" s="67" t="n">
        <x:v>0.3333333333333333</x:v>
      </x:c>
      <x:c r="H724"/>
      <x:c r="I724" s="65" t="n">
        <x:v>555</x:v>
      </x:c>
      <x:c r="J724" s="65" t="str">
        <x:v>贝尔格拉诺（科尔多瓦）</x:v>
      </x:c>
      <x:c r="K724" s="82" t="n">
        <x:v>1</x:v>
      </x:c>
      <x:c r="L724" s="82" t="n">
        <x:v>1</x:v>
      </x:c>
      <x:c r="M724" s="67" t="n">
        <x:v>1</x:v>
      </x:c>
      <x:c r="N724" s="181" t="n">
        <x:v>1</x:v>
      </x:c>
      <x:c r="O724" s="67" t="n">
        <x:v>1</x:v>
      </x:c>
    </x:row>
    <x:row r="725" ht="24" customHeight="1">
      <x:c r="A725" s="65" t="n">
        <x:v>556</x:v>
      </x:c>
      <x:c r="B725" s="65" t="str">
        <x:v>布琳狮子（FC Bulleen Lions）</x:v>
      </x:c>
      <x:c r="C725" s="82" t="n">
        <x:v>3</x:v>
      </x:c>
      <x:c r="D725" s="82" t="n">
        <x:v>3</x:v>
      </x:c>
      <x:c r="E725" s="67" t="n">
        <x:v>1</x:v>
      </x:c>
      <x:c r="F725" s="181" t="n">
        <x:v>0.6666666666666666</x:v>
      </x:c>
      <x:c r="G725" s="67" t="n">
        <x:v>0.3333333333333333</x:v>
      </x:c>
      <x:c r="H725"/>
      <x:c r="I725" s="65" t="n">
        <x:v>556</x:v>
      </x:c>
      <x:c r="J725" s="65" t="str">
        <x:v>费耶诺德（Feyenoord）</x:v>
      </x:c>
      <x:c r="K725" s="82" t="n">
        <x:v>1</x:v>
      </x:c>
      <x:c r="L725" s="82" t="n">
        <x:v>1</x:v>
      </x:c>
      <x:c r="M725" s="67" t="n">
        <x:v>1</x:v>
      </x:c>
      <x:c r="N725" s="181" t="n">
        <x:v>1</x:v>
      </x:c>
      <x:c r="O725" s="67" t="n">
        <x:v>1</x:v>
      </x:c>
    </x:row>
    <x:row r="726" ht="24" customHeight="1">
      <x:c r="A726" s="65" t="n">
        <x:v>557</x:v>
      </x:c>
      <x:c r="B726" s="65" t="str">
        <x:v>布莱克本流浪者（Blackburn Rovers）</x:v>
      </x:c>
      <x:c r="C726" s="82" t="n">
        <x:v>3</x:v>
      </x:c>
      <x:c r="D726" s="82" t="n">
        <x:v>3</x:v>
      </x:c>
      <x:c r="E726" s="67" t="n">
        <x:v>1</x:v>
      </x:c>
      <x:c r="F726" s="181" t="n">
        <x:v>0.6666666666666666</x:v>
      </x:c>
      <x:c r="G726" s="67" t="n">
        <x:v>0.3333333333333333</x:v>
      </x:c>
      <x:c r="H726"/>
      <x:c r="I726" s="65" t="n">
        <x:v>557</x:v>
      </x:c>
      <x:c r="J726" s="65" t="str">
        <x:v>赫尔蒙德体育（Helmond Sport）</x:v>
      </x:c>
      <x:c r="K726" s="82" t="n">
        <x:v>1</x:v>
      </x:c>
      <x:c r="L726" s="82" t="n">
        <x:v>1</x:v>
      </x:c>
      <x:c r="M726" s="67" t="n">
        <x:v>1</x:v>
      </x:c>
      <x:c r="N726" s="181" t="n">
        <x:v>1</x:v>
      </x:c>
      <x:c r="O726" s="67" t="n">
        <x:v>1</x:v>
      </x:c>
    </x:row>
    <x:row r="727" ht="24" customHeight="1">
      <x:c r="A727" s="65" t="n">
        <x:v>558</x:v>
      </x:c>
      <x:c r="B727" s="65" t="str">
        <x:v>德里体育俱乐部（SC Delhi）</x:v>
      </x:c>
      <x:c r="C727" s="82" t="n">
        <x:v>3</x:v>
      </x:c>
      <x:c r="D727" s="82" t="n">
        <x:v>3</x:v>
      </x:c>
      <x:c r="E727" s="67" t="n">
        <x:v>1</x:v>
      </x:c>
      <x:c r="F727" s="181" t="n">
        <x:v>0.6666666666666666</x:v>
      </x:c>
      <x:c r="G727" s="67" t="n">
        <x:v>0.3333333333333333</x:v>
      </x:c>
      <x:c r="H727"/>
      <x:c r="I727" s="65" t="n">
        <x:v>558</x:v>
      </x:c>
      <x:c r="J727" s="65" t="str">
        <x:v>赫尔辛基</x:v>
      </x:c>
      <x:c r="K727" s="82" t="n">
        <x:v>1</x:v>
      </x:c>
      <x:c r="L727" s="82" t="n">
        <x:v>1</x:v>
      </x:c>
      <x:c r="M727" s="67" t="n">
        <x:v>1</x:v>
      </x:c>
      <x:c r="N727" s="181" t="n">
        <x:v>1</x:v>
      </x:c>
      <x:c r="O727" s="67" t="n">
        <x:v>1</x:v>
      </x:c>
    </x:row>
    <x:row r="728" ht="24" customHeight="1">
      <x:c r="A728" s="65" t="n">
        <x:v>559</x:v>
      </x:c>
      <x:c r="B728" s="65" t="str">
        <x:v>托特纳姆热刺（Tottenham Hotspur）</x:v>
      </x:c>
      <x:c r="C728" s="82" t="n">
        <x:v>3</x:v>
      </x:c>
      <x:c r="D728" s="82" t="n">
        <x:v>3</x:v>
      </x:c>
      <x:c r="E728" s="67" t="n">
        <x:v>1</x:v>
      </x:c>
      <x:c r="F728" s="181" t="n">
        <x:v>0.6666666666666666</x:v>
      </x:c>
      <x:c r="G728" s="67" t="n">
        <x:v>0.3333333333333333</x:v>
      </x:c>
      <x:c r="H728"/>
      <x:c r="I728" s="65" t="n">
        <x:v>559</x:v>
      </x:c>
      <x:c r="J728" s="65" t="str">
        <x:v>路易斯维尔城（Louisville City FC）</x:v>
      </x:c>
      <x:c r="K728" s="82" t="n">
        <x:v>1</x:v>
      </x:c>
      <x:c r="L728" s="82" t="n">
        <x:v>1</x:v>
      </x:c>
      <x:c r="M728" s="67" t="n">
        <x:v>1</x:v>
      </x:c>
      <x:c r="N728" s="181" t="n">
        <x:v>1</x:v>
      </x:c>
      <x:c r="O728" s="67" t="n">
        <x:v>1</x:v>
      </x:c>
    </x:row>
    <x:row r="729" ht="24" customHeight="1">
      <x:c r="A729" s="65" t="n">
        <x:v>560</x:v>
      </x:c>
      <x:c r="B729" s="65" t="str">
        <x:v>挪威</x:v>
      </x:c>
      <x:c r="C729" s="82" t="n">
        <x:v>3</x:v>
      </x:c>
      <x:c r="D729" s="82" t="n">
        <x:v>3</x:v>
      </x:c>
      <x:c r="E729" s="67" t="n">
        <x:v>1</x:v>
      </x:c>
      <x:c r="F729" s="181" t="n">
        <x:v>0.6666666666666666</x:v>
      </x:c>
      <x:c r="G729" s="67" t="n">
        <x:v>0.3333333333333333</x:v>
      </x:c>
      <x:c r="H729"/>
      <x:c r="I729" s="65" t="n">
        <x:v>560</x:v>
      </x:c>
      <x:c r="J729" s="65" t="str">
        <x:v>达克尔野(El Daklyeh)</x:v>
      </x:c>
      <x:c r="K729" s="82" t="n">
        <x:v>1</x:v>
      </x:c>
      <x:c r="L729" s="82" t="n">
        <x:v>1</x:v>
      </x:c>
      <x:c r="M729" s="67" t="n">
        <x:v>1</x:v>
      </x:c>
      <x:c r="N729" s="181" t="n">
        <x:v>1</x:v>
      </x:c>
      <x:c r="O729" s="67" t="n">
        <x:v>1</x:v>
      </x:c>
    </x:row>
    <x:row r="730" ht="24" customHeight="1">
      <x:c r="A730" s="65" t="n">
        <x:v>561</x:v>
      </x:c>
      <x:c r="B730" s="65" t="str">
        <x:v>斯特拉斯堡</x:v>
      </x:c>
      <x:c r="C730" s="82" t="n">
        <x:v>3</x:v>
      </x:c>
      <x:c r="D730" s="82" t="n">
        <x:v>3</x:v>
      </x:c>
      <x:c r="E730" s="67" t="n">
        <x:v>1</x:v>
      </x:c>
      <x:c r="F730" s="181" t="n">
        <x:v>0.6666666666666666</x:v>
      </x:c>
      <x:c r="G730" s="67" t="n">
        <x:v>0.3333333333333333</x:v>
      </x:c>
      <x:c r="H730"/>
      <x:c r="I730" s="65" t="n">
        <x:v>561</x:v>
      </x:c>
      <x:c r="J730" s="65" t="str">
        <x:v>达尔维奇希尔（Dulwich Hill）</x:v>
      </x:c>
      <x:c r="K730" s="82" t="n">
        <x:v>1</x:v>
      </x:c>
      <x:c r="L730" s="82" t="n">
        <x:v>1</x:v>
      </x:c>
      <x:c r="M730" s="67" t="n">
        <x:v>1</x:v>
      </x:c>
      <x:c r="N730" s="181" t="n">
        <x:v>1</x:v>
      </x:c>
      <x:c r="O730" s="67" t="n">
        <x:v>1</x:v>
      </x:c>
    </x:row>
    <x:row r="731" ht="24" customHeight="1">
      <x:c r="A731" s="65" t="n">
        <x:v>562</x:v>
      </x:c>
      <x:c r="B731" s="65" t="str">
        <x:v>普布埃拉</x:v>
      </x:c>
      <x:c r="C731" s="82" t="n">
        <x:v>3</x:v>
      </x:c>
      <x:c r="D731" s="82" t="n">
        <x:v>3</x:v>
      </x:c>
      <x:c r="E731" s="67" t="n">
        <x:v>1</x:v>
      </x:c>
      <x:c r="F731" s="181" t="n">
        <x:v>0.6666666666666666</x:v>
      </x:c>
      <x:c r="G731" s="67" t="n">
        <x:v>0.3333333333333333</x:v>
      </x:c>
      <x:c r="H731"/>
      <x:c r="I731" s="65" t="n">
        <x:v>562</x:v>
      </x:c>
      <x:c r="J731" s="65" t="str">
        <x:v>邓迪联（Dundee United）</x:v>
      </x:c>
      <x:c r="K731" s="82" t="n">
        <x:v>1</x:v>
      </x:c>
      <x:c r="L731" s="82" t="n">
        <x:v>1</x:v>
      </x:c>
      <x:c r="M731" s="67" t="n">
        <x:v>1</x:v>
      </x:c>
      <x:c r="N731" s="181" t="n">
        <x:v>1</x:v>
      </x:c>
      <x:c r="O731" s="67" t="n">
        <x:v>1</x:v>
      </x:c>
    </x:row>
    <x:row r="732" ht="24" customHeight="1">
      <x:c r="A732" s="65" t="n">
        <x:v>563</x:v>
      </x:c>
      <x:c r="B732" s="65" t="str">
        <x:v>普鲁士明斯特</x:v>
      </x:c>
      <x:c r="C732" s="82" t="n">
        <x:v>6</x:v>
      </x:c>
      <x:c r="D732" s="82" t="n">
        <x:v>6</x:v>
      </x:c>
      <x:c r="E732" s="67" t="n">
        <x:v>1</x:v>
      </x:c>
      <x:c r="F732" s="181" t="n">
        <x:v>0.6666666666666666</x:v>
      </x:c>
      <x:c r="G732" s="67" t="n">
        <x:v>0.16666666666666666</x:v>
      </x:c>
      <x:c r="H732"/>
      <x:c r="I732" s="65" t="n">
        <x:v>563</x:v>
      </x:c>
      <x:c r="J732" s="65" t="str">
        <x:v>里加FC（Riga FC）</x:v>
      </x:c>
      <x:c r="K732" s="82" t="n">
        <x:v>1</x:v>
      </x:c>
      <x:c r="L732" s="82" t="n">
        <x:v>1</x:v>
      </x:c>
      <x:c r="M732" s="67" t="n">
        <x:v>1</x:v>
      </x:c>
      <x:c r="N732" s="181" t="n">
        <x:v>1</x:v>
      </x:c>
      <x:c r="O732" s="67" t="n">
        <x:v>1</x:v>
      </x:c>
    </x:row>
    <x:row r="733" ht="24" customHeight="1">
      <x:c r="A733" s="65" t="n">
        <x:v>564</x:v>
      </x:c>
      <x:c r="B733" s="65" t="str">
        <x:v>曼联（Manchester United）</x:v>
      </x:c>
      <x:c r="C733" s="82" t="n">
        <x:v>3</x:v>
      </x:c>
      <x:c r="D733" s="82" t="n">
        <x:v>3</x:v>
      </x:c>
      <x:c r="E733" s="67" t="n">
        <x:v>1</x:v>
      </x:c>
      <x:c r="F733" s="181" t="n">
        <x:v>0.6666666666666666</x:v>
      </x:c>
      <x:c r="G733" s="67" t="n">
        <x:v>0.3333333333333333</x:v>
      </x:c>
      <x:c r="H733"/>
      <x:c r="I733" s="65" t="n">
        <x:v>564</x:v>
      </x:c>
      <x:c r="J733" s="65" t="str">
        <x:v>里奥内格罗老鹰（Águilas Doradas Rionegro）</x:v>
      </x:c>
      <x:c r="K733" s="82" t="n">
        <x:v>1</x:v>
      </x:c>
      <x:c r="L733" s="82" t="n">
        <x:v>1</x:v>
      </x:c>
      <x:c r="M733" s="67" t="n">
        <x:v>1</x:v>
      </x:c>
      <x:c r="N733" s="181" t="n">
        <x:v>1</x:v>
      </x:c>
      <x:c r="O733" s="67" t="n">
        <x:v>1</x:v>
      </x:c>
    </x:row>
    <x:row r="734" ht="24" customHeight="1">
      <x:c r="A734" s="65" t="n">
        <x:v>565</x:v>
      </x:c>
      <x:c r="B734" s="65" t="str">
        <x:v>杜海勒</x:v>
      </x:c>
      <x:c r="C734" s="82" t="n">
        <x:v>3</x:v>
      </x:c>
      <x:c r="D734" s="82" t="n">
        <x:v>3</x:v>
      </x:c>
      <x:c r="E734" s="67" t="n">
        <x:v>1</x:v>
      </x:c>
      <x:c r="F734" s="181" t="n">
        <x:v>0.6666666666666666</x:v>
      </x:c>
      <x:c r="G734" s="67" t="n">
        <x:v>0.3333333333333333</x:v>
      </x:c>
      <x:c r="H734"/>
      <x:c r="I734" s="65" t="n">
        <x:v>565</x:v>
      </x:c>
      <x:c r="J734" s="65" t="str">
        <x:v>里奥夸尔托学生队（Estudiantes de Río Cuarto）</x:v>
      </x:c>
      <x:c r="K734" s="82" t="n">
        <x:v>1</x:v>
      </x:c>
      <x:c r="L734" s="82" t="n">
        <x:v>1</x:v>
      </x:c>
      <x:c r="M734" s="67" t="n">
        <x:v>1</x:v>
      </x:c>
      <x:c r="N734" s="181" t="n">
        <x:v>1</x:v>
      </x:c>
      <x:c r="O734" s="67" t="n">
        <x:v>1</x:v>
      </x:c>
    </x:row>
    <x:row r="735" ht="24" customHeight="1">
      <x:c r="A735" s="65" t="n">
        <x:v>566</x:v>
      </x:c>
      <x:c r="B735" s="65" t="str">
        <x:v>比勒菲尔德（Arminia Bielefeld）</x:v>
      </x:c>
      <x:c r="C735" s="82" t="n">
        <x:v>3</x:v>
      </x:c>
      <x:c r="D735" s="82" t="n">
        <x:v>3</x:v>
      </x:c>
      <x:c r="E735" s="67" t="n">
        <x:v>1</x:v>
      </x:c>
      <x:c r="F735" s="181" t="n">
        <x:v>0.6666666666666666</x:v>
      </x:c>
      <x:c r="G735" s="67" t="n">
        <x:v>0.3333333333333333</x:v>
      </x:c>
      <x:c r="H735"/>
      <x:c r="I735" s="65" t="n">
        <x:v>566</x:v>
      </x:c>
      <x:c r="J735" s="65" t="str">
        <x:v>金字塔</x:v>
      </x:c>
      <x:c r="K735" s="82" t="n">
        <x:v>1</x:v>
      </x:c>
      <x:c r="L735" s="82" t="n">
        <x:v>1</x:v>
      </x:c>
      <x:c r="M735" s="67" t="n">
        <x:v>1</x:v>
      </x:c>
      <x:c r="N735" s="181" t="n">
        <x:v>1</x:v>
      </x:c>
      <x:c r="O735" s="67" t="n">
        <x:v>1</x:v>
      </x:c>
    </x:row>
    <x:row r="736" ht="24" customHeight="1">
      <x:c r="A736" s="65" t="n">
        <x:v>567</x:v>
      </x:c>
      <x:c r="B736" s="65" t="str">
        <x:v>波黑（波斯尼亚和黑塞哥维那）</x:v>
      </x:c>
      <x:c r="C736" s="82" t="n">
        <x:v>3</x:v>
      </x:c>
      <x:c r="D736" s="82" t="n">
        <x:v>3</x:v>
      </x:c>
      <x:c r="E736" s="67" t="n">
        <x:v>1</x:v>
      </x:c>
      <x:c r="F736" s="181" t="n">
        <x:v>0.6666666666666666</x:v>
      </x:c>
      <x:c r="G736" s="67" t="n">
        <x:v>0.3333333333333333</x:v>
      </x:c>
      <x:c r="H736"/>
      <x:c r="I736" s="65" t="n">
        <x:v>567</x:v>
      </x:c>
      <x:c r="J736" s="65" t="str">
        <x:v>金布洛治狮队</x:v>
      </x:c>
      <x:c r="K736" s="82" t="n">
        <x:v>1</x:v>
      </x:c>
      <x:c r="L736" s="82" t="n">
        <x:v>1</x:v>
      </x:c>
      <x:c r="M736" s="67" t="n">
        <x:v>1</x:v>
      </x:c>
      <x:c r="N736" s="181" t="n">
        <x:v>1</x:v>
      </x:c>
      <x:c r="O736" s="67" t="n">
        <x:v>1</x:v>
      </x:c>
    </x:row>
    <x:row r="737" ht="24" customHeight="1">
      <x:c r="A737" s="65" t="n">
        <x:v>568</x:v>
      </x:c>
      <x:c r="B737" s="65" t="str">
        <x:v>浙江队</x:v>
      </x:c>
      <x:c r="C737" s="82" t="n">
        <x:v>3</x:v>
      </x:c>
      <x:c r="D737" s="82" t="n">
        <x:v>3</x:v>
      </x:c>
      <x:c r="E737" s="67" t="n">
        <x:v>1</x:v>
      </x:c>
      <x:c r="F737" s="181" t="n">
        <x:v>0.6666666666666666</x:v>
      </x:c>
      <x:c r="G737" s="67" t="n">
        <x:v>0.3333333333333333</x:v>
      </x:c>
      <x:c r="H737"/>
      <x:c r="I737" s="65" t="n">
        <x:v>568</x:v>
      </x:c>
      <x:c r="J737" s="65" t="str">
        <x:v>钦奈因（Chennaiyin FC）</x:v>
      </x:c>
      <x:c r="K737" s="82" t="n">
        <x:v>1</x:v>
      </x:c>
      <x:c r="L737" s="82" t="n">
        <x:v>1</x:v>
      </x:c>
      <x:c r="M737" s="67" t="n">
        <x:v>1</x:v>
      </x:c>
      <x:c r="N737" s="181" t="n">
        <x:v>1</x:v>
      </x:c>
      <x:c r="O737" s="67" t="n">
        <x:v>1</x:v>
      </x:c>
    </x:row>
    <x:row r="738" ht="24" customHeight="1">
      <x:c r="A738" s="65" t="n">
        <x:v>569</x:v>
      </x:c>
      <x:c r="B738" s="65" t="str">
        <x:v>湘南海洋</x:v>
      </x:c>
      <x:c r="C738" s="82" t="n">
        <x:v>3</x:v>
      </x:c>
      <x:c r="D738" s="82" t="n">
        <x:v>3</x:v>
      </x:c>
      <x:c r="E738" s="67" t="n">
        <x:v>1</x:v>
      </x:c>
      <x:c r="F738" s="181" t="n">
        <x:v>0.6666666666666666</x:v>
      </x:c>
      <x:c r="G738" s="67" t="n">
        <x:v>0.3333333333333333</x:v>
      </x:c>
      <x:c r="H738"/>
      <x:c r="I738" s="65" t="n">
        <x:v>569</x:v>
      </x:c>
      <x:c r="J738" s="65" t="str">
        <x:v>钦奈泰坦（Chennaiyin FC）</x:v>
      </x:c>
      <x:c r="K738" s="82" t="n">
        <x:v>1</x:v>
      </x:c>
      <x:c r="L738" s="82" t="n">
        <x:v>1</x:v>
      </x:c>
      <x:c r="M738" s="67" t="n">
        <x:v>1</x:v>
      </x:c>
      <x:c r="N738" s="181" t="n">
        <x:v>1</x:v>
      </x:c>
      <x:c r="O738" s="67" t="n">
        <x:v>1</x:v>
      </x:c>
    </x:row>
    <x:row r="739" ht="24" customHeight="1">
      <x:c r="A739" s="65" t="n">
        <x:v>570</x:v>
      </x:c>
      <x:c r="B739" s="65" t="str">
        <x:v>牛津联（Oxford United）</x:v>
      </x:c>
      <x:c r="C739" s="82" t="n">
        <x:v>3</x:v>
      </x:c>
      <x:c r="D739" s="82" t="n">
        <x:v>3</x:v>
      </x:c>
      <x:c r="E739" s="67" t="n">
        <x:v>1</x:v>
      </x:c>
      <x:c r="F739" s="181" t="n">
        <x:v>0.6666666666666666</x:v>
      </x:c>
      <x:c r="G739" s="67" t="n">
        <x:v>0.3333333333333333</x:v>
      </x:c>
      <x:c r="H739"/>
      <x:c r="I739" s="65" t="n">
        <x:v>570</x:v>
      </x:c>
      <x:c r="J739" s="65" t="str">
        <x:v>防卫者与司法（Defensa y Justicia）</x:v>
      </x:c>
      <x:c r="K739" s="82" t="n">
        <x:v>1</x:v>
      </x:c>
      <x:c r="L739" s="82" t="n">
        <x:v>1</x:v>
      </x:c>
      <x:c r="M739" s="67" t="n">
        <x:v>1</x:v>
      </x:c>
      <x:c r="N739" s="181" t="n">
        <x:v>1</x:v>
      </x:c>
      <x:c r="O739" s="67" t="n">
        <x:v>1</x:v>
      </x:c>
    </x:row>
    <x:row r="740" ht="24" customHeight="1">
      <x:c r="A740" s="65" t="n">
        <x:v>571</x:v>
      </x:c>
      <x:c r="B740" s="65" t="str">
        <x:v>特拉斯卡拉</x:v>
      </x:c>
      <x:c r="C740" s="82" t="n">
        <x:v>3</x:v>
      </x:c>
      <x:c r="D740" s="82" t="n">
        <x:v>3</x:v>
      </x:c>
      <x:c r="E740" s="67" t="n">
        <x:v>1</x:v>
      </x:c>
      <x:c r="F740" s="181" t="n">
        <x:v>0.6666666666666666</x:v>
      </x:c>
      <x:c r="G740" s="67" t="n">
        <x:v>0.3333333333333333</x:v>
      </x:c>
      <x:c r="H740"/>
      <x:c r="I740" s="65" t="n">
        <x:v>571</x:v>
      </x:c>
      <x:c r="J740" s="65" t="str">
        <x:v>防卫者体育（Defensor Sporting）</x:v>
      </x:c>
      <x:c r="K740" s="82" t="n">
        <x:v>1</x:v>
      </x:c>
      <x:c r="L740" s="82" t="n">
        <x:v>1</x:v>
      </x:c>
      <x:c r="M740" s="67" t="n">
        <x:v>1</x:v>
      </x:c>
      <x:c r="N740" s="181" t="n">
        <x:v>1</x:v>
      </x:c>
      <x:c r="O740" s="67" t="n">
        <x:v>1</x:v>
      </x:c>
    </x:row>
    <x:row r="741" ht="24" customHeight="1">
      <x:c r="A741" s="65" t="n">
        <x:v>572</x:v>
      </x:c>
      <x:c r="B741" s="65" t="str">
        <x:v>石油独立（Independiente Petrolero）</x:v>
      </x:c>
      <x:c r="C741" s="82" t="n">
        <x:v>3</x:v>
      </x:c>
      <x:c r="D741" s="82" t="n">
        <x:v>3</x:v>
      </x:c>
      <x:c r="E741" s="67" t="n">
        <x:v>1</x:v>
      </x:c>
      <x:c r="F741" s="181" t="n">
        <x:v>0.6666666666666666</x:v>
      </x:c>
      <x:c r="G741" s="67" t="n">
        <x:v>0.3333333333333333</x:v>
      </x:c>
      <x:c r="H741"/>
      <x:c r="I741" s="65" t="n">
        <x:v>572</x:v>
      </x:c>
      <x:c r="J741" s="65" t="str">
        <x:v>阳光乔治十字（Sunshine George Cross）</x:v>
      </x:c>
      <x:c r="K741" s="82" t="n">
        <x:v>1</x:v>
      </x:c>
      <x:c r="L741" s="82" t="n">
        <x:v>1</x:v>
      </x:c>
      <x:c r="M741" s="67" t="n">
        <x:v>1</x:v>
      </x:c>
      <x:c r="N741" s="181" t="n">
        <x:v>1</x:v>
      </x:c>
      <x:c r="O741" s="67" t="n">
        <x:v>1</x:v>
      </x:c>
    </x:row>
    <x:row r="742" ht="24" customHeight="1">
      <x:c r="A742" s="65" t="n">
        <x:v>573</x:v>
      </x:c>
      <x:c r="B742" s="65" t="str">
        <x:v>突尼斯</x:v>
      </x:c>
      <x:c r="C742" s="82" t="n">
        <x:v>3</x:v>
      </x:c>
      <x:c r="D742" s="82" t="n">
        <x:v>3</x:v>
      </x:c>
      <x:c r="E742" s="67" t="n">
        <x:v>1</x:v>
      </x:c>
      <x:c r="F742" s="181" t="n">
        <x:v>0.6666666666666666</x:v>
      </x:c>
      <x:c r="G742" s="67" t="n">
        <x:v>0.3333333333333333</x:v>
      </x:c>
      <x:c r="H742"/>
      <x:c r="I742" s="65" t="n">
        <x:v>573</x:v>
      </x:c>
      <x:c r="J742" s="65" t="str">
        <x:v>阿利安萨(Alianza FC)</x:v>
      </x:c>
      <x:c r="K742" s="82" t="n">
        <x:v>1</x:v>
      </x:c>
      <x:c r="L742" s="82" t="n">
        <x:v>1</x:v>
      </x:c>
      <x:c r="M742" s="67" t="n">
        <x:v>1</x:v>
      </x:c>
      <x:c r="N742" s="181" t="n">
        <x:v>1</x:v>
      </x:c>
      <x:c r="O742" s="67" t="n">
        <x:v>1</x:v>
      </x:c>
    </x:row>
    <x:row r="743" ht="24" customHeight="1">
      <x:c r="A743" s="65" t="n">
        <x:v>574</x:v>
      </x:c>
      <x:c r="B743" s="65" t="str">
        <x:v>罗马</x:v>
      </x:c>
      <x:c r="C743" s="82" t="n">
        <x:v>3</x:v>
      </x:c>
      <x:c r="D743" s="82" t="n">
        <x:v>3</x:v>
      </x:c>
      <x:c r="E743" s="67" t="n">
        <x:v>1</x:v>
      </x:c>
      <x:c r="F743" s="181" t="n">
        <x:v>0.6666666666666666</x:v>
      </x:c>
      <x:c r="G743" s="67" t="n">
        <x:v>0.3333333333333333</x:v>
      </x:c>
      <x:c r="H743"/>
      <x:c r="I743" s="65" t="n">
        <x:v>574</x:v>
      </x:c>
      <x:c r="J743" s="65" t="str">
        <x:v>阿利安萨（Alianza FC）</x:v>
      </x:c>
      <x:c r="K743" s="82" t="n">
        <x:v>1</x:v>
      </x:c>
      <x:c r="L743" s="82" t="n">
        <x:v>1</x:v>
      </x:c>
      <x:c r="M743" s="67" t="n">
        <x:v>1</x:v>
      </x:c>
      <x:c r="N743" s="181" t="n">
        <x:v>1</x:v>
      </x:c>
      <x:c r="O743" s="67" t="n">
        <x:v>1</x:v>
      </x:c>
    </x:row>
    <x:row r="744" ht="24" customHeight="1">
      <x:c r="A744" s="65" t="n">
        <x:v>575</x:v>
      </x:c>
      <x:c r="B744" s="65" t="str">
        <x:v>美洲狮</x:v>
      </x:c>
      <x:c r="C744" s="82" t="n">
        <x:v>3</x:v>
      </x:c>
      <x:c r="D744" s="82" t="n">
        <x:v>3</x:v>
      </x:c>
      <x:c r="E744" s="67" t="n">
        <x:v>1</x:v>
      </x:c>
      <x:c r="F744" s="181" t="n">
        <x:v>0.6666666666666666</x:v>
      </x:c>
      <x:c r="G744" s="67" t="n">
        <x:v>0.3333333333333333</x:v>
      </x:c>
      <x:c r="H744"/>
      <x:c r="I744" s="65" t="n">
        <x:v>575</x:v>
      </x:c>
      <x:c r="J744" s="65" t="str">
        <x:v>阿利安萨FC</x:v>
      </x:c>
      <x:c r="K744" s="82" t="n">
        <x:v>1</x:v>
      </x:c>
      <x:c r="L744" s="82" t="n">
        <x:v>1</x:v>
      </x:c>
      <x:c r="M744" s="67" t="n">
        <x:v>1</x:v>
      </x:c>
      <x:c r="N744" s="181" t="n">
        <x:v>1</x:v>
      </x:c>
      <x:c r="O744" s="67" t="n">
        <x:v>1</x:v>
      </x:c>
    </x:row>
    <x:row r="745" ht="24" customHeight="1">
      <x:c r="A745" s="65" t="n">
        <x:v>576</x:v>
      </x:c>
      <x:c r="B745" s="65" t="str">
        <x:v>莫亨巴根超级巨人</x:v>
      </x:c>
      <x:c r="C745" s="82" t="n">
        <x:v>3</x:v>
      </x:c>
      <x:c r="D745" s="82" t="n">
        <x:v>3</x:v>
      </x:c>
      <x:c r="E745" s="67" t="n">
        <x:v>1</x:v>
      </x:c>
      <x:c r="F745" s="181" t="n">
        <x:v>0.6666666666666666</x:v>
      </x:c>
      <x:c r="G745" s="67" t="n">
        <x:v>0.3333333333333333</x:v>
      </x:c>
      <x:c r="H745"/>
      <x:c r="I745" s="65" t="n">
        <x:v>576</x:v>
      </x:c>
      <x:c r="J745" s="65" t="str">
        <x:v>阿尔克鲁德（Al-Kholood）</x:v>
      </x:c>
      <x:c r="K745" s="82" t="n">
        <x:v>1</x:v>
      </x:c>
      <x:c r="L745" s="82" t="n">
        <x:v>1</x:v>
      </x:c>
      <x:c r="M745" s="67" t="n">
        <x:v>1</x:v>
      </x:c>
      <x:c r="N745" s="181" t="n">
        <x:v>1</x:v>
      </x:c>
      <x:c r="O745" s="67" t="n">
        <x:v>1</x:v>
      </x:c>
    </x:row>
    <x:row r="746" ht="24" customHeight="1">
      <x:c r="A746" s="65" t="n">
        <x:v>577</x:v>
      </x:c>
      <x:c r="B746" s="65" t="str">
        <x:v>雷克瑟姆（Wrexham）</x:v>
      </x:c>
      <x:c r="C746" s="82" t="n">
        <x:v>3</x:v>
      </x:c>
      <x:c r="D746" s="82" t="n">
        <x:v>3</x:v>
      </x:c>
      <x:c r="E746" s="67" t="n">
        <x:v>1</x:v>
      </x:c>
      <x:c r="F746" s="181" t="n">
        <x:v>0.6666666666666666</x:v>
      </x:c>
      <x:c r="G746" s="67" t="n">
        <x:v>0.3333333333333333</x:v>
      </x:c>
      <x:c r="H746"/>
      <x:c r="I746" s="65" t="n">
        <x:v>577</x:v>
      </x:c>
      <x:c r="J746" s="65" t="str">
        <x:v>阿尔托纳魔法</x:v>
      </x:c>
      <x:c r="K746" s="82" t="n">
        <x:v>1</x:v>
      </x:c>
      <x:c r="L746" s="82" t="n">
        <x:v>1</x:v>
      </x:c>
      <x:c r="M746" s="67" t="n">
        <x:v>1</x:v>
      </x:c>
      <x:c r="N746" s="181" t="n">
        <x:v>1</x:v>
      </x:c>
      <x:c r="O746" s="67" t="n">
        <x:v>1</x:v>
      </x:c>
    </x:row>
    <x:row r="747" ht="24" customHeight="1">
      <x:c r="A747" s="65" t="n">
        <x:v>578</x:v>
      </x:c>
      <x:c r="B747" s="65" t="str">
        <x:v>马可尼</x:v>
      </x:c>
      <x:c r="C747" s="82" t="n">
        <x:v>3</x:v>
      </x:c>
      <x:c r="D747" s="82" t="n">
        <x:v>3</x:v>
      </x:c>
      <x:c r="E747" s="67" t="n">
        <x:v>1</x:v>
      </x:c>
      <x:c r="F747" s="181" t="n">
        <x:v>0.6666666666666666</x:v>
      </x:c>
      <x:c r="G747" s="67" t="n">
        <x:v>0.3333333333333333</x:v>
      </x:c>
      <x:c r="H747"/>
      <x:c r="I747" s="65" t="n">
        <x:v>578</x:v>
      </x:c>
      <x:c r="J747" s="65" t="str">
        <x:v>阿尔托那魔法（Altona Magic SC）</x:v>
      </x:c>
      <x:c r="K747" s="82" t="n">
        <x:v>1</x:v>
      </x:c>
      <x:c r="L747" s="82" t="n">
        <x:v>1</x:v>
      </x:c>
      <x:c r="M747" s="67" t="n">
        <x:v>1</x:v>
      </x:c>
      <x:c r="N747" s="181" t="n">
        <x:v>1</x:v>
      </x:c>
      <x:c r="O747" s="67" t="n">
        <x:v>1</x:v>
      </x:c>
    </x:row>
    <x:row r="748" ht="24" customHeight="1">
      <x:c r="A748" s="65" t="n">
        <x:v>579</x:v>
      </x:c>
      <x:c r="B748" s="65" t="str">
        <x:v>麦克阿瑟（Macarthur FC）</x:v>
      </x:c>
      <x:c r="C748" s="82" t="n">
        <x:v>3</x:v>
      </x:c>
      <x:c r="D748" s="82" t="n">
        <x:v>3</x:v>
      </x:c>
      <x:c r="E748" s="67" t="n">
        <x:v>1</x:v>
      </x:c>
      <x:c r="F748" s="181" t="n">
        <x:v>0.6666666666666666</x:v>
      </x:c>
      <x:c r="G748" s="67" t="n">
        <x:v>0.3333333333333333</x:v>
      </x:c>
      <x:c r="H748"/>
      <x:c r="I748" s="65" t="n">
        <x:v>579</x:v>
      </x:c>
      <x:c r="J748" s="65" t="str">
        <x:v>阿尔托那魔法（Altona Magic）</x:v>
      </x:c>
      <x:c r="K748" s="82" t="n">
        <x:v>1</x:v>
      </x:c>
      <x:c r="L748" s="82" t="n">
        <x:v>1</x:v>
      </x:c>
      <x:c r="M748" s="67" t="n">
        <x:v>1</x:v>
      </x:c>
      <x:c r="N748" s="181" t="n">
        <x:v>1</x:v>
      </x:c>
      <x:c r="O748" s="67" t="n">
        <x:v>1</x:v>
      </x:c>
    </x:row>
    <x:row r="749" ht="24" customHeight="1">
      <x:c r="A749" s="65" t="n">
        <x:v>580</x:v>
      </x:c>
      <x:c r="B749" s="65" t="str">
        <x:v>黑镇市（Blacktown City）</x:v>
      </x:c>
      <x:c r="C749" s="82" t="n">
        <x:v>3</x:v>
      </x:c>
      <x:c r="D749" s="82" t="n">
        <x:v>3</x:v>
      </x:c>
      <x:c r="E749" s="67" t="n">
        <x:v>1</x:v>
      </x:c>
      <x:c r="F749" s="181" t="n">
        <x:v>0.6666666666666666</x:v>
      </x:c>
      <x:c r="G749" s="67" t="n">
        <x:v>0.3333333333333333</x:v>
      </x:c>
      <x:c r="H749"/>
      <x:c r="I749" s="65" t="n">
        <x:v>580</x:v>
      </x:c>
      <x:c r="J749" s="65" t="str">
        <x:v>阿拉胡伦斯（LD Alajuelense）</x:v>
      </x:c>
      <x:c r="K749" s="82" t="n">
        <x:v>1</x:v>
      </x:c>
      <x:c r="L749" s="82" t="n">
        <x:v>1</x:v>
      </x:c>
      <x:c r="M749" s="67" t="n">
        <x:v>1</x:v>
      </x:c>
      <x:c r="N749" s="181" t="n">
        <x:v>1</x:v>
      </x:c>
      <x:c r="O749" s="67" t="n">
        <x:v>1</x:v>
      </x:c>
    </x:row>
    <x:row r="750" ht="24" customHeight="1">
      <x:c r="A750" s="65" t="n">
        <x:v>581</x:v>
      </x:c>
      <x:c r="B750" s="65" t="str">
        <x:v>墨尔本胜利青年队</x:v>
      </x:c>
      <x:c r="C750" s="82" t="n">
        <x:v>3</x:v>
      </x:c>
      <x:c r="D750" s="82" t="n">
        <x:v>3</x:v>
      </x:c>
      <x:c r="E750" s="67" t="n">
        <x:v>1</x:v>
      </x:c>
      <x:c r="F750" s="181" t="n">
        <x:v>0.6666666666666666</x:v>
      </x:c>
      <x:c r="G750" s="67" t="n">
        <x:v>0.3333333333333333</x:v>
      </x:c>
      <x:c r="H750"/>
      <x:c r="I750" s="65" t="n">
        <x:v>581</x:v>
      </x:c>
      <x:c r="J750" s="65" t="str">
        <x:v>阿根廷基尔梅斯（Argentino de Quilmes）</x:v>
      </x:c>
      <x:c r="K750" s="82" t="n">
        <x:v>1</x:v>
      </x:c>
      <x:c r="L750" s="82" t="n">
        <x:v>1</x:v>
      </x:c>
      <x:c r="M750" s="67" t="n">
        <x:v>1</x:v>
      </x:c>
      <x:c r="N750" s="181" t="n">
        <x:v>1</x:v>
      </x:c>
      <x:c r="O750" s="67" t="n">
        <x:v>1</x:v>
      </x:c>
    </x:row>
    <x:row r="751" ht="24" customHeight="1">
      <x:c r="A751" s="65" t="n">
        <x:v>582</x:v>
      </x:c>
      <x:c r="B751" s="65" t="str">
        <x:v>川崎前锋</x:v>
      </x:c>
      <x:c r="C751" s="82" t="n">
        <x:v>5</x:v>
      </x:c>
      <x:c r="D751" s="82" t="n">
        <x:v>5</x:v>
      </x:c>
      <x:c r="E751" s="67" t="n">
        <x:v>1</x:v>
      </x:c>
      <x:c r="F751" s="181" t="n">
        <x:v>0.6</x:v>
      </x:c>
      <x:c r="G751" s="67" t="n">
        <x:v>0.2</x:v>
      </x:c>
      <x:c r="H751"/>
      <x:c r="I751" s="65" t="n">
        <x:v>582</x:v>
      </x:c>
      <x:c r="J751" s="65" t="str">
        <x:v>阿鲁巴</x:v>
      </x:c>
      <x:c r="K751" s="82" t="n">
        <x:v>1</x:v>
      </x:c>
      <x:c r="L751" s="82" t="n">
        <x:v>1</x:v>
      </x:c>
      <x:c r="M751" s="67" t="n">
        <x:v>1</x:v>
      </x:c>
      <x:c r="N751" s="181" t="n">
        <x:v>1</x:v>
      </x:c>
      <x:c r="O751" s="67" t="n">
        <x:v>1</x:v>
      </x:c>
    </x:row>
    <x:row r="752" ht="24" customHeight="1">
      <x:c r="A752" s="65" t="n">
        <x:v>583</x:v>
      </x:c>
      <x:c r="B752" s="65" t="str">
        <x:v>托利马体育</x:v>
      </x:c>
      <x:c r="C752" s="82" t="n">
        <x:v>5</x:v>
      </x:c>
      <x:c r="D752" s="82" t="n">
        <x:v>5</x:v>
      </x:c>
      <x:c r="E752" s="67" t="n">
        <x:v>1</x:v>
      </x:c>
      <x:c r="F752" s="181" t="n">
        <x:v>0.6</x:v>
      </x:c>
      <x:c r="G752" s="67" t="n">
        <x:v>0.2</x:v>
      </x:c>
      <x:c r="H752"/>
      <x:c r="I752" s="65" t="n">
        <x:v>583</x:v>
      </x:c>
      <x:c r="J752" s="65" t="str">
        <x:v>雷克斯汉姆（Wrexham）</x:v>
      </x:c>
      <x:c r="K752" s="82" t="n">
        <x:v>1</x:v>
      </x:c>
      <x:c r="L752" s="82" t="n">
        <x:v>1</x:v>
      </x:c>
      <x:c r="M752" s="67" t="n">
        <x:v>1</x:v>
      </x:c>
      <x:c r="N752" s="181" t="n">
        <x:v>1</x:v>
      </x:c>
      <x:c r="O752" s="67" t="n">
        <x:v>1</x:v>
      </x:c>
    </x:row>
    <x:row r="753" ht="24" customHeight="1">
      <x:c r="A753" s="65" t="n">
        <x:v>584</x:v>
      </x:c>
      <x:c r="B753" s="65" t="str">
        <x:v>米尔沃尔</x:v>
      </x:c>
      <x:c r="C753" s="82" t="n">
        <x:v>5</x:v>
      </x:c>
      <x:c r="D753" s="82" t="n">
        <x:v>5</x:v>
      </x:c>
      <x:c r="E753" s="67" t="n">
        <x:v>1</x:v>
      </x:c>
      <x:c r="F753" s="181" t="n">
        <x:v>0.6</x:v>
      </x:c>
      <x:c r="G753" s="67" t="n">
        <x:v>0.2</x:v>
      </x:c>
      <x:c r="H753"/>
      <x:c r="I753" s="65" t="n">
        <x:v>584</x:v>
      </x:c>
      <x:c r="J753" s="65" t="str">
        <x:v>雷克瑟姆</x:v>
      </x:c>
      <x:c r="K753" s="82" t="n">
        <x:v>1</x:v>
      </x:c>
      <x:c r="L753" s="82" t="n">
        <x:v>1</x:v>
      </x:c>
      <x:c r="M753" s="67" t="n">
        <x:v>1</x:v>
      </x:c>
      <x:c r="N753" s="181" t="n">
        <x:v>1</x:v>
      </x:c>
      <x:c r="O753" s="67" t="n">
        <x:v>1</x:v>
      </x:c>
    </x:row>
    <x:row r="754" ht="24" customHeight="1">
      <x:c r="A754" s="65" t="n">
        <x:v>585</x:v>
      </x:c>
      <x:c r="B754" s="65" t="str">
        <x:v>墨西哥</x:v>
      </x:c>
      <x:c r="C754" s="82" t="n">
        <x:v>5</x:v>
      </x:c>
      <x:c r="D754" s="82" t="n">
        <x:v>5</x:v>
      </x:c>
      <x:c r="E754" s="67" t="n">
        <x:v>1</x:v>
      </x:c>
      <x:c r="F754" s="181" t="n">
        <x:v>0.6</x:v>
      </x:c>
      <x:c r="G754" s="67" t="n">
        <x:v>0.2</x:v>
      </x:c>
      <x:c r="H754"/>
      <x:c r="I754" s="65" t="n">
        <x:v>585</x:v>
      </x:c>
      <x:c r="J754" s="65" t="str">
        <x:v>飓风队</x:v>
      </x:c>
      <x:c r="K754" s="82" t="n">
        <x:v>1</x:v>
      </x:c>
      <x:c r="L754" s="82" t="n">
        <x:v>1</x:v>
      </x:c>
      <x:c r="M754" s="67" t="n">
        <x:v>1</x:v>
      </x:c>
      <x:c r="N754" s="181" t="n">
        <x:v>1</x:v>
      </x:c>
      <x:c r="O754" s="67" t="n">
        <x:v>1</x:v>
      </x:c>
    </x:row>
    <x:row r="755" ht="24" customHeight="1">
      <x:c r="A755" s="65" t="n">
        <x:v>586</x:v>
      </x:c>
      <x:c r="B755" s="65" t="str">
        <x:v>丹德农市</x:v>
      </x:c>
      <x:c r="C755" s="82" t="n">
        <x:v>2</x:v>
      </x:c>
      <x:c r="D755" s="82" t="n">
        <x:v>2</x:v>
      </x:c>
      <x:c r="E755" s="67" t="n">
        <x:v>1</x:v>
      </x:c>
      <x:c r="F755" s="181" t="n">
        <x:v>0.5</x:v>
      </x:c>
      <x:c r="G755" s="67" t="n">
        <x:v>0.5</x:v>
      </x:c>
      <x:c r="H755"/>
      <x:c r="I755" s="65" t="n">
        <x:v>586</x:v>
      </x:c>
      <x:c r="J755" s="65" t="str">
        <x:v>首尔衣恋（Seoul E-Land）</x:v>
      </x:c>
      <x:c r="K755" s="82" t="n">
        <x:v>1</x:v>
      </x:c>
      <x:c r="L755" s="82" t="n">
        <x:v>1</x:v>
      </x:c>
      <x:c r="M755" s="67" t="n">
        <x:v>1</x:v>
      </x:c>
      <x:c r="N755" s="181" t="n">
        <x:v>1</x:v>
      </x:c>
      <x:c r="O755" s="67" t="n">
        <x:v>1</x:v>
      </x:c>
    </x:row>
    <x:row r="756" ht="24" customHeight="1">
      <x:c r="A756" s="65" t="n">
        <x:v>587</x:v>
      </x:c>
      <x:c r="B756" s="65" t="str">
        <x:v>伯恩茅斯（AFC Bournemouth）</x:v>
      </x:c>
      <x:c r="C756" s="82" t="n">
        <x:v>4</x:v>
      </x:c>
      <x:c r="D756" s="82" t="n">
        <x:v>4</x:v>
      </x:c>
      <x:c r="E756" s="67" t="n">
        <x:v>1</x:v>
      </x:c>
      <x:c r="F756" s="181" t="n">
        <x:v>0.5</x:v>
      </x:c>
      <x:c r="G756" s="67" t="n">
        <x:v>0.25</x:v>
      </x:c>
      <x:c r="H756"/>
      <x:c r="I756" s="65" t="n">
        <x:v>587</x:v>
      </x:c>
      <x:c r="J756" s="65" t="str">
        <x:v>马哈拉纺织（Ghazl El Mahalla）</x:v>
      </x:c>
      <x:c r="K756" s="82" t="n">
        <x:v>1</x:v>
      </x:c>
      <x:c r="L756" s="82" t="n">
        <x:v>1</x:v>
      </x:c>
      <x:c r="M756" s="67" t="n">
        <x:v>1</x:v>
      </x:c>
      <x:c r="N756" s="181" t="n">
        <x:v>1</x:v>
      </x:c>
      <x:c r="O756" s="67" t="n">
        <x:v>1</x:v>
      </x:c>
    </x:row>
    <x:row r="757" ht="24" customHeight="1">
      <x:c r="A757" s="65" t="n">
        <x:v>588</x:v>
      </x:c>
      <x:c r="B757" s="65" t="str">
        <x:v>佩纳罗尔（Peñarol）</x:v>
      </x:c>
      <x:c r="C757" s="82" t="n">
        <x:v>2</x:v>
      </x:c>
      <x:c r="D757" s="82" t="n">
        <x:v>2</x:v>
      </x:c>
      <x:c r="E757" s="67" t="n">
        <x:v>1</x:v>
      </x:c>
      <x:c r="F757" s="181" t="n">
        <x:v>0.5</x:v>
      </x:c>
      <x:c r="G757" s="67" t="n">
        <x:v>0.5</x:v>
      </x:c>
      <x:c r="H757"/>
      <x:c r="I757" s="65" t="n">
        <x:v>588</x:v>
      </x:c>
      <x:c r="J757" s="65" t="str">
        <x:v>马德堡（1. FC Magdeburg）</x:v>
      </x:c>
      <x:c r="K757" s="82" t="n">
        <x:v>1</x:v>
      </x:c>
      <x:c r="L757" s="82" t="n">
        <x:v>1</x:v>
      </x:c>
      <x:c r="M757" s="67" t="n">
        <x:v>1</x:v>
      </x:c>
      <x:c r="N757" s="181" t="n">
        <x:v>1</x:v>
      </x:c>
      <x:c r="O757" s="67" t="n">
        <x:v>1</x:v>
      </x:c>
    </x:row>
    <x:row r="758" ht="24" customHeight="1">
      <x:c r="A758" s="65" t="n">
        <x:v>589</x:v>
      </x:c>
      <x:c r="B758" s="65" t="str">
        <x:v>内卡萨</x:v>
      </x:c>
      <x:c r="C758" s="82" t="n">
        <x:v>8</x:v>
      </x:c>
      <x:c r="D758" s="82" t="n">
        <x:v>8</x:v>
      </x:c>
      <x:c r="E758" s="67" t="n">
        <x:v>1</x:v>
      </x:c>
      <x:c r="F758" s="181" t="n">
        <x:v>0.5</x:v>
      </x:c>
      <x:c r="G758" s="67" t="n">
        <x:v>0.125</x:v>
      </x:c>
      <x:c r="H758"/>
      <x:c r="I758" s="65" t="n">
        <x:v>589</x:v>
      </x:c>
      <x:c r="J758" s="65" t="str">
        <x:v>马林海岸流浪者（Marlin Coast Rangers）</x:v>
      </x:c>
      <x:c r="K758" s="82" t="n">
        <x:v>1</x:v>
      </x:c>
      <x:c r="L758" s="82" t="n">
        <x:v>1</x:v>
      </x:c>
      <x:c r="M758" s="67" t="n">
        <x:v>1</x:v>
      </x:c>
      <x:c r="N758" s="181" t="n">
        <x:v>1</x:v>
      </x:c>
      <x:c r="O758" s="67" t="n">
        <x:v>1</x:v>
      </x:c>
    </x:row>
    <x:row r="759" ht="24" customHeight="1">
      <x:c r="A759" s="65" t="n">
        <x:v>590</x:v>
      </x:c>
      <x:c r="B759" s="65" t="str">
        <x:v>天津津门虎</x:v>
      </x:c>
      <x:c r="C759" s="82" t="n">
        <x:v>2</x:v>
      </x:c>
      <x:c r="D759" s="82" t="n">
        <x:v>2</x:v>
      </x:c>
      <x:c r="E759" s="67" t="n">
        <x:v>1</x:v>
      </x:c>
      <x:c r="F759" s="181" t="n">
        <x:v>0.5</x:v>
      </x:c>
      <x:c r="G759" s="67" t="n">
        <x:v>0.5</x:v>
      </x:c>
      <x:c r="H759"/>
      <x:c r="I759" s="65" t="n">
        <x:v>590</x:v>
      </x:c>
      <x:c r="J759" s="65" t="str">
        <x:v>马萨特兰（Mazatlán）</x:v>
      </x:c>
      <x:c r="K759" s="82" t="n">
        <x:v>1</x:v>
      </x:c>
      <x:c r="L759" s="82" t="n">
        <x:v>1</x:v>
      </x:c>
      <x:c r="M759" s="67" t="n">
        <x:v>1</x:v>
      </x:c>
      <x:c r="N759" s="181" t="n">
        <x:v>1</x:v>
      </x:c>
      <x:c r="O759" s="67" t="n">
        <x:v>1</x:v>
      </x:c>
    </x:row>
    <x:row r="760" ht="24" customHeight="1">
      <x:c r="A760" s="65" t="n">
        <x:v>591</x:v>
      </x:c>
      <x:c r="B760" s="65" t="str">
        <x:v>孟买城</x:v>
      </x:c>
      <x:c r="C760" s="82" t="n">
        <x:v>4</x:v>
      </x:c>
      <x:c r="D760" s="82" t="n">
        <x:v>4</x:v>
      </x:c>
      <x:c r="E760" s="67" t="n">
        <x:v>1</x:v>
      </x:c>
      <x:c r="F760" s="181" t="n">
        <x:v>0.5</x:v>
      </x:c>
      <x:c r="G760" s="67" t="n">
        <x:v>0.25</x:v>
      </x:c>
      <x:c r="H760"/>
      <x:c r="I760" s="65" t="n">
        <x:v>591</x:v>
      </x:c>
      <x:c r="J760" s="65" t="str">
        <x:v>马鲁特联（Malut United FC）</x:v>
      </x:c>
      <x:c r="K760" s="82" t="n">
        <x:v>1</x:v>
      </x:c>
      <x:c r="L760" s="82" t="n">
        <x:v>1</x:v>
      </x:c>
      <x:c r="M760" s="67" t="n">
        <x:v>1</x:v>
      </x:c>
      <x:c r="N760" s="181" t="n">
        <x:v>1</x:v>
      </x:c>
      <x:c r="O760" s="67" t="n">
        <x:v>1</x:v>
      </x:c>
    </x:row>
    <x:row r="761" ht="24" customHeight="1">
      <x:c r="A761" s="65" t="n">
        <x:v>592</x:v>
      </x:c>
      <x:c r="B761" s="65" t="str">
        <x:v>尤文图斯（Juventus）</x:v>
      </x:c>
      <x:c r="C761" s="82" t="n">
        <x:v>2</x:v>
      </x:c>
      <x:c r="D761" s="82" t="n">
        <x:v>2</x:v>
      </x:c>
      <x:c r="E761" s="67" t="n">
        <x:v>1</x:v>
      </x:c>
      <x:c r="F761" s="181" t="n">
        <x:v>0.5</x:v>
      </x:c>
      <x:c r="G761" s="67" t="n">
        <x:v>0.5</x:v>
      </x:c>
      <x:c r="H761"/>
      <x:c r="I761" s="65" t="n">
        <x:v>592</x:v>
      </x:c>
      <x:c r="J761" s="65" t="str">
        <x:v>马鲁联（Malut United）</x:v>
      </x:c>
      <x:c r="K761" s="82" t="n">
        <x:v>1</x:v>
      </x:c>
      <x:c r="L761" s="82" t="n">
        <x:v>1</x:v>
      </x:c>
      <x:c r="M761" s="67" t="n">
        <x:v>1</x:v>
      </x:c>
      <x:c r="N761" s="181" t="n">
        <x:v>1</x:v>
      </x:c>
      <x:c r="O761" s="67" t="n">
        <x:v>1</x:v>
      </x:c>
    </x:row>
    <x:row r="762" ht="24" customHeight="1">
      <x:c r="A762" s="65" t="n">
        <x:v>593</x:v>
      </x:c>
      <x:c r="B762" s="65" t="str">
        <x:v>布莱克本</x:v>
      </x:c>
      <x:c r="C762" s="82" t="n">
        <x:v>2</x:v>
      </x:c>
      <x:c r="D762" s="82" t="n">
        <x:v>2</x:v>
      </x:c>
      <x:c r="E762" s="67" t="n">
        <x:v>1</x:v>
      </x:c>
      <x:c r="F762" s="181" t="n">
        <x:v>0.5</x:v>
      </x:c>
      <x:c r="G762" s="67" t="n">
        <x:v>0.5</x:v>
      </x:c>
      <x:c r="H762"/>
      <x:c r="I762" s="65" t="n">
        <x:v>593</x:v>
      </x:c>
      <x:c r="J762" s="65" t="str">
        <x:v>骑兵队（Cavalry FC）</x:v>
      </x:c>
      <x:c r="K762" s="82" t="n">
        <x:v>1</x:v>
      </x:c>
      <x:c r="L762" s="82" t="n">
        <x:v>1</x:v>
      </x:c>
      <x:c r="M762" s="67" t="n">
        <x:v>1</x:v>
      </x:c>
      <x:c r="N762" s="181" t="n">
        <x:v>1</x:v>
      </x:c>
      <x:c r="O762" s="67" t="n">
        <x:v>1</x:v>
      </x:c>
    </x:row>
    <x:row r="763" ht="24" customHeight="1">
      <x:c r="A763" s="65" t="n">
        <x:v>594</x:v>
      </x:c>
      <x:c r="B763" s="65" t="str">
        <x:v>成都蓉城（Chengdu Rongcheng）</x:v>
      </x:c>
      <x:c r="C763" s="82" t="n">
        <x:v>2</x:v>
      </x:c>
      <x:c r="D763" s="82" t="n">
        <x:v>2</x:v>
      </x:c>
      <x:c r="E763" s="67" t="n">
        <x:v>1</x:v>
      </x:c>
      <x:c r="F763" s="181" t="n">
        <x:v>0.5</x:v>
      </x:c>
      <x:c r="G763" s="67" t="n">
        <x:v>0.5</x:v>
      </x:c>
      <x:c r="H763"/>
      <x:c r="I763" s="65" t="n">
        <x:v>594</x:v>
      </x:c>
      <x:c r="J763" s="65" t="str">
        <x:v>鸟栖砂岩</x:v>
      </x:c>
      <x:c r="K763" s="82" t="n">
        <x:v>1</x:v>
      </x:c>
      <x:c r="L763" s="82" t="n">
        <x:v>1</x:v>
      </x:c>
      <x:c r="M763" s="67" t="n">
        <x:v>1</x:v>
      </x:c>
      <x:c r="N763" s="181" t="n">
        <x:v>1</x:v>
      </x:c>
      <x:c r="O763" s="67" t="n">
        <x:v>1</x:v>
      </x:c>
    </x:row>
    <x:row r="764" ht="24" customHeight="1">
      <x:c r="A764" s="65" t="n">
        <x:v>595</x:v>
      </x:c>
      <x:c r="B764" s="65" t="str">
        <x:v>拉瓜伊拉体育（Deportivo La Guaira）</x:v>
      </x:c>
      <x:c r="C764" s="82" t="n">
        <x:v>2</x:v>
      </x:c>
      <x:c r="D764" s="82" t="n">
        <x:v>2</x:v>
      </x:c>
      <x:c r="E764" s="67" t="n">
        <x:v>1</x:v>
      </x:c>
      <x:c r="F764" s="181" t="n">
        <x:v>0.5</x:v>
      </x:c>
      <x:c r="G764" s="67" t="n">
        <x:v>0.5</x:v>
      </x:c>
      <x:c r="H764"/>
      <x:c r="I764" s="65" t="n">
        <x:v>595</x:v>
      </x:c>
      <x:c r="J764" s="65" t="str">
        <x:v>黑德堡联（Heidelberg Utd）</x:v>
      </x:c>
      <x:c r="K764" s="82" t="n">
        <x:v>1</x:v>
      </x:c>
      <x:c r="L764" s="82" t="n">
        <x:v>1</x:v>
      </x:c>
      <x:c r="M764" s="67" t="n">
        <x:v>1</x:v>
      </x:c>
      <x:c r="N764" s="181" t="n">
        <x:v>1</x:v>
      </x:c>
      <x:c r="O764" s="67" t="n">
        <x:v>1</x:v>
      </x:c>
    </x:row>
    <x:row r="765" ht="24" customHeight="1">
      <x:c r="A765" s="65" t="n">
        <x:v>596</x:v>
      </x:c>
      <x:c r="B765" s="65" t="str">
        <x:v>斯托克城（Stoke City）</x:v>
      </x:c>
      <x:c r="C765" s="82" t="n">
        <x:v>4</x:v>
      </x:c>
      <x:c r="D765" s="82" t="n">
        <x:v>4</x:v>
      </x:c>
      <x:c r="E765" s="67" t="n">
        <x:v>1</x:v>
      </x:c>
      <x:c r="F765" s="181" t="n">
        <x:v>0.5</x:v>
      </x:c>
      <x:c r="G765" s="67" t="n">
        <x:v>0.25</x:v>
      </x:c>
      <x:c r="H765"/>
      <x:c r="I765" s="65" t="n">
        <x:v>596</x:v>
      </x:c>
      <x:c r="J765" s="65" t="str">
        <x:v>黑镇市（Blacktown City FC）</x:v>
      </x:c>
      <x:c r="K765" s="82" t="n">
        <x:v>1</x:v>
      </x:c>
      <x:c r="L765" s="82" t="n">
        <x:v>1</x:v>
      </x:c>
      <x:c r="M765" s="67" t="n">
        <x:v>1</x:v>
      </x:c>
      <x:c r="N765" s="181" t="n">
        <x:v>1</x:v>
      </x:c>
      <x:c r="O765" s="67" t="n">
        <x:v>1</x:v>
      </x:c>
    </x:row>
    <x:row r="766" ht="24" customHeight="1">
      <x:c r="A766" s="65" t="n">
        <x:v>597</x:v>
      </x:c>
      <x:c r="B766" s="65" t="str">
        <x:v>新南威尔士精神（NWS Spirit FC）</x:v>
      </x:c>
      <x:c r="C766" s="82" t="n">
        <x:v>2</x:v>
      </x:c>
      <x:c r="D766" s="82" t="n">
        <x:v>2</x:v>
      </x:c>
      <x:c r="E766" s="67" t="n">
        <x:v>1</x:v>
      </x:c>
      <x:c r="F766" s="181" t="n">
        <x:v>0.5</x:v>
      </x:c>
      <x:c r="G766" s="67" t="n">
        <x:v>0.5</x:v>
      </x:c>
      <x:c r="H766"/>
      <x:c r="I766" s="65" t="n">
        <x:v>597</x:v>
      </x:c>
      <x:c r="J766" s="65" t="str">
        <x:v>墨尔本城青年队（Melbourne City II/U21）</x:v>
      </x:c>
      <x:c r="K766" s="82" t="n">
        <x:v>1</x:v>
      </x:c>
      <x:c r="L766" s="82" t="n">
        <x:v>1</x:v>
      </x:c>
      <x:c r="M766" s="67" t="n">
        <x:v>1</x:v>
      </x:c>
      <x:c r="N766" s="181" t="n">
        <x:v>1</x:v>
      </x:c>
      <x:c r="O766" s="67" t="n">
        <x:v>1</x:v>
      </x:c>
    </x:row>
    <x:row r="767" ht="24" customHeight="1">
      <x:c r="A767" s="65" t="n">
        <x:v>598</x:v>
      </x:c>
      <x:c r="B767" s="65" t="str">
        <x:v>旁遮普</x:v>
      </x:c>
      <x:c r="C767" s="82" t="n">
        <x:v>2</x:v>
      </x:c>
      <x:c r="D767" s="82" t="n">
        <x:v>2</x:v>
      </x:c>
      <x:c r="E767" s="67" t="n">
        <x:v>1</x:v>
      </x:c>
      <x:c r="F767" s="181" t="n">
        <x:v>0.5</x:v>
      </x:c>
      <x:c r="G767" s="67" t="n">
        <x:v>0.5</x:v>
      </x:c>
      <x:c r="H767"/>
      <x:c r="I767" s="65" t="n">
        <x:v>598</x:v>
      </x:c>
      <x:c r="J767" s="65" t="str">
        <x:v>墨尔本塞尔维亚（FC Melbourne Srbija）</x:v>
      </x:c>
      <x:c r="K767" s="82" t="n">
        <x:v>1</x:v>
      </x:c>
      <x:c r="L767" s="82" t="n">
        <x:v>1</x:v>
      </x:c>
      <x:c r="M767" s="67" t="n">
        <x:v>1</x:v>
      </x:c>
      <x:c r="N767" s="181" t="n">
        <x:v>1</x:v>
      </x:c>
      <x:c r="O767" s="67" t="n">
        <x:v>1</x:v>
      </x:c>
    </x:row>
    <x:row r="768" ht="24" customHeight="1">
      <x:c r="A768" s="65" t="n">
        <x:v>599</x:v>
      </x:c>
      <x:c r="B768" s="65" t="str">
        <x:v>普雷斯顿狮子（Preston Lions）</x:v>
      </x:c>
      <x:c r="C768" s="82" t="n">
        <x:v>4</x:v>
      </x:c>
      <x:c r="D768" s="82" t="n">
        <x:v>4</x:v>
      </x:c>
      <x:c r="E768" s="67" t="n">
        <x:v>1</x:v>
      </x:c>
      <x:c r="F768" s="181" t="n">
        <x:v>0.5</x:v>
      </x:c>
      <x:c r="G768" s="67" t="n">
        <x:v>0.25</x:v>
      </x:c>
      <x:c r="H768"/>
      <x:c r="I768" s="65" t="n">
        <x:v>599</x:v>
      </x:c>
      <x:c r="J768" s="65" t="str">
        <x:v>墨尔本塞尔维亚U23（FC Melbourne Srbija U23）</x:v>
      </x:c>
      <x:c r="K768" s="82" t="n">
        <x:v>1</x:v>
      </x:c>
      <x:c r="L768" s="82" t="n">
        <x:v>1</x:v>
      </x:c>
      <x:c r="M768" s="67" t="n">
        <x:v>1</x:v>
      </x:c>
      <x:c r="N768" s="181" t="n">
        <x:v>1</x:v>
      </x:c>
      <x:c r="O768" s="67" t="n">
        <x:v>1</x:v>
      </x:c>
    </x:row>
    <x:row r="769" ht="24" customHeight="1">
      <x:c r="A769" s="65" t="n">
        <x:v>600</x:v>
      </x:c>
      <x:c r="B769" s="65" t="str">
        <x:v>本菲卡（Benfica）</x:v>
      </x:c>
      <x:c r="C769" s="82" t="n">
        <x:v>2</x:v>
      </x:c>
      <x:c r="D769" s="82" t="n">
        <x:v>2</x:v>
      </x:c>
      <x:c r="E769" s="67" t="n">
        <x:v>1</x:v>
      </x:c>
      <x:c r="F769" s="181" t="n">
        <x:v>0.5</x:v>
      </x:c>
      <x:c r="G769" s="67" t="n">
        <x:v>0.5</x:v>
      </x:c>
      <x:c r="H769"/>
      <x:c r="I769" s="65" t="n">
        <x:v>600</x:v>
      </x:c>
      <x:c r="J769" s="65" t="str">
        <x:v>墨尔本港鲨鱼（Port Melbourne Sharks）</x:v>
      </x:c>
      <x:c r="K769" s="82" t="n">
        <x:v>1</x:v>
      </x:c>
      <x:c r="L769" s="82" t="n">
        <x:v>1</x:v>
      </x:c>
      <x:c r="M769" s="67" t="n">
        <x:v>1</x:v>
      </x:c>
      <x:c r="N769" s="181" t="n">
        <x:v>1</x:v>
      </x:c>
      <x:c r="O769" s="67" t="n">
        <x:v>1</x:v>
      </x:c>
    </x:row>
    <x:row r="770" ht="24" customHeight="1">
      <x:c r="A770" s="65" t="n">
        <x:v>601</x:v>
      </x:c>
      <x:c r="B770" s="65" t="str">
        <x:v>查尔顿（Charlton Athletic）</x:v>
      </x:c>
      <x:c r="C770" s="82" t="n">
        <x:v>2</x:v>
      </x:c>
      <x:c r="D770" s="82" t="n">
        <x:v>2</x:v>
      </x:c>
      <x:c r="E770" s="67" t="n">
        <x:v>1</x:v>
      </x:c>
      <x:c r="F770" s="181" t="n">
        <x:v>0.5</x:v>
      </x:c>
      <x:c r="G770" s="67" t="n">
        <x:v>0.5</x:v>
      </x:c>
      <x:c r="H770"/>
      <x:c r="I770" s="65" t="n">
        <x:v>601</x:v>
      </x:c>
      <x:c r="J770" s="65" t="str">
        <x:v>墨尔本胜利青年队（Melbourne Victory U21）</x:v>
      </x:c>
      <x:c r="K770" s="82" t="n">
        <x:v>1</x:v>
      </x:c>
      <x:c r="L770" s="82" t="n">
        <x:v>1</x:v>
      </x:c>
      <x:c r="M770" s="67" t="n">
        <x:v>1</x:v>
      </x:c>
      <x:c r="N770" s="181" t="n">
        <x:v>1</x:v>
      </x:c>
      <x:c r="O770" s="67" t="n">
        <x:v>1</x:v>
      </x:c>
    </x:row>
    <x:row r="771" ht="24" customHeight="1">
      <x:c r="A771" s="65" t="n">
        <x:v>602</x:v>
      </x:c>
      <x:c r="B771" s="65" t="str">
        <x:v>格林古利</x:v>
      </x:c>
      <x:c r="C771" s="82" t="n">
        <x:v>4</x:v>
      </x:c>
      <x:c r="D771" s="82" t="n">
        <x:v>4</x:v>
      </x:c>
      <x:c r="E771" s="67" t="n">
        <x:v>1</x:v>
      </x:c>
      <x:c r="F771" s="181" t="n">
        <x:v>0.5</x:v>
      </x:c>
      <x:c r="G771" s="67" t="n">
        <x:v>0.25</x:v>
      </x:c>
      <x:c r="H771"/>
      <x:c r="I771" s="65" t="n">
        <x:v>602</x:v>
      </x:c>
      <x:c r="J771" s="65" t="str">
        <x:v>墨尔本骑士（Melbourne Knights）</x:v>
      </x:c>
      <x:c r="K771" s="82" t="n">
        <x:v>1</x:v>
      </x:c>
      <x:c r="L771" s="82" t="n">
        <x:v>1</x:v>
      </x:c>
      <x:c r="M771" s="67" t="n">
        <x:v>1</x:v>
      </x:c>
      <x:c r="N771" s="181" t="n">
        <x:v>1</x:v>
      </x:c>
      <x:c r="O771" s="67" t="n">
        <x:v>1</x:v>
      </x:c>
    </x:row>
    <x:row r="772" ht="24" customHeight="1">
      <x:c r="A772" s="65" t="n">
        <x:v>603</x:v>
      </x:c>
      <x:c r="B772" s="65" t="str">
        <x:v>欧克莱卡诺</x:v>
      </x:c>
      <x:c r="C772" s="82" t="n">
        <x:v>4</x:v>
      </x:c>
      <x:c r="D772" s="82" t="n">
        <x:v>4</x:v>
      </x:c>
      <x:c r="E772" s="67" t="n">
        <x:v>1</x:v>
      </x:c>
      <x:c r="F772" s="181" t="n">
        <x:v>0.5</x:v>
      </x:c>
      <x:c r="G772" s="67" t="n">
        <x:v>0.25</x:v>
      </x:c>
      <x:c r="H772"/>
      <x:c r="I772" s="65" t="n">
        <x:v>603</x:v>
      </x:c>
      <x:c r="J772" s="65" t="str">
        <x:v>圣路易斯竞技</x:v>
      </x:c>
      <x:c r="K772" s="82" t="n">
        <x:v>4</x:v>
      </x:c>
      <x:c r="L772" s="82" t="n">
        <x:v>4</x:v>
      </x:c>
      <x:c r="M772" s="67" t="n">
        <x:v>1</x:v>
      </x:c>
      <x:c r="N772" s="181" t="n">
        <x:v>0.75</x:v>
      </x:c>
      <x:c r="O772" s="67" t="n">
        <x:v>0.25</x:v>
      </x:c>
    </x:row>
    <x:row r="773" ht="24" customHeight="1">
      <x:c r="A773" s="65" t="n">
        <x:v>604</x:v>
      </x:c>
      <x:c r="B773" s="65" t="str">
        <x:v>清奈泰坦（Chennaiyin FC）</x:v>
      </x:c>
      <x:c r="C773" s="82" t="n">
        <x:v>4</x:v>
      </x:c>
      <x:c r="D773" s="82" t="n">
        <x:v>4</x:v>
      </x:c>
      <x:c r="E773" s="67" t="n">
        <x:v>1</x:v>
      </x:c>
      <x:c r="F773" s="181" t="n">
        <x:v>0.5</x:v>
      </x:c>
      <x:c r="G773" s="67" t="n">
        <x:v>0.25</x:v>
      </x:c>
      <x:c r="H773"/>
      <x:c r="I773" s="65" t="n">
        <x:v>604</x:v>
      </x:c>
      <x:c r="J773" s="65" t="str">
        <x:v>布卡拉曼加</x:v>
      </x:c>
      <x:c r="K773" s="82" t="n">
        <x:v>4</x:v>
      </x:c>
      <x:c r="L773" s="82" t="n">
        <x:v>4</x:v>
      </x:c>
      <x:c r="M773" s="67" t="n">
        <x:v>1</x:v>
      </x:c>
      <x:c r="N773" s="181" t="n">
        <x:v>0.75</x:v>
      </x:c>
      <x:c r="O773" s="67" t="n">
        <x:v>0.25</x:v>
      </x:c>
    </x:row>
    <x:row r="774" ht="24" customHeight="1">
      <x:c r="A774" s="65" t="n">
        <x:v>605</x:v>
      </x:c>
      <x:c r="B774" s="65" t="str">
        <x:v>班加罗尔FC</x:v>
      </x:c>
      <x:c r="C774" s="82" t="n">
        <x:v>2</x:v>
      </x:c>
      <x:c r="D774" s="82" t="n">
        <x:v>2</x:v>
      </x:c>
      <x:c r="E774" s="67" t="n">
        <x:v>1</x:v>
      </x:c>
      <x:c r="F774" s="181" t="n">
        <x:v>0.5</x:v>
      </x:c>
      <x:c r="G774" s="67" t="n">
        <x:v>0.5</x:v>
      </x:c>
      <x:c r="H774"/>
      <x:c r="I774" s="65" t="n">
        <x:v>605</x:v>
      </x:c>
      <x:c r="J774" s="65" t="str">
        <x:v>神户胜利船（Vissel Kobe）</x:v>
      </x:c>
      <x:c r="K774" s="82" t="n">
        <x:v>4</x:v>
      </x:c>
      <x:c r="L774" s="82" t="n">
        <x:v>4</x:v>
      </x:c>
      <x:c r="M774" s="67" t="n">
        <x:v>1</x:v>
      </x:c>
      <x:c r="N774" s="181" t="n">
        <x:v>0.75</x:v>
      </x:c>
      <x:c r="O774" s="67" t="n">
        <x:v>0.25</x:v>
      </x:c>
    </x:row>
    <x:row r="775" ht="24" customHeight="1">
      <x:c r="A775" s="65" t="n">
        <x:v>606</x:v>
      </x:c>
      <x:c r="B775" s="65" t="str">
        <x:v>秋田蓝色闪电</x:v>
      </x:c>
      <x:c r="C775" s="82" t="n">
        <x:v>8</x:v>
      </x:c>
      <x:c r="D775" s="82" t="n">
        <x:v>8</x:v>
      </x:c>
      <x:c r="E775" s="67" t="n">
        <x:v>1</x:v>
      </x:c>
      <x:c r="F775" s="181" t="n">
        <x:v>0.5</x:v>
      </x:c>
      <x:c r="G775" s="67" t="n">
        <x:v>0.125</x:v>
      </x:c>
      <x:c r="H775"/>
      <x:c r="I775" s="65" t="n">
        <x:v>606</x:v>
      </x:c>
      <x:c r="J775" s="65" t="str">
        <x:v>东北联（NorthEast United FC）</x:v>
      </x:c>
      <x:c r="K775" s="82" t="n">
        <x:v>3</x:v>
      </x:c>
      <x:c r="L775" s="82" t="n">
        <x:v>3</x:v>
      </x:c>
      <x:c r="M775" s="67" t="n">
        <x:v>1</x:v>
      </x:c>
      <x:c r="N775" s="181" t="n">
        <x:v>0.6666666666666666</x:v>
      </x:c>
      <x:c r="O775" s="67" t="n">
        <x:v>0.3333333333333333</x:v>
      </x:c>
    </x:row>
    <x:row r="776" ht="24" customHeight="1">
      <x:c r="A776" s="65" t="n">
        <x:v>607</x:v>
      </x:c>
      <x:c r="B776" s="65" t="str">
        <x:v>詹谢普尔</x:v>
      </x:c>
      <x:c r="C776" s="82" t="n">
        <x:v>2</x:v>
      </x:c>
      <x:c r="D776" s="82" t="n">
        <x:v>2</x:v>
      </x:c>
      <x:c r="E776" s="67" t="n">
        <x:v>1</x:v>
      </x:c>
      <x:c r="F776" s="181" t="n">
        <x:v>0.5</x:v>
      </x:c>
      <x:c r="G776" s="67" t="n">
        <x:v>0.5</x:v>
      </x:c>
      <x:c r="H776"/>
      <x:c r="I776" s="65" t="n">
        <x:v>607</x:v>
      </x:c>
      <x:c r="J776" s="65" t="str">
        <x:v>代格福什（Degerfors IF）</x:v>
      </x:c>
      <x:c r="K776" s="82" t="n">
        <x:v>3</x:v>
      </x:c>
      <x:c r="L776" s="82" t="n">
        <x:v>3</x:v>
      </x:c>
      <x:c r="M776" s="67" t="n">
        <x:v>1</x:v>
      </x:c>
      <x:c r="N776" s="181" t="n">
        <x:v>0.6666666666666666</x:v>
      </x:c>
      <x:c r="O776" s="67" t="n">
        <x:v>0.3333333333333333</x:v>
      </x:c>
    </x:row>
    <x:row r="777" ht="24" customHeight="1">
      <x:c r="A777" s="65" t="n">
        <x:v>608</x:v>
      </x:c>
      <x:c r="B777" s="65" t="str">
        <x:v>诺丁汉森林</x:v>
      </x:c>
      <x:c r="C777" s="82" t="n">
        <x:v>2</x:v>
      </x:c>
      <x:c r="D777" s="82" t="n">
        <x:v>2</x:v>
      </x:c>
      <x:c r="E777" s="67" t="n">
        <x:v>1</x:v>
      </x:c>
      <x:c r="F777" s="181" t="n">
        <x:v>0.5</x:v>
      </x:c>
      <x:c r="G777" s="67" t="n">
        <x:v>0.5</x:v>
      </x:c>
      <x:c r="H777"/>
      <x:c r="I777" s="65" t="n">
        <x:v>608</x:v>
      </x:c>
      <x:c r="J777" s="65" t="str">
        <x:v>休城（Hume City FC）</x:v>
      </x:c>
      <x:c r="K777" s="82" t="n">
        <x:v>3</x:v>
      </x:c>
      <x:c r="L777" s="82" t="n">
        <x:v>3</x:v>
      </x:c>
      <x:c r="M777" s="67" t="n">
        <x:v>1</x:v>
      </x:c>
      <x:c r="N777" s="181" t="n">
        <x:v>0.6666666666666666</x:v>
      </x:c>
      <x:c r="O777" s="67" t="n">
        <x:v>0.3333333333333333</x:v>
      </x:c>
    </x:row>
    <x:row r="778" ht="24" customHeight="1">
      <x:c r="A778" s="65" t="n">
        <x:v>609</x:v>
      </x:c>
      <x:c r="B778" s="65" t="str">
        <x:v>辽宁铁人</x:v>
      </x:c>
      <x:c r="C778" s="82" t="n">
        <x:v>2</x:v>
      </x:c>
      <x:c r="D778" s="82" t="n">
        <x:v>2</x:v>
      </x:c>
      <x:c r="E778" s="67" t="n">
        <x:v>1</x:v>
      </x:c>
      <x:c r="F778" s="181" t="n">
        <x:v>0.5</x:v>
      </x:c>
      <x:c r="G778" s="67" t="n">
        <x:v>0.5</x:v>
      </x:c>
      <x:c r="H778"/>
      <x:c r="I778" s="65" t="n">
        <x:v>609</x:v>
      </x:c>
      <x:c r="J778" s="65" t="str">
        <x:v>克雷莫纳（Cremonese）</x:v>
      </x:c>
      <x:c r="K778" s="82" t="n">
        <x:v>3</x:v>
      </x:c>
      <x:c r="L778" s="82" t="n">
        <x:v>3</x:v>
      </x:c>
      <x:c r="M778" s="67" t="n">
        <x:v>1</x:v>
      </x:c>
      <x:c r="N778" s="181" t="n">
        <x:v>0.6666666666666666</x:v>
      </x:c>
      <x:c r="O778" s="67" t="n">
        <x:v>0.3333333333333333</x:v>
      </x:c>
    </x:row>
    <x:row r="779" ht="24" customHeight="1">
      <x:c r="A779" s="65" t="n">
        <x:v>610</x:v>
      </x:c>
      <x:c r="B779" s="65" t="str">
        <x:v>迈阿密国际</x:v>
      </x:c>
      <x:c r="C779" s="82" t="n">
        <x:v>2</x:v>
      </x:c>
      <x:c r="D779" s="82" t="n">
        <x:v>2</x:v>
      </x:c>
      <x:c r="E779" s="67" t="n">
        <x:v>1</x:v>
      </x:c>
      <x:c r="F779" s="181" t="n">
        <x:v>0.5</x:v>
      </x:c>
      <x:c r="G779" s="67" t="n">
        <x:v>0.5</x:v>
      </x:c>
      <x:c r="H779"/>
      <x:c r="I779" s="65" t="n">
        <x:v>610</x:v>
      </x:c>
      <x:c r="J779" s="65" t="str">
        <x:v>内卡萨（Necaxa）</x:v>
      </x:c>
      <x:c r="K779" s="82" t="n">
        <x:v>3</x:v>
      </x:c>
      <x:c r="L779" s="82" t="n">
        <x:v>3</x:v>
      </x:c>
      <x:c r="M779" s="67" t="n">
        <x:v>1</x:v>
      </x:c>
      <x:c r="N779" s="181" t="n">
        <x:v>0.6666666666666666</x:v>
      </x:c>
      <x:c r="O779" s="67" t="n">
        <x:v>0.3333333333333333</x:v>
      </x:c>
    </x:row>
    <x:row r="780" ht="24" customHeight="1">
      <x:c r="A780" s="65" t="n">
        <x:v>611</x:v>
      </x:c>
      <x:c r="B780" s="65" t="str">
        <x:v>门多萨独立（Independiente Rivadavia）</x:v>
      </x:c>
      <x:c r="C780" s="82" t="n">
        <x:v>6</x:v>
      </x:c>
      <x:c r="D780" s="82" t="n">
        <x:v>6</x:v>
      </x:c>
      <x:c r="E780" s="67" t="n">
        <x:v>1</x:v>
      </x:c>
      <x:c r="F780" s="181" t="n">
        <x:v>0.5</x:v>
      </x:c>
      <x:c r="G780" s="67" t="n">
        <x:v>0.16666666666666666</x:v>
      </x:c>
      <x:c r="H780"/>
      <x:c r="I780" s="65" t="n">
        <x:v>611</x:v>
      </x:c>
      <x:c r="J780" s="65" t="str">
        <x:v>南安普顿（Southampton）</x:v>
      </x:c>
      <x:c r="K780" s="82" t="n">
        <x:v>3</x:v>
      </x:c>
      <x:c r="L780" s="82" t="n">
        <x:v>3</x:v>
      </x:c>
      <x:c r="M780" s="67" t="n">
        <x:v>1</x:v>
      </x:c>
      <x:c r="N780" s="181" t="n">
        <x:v>0.6666666666666666</x:v>
      </x:c>
      <x:c r="O780" s="67" t="n">
        <x:v>0.3333333333333333</x:v>
      </x:c>
    </x:row>
    <x:row r="781" ht="24" customHeight="1">
      <x:c r="A781" s="65" t="n">
        <x:v>612</x:v>
      </x:c>
      <x:c r="B781" s="65" t="str">
        <x:v>阿雷马（Arema FC）</x:v>
      </x:c>
      <x:c r="C781" s="82" t="n">
        <x:v>6</x:v>
      </x:c>
      <x:c r="D781" s="82" t="n">
        <x:v>6</x:v>
      </x:c>
      <x:c r="E781" s="67" t="n">
        <x:v>1</x:v>
      </x:c>
      <x:c r="F781" s="181" t="n">
        <x:v>0.5</x:v>
      </x:c>
      <x:c r="G781" s="67" t="n">
        <x:v>0.16666666666666666</x:v>
      </x:c>
      <x:c r="H781"/>
      <x:c r="I781" s="65" t="n">
        <x:v>612</x:v>
      </x:c>
      <x:c r="J781" s="65" t="str">
        <x:v>南墨尔本（South Melbourne FC）</x:v>
      </x:c>
      <x:c r="K781" s="82" t="n">
        <x:v>3</x:v>
      </x:c>
      <x:c r="L781" s="82" t="n">
        <x:v>3</x:v>
      </x:c>
      <x:c r="M781" s="67" t="n">
        <x:v>1</x:v>
      </x:c>
      <x:c r="N781" s="181" t="n">
        <x:v>0.6666666666666666</x:v>
      </x:c>
      <x:c r="O781" s="67" t="n">
        <x:v>0.3333333333333333</x:v>
      </x:c>
    </x:row>
    <x:row r="782" ht="24" customHeight="1">
      <x:c r="A782" s="65" t="n">
        <x:v>613</x:v>
      </x:c>
      <x:c r="B782" s="65" t="str">
        <x:v>墨西哥美洲（Club América）</x:v>
      </x:c>
      <x:c r="C782" s="82" t="n">
        <x:v>6</x:v>
      </x:c>
      <x:c r="D782" s="82" t="n">
        <x:v>6</x:v>
      </x:c>
      <x:c r="E782" s="67" t="n">
        <x:v>1</x:v>
      </x:c>
      <x:c r="F782" s="181" t="n">
        <x:v>0.5</x:v>
      </x:c>
      <x:c r="G782" s="67" t="n">
        <x:v>0.16666666666666666</x:v>
      </x:c>
      <x:c r="H782"/>
      <x:c r="I782" s="65" t="n">
        <x:v>613</x:v>
      </x:c>
      <x:c r="J782" s="65" t="str">
        <x:v>卡尔斯鲁厄（Karlsruher SC）</x:v>
      </x:c>
      <x:c r="K782" s="82" t="n">
        <x:v>3</x:v>
      </x:c>
      <x:c r="L782" s="82" t="n">
        <x:v>3</x:v>
      </x:c>
      <x:c r="M782" s="67" t="n">
        <x:v>1</x:v>
      </x:c>
      <x:c r="N782" s="181" t="n">
        <x:v>0.6666666666666666</x:v>
      </x:c>
      <x:c r="O782" s="67" t="n">
        <x:v>0.3333333333333333</x:v>
      </x:c>
    </x:row>
    <x:row r="783" ht="24" customHeight="1">
      <x:c r="A783" s="65" t="n">
        <x:v>614</x:v>
      </x:c>
      <x:c r="B783" s="65" t="str">
        <x:v>波鸿（VfL Bochum）</x:v>
      </x:c>
      <x:c r="C783" s="82" t="n">
        <x:v>4</x:v>
      </x:c>
      <x:c r="D783" s="82" t="n">
        <x:v>3</x:v>
      </x:c>
      <x:c r="E783" s="67" t="n">
        <x:v>1</x:v>
      </x:c>
      <x:c r="F783" s="181" t="n">
        <x:v>0.3333333333333333</x:v>
      </x:c>
      <x:c r="G783" s="67" t="n">
        <x:v>0.3333333333333333</x:v>
      </x:c>
      <x:c r="H783"/>
      <x:c r="I783" s="65" t="n">
        <x:v>614</x:v>
      </x:c>
      <x:c r="J783" s="65" t="str">
        <x:v>厄瓜多尔</x:v>
      </x:c>
      <x:c r="K783" s="82" t="n">
        <x:v>3</x:v>
      </x:c>
      <x:c r="L783" s="82" t="n">
        <x:v>3</x:v>
      </x:c>
      <x:c r="M783" s="67" t="n">
        <x:v>1</x:v>
      </x:c>
      <x:c r="N783" s="181" t="n">
        <x:v>0.6666666666666666</x:v>
      </x:c>
      <x:c r="O783" s="67" t="n">
        <x:v>0.3333333333333333</x:v>
      </x:c>
    </x:row>
    <x:row r="784" ht="24" customHeight="1">
      <x:c r="A784" s="65" t="n">
        <x:v>615</x:v>
      </x:c>
      <x:c r="B784" s="65" t="str">
        <x:v>鹿岛鹿角（Kashima Antlers）</x:v>
      </x:c>
      <x:c r="C784" s="82" t="n">
        <x:v>3</x:v>
      </x:c>
      <x:c r="D784" s="82" t="n">
        <x:v>3</x:v>
      </x:c>
      <x:c r="E784" s="67" t="n">
        <x:v>1</x:v>
      </x:c>
      <x:c r="F784" s="181" t="n">
        <x:v>0.3333333333333333</x:v>
      </x:c>
      <x:c r="G784" s="67" t="n">
        <x:v>0.3333333333333333</x:v>
      </x:c>
      <x:c r="H784"/>
      <x:c r="I784" s="65" t="n">
        <x:v>615</x:v>
      </x:c>
      <x:c r="J784" s="65" t="str">
        <x:v>喀什国际（Inter Kashi FC）</x:v>
      </x:c>
      <x:c r="K784" s="82" t="n">
        <x:v>3</x:v>
      </x:c>
      <x:c r="L784" s="82" t="n">
        <x:v>3</x:v>
      </x:c>
      <x:c r="M784" s="67" t="n">
        <x:v>1</x:v>
      </x:c>
      <x:c r="N784" s="181" t="n">
        <x:v>0.6666666666666666</x:v>
      </x:c>
      <x:c r="O784" s="67" t="n">
        <x:v>0.3333333333333333</x:v>
      </x:c>
    </x:row>
    <x:row r="785" ht="24" customHeight="1">
      <x:c r="A785" s="65" t="n">
        <x:v>616</x:v>
      </x:c>
      <x:c r="B785" s="65" t="str">
        <x:v>伊蒂哈德（Al-Ittihad）</x:v>
      </x:c>
      <x:c r="C785" s="82" t="n">
        <x:v>1</x:v>
      </x:c>
      <x:c r="D785" s="82" t="n">
        <x:v>1</x:v>
      </x:c>
      <x:c r="E785" s="67" t="n">
        <x:v>0.5</x:v>
      </x:c>
      <x:c r="F785" s="181" t="n">
        <x:v>1</x:v>
      </x:c>
      <x:c r="G785" s="67" t="n">
        <x:v>0.5</x:v>
      </x:c>
      <x:c r="H785"/>
      <x:c r="I785" s="65" t="n">
        <x:v>616</x:v>
      </x:c>
      <x:c r="J785" s="65" t="str">
        <x:v>喀拉拉爆破手</x:v>
      </x:c>
      <x:c r="K785" s="82" t="n">
        <x:v>3</x:v>
      </x:c>
      <x:c r="L785" s="82" t="n">
        <x:v>3</x:v>
      </x:c>
      <x:c r="M785" s="67" t="n">
        <x:v>1</x:v>
      </x:c>
      <x:c r="N785" s="181" t="n">
        <x:v>0.6666666666666666</x:v>
      </x:c>
      <x:c r="O785" s="67" t="n">
        <x:v>0.3333333333333333</x:v>
      </x:c>
    </x:row>
    <x:row r="786" ht="24" customHeight="1">
      <x:c r="A786" s="65" t="n">
        <x:v>617</x:v>
      </x:c>
      <x:c r="B786" s="65" t="str">
        <x:v>休姆城(Hume City)</x:v>
      </x:c>
      <x:c r="C786" s="82" t="n">
        <x:v>1</x:v>
      </x:c>
      <x:c r="D786" s="82" t="n">
        <x:v>1</x:v>
      </x:c>
      <x:c r="E786" s="67" t="n">
        <x:v>0.5</x:v>
      </x:c>
      <x:c r="F786" s="181" t="n">
        <x:v>1</x:v>
      </x:c>
      <x:c r="G786" s="67" t="n">
        <x:v>0.5</x:v>
      </x:c>
      <x:c r="H786"/>
      <x:c r="I786" s="65" t="n">
        <x:v>617</x:v>
      </x:c>
      <x:c r="J786" s="65" t="str">
        <x:v>国际米兰</x:v>
      </x:c>
      <x:c r="K786" s="82" t="n">
        <x:v>3</x:v>
      </x:c>
      <x:c r="L786" s="82" t="n">
        <x:v>3</x:v>
      </x:c>
      <x:c r="M786" s="67" t="n">
        <x:v>1</x:v>
      </x:c>
      <x:c r="N786" s="181" t="n">
        <x:v>0.6666666666666666</x:v>
      </x:c>
      <x:c r="O786" s="67" t="n">
        <x:v>0.3333333333333333</x:v>
      </x:c>
    </x:row>
    <x:row r="787" ht="24" customHeight="1">
      <x:c r="A787" s="65" t="n">
        <x:v>618</x:v>
      </x:c>
      <x:c r="B787" s="65" t="str">
        <x:v>伯明翰（Birmingham City）</x:v>
      </x:c>
      <x:c r="C787" s="82" t="n">
        <x:v>1</x:v>
      </x:c>
      <x:c r="D787" s="82" t="n">
        <x:v>1</x:v>
      </x:c>
      <x:c r="E787" s="67" t="n">
        <x:v>0.5</x:v>
      </x:c>
      <x:c r="F787" s="181" t="n">
        <x:v>1</x:v>
      </x:c>
      <x:c r="G787" s="67" t="n">
        <x:v>0.5</x:v>
      </x:c>
      <x:c r="H787"/>
      <x:c r="I787" s="65" t="n">
        <x:v>618</x:v>
      </x:c>
      <x:c r="J787" s="65" t="str">
        <x:v>圣塔菲独立</x:v>
      </x:c>
      <x:c r="K787" s="82" t="n">
        <x:v>3</x:v>
      </x:c>
      <x:c r="L787" s="82" t="n">
        <x:v>3</x:v>
      </x:c>
      <x:c r="M787" s="67" t="n">
        <x:v>1</x:v>
      </x:c>
      <x:c r="N787" s="181" t="n">
        <x:v>0.6666666666666666</x:v>
      </x:c>
      <x:c r="O787" s="67" t="n">
        <x:v>0.3333333333333333</x:v>
      </x:c>
    </x:row>
    <x:row r="788" ht="24" customHeight="1">
      <x:c r="A788" s="65" t="n">
        <x:v>619</x:v>
      </x:c>
      <x:c r="B788" s="65" t="str">
        <x:v>佩西贾普杰帕拉</x:v>
      </x:c>
      <x:c r="C788" s="82" t="n">
        <x:v>1</x:v>
      </x:c>
      <x:c r="D788" s="82" t="n">
        <x:v>1</x:v>
      </x:c>
      <x:c r="E788" s="67" t="n">
        <x:v>0.5</x:v>
      </x:c>
      <x:c r="F788" s="181" t="n">
        <x:v>1</x:v>
      </x:c>
      <x:c r="G788" s="67" t="n">
        <x:v>0.5</x:v>
      </x:c>
      <x:c r="H788"/>
      <x:c r="I788" s="65" t="n">
        <x:v>619</x:v>
      </x:c>
      <x:c r="J788" s="65" t="str">
        <x:v>圣塔菲独立（Independiente Santa Fe）</x:v>
      </x:c>
      <x:c r="K788" s="82" t="n">
        <x:v>3</x:v>
      </x:c>
      <x:c r="L788" s="82" t="n">
        <x:v>3</x:v>
      </x:c>
      <x:c r="M788" s="67" t="n">
        <x:v>1</x:v>
      </x:c>
      <x:c r="N788" s="181" t="n">
        <x:v>0.6666666666666666</x:v>
      </x:c>
      <x:c r="O788" s="67" t="n">
        <x:v>0.3333333333333333</x:v>
      </x:c>
    </x:row>
    <x:row r="789" ht="24" customHeight="1">
      <x:c r="A789" s="65" t="n">
        <x:v>620</x:v>
      </x:c>
      <x:c r="B789" s="65" t="str">
        <x:v>利斯特雷竞技</x:v>
      </x:c>
      <x:c r="C789" s="82" t="n">
        <x:v>1</x:v>
      </x:c>
      <x:c r="D789" s="82" t="n">
        <x:v>1</x:v>
      </x:c>
      <x:c r="E789" s="67" t="n">
        <x:v>0.5</x:v>
      </x:c>
      <x:c r="F789" s="181" t="n">
        <x:v>1</x:v>
      </x:c>
      <x:c r="G789" s="67" t="n">
        <x:v>0.5</x:v>
      </x:c>
      <x:c r="H789"/>
      <x:c r="I789" s="65" t="n">
        <x:v>620</x:v>
      </x:c>
      <x:c r="J789" s="65" t="str">
        <x:v>布兰（SK Brann）</x:v>
      </x:c>
      <x:c r="K789" s="82" t="n">
        <x:v>3</x:v>
      </x:c>
      <x:c r="L789" s="82" t="n">
        <x:v>3</x:v>
      </x:c>
      <x:c r="M789" s="67" t="n">
        <x:v>1</x:v>
      </x:c>
      <x:c r="N789" s="181" t="n">
        <x:v>0.6666666666666666</x:v>
      </x:c>
      <x:c r="O789" s="67" t="n">
        <x:v>0.3333333333333333</x:v>
      </x:c>
    </x:row>
    <x:row r="790" ht="24" customHeight="1">
      <x:c r="A790" s="65" t="n">
        <x:v>621</x:v>
      </x:c>
      <x:c r="B790" s="65" t="str">
        <x:v>卡塔尔体育</x:v>
      </x:c>
      <x:c r="C790" s="82" t="n">
        <x:v>1</x:v>
      </x:c>
      <x:c r="D790" s="82" t="n">
        <x:v>1</x:v>
      </x:c>
      <x:c r="E790" s="67" t="n">
        <x:v>0.5</x:v>
      </x:c>
      <x:c r="F790" s="181" t="n">
        <x:v>1</x:v>
      </x:c>
      <x:c r="G790" s="67" t="n">
        <x:v>0.5</x:v>
      </x:c>
      <x:c r="H790"/>
      <x:c r="I790" s="65" t="n">
        <x:v>621</x:v>
      </x:c>
      <x:c r="J790" s="65" t="str">
        <x:v>布里斯托尔城（Bristol City）</x:v>
      </x:c>
      <x:c r="K790" s="82" t="n">
        <x:v>3</x:v>
      </x:c>
      <x:c r="L790" s="82" t="n">
        <x:v>3</x:v>
      </x:c>
      <x:c r="M790" s="67" t="n">
        <x:v>1</x:v>
      </x:c>
      <x:c r="N790" s="181" t="n">
        <x:v>0.6666666666666666</x:v>
      </x:c>
      <x:c r="O790" s="67" t="n">
        <x:v>0.3333333333333333</x:v>
      </x:c>
    </x:row>
    <x:row r="791" ht="24" customHeight="1">
      <x:c r="A791" s="65" t="n">
        <x:v>622</x:v>
      </x:c>
      <x:c r="B791" s="65" t="str">
        <x:v>卢恩斯基尔（Ljungskile SK）</x:v>
      </x:c>
      <x:c r="C791" s="82" t="n">
        <x:v>1</x:v>
      </x:c>
      <x:c r="D791" s="82" t="n">
        <x:v>1</x:v>
      </x:c>
      <x:c r="E791" s="67" t="n">
        <x:v>0.5</x:v>
      </x:c>
      <x:c r="F791" s="181" t="n">
        <x:v>1</x:v>
      </x:c>
      <x:c r="G791" s="67" t="n">
        <x:v>0.5</x:v>
      </x:c>
      <x:c r="H791"/>
      <x:c r="I791" s="65" t="n">
        <x:v>622</x:v>
      </x:c>
      <x:c r="J791" s="65" t="str">
        <x:v>帕斯托体育</x:v>
      </x:c>
      <x:c r="K791" s="82" t="n">
        <x:v>3</x:v>
      </x:c>
      <x:c r="L791" s="82" t="n">
        <x:v>3</x:v>
      </x:c>
      <x:c r="M791" s="67" t="n">
        <x:v>1</x:v>
      </x:c>
      <x:c r="N791" s="181" t="n">
        <x:v>0.6666666666666666</x:v>
      </x:c>
      <x:c r="O791" s="67" t="n">
        <x:v>0.3333333333333333</x:v>
      </x:c>
    </x:row>
    <x:row r="792" ht="24" customHeight="1">
      <x:c r="A792" s="65" t="n">
        <x:v>623</x:v>
      </x:c>
      <x:c r="B792" s="65" t="str">
        <x:v>卧龙狼队（Wollongong Wolves）</x:v>
      </x:c>
      <x:c r="C792" s="82" t="n">
        <x:v>1</x:v>
      </x:c>
      <x:c r="D792" s="82" t="n">
        <x:v>1</x:v>
      </x:c>
      <x:c r="E792" s="67" t="n">
        <x:v>0.5</x:v>
      </x:c>
      <x:c r="F792" s="181" t="n">
        <x:v>1</x:v>
      </x:c>
      <x:c r="G792" s="67" t="n">
        <x:v>0.5</x:v>
      </x:c>
      <x:c r="H792"/>
      <x:c r="I792" s="65" t="n">
        <x:v>623</x:v>
      </x:c>
      <x:c r="J792" s="65" t="str">
        <x:v>拉努斯</x:v>
      </x:c>
      <x:c r="K792" s="82" t="n">
        <x:v>3</x:v>
      </x:c>
      <x:c r="L792" s="82" t="n">
        <x:v>3</x:v>
      </x:c>
      <x:c r="M792" s="67" t="n">
        <x:v>1</x:v>
      </x:c>
      <x:c r="N792" s="181" t="n">
        <x:v>0.6666666666666666</x:v>
      </x:c>
      <x:c r="O792" s="67" t="n">
        <x:v>0.3333333333333333</x:v>
      </x:c>
    </x:row>
    <x:row r="793" ht="24" customHeight="1">
      <x:c r="A793" s="65" t="n">
        <x:v>624</x:v>
      </x:c>
      <x:c r="B793" s="65" t="str">
        <x:v>厄斯特松德（Östersunds FK）</x:v>
      </x:c>
      <x:c r="C793" s="82" t="n">
        <x:v>1</x:v>
      </x:c>
      <x:c r="D793" s="82" t="n">
        <x:v>1</x:v>
      </x:c>
      <x:c r="E793" s="67" t="n">
        <x:v>0.5</x:v>
      </x:c>
      <x:c r="F793" s="181" t="n">
        <x:v>1</x:v>
      </x:c>
      <x:c r="G793" s="67" t="n">
        <x:v>0.5</x:v>
      </x:c>
      <x:c r="H793"/>
      <x:c r="I793" s="65" t="n">
        <x:v>624</x:v>
      </x:c>
      <x:c r="J793" s="65" t="str">
        <x:v>斯特拉斯堡</x:v>
      </x:c>
      <x:c r="K793" s="82" t="n">
        <x:v>3</x:v>
      </x:c>
      <x:c r="L793" s="82" t="n">
        <x:v>3</x:v>
      </x:c>
      <x:c r="M793" s="67" t="n">
        <x:v>1</x:v>
      </x:c>
      <x:c r="N793" s="181" t="n">
        <x:v>0.6666666666666666</x:v>
      </x:c>
      <x:c r="O793" s="67" t="n">
        <x:v>0.3333333333333333</x:v>
      </x:c>
    </x:row>
    <x:row r="794" ht="24" customHeight="1">
      <x:c r="A794" s="65" t="n">
        <x:v>625</x:v>
      </x:c>
      <x:c r="B794" s="65" t="str">
        <x:v>圣卡洛斯</x:v>
      </x:c>
      <x:c r="C794" s="82" t="n">
        <x:v>1</x:v>
      </x:c>
      <x:c r="D794" s="82" t="n">
        <x:v>1</x:v>
      </x:c>
      <x:c r="E794" s="67" t="n">
        <x:v>0.5</x:v>
      </x:c>
      <x:c r="F794" s="181" t="n">
        <x:v>1</x:v>
      </x:c>
      <x:c r="G794" s="67" t="n">
        <x:v>0.5</x:v>
      </x:c>
      <x:c r="H794"/>
      <x:c r="I794" s="65" t="n">
        <x:v>625</x:v>
      </x:c>
      <x:c r="J794" s="65" t="str">
        <x:v>普布埃拉</x:v>
      </x:c>
      <x:c r="K794" s="82" t="n">
        <x:v>3</x:v>
      </x:c>
      <x:c r="L794" s="82" t="n">
        <x:v>3</x:v>
      </x:c>
      <x:c r="M794" s="67" t="n">
        <x:v>1</x:v>
      </x:c>
      <x:c r="N794" s="181" t="n">
        <x:v>0.6666666666666666</x:v>
      </x:c>
      <x:c r="O794" s="67" t="n">
        <x:v>0.3333333333333333</x:v>
      </x:c>
    </x:row>
    <x:row r="795" ht="24" customHeight="1">
      <x:c r="A795" s="65" t="n">
        <x:v>626</x:v>
      </x:c>
      <x:c r="B795" s="65" t="str">
        <x:v>圣米伦</x:v>
      </x:c>
      <x:c r="C795" s="82" t="n">
        <x:v>1</x:v>
      </x:c>
      <x:c r="D795" s="82" t="n">
        <x:v>1</x:v>
      </x:c>
      <x:c r="E795" s="67" t="n">
        <x:v>0.5</x:v>
      </x:c>
      <x:c r="F795" s="181" t="n">
        <x:v>1</x:v>
      </x:c>
      <x:c r="G795" s="67" t="n">
        <x:v>0.5</x:v>
      </x:c>
      <x:c r="H795"/>
      <x:c r="I795" s="65" t="n">
        <x:v>626</x:v>
      </x:c>
      <x:c r="J795" s="65" t="str">
        <x:v>普布埃拉（Puebla）</x:v>
      </x:c>
      <x:c r="K795" s="82" t="n">
        <x:v>3</x:v>
      </x:c>
      <x:c r="L795" s="82" t="n">
        <x:v>3</x:v>
      </x:c>
      <x:c r="M795" s="67" t="n">
        <x:v>1</x:v>
      </x:c>
      <x:c r="N795" s="181" t="n">
        <x:v>0.6666666666666666</x:v>
      </x:c>
      <x:c r="O795" s="67" t="n">
        <x:v>0.3333333333333333</x:v>
      </x:c>
    </x:row>
    <x:row r="796" ht="24" customHeight="1">
      <x:c r="A796" s="65" t="n">
        <x:v>627</x:v>
      </x:c>
      <x:c r="B796" s="65" t="str">
        <x:v>坡州市民（Paju Citizen）</x:v>
      </x:c>
      <x:c r="C796" s="82" t="n">
        <x:v>1</x:v>
      </x:c>
      <x:c r="D796" s="82" t="n">
        <x:v>1</x:v>
      </x:c>
      <x:c r="E796" s="67" t="n">
        <x:v>0.5</x:v>
      </x:c>
      <x:c r="F796" s="181" t="n">
        <x:v>1</x:v>
      </x:c>
      <x:c r="G796" s="67" t="n">
        <x:v>0.5</x:v>
      </x:c>
      <x:c r="H796"/>
      <x:c r="I796" s="65" t="n">
        <x:v>627</x:v>
      </x:c>
      <x:c r="J796" s="65" t="str">
        <x:v>普鲁士明斯特（Preußen Münster）</x:v>
      </x:c>
      <x:c r="K796" s="82" t="n">
        <x:v>3</x:v>
      </x:c>
      <x:c r="L796" s="82" t="n">
        <x:v>3</x:v>
      </x:c>
      <x:c r="M796" s="67" t="n">
        <x:v>1</x:v>
      </x:c>
      <x:c r="N796" s="181" t="n">
        <x:v>0.6666666666666666</x:v>
      </x:c>
      <x:c r="O796" s="67" t="n">
        <x:v>0.3333333333333333</x:v>
      </x:c>
    </x:row>
    <x:row r="797" ht="24" customHeight="1">
      <x:c r="A797" s="65" t="n">
        <x:v>628</x:v>
      </x:c>
      <x:c r="B797" s="65" t="str">
        <x:v>埃尔切（Elche）</x:v>
      </x:c>
      <x:c r="C797" s="82" t="n">
        <x:v>1</x:v>
      </x:c>
      <x:c r="D797" s="82" t="n">
        <x:v>1</x:v>
      </x:c>
      <x:c r="E797" s="67" t="n">
        <x:v>0.5</x:v>
      </x:c>
      <x:c r="F797" s="181" t="n">
        <x:v>1</x:v>
      </x:c>
      <x:c r="G797" s="67" t="n">
        <x:v>0.5</x:v>
      </x:c>
      <x:c r="H797"/>
      <x:c r="I797" s="65" t="n">
        <x:v>628</x:v>
      </x:c>
      <x:c r="J797" s="65" t="str">
        <x:v>曼联（Manchester United）</x:v>
      </x:c>
      <x:c r="K797" s="82" t="n">
        <x:v>3</x:v>
      </x:c>
      <x:c r="L797" s="82" t="n">
        <x:v>3</x:v>
      </x:c>
      <x:c r="M797" s="67" t="n">
        <x:v>1</x:v>
      </x:c>
      <x:c r="N797" s="181" t="n">
        <x:v>0.6666666666666666</x:v>
      </x:c>
      <x:c r="O797" s="67" t="n">
        <x:v>0.3333333333333333</x:v>
      </x:c>
    </x:row>
    <x:row r="798" ht="24" customHeight="1">
      <x:c r="A798" s="65" t="n">
        <x:v>629</x:v>
      </x:c>
      <x:c r="B798" s="65" t="str">
        <x:v>塞哈特海湾（海湾 Al Khaleej）</x:v>
      </x:c>
      <x:c r="C798" s="82" t="n">
        <x:v>1</x:v>
      </x:c>
      <x:c r="D798" s="82" t="n">
        <x:v>1</x:v>
      </x:c>
      <x:c r="E798" s="67" t="n">
        <x:v>0.5</x:v>
      </x:c>
      <x:c r="F798" s="181" t="n">
        <x:v>1</x:v>
      </x:c>
      <x:c r="G798" s="67" t="n">
        <x:v>0.5</x:v>
      </x:c>
      <x:c r="H798"/>
      <x:c r="I798" s="65" t="n">
        <x:v>629</x:v>
      </x:c>
      <x:c r="J798" s="65" t="str">
        <x:v>杜塞尔多夫（Fortuna Düsseldorf）</x:v>
      </x:c>
      <x:c r="K798" s="82" t="n">
        <x:v>3</x:v>
      </x:c>
      <x:c r="L798" s="82" t="n">
        <x:v>3</x:v>
      </x:c>
      <x:c r="M798" s="67" t="n">
        <x:v>1</x:v>
      </x:c>
      <x:c r="N798" s="181" t="n">
        <x:v>0.6666666666666666</x:v>
      </x:c>
      <x:c r="O798" s="67" t="n">
        <x:v>0.3333333333333333</x:v>
      </x:c>
    </x:row>
    <x:row r="799" ht="24" customHeight="1">
      <x:c r="A799" s="65" t="n">
        <x:v>630</x:v>
      </x:c>
      <x:c r="B799" s="65" t="str">
        <x:v>大田韩亚市民</x:v>
      </x:c>
      <x:c r="C799" s="82" t="n">
        <x:v>1</x:v>
      </x:c>
      <x:c r="D799" s="82" t="n">
        <x:v>1</x:v>
      </x:c>
      <x:c r="E799" s="67" t="n">
        <x:v>0.5</x:v>
      </x:c>
      <x:c r="F799" s="181" t="n">
        <x:v>1</x:v>
      </x:c>
      <x:c r="G799" s="67" t="n">
        <x:v>0.5</x:v>
      </x:c>
      <x:c r="H799"/>
      <x:c r="I799" s="65" t="n">
        <x:v>630</x:v>
      </x:c>
      <x:c r="J799" s="65" t="str">
        <x:v>果阿FC</x:v>
      </x:c>
      <x:c r="K799" s="82" t="n">
        <x:v>3</x:v>
      </x:c>
      <x:c r="L799" s="82" t="n">
        <x:v>3</x:v>
      </x:c>
      <x:c r="M799" s="67" t="n">
        <x:v>1</x:v>
      </x:c>
      <x:c r="N799" s="181" t="n">
        <x:v>0.6666666666666666</x:v>
      </x:c>
      <x:c r="O799" s="67" t="n">
        <x:v>0.3333333333333333</x:v>
      </x:c>
    </x:row>
    <x:row r="800" ht="24" customHeight="1">
      <x:c r="A800" s="65" t="n">
        <x:v>631</x:v>
      </x:c>
      <x:c r="B800" s="65" t="str">
        <x:v>山口雷法</x:v>
      </x:c>
      <x:c r="C800" s="82" t="n">
        <x:v>1</x:v>
      </x:c>
      <x:c r="D800" s="82" t="n">
        <x:v>1</x:v>
      </x:c>
      <x:c r="E800" s="67" t="n">
        <x:v>0.5</x:v>
      </x:c>
      <x:c r="F800" s="181" t="n">
        <x:v>1</x:v>
      </x:c>
      <x:c r="G800" s="67" t="n">
        <x:v>0.5</x:v>
      </x:c>
      <x:c r="H800"/>
      <x:c r="I800" s="65" t="n">
        <x:v>631</x:v>
      </x:c>
      <x:c r="J800" s="65" t="str">
        <x:v>比勒菲尔德（Arminia Bielefeld）</x:v>
      </x:c>
      <x:c r="K800" s="82" t="n">
        <x:v>3</x:v>
      </x:c>
      <x:c r="L800" s="82" t="n">
        <x:v>3</x:v>
      </x:c>
      <x:c r="M800" s="67" t="n">
        <x:v>1</x:v>
      </x:c>
      <x:c r="N800" s="181" t="n">
        <x:v>0.6666666666666666</x:v>
      </x:c>
      <x:c r="O800" s="67" t="n">
        <x:v>0.3333333333333333</x:v>
      </x:c>
    </x:row>
    <x:row r="801" ht="24" customHeight="1">
      <x:c r="A801" s="65" t="n">
        <x:v>632</x:v>
      </x:c>
      <x:c r="B801" s="65" t="str">
        <x:v>巴伊亚(EC Bahia)</x:v>
      </x:c>
      <x:c r="C801" s="82" t="n">
        <x:v>1</x:v>
      </x:c>
      <x:c r="D801" s="82" t="n">
        <x:v>1</x:v>
      </x:c>
      <x:c r="E801" s="67" t="n">
        <x:v>0.5</x:v>
      </x:c>
      <x:c r="F801" s="181" t="n">
        <x:v>1</x:v>
      </x:c>
      <x:c r="G801" s="67" t="n">
        <x:v>0.5</x:v>
      </x:c>
      <x:c r="H801"/>
      <x:c r="I801" s="65" t="n">
        <x:v>632</x:v>
      </x:c>
      <x:c r="J801" s="65" t="str">
        <x:v>河床（River Plate）</x:v>
      </x:c>
      <x:c r="K801" s="82" t="n">
        <x:v>3</x:v>
      </x:c>
      <x:c r="L801" s="82" t="n">
        <x:v>3</x:v>
      </x:c>
      <x:c r="M801" s="67" t="n">
        <x:v>1</x:v>
      </x:c>
      <x:c r="N801" s="181" t="n">
        <x:v>0.6666666666666666</x:v>
      </x:c>
      <x:c r="O801" s="67" t="n">
        <x:v>0.3333333333333333</x:v>
      </x:c>
    </x:row>
    <x:row r="802" ht="24" customHeight="1">
      <x:c r="A802" s="65" t="n">
        <x:v>633</x:v>
      </x:c>
      <x:c r="B802" s="65" t="str">
        <x:v>帕尔斯巴亚泗水（Persebaya Surabaya）</x:v>
      </x:c>
      <x:c r="C802" s="82" t="n">
        <x:v>1</x:v>
      </x:c>
      <x:c r="D802" s="82" t="n">
        <x:v>1</x:v>
      </x:c>
      <x:c r="E802" s="67" t="n">
        <x:v>0.5</x:v>
      </x:c>
      <x:c r="F802" s="181" t="n">
        <x:v>1</x:v>
      </x:c>
      <x:c r="G802" s="67" t="n">
        <x:v>0.5</x:v>
      </x:c>
      <x:c r="H802"/>
      <x:c r="I802" s="65" t="n">
        <x:v>633</x:v>
      </x:c>
      <x:c r="J802" s="65" t="str">
        <x:v>波鸿（VfL Bochum）</x:v>
      </x:c>
      <x:c r="K802" s="82" t="n">
        <x:v>4</x:v>
      </x:c>
      <x:c r="L802" s="82" t="n">
        <x:v>3</x:v>
      </x:c>
      <x:c r="M802" s="67" t="n">
        <x:v>1</x:v>
      </x:c>
      <x:c r="N802" s="181" t="n">
        <x:v>0.6666666666666666</x:v>
      </x:c>
      <x:c r="O802" s="67" t="n">
        <x:v>0.3333333333333333</x:v>
      </x:c>
    </x:row>
    <x:row r="803" ht="24" customHeight="1">
      <x:c r="A803" s="65" t="n">
        <x:v>634</x:v>
      </x:c>
      <x:c r="B803" s="65" t="str">
        <x:v>帕斯托（Deportivo Pasto）</x:v>
      </x:c>
      <x:c r="C803" s="82" t="n">
        <x:v>1</x:v>
      </x:c>
      <x:c r="D803" s="82" t="n">
        <x:v>1</x:v>
      </x:c>
      <x:c r="E803" s="67" t="n">
        <x:v>0.5</x:v>
      </x:c>
      <x:c r="F803" s="181" t="n">
        <x:v>1</x:v>
      </x:c>
      <x:c r="G803" s="67" t="n">
        <x:v>0.5</x:v>
      </x:c>
      <x:c r="H803"/>
      <x:c r="I803" s="65" t="n">
        <x:v>634</x:v>
      </x:c>
      <x:c r="J803" s="65" t="str">
        <x:v>浦项制铁（Pohang Steelers）</x:v>
      </x:c>
      <x:c r="K803" s="82" t="n">
        <x:v>3</x:v>
      </x:c>
      <x:c r="L803" s="82" t="n">
        <x:v>3</x:v>
      </x:c>
      <x:c r="M803" s="67" t="n">
        <x:v>1</x:v>
      </x:c>
      <x:c r="N803" s="181" t="n">
        <x:v>0.6666666666666666</x:v>
      </x:c>
      <x:c r="O803" s="67" t="n">
        <x:v>0.3333333333333333</x:v>
      </x:c>
    </x:row>
    <x:row r="804" ht="24" customHeight="1">
      <x:c r="A804" s="65" t="n">
        <x:v>635</x:v>
      </x:c>
      <x:c r="B804" s="65" t="str">
        <x:v>广西恒宸</x:v>
      </x:c>
      <x:c r="C804" s="82" t="n">
        <x:v>1</x:v>
      </x:c>
      <x:c r="D804" s="82" t="n">
        <x:v>1</x:v>
      </x:c>
      <x:c r="E804" s="67" t="n">
        <x:v>0.5</x:v>
      </x:c>
      <x:c r="F804" s="181" t="n">
        <x:v>1</x:v>
      </x:c>
      <x:c r="G804" s="67" t="n">
        <x:v>0.5</x:v>
      </x:c>
      <x:c r="H804"/>
      <x:c r="I804" s="65" t="n">
        <x:v>635</x:v>
      </x:c>
      <x:c r="J804" s="65" t="str">
        <x:v>湘南海洋</x:v>
      </x:c>
      <x:c r="K804" s="82" t="n">
        <x:v>3</x:v>
      </x:c>
      <x:c r="L804" s="82" t="n">
        <x:v>3</x:v>
      </x:c>
      <x:c r="M804" s="67" t="n">
        <x:v>1</x:v>
      </x:c>
      <x:c r="N804" s="181" t="n">
        <x:v>0.6666666666666666</x:v>
      </x:c>
      <x:c r="O804" s="67" t="n">
        <x:v>0.3333333333333333</x:v>
      </x:c>
    </x:row>
    <x:row r="805" ht="24" customHeight="1">
      <x:c r="A805" s="65" t="n">
        <x:v>636</x:v>
      </x:c>
      <x:c r="B805" s="65" t="str">
        <x:v>弗鲁米嫩塞(Fluminense)</x:v>
      </x:c>
      <x:c r="C805" s="82" t="n">
        <x:v>1</x:v>
      </x:c>
      <x:c r="D805" s="82" t="n">
        <x:v>1</x:v>
      </x:c>
      <x:c r="E805" s="67" t="n">
        <x:v>0.5</x:v>
      </x:c>
      <x:c r="F805" s="181" t="n">
        <x:v>1</x:v>
      </x:c>
      <x:c r="G805" s="67" t="n">
        <x:v>0.5</x:v>
      </x:c>
      <x:c r="H805"/>
      <x:c r="I805" s="65" t="n">
        <x:v>636</x:v>
      </x:c>
      <x:c r="J805" s="65" t="str">
        <x:v>特拉斯卡拉</x:v>
      </x:c>
      <x:c r="K805" s="82" t="n">
        <x:v>3</x:v>
      </x:c>
      <x:c r="L805" s="82" t="n">
        <x:v>3</x:v>
      </x:c>
      <x:c r="M805" s="67" t="n">
        <x:v>1</x:v>
      </x:c>
      <x:c r="N805" s="181" t="n">
        <x:v>0.6666666666666666</x:v>
      </x:c>
      <x:c r="O805" s="67" t="n">
        <x:v>0.3333333333333333</x:v>
      </x:c>
    </x:row>
    <x:row r="806" ht="24" customHeight="1">
      <x:c r="A806" s="65" t="n">
        <x:v>637</x:v>
      </x:c>
      <x:c r="B806" s="65" t="str">
        <x:v>德国</x:v>
      </x:c>
      <x:c r="C806" s="82" t="n">
        <x:v>1</x:v>
      </x:c>
      <x:c r="D806" s="82" t="n">
        <x:v>1</x:v>
      </x:c>
      <x:c r="E806" s="67" t="n">
        <x:v>0.5</x:v>
      </x:c>
      <x:c r="F806" s="181" t="n">
        <x:v>1</x:v>
      </x:c>
      <x:c r="G806" s="67" t="n">
        <x:v>0.5</x:v>
      </x:c>
      <x:c r="H806"/>
      <x:c r="I806" s="65" t="n">
        <x:v>637</x:v>
      </x:c>
      <x:c r="J806" s="65" t="str">
        <x:v>甘拿斯亚门多萨</x:v>
      </x:c>
      <x:c r="K806" s="82" t="n">
        <x:v>3</x:v>
      </x:c>
      <x:c r="L806" s="82" t="n">
        <x:v>3</x:v>
      </x:c>
      <x:c r="M806" s="67" t="n">
        <x:v>1</x:v>
      </x:c>
      <x:c r="N806" s="181" t="n">
        <x:v>0.6666666666666666</x:v>
      </x:c>
      <x:c r="O806" s="67" t="n">
        <x:v>0.3333333333333333</x:v>
      </x:c>
    </x:row>
    <x:row r="807" ht="24" customHeight="1">
      <x:c r="A807" s="65" t="n">
        <x:v>638</x:v>
      </x:c>
      <x:c r="B807" s="65" t="str">
        <x:v>德里体育(德里竞技/SC Delhi)</x:v>
      </x:c>
      <x:c r="C807" s="82" t="n">
        <x:v>1</x:v>
      </x:c>
      <x:c r="D807" s="82" t="n">
        <x:v>1</x:v>
      </x:c>
      <x:c r="E807" s="67" t="n">
        <x:v>0.5</x:v>
      </x:c>
      <x:c r="F807" s="181" t="n">
        <x:v>1</x:v>
      </x:c>
      <x:c r="G807" s="67" t="n">
        <x:v>0.5</x:v>
      </x:c>
      <x:c r="H807"/>
      <x:c r="I807" s="65" t="n">
        <x:v>638</x:v>
      </x:c>
      <x:c r="J807" s="65" t="str">
        <x:v>突尼斯</x:v>
      </x:c>
      <x:c r="K807" s="82" t="n">
        <x:v>3</x:v>
      </x:c>
      <x:c r="L807" s="82" t="n">
        <x:v>3</x:v>
      </x:c>
      <x:c r="M807" s="67" t="n">
        <x:v>1</x:v>
      </x:c>
      <x:c r="N807" s="181" t="n">
        <x:v>0.6666666666666666</x:v>
      </x:c>
      <x:c r="O807" s="67" t="n">
        <x:v>0.3333333333333333</x:v>
      </x:c>
    </x:row>
    <x:row r="808" ht="24" customHeight="1">
      <x:c r="A808" s="65" t="n">
        <x:v>639</x:v>
      </x:c>
      <x:c r="B808" s="65" t="str">
        <x:v>忠南牙山（Chungnam Asan）</x:v>
      </x:c>
      <x:c r="C808" s="82" t="n">
        <x:v>1</x:v>
      </x:c>
      <x:c r="D808" s="82" t="n">
        <x:v>1</x:v>
      </x:c>
      <x:c r="E808" s="67" t="n">
        <x:v>0.5</x:v>
      </x:c>
      <x:c r="F808" s="181" t="n">
        <x:v>1</x:v>
      </x:c>
      <x:c r="G808" s="67" t="n">
        <x:v>0.5</x:v>
      </x:c>
      <x:c r="H808"/>
      <x:c r="I808" s="65" t="n">
        <x:v>639</x:v>
      </x:c>
      <x:c r="J808" s="65" t="str">
        <x:v>米亚尔比（Mjällby AIF）</x:v>
      </x:c>
      <x:c r="K808" s="82" t="n">
        <x:v>3</x:v>
      </x:c>
      <x:c r="L808" s="82" t="n">
        <x:v>3</x:v>
      </x:c>
      <x:c r="M808" s="67" t="n">
        <x:v>1</x:v>
      </x:c>
      <x:c r="N808" s="181" t="n">
        <x:v>0.6666666666666666</x:v>
      </x:c>
      <x:c r="O808" s="67" t="n">
        <x:v>0.3333333333333333</x:v>
      </x:c>
    </x:row>
    <x:row r="809" ht="24" customHeight="1">
      <x:c r="A809" s="65" t="n">
        <x:v>640</x:v>
      </x:c>
      <x:c r="B809" s="65" t="str">
        <x:v>扎卡特卡斯（Mineros de Zacatecas）</x:v>
      </x:c>
      <x:c r="C809" s="82" t="n">
        <x:v>1</x:v>
      </x:c>
      <x:c r="D809" s="82" t="n">
        <x:v>1</x:v>
      </x:c>
      <x:c r="E809" s="67" t="n">
        <x:v>0.5</x:v>
      </x:c>
      <x:c r="F809" s="181" t="n">
        <x:v>1</x:v>
      </x:c>
      <x:c r="G809" s="67" t="n">
        <x:v>0.5</x:v>
      </x:c>
      <x:c r="H809"/>
      <x:c r="I809" s="65" t="n">
        <x:v>640</x:v>
      </x:c>
      <x:c r="J809" s="65" t="str">
        <x:v>约旦</x:v>
      </x:c>
      <x:c r="K809" s="82" t="n">
        <x:v>3</x:v>
      </x:c>
      <x:c r="L809" s="82" t="n">
        <x:v>3</x:v>
      </x:c>
      <x:c r="M809" s="67" t="n">
        <x:v>1</x:v>
      </x:c>
      <x:c r="N809" s="181" t="n">
        <x:v>0.6666666666666666</x:v>
      </x:c>
      <x:c r="O809" s="67" t="n">
        <x:v>0.3333333333333333</x:v>
      </x:c>
    </x:row>
    <x:row r="810" ht="24" customHeight="1">
      <x:c r="A810" s="65" t="n">
        <x:v>641</x:v>
      </x:c>
      <x:c r="B810" s="65" t="str">
        <x:v>拉普拉塔体操（Gimnasia La Plata）</x:v>
      </x:c>
      <x:c r="C810" s="82" t="n">
        <x:v>1</x:v>
      </x:c>
      <x:c r="D810" s="82" t="n">
        <x:v>1</x:v>
      </x:c>
      <x:c r="E810" s="67" t="n">
        <x:v>0.5</x:v>
      </x:c>
      <x:c r="F810" s="181" t="n">
        <x:v>1</x:v>
      </x:c>
      <x:c r="G810" s="67" t="n">
        <x:v>0.5</x:v>
      </x:c>
      <x:c r="H810"/>
      <x:c r="I810" s="65" t="n">
        <x:v>641</x:v>
      </x:c>
      <x:c r="J810" s="65" t="str">
        <x:v>纳什维尔SC</x:v>
      </x:c>
      <x:c r="K810" s="82" t="n">
        <x:v>3</x:v>
      </x:c>
      <x:c r="L810" s="82" t="n">
        <x:v>3</x:v>
      </x:c>
      <x:c r="M810" s="67" t="n">
        <x:v>1</x:v>
      </x:c>
      <x:c r="N810" s="181" t="n">
        <x:v>0.6666666666666666</x:v>
      </x:c>
      <x:c r="O810" s="67" t="n">
        <x:v>0.3333333333333333</x:v>
      </x:c>
    </x:row>
    <x:row r="811" ht="24" customHeight="1">
      <x:c r="A811" s="65" t="n">
        <x:v>642</x:v>
      </x:c>
      <x:c r="B811" s="65" t="str">
        <x:v>斯图加特（VfB Stuttgart）</x:v>
      </x:c>
      <x:c r="C811" s="82" t="n">
        <x:v>1</x:v>
      </x:c>
      <x:c r="D811" s="82" t="n">
        <x:v>1</x:v>
      </x:c>
      <x:c r="E811" s="67" t="n">
        <x:v>0.5</x:v>
      </x:c>
      <x:c r="F811" s="181" t="n">
        <x:v>1</x:v>
      </x:c>
      <x:c r="G811" s="67" t="n">
        <x:v>0.5</x:v>
      </x:c>
      <x:c r="H811"/>
      <x:c r="I811" s="65" t="n">
        <x:v>642</x:v>
      </x:c>
      <x:c r="J811" s="65" t="str">
        <x:v>维多利亚</x:v>
      </x:c>
      <x:c r="K811" s="82" t="n">
        <x:v>3</x:v>
      </x:c>
      <x:c r="L811" s="82" t="n">
        <x:v>3</x:v>
      </x:c>
      <x:c r="M811" s="67" t="n">
        <x:v>1</x:v>
      </x:c>
      <x:c r="N811" s="181" t="n">
        <x:v>0.6666666666666666</x:v>
      </x:c>
      <x:c r="O811" s="67" t="n">
        <x:v>0.3333333333333333</x:v>
      </x:c>
    </x:row>
    <x:row r="812" ht="24" customHeight="1">
      <x:c r="A812" s="65" t="n">
        <x:v>643</x:v>
      </x:c>
      <x:c r="B812" s="65" t="str">
        <x:v>普拉滕斯竞技（Platense）</x:v>
      </x:c>
      <x:c r="C812" s="82" t="n">
        <x:v>1</x:v>
      </x:c>
      <x:c r="D812" s="82" t="n">
        <x:v>1</x:v>
      </x:c>
      <x:c r="E812" s="67" t="n">
        <x:v>0.5</x:v>
      </x:c>
      <x:c r="F812" s="181" t="n">
        <x:v>1</x:v>
      </x:c>
      <x:c r="G812" s="67" t="n">
        <x:v>0.5</x:v>
      </x:c>
      <x:c r="H812"/>
      <x:c r="I812" s="65" t="n">
        <x:v>643</x:v>
      </x:c>
      <x:c r="J812" s="65" t="str">
        <x:v>美洲狮</x:v>
      </x:c>
      <x:c r="K812" s="82" t="n">
        <x:v>3</x:v>
      </x:c>
      <x:c r="L812" s="82" t="n">
        <x:v>3</x:v>
      </x:c>
      <x:c r="M812" s="67" t="n">
        <x:v>1</x:v>
      </x:c>
      <x:c r="N812" s="181" t="n">
        <x:v>0.6666666666666666</x:v>
      </x:c>
      <x:c r="O812" s="67" t="n">
        <x:v>0.3333333333333333</x:v>
      </x:c>
    </x:row>
    <x:row r="813" ht="24" customHeight="1">
      <x:c r="A813" s="65" t="n">
        <x:v>644</x:v>
      </x:c>
      <x:c r="B813" s="65" t="str">
        <x:v>果阿(果阿邦/FC Goa)</x:v>
      </x:c>
      <x:c r="C813" s="82" t="n">
        <x:v>1</x:v>
      </x:c>
      <x:c r="D813" s="82" t="n">
        <x:v>1</x:v>
      </x:c>
      <x:c r="E813" s="67" t="n">
        <x:v>0.5</x:v>
      </x:c>
      <x:c r="F813" s="181" t="n">
        <x:v>1</x:v>
      </x:c>
      <x:c r="G813" s="67" t="n">
        <x:v>0.5</x:v>
      </x:c>
      <x:c r="H813"/>
      <x:c r="I813" s="65" t="n">
        <x:v>644</x:v>
      </x:c>
      <x:c r="J813" s="65" t="str">
        <x:v>萨索洛</x:v>
      </x:c>
      <x:c r="K813" s="82" t="n">
        <x:v>3</x:v>
      </x:c>
      <x:c r="L813" s="82" t="n">
        <x:v>3</x:v>
      </x:c>
      <x:c r="M813" s="67" t="n">
        <x:v>1</x:v>
      </x:c>
      <x:c r="N813" s="181" t="n">
        <x:v>0.6666666666666666</x:v>
      </x:c>
      <x:c r="O813" s="67" t="n">
        <x:v>0.3333333333333333</x:v>
      </x:c>
    </x:row>
    <x:row r="814" ht="24" customHeight="1">
      <x:c r="A814" s="65" t="n">
        <x:v>645</x:v>
      </x:c>
      <x:c r="B814" s="65" t="str">
        <x:v>格拉斯哥流浪者</x:v>
      </x:c>
      <x:c r="C814" s="82" t="n">
        <x:v>1</x:v>
      </x:c>
      <x:c r="D814" s="82" t="n">
        <x:v>1</x:v>
      </x:c>
      <x:c r="E814" s="67" t="n">
        <x:v>0.5</x:v>
      </x:c>
      <x:c r="F814" s="181" t="n">
        <x:v>1</x:v>
      </x:c>
      <x:c r="G814" s="67" t="n">
        <x:v>0.5</x:v>
      </x:c>
      <x:c r="H814"/>
      <x:c r="I814" s="65" t="n">
        <x:v>645</x:v>
      </x:c>
      <x:c r="J814" s="65" t="str">
        <x:v>蒂华纳（Club Tijuana）</x:v>
      </x:c>
      <x:c r="K814" s="82" t="n">
        <x:v>3</x:v>
      </x:c>
      <x:c r="L814" s="82" t="n">
        <x:v>3</x:v>
      </x:c>
      <x:c r="M814" s="67" t="n">
        <x:v>1</x:v>
      </x:c>
      <x:c r="N814" s="181" t="n">
        <x:v>0.6666666666666666</x:v>
      </x:c>
      <x:c r="O814" s="67" t="n">
        <x:v>0.3333333333333333</x:v>
      </x:c>
    </x:row>
    <x:row r="815" ht="24" customHeight="1">
      <x:c r="A815" s="65" t="n">
        <x:v>646</x:v>
      </x:c>
      <x:c r="B815" s="65" t="str">
        <x:v>格林古利(Green Gully)</x:v>
      </x:c>
      <x:c r="C815" s="82" t="n">
        <x:v>1</x:v>
      </x:c>
      <x:c r="D815" s="82" t="n">
        <x:v>1</x:v>
      </x:c>
      <x:c r="E815" s="67" t="n">
        <x:v>0.5</x:v>
      </x:c>
      <x:c r="F815" s="181" t="n">
        <x:v>1</x:v>
      </x:c>
      <x:c r="G815" s="67" t="n">
        <x:v>0.5</x:v>
      </x:c>
      <x:c r="H815"/>
      <x:c r="I815" s="65" t="n">
        <x:v>646</x:v>
      </x:c>
      <x:c r="J815" s="65" t="str">
        <x:v>诺丁汉森林（Nottingham Forest）</x:v>
      </x:c>
      <x:c r="K815" s="82" t="n">
        <x:v>3</x:v>
      </x:c>
      <x:c r="L815" s="82" t="n">
        <x:v>3</x:v>
      </x:c>
      <x:c r="M815" s="67" t="n">
        <x:v>1</x:v>
      </x:c>
      <x:c r="N815" s="181" t="n">
        <x:v>0.6666666666666666</x:v>
      </x:c>
      <x:c r="O815" s="67" t="n">
        <x:v>0.3333333333333333</x:v>
      </x:c>
    </x:row>
    <x:row r="816" ht="24" customHeight="1">
      <x:c r="A816" s="65" t="n">
        <x:v>647</x:v>
      </x:c>
      <x:c r="B816" s="65" t="str">
        <x:v>格雷米奥</x:v>
      </x:c>
      <x:c r="C816" s="82" t="n">
        <x:v>1</x:v>
      </x:c>
      <x:c r="D816" s="82" t="n">
        <x:v>1</x:v>
      </x:c>
      <x:c r="E816" s="67" t="n">
        <x:v>0.5</x:v>
      </x:c>
      <x:c r="F816" s="181" t="n">
        <x:v>1</x:v>
      </x:c>
      <x:c r="G816" s="67" t="n">
        <x:v>0.5</x:v>
      </x:c>
      <x:c r="H816"/>
      <x:c r="I816" s="65" t="n">
        <x:v>647</x:v>
      </x:c>
      <x:c r="J816" s="65" t="str">
        <x:v>赫尔城</x:v>
      </x:c>
      <x:c r="K816" s="82" t="n">
        <x:v>3</x:v>
      </x:c>
      <x:c r="L816" s="82" t="n">
        <x:v>3</x:v>
      </x:c>
      <x:c r="M816" s="67" t="n">
        <x:v>1</x:v>
      </x:c>
      <x:c r="N816" s="181" t="n">
        <x:v>0.6666666666666666</x:v>
      </x:c>
      <x:c r="O816" s="67" t="n">
        <x:v>0.3333333333333333</x:v>
      </x:c>
    </x:row>
    <x:row r="817" ht="24" customHeight="1">
      <x:c r="A817" s="65" t="n">
        <x:v>648</x:v>
      </x:c>
      <x:c r="B817" s="65" t="str">
        <x:v>森卡洛斯（AD San Carlos）</x:v>
      </x:c>
      <x:c r="C817" s="82" t="n">
        <x:v>1</x:v>
      </x:c>
      <x:c r="D817" s="82" t="n">
        <x:v>1</x:v>
      </x:c>
      <x:c r="E817" s="67" t="n">
        <x:v>0.5</x:v>
      </x:c>
      <x:c r="F817" s="181" t="n">
        <x:v>1</x:v>
      </x:c>
      <x:c r="G817" s="67" t="n">
        <x:v>0.5</x:v>
      </x:c>
      <x:c r="H817"/>
      <x:c r="I817" s="65" t="n">
        <x:v>648</x:v>
      </x:c>
      <x:c r="J817" s="65" t="str">
        <x:v>都灵</x:v>
      </x:c>
      <x:c r="K817" s="82" t="n">
        <x:v>3</x:v>
      </x:c>
      <x:c r="L817" s="82" t="n">
        <x:v>3</x:v>
      </x:c>
      <x:c r="M817" s="67" t="n">
        <x:v>1</x:v>
      </x:c>
      <x:c r="N817" s="181" t="n">
        <x:v>0.6666666666666666</x:v>
      </x:c>
      <x:c r="O817" s="67" t="n">
        <x:v>0.3333333333333333</x:v>
      </x:c>
    </x:row>
    <x:row r="818" ht="24" customHeight="1">
      <x:c r="A818" s="65" t="n">
        <x:v>649</x:v>
      </x:c>
      <x:c r="B818" s="65" t="str">
        <x:v>波哥大体育（Internacional de Bogotá）</x:v>
      </x:c>
      <x:c r="C818" s="82" t="n">
        <x:v>1</x:v>
      </x:c>
      <x:c r="D818" s="82" t="n">
        <x:v>1</x:v>
      </x:c>
      <x:c r="E818" s="67" t="n">
        <x:v>0.5</x:v>
      </x:c>
      <x:c r="F818" s="181" t="n">
        <x:v>1</x:v>
      </x:c>
      <x:c r="G818" s="67" t="n">
        <x:v>0.5</x:v>
      </x:c>
      <x:c r="H818"/>
      <x:c r="I818" s="65" t="n">
        <x:v>649</x:v>
      </x:c>
      <x:c r="J818" s="65" t="str">
        <x:v>阿利安萨FC（巴耶杜帕尔）</x:v>
      </x:c>
      <x:c r="K818" s="82" t="n">
        <x:v>3</x:v>
      </x:c>
      <x:c r="L818" s="82" t="n">
        <x:v>3</x:v>
      </x:c>
      <x:c r="M818" s="67" t="n">
        <x:v>1</x:v>
      </x:c>
      <x:c r="N818" s="181" t="n">
        <x:v>0.6666666666666666</x:v>
      </x:c>
      <x:c r="O818" s="67" t="n">
        <x:v>0.3333333333333333</x:v>
      </x:c>
    </x:row>
    <x:row r="819" ht="24" customHeight="1">
      <x:c r="A819" s="65" t="n">
        <x:v>650</x:v>
      </x:c>
      <x:c r="B819" s="65" t="str">
        <x:v>波鸿（VfL Bochum 1848）</x:v>
      </x:c>
      <x:c r="C819" s="82" t="n">
        <x:v>1</x:v>
      </x:c>
      <x:c r="D819" s="82" t="n">
        <x:v>1</x:v>
      </x:c>
      <x:c r="E819" s="67" t="n">
        <x:v>0.5</x:v>
      </x:c>
      <x:c r="F819" s="181" t="n">
        <x:v>1</x:v>
      </x:c>
      <x:c r="G819" s="67" t="n">
        <x:v>0.5</x:v>
      </x:c>
      <x:c r="H819"/>
      <x:c r="I819" s="65" t="n">
        <x:v>650</x:v>
      </x:c>
      <x:c r="J819" s="65" t="str">
        <x:v>阿斯顿维拉（Aston Villa）</x:v>
      </x:c>
      <x:c r="K819" s="82" t="n">
        <x:v>3</x:v>
      </x:c>
      <x:c r="L819" s="82" t="n">
        <x:v>3</x:v>
      </x:c>
      <x:c r="M819" s="67" t="n">
        <x:v>1</x:v>
      </x:c>
      <x:c r="N819" s="181" t="n">
        <x:v>0.6666666666666666</x:v>
      </x:c>
      <x:c r="O819" s="67" t="n">
        <x:v>0.3333333333333333</x:v>
      </x:c>
    </x:row>
    <x:row r="820" ht="24" customHeight="1">
      <x:c r="A820" s="65" t="n">
        <x:v>651</x:v>
      </x:c>
      <x:c r="B820" s="65" t="str">
        <x:v>洛沃斯墨（Lobos UPNFM）</x:v>
      </x:c>
      <x:c r="C820" s="82" t="n">
        <x:v>1</x:v>
      </x:c>
      <x:c r="D820" s="82" t="n">
        <x:v>1</x:v>
      </x:c>
      <x:c r="E820" s="67" t="n">
        <x:v>0.5</x:v>
      </x:c>
      <x:c r="F820" s="181" t="n">
        <x:v>1</x:v>
      </x:c>
      <x:c r="G820" s="67" t="n">
        <x:v>0.5</x:v>
      </x:c>
      <x:c r="H820"/>
      <x:c r="I820" s="65" t="n">
        <x:v>651</x:v>
      </x:c>
      <x:c r="J820" s="65" t="str">
        <x:v>青岛海牛</x:v>
      </x:c>
      <x:c r="K820" s="82" t="n">
        <x:v>3</x:v>
      </x:c>
      <x:c r="L820" s="82" t="n">
        <x:v>3</x:v>
      </x:c>
      <x:c r="M820" s="67" t="n">
        <x:v>1</x:v>
      </x:c>
      <x:c r="N820" s="181" t="n">
        <x:v>0.6666666666666666</x:v>
      </x:c>
      <x:c r="O820" s="67" t="n">
        <x:v>0.3333333333333333</x:v>
      </x:c>
    </x:row>
    <x:row r="821" ht="24" customHeight="1">
      <x:c r="A821" s="65" t="n">
        <x:v>652</x:v>
      </x:c>
      <x:c r="B821" s="65" t="str">
        <x:v>深圳青年人</x:v>
      </x:c>
      <x:c r="C821" s="82" t="n">
        <x:v>1</x:v>
      </x:c>
      <x:c r="D821" s="82" t="n">
        <x:v>1</x:v>
      </x:c>
      <x:c r="E821" s="67" t="n">
        <x:v>0.5</x:v>
      </x:c>
      <x:c r="F821" s="181" t="n">
        <x:v>1</x:v>
      </x:c>
      <x:c r="G821" s="67" t="n">
        <x:v>0.5</x:v>
      </x:c>
      <x:c r="H821"/>
      <x:c r="I821" s="65" t="n">
        <x:v>652</x:v>
      </x:c>
      <x:c r="J821" s="65" t="str">
        <x:v>马尔默（Malmö FF）</x:v>
      </x:c>
      <x:c r="K821" s="82" t="n">
        <x:v>3</x:v>
      </x:c>
      <x:c r="L821" s="82" t="n">
        <x:v>3</x:v>
      </x:c>
      <x:c r="M821" s="67" t="n">
        <x:v>1</x:v>
      </x:c>
      <x:c r="N821" s="181" t="n">
        <x:v>0.6666666666666666</x:v>
      </x:c>
      <x:c r="O821" s="67" t="n">
        <x:v>0.3333333333333333</x:v>
      </x:c>
    </x:row>
    <x:row r="822" ht="24" customHeight="1">
      <x:c r="A822" s="65" t="n">
        <x:v>653</x:v>
      </x:c>
      <x:c r="B822" s="65" t="str">
        <x:v>熊本深红</x:v>
      </x:c>
      <x:c r="C822" s="82" t="n">
        <x:v>1</x:v>
      </x:c>
      <x:c r="D822" s="82" t="n">
        <x:v>1</x:v>
      </x:c>
      <x:c r="E822" s="67" t="n">
        <x:v>0.5</x:v>
      </x:c>
      <x:c r="F822" s="181" t="n">
        <x:v>1</x:v>
      </x:c>
      <x:c r="G822" s="67" t="n">
        <x:v>0.5</x:v>
      </x:c>
      <x:c r="H822"/>
      <x:c r="I822" s="65" t="n">
        <x:v>653</x:v>
      </x:c>
      <x:c r="J822" s="65" t="str">
        <x:v>莱昂</x:v>
      </x:c>
      <x:c r="K822" s="82" t="n">
        <x:v>8</x:v>
      </x:c>
      <x:c r="L822" s="82" t="n">
        <x:v>8</x:v>
      </x:c>
      <x:c r="M822" s="67" t="n">
        <x:v>1</x:v>
      </x:c>
      <x:c r="N822" s="181" t="n">
        <x:v>0.625</x:v>
      </x:c>
      <x:c r="O822" s="67" t="n">
        <x:v>0.125</x:v>
      </x:c>
    </x:row>
    <x:row r="823" ht="24" customHeight="1">
      <x:c r="A823" s="65" t="n">
        <x:v>654</x:v>
      </x:c>
      <x:c r="B823" s="65" t="str">
        <x:v>爱尔利（阿赫利安曼，Al Ahli Jordan）</x:v>
      </x:c>
      <x:c r="C823" s="82" t="n">
        <x:v>1</x:v>
      </x:c>
      <x:c r="D823" s="82" t="n">
        <x:v>1</x:v>
      </x:c>
      <x:c r="E823" s="67" t="n">
        <x:v>0.5</x:v>
      </x:c>
      <x:c r="F823" s="181" t="n">
        <x:v>1</x:v>
      </x:c>
      <x:c r="G823" s="67" t="n">
        <x:v>0.5</x:v>
      </x:c>
      <x:c r="H823"/>
      <x:c r="I823" s="65" t="n">
        <x:v>654</x:v>
      </x:c>
      <x:c r="J823" s="65" t="str">
        <x:v>AC米兰</x:v>
      </x:c>
      <x:c r="K823" s="82" t="n">
        <x:v>5</x:v>
      </x:c>
      <x:c r="L823" s="82" t="n">
        <x:v>5</x:v>
      </x:c>
      <x:c r="M823" s="67" t="n">
        <x:v>1</x:v>
      </x:c>
      <x:c r="N823" s="181" t="n">
        <x:v>0.6</x:v>
      </x:c>
      <x:c r="O823" s="67" t="n">
        <x:v>0.2</x:v>
      </x:c>
    </x:row>
    <x:row r="824" ht="24" customHeight="1">
      <x:c r="A824" s="65" t="n">
        <x:v>655</x:v>
      </x:c>
      <x:c r="B824" s="65" t="str">
        <x:v>特帕迪特兰</x:v>
      </x:c>
      <x:c r="C824" s="82" t="n">
        <x:v>1</x:v>
      </x:c>
      <x:c r="D824" s="82" t="n">
        <x:v>1</x:v>
      </x:c>
      <x:c r="E824" s="67" t="n">
        <x:v>0.5</x:v>
      </x:c>
      <x:c r="F824" s="181" t="n">
        <x:v>1</x:v>
      </x:c>
      <x:c r="G824" s="67" t="n">
        <x:v>0.5</x:v>
      </x:c>
      <x:c r="H824"/>
      <x:c r="I824" s="65" t="n">
        <x:v>655</x:v>
      </x:c>
      <x:c r="J824" s="65" t="str">
        <x:v>万隆</x:v>
      </x:c>
      <x:c r="K824" s="82" t="n">
        <x:v>5</x:v>
      </x:c>
      <x:c r="L824" s="82" t="n">
        <x:v>5</x:v>
      </x:c>
      <x:c r="M824" s="67" t="n">
        <x:v>1</x:v>
      </x:c>
      <x:c r="N824" s="181" t="n">
        <x:v>0.6</x:v>
      </x:c>
      <x:c r="O824" s="67" t="n">
        <x:v>0.2</x:v>
      </x:c>
    </x:row>
    <x:row r="825" ht="24" customHeight="1">
      <x:c r="A825" s="65" t="n">
        <x:v>656</x:v>
      </x:c>
      <x:c r="B825" s="65" t="str">
        <x:v>甸普体育会（Dempo SC）</x:v>
      </x:c>
      <x:c r="C825" s="82" t="n">
        <x:v>1</x:v>
      </x:c>
      <x:c r="D825" s="82" t="n">
        <x:v>1</x:v>
      </x:c>
      <x:c r="E825" s="67" t="n">
        <x:v>0.5</x:v>
      </x:c>
      <x:c r="F825" s="181" t="n">
        <x:v>1</x:v>
      </x:c>
      <x:c r="G825" s="67" t="n">
        <x:v>0.5</x:v>
      </x:c>
      <x:c r="H825"/>
      <x:c r="I825" s="65" t="n">
        <x:v>656</x:v>
      </x:c>
      <x:c r="J825" s="65" t="str">
        <x:v>亚特兰大</x:v>
      </x:c>
      <x:c r="K825" s="82" t="n">
        <x:v>5</x:v>
      </x:c>
      <x:c r="L825" s="82" t="n">
        <x:v>5</x:v>
      </x:c>
      <x:c r="M825" s="67" t="n">
        <x:v>1</x:v>
      </x:c>
      <x:c r="N825" s="181" t="n">
        <x:v>0.6</x:v>
      </x:c>
      <x:c r="O825" s="67" t="n">
        <x:v>0.2</x:v>
      </x:c>
    </x:row>
    <x:row r="826" ht="24" customHeight="1">
      <x:c r="A826" s="65" t="n">
        <x:v>657</x:v>
      </x:c>
      <x:c r="B826" s="65" t="str">
        <x:v>皇家克什米尔（Real Kashmir FC）</x:v>
      </x:c>
      <x:c r="C826" s="82" t="n">
        <x:v>1</x:v>
      </x:c>
      <x:c r="D826" s="82" t="n">
        <x:v>1</x:v>
      </x:c>
      <x:c r="E826" s="67" t="n">
        <x:v>0.5</x:v>
      </x:c>
      <x:c r="F826" s="181" t="n">
        <x:v>1</x:v>
      </x:c>
      <x:c r="G826" s="67" t="n">
        <x:v>0.5</x:v>
      </x:c>
      <x:c r="H826"/>
      <x:c r="I826" s="65" t="n">
        <x:v>657</x:v>
      </x:c>
      <x:c r="J826" s="65" t="str">
        <x:v>佛罗伦萨</x:v>
      </x:c>
      <x:c r="K826" s="82" t="n">
        <x:v>5</x:v>
      </x:c>
      <x:c r="L826" s="82" t="n">
        <x:v>5</x:v>
      </x:c>
      <x:c r="M826" s="67" t="n">
        <x:v>1</x:v>
      </x:c>
      <x:c r="N826" s="181" t="n">
        <x:v>0.6</x:v>
      </x:c>
      <x:c r="O826" s="67" t="n">
        <x:v>0.2</x:v>
      </x:c>
    </x:row>
    <x:row r="827" ht="24" customHeight="1">
      <x:c r="A827" s="65" t="n">
        <x:v>658</x:v>
      </x:c>
      <x:c r="B827" s="65" t="str">
        <x:v>纳什维尔SC（Nashville SC）</x:v>
      </x:c>
      <x:c r="C827" s="82" t="n">
        <x:v>1</x:v>
      </x:c>
      <x:c r="D827" s="82" t="n">
        <x:v>1</x:v>
      </x:c>
      <x:c r="E827" s="67" t="n">
        <x:v>0.5</x:v>
      </x:c>
      <x:c r="F827" s="181" t="n">
        <x:v>1</x:v>
      </x:c>
      <x:c r="G827" s="67" t="n">
        <x:v>0.5</x:v>
      </x:c>
      <x:c r="H827"/>
      <x:c r="I827" s="65" t="n">
        <x:v>658</x:v>
      </x:c>
      <x:c r="J827" s="65" t="str">
        <x:v>冈山绿雉</x:v>
      </x:c>
      <x:c r="K827" s="82" t="n">
        <x:v>5</x:v>
      </x:c>
      <x:c r="L827" s="82" t="n">
        <x:v>5</x:v>
      </x:c>
      <x:c r="M827" s="67" t="n">
        <x:v>1</x:v>
      </x:c>
      <x:c r="N827" s="181" t="n">
        <x:v>0.6</x:v>
      </x:c>
      <x:c r="O827" s="67" t="n">
        <x:v>0.2</x:v>
      </x:c>
    </x:row>
    <x:row r="828" ht="24" customHeight="1">
      <x:c r="A828" s="65" t="n">
        <x:v>659</x:v>
      </x:c>
      <x:c r="B828" s="65" t="str">
        <x:v>纽约城FC</x:v>
      </x:c>
      <x:c r="C828" s="82" t="n">
        <x:v>1</x:v>
      </x:c>
      <x:c r="D828" s="82" t="n">
        <x:v>1</x:v>
      </x:c>
      <x:c r="E828" s="67" t="n">
        <x:v>0.5</x:v>
      </x:c>
      <x:c r="F828" s="181" t="n">
        <x:v>1</x:v>
      </x:c>
      <x:c r="G828" s="67" t="n">
        <x:v>0.5</x:v>
      </x:c>
      <x:c r="H828"/>
      <x:c r="I828" s="65" t="n">
        <x:v>659</x:v>
      </x:c>
      <x:c r="J828" s="65" t="str">
        <x:v>大阪钢巴（Gamba Osaka）</x:v>
      </x:c>
      <x:c r="K828" s="82" t="n">
        <x:v>5</x:v>
      </x:c>
      <x:c r="L828" s="82" t="n">
        <x:v>5</x:v>
      </x:c>
      <x:c r="M828" s="67" t="n">
        <x:v>1</x:v>
      </x:c>
      <x:c r="N828" s="181" t="n">
        <x:v>0.6</x:v>
      </x:c>
      <x:c r="O828" s="67" t="n">
        <x:v>0.2</x:v>
      </x:c>
    </x:row>
    <x:row r="829" ht="24" customHeight="1">
      <x:c r="A829" s="65" t="n">
        <x:v>660</x:v>
      </x:c>
      <x:c r="B829" s="65" t="str">
        <x:v>维罗纳（Hellas Verona）</x:v>
      </x:c>
      <x:c r="C829" s="82" t="n">
        <x:v>1</x:v>
      </x:c>
      <x:c r="D829" s="82" t="n">
        <x:v>1</x:v>
      </x:c>
      <x:c r="E829" s="67" t="n">
        <x:v>0.5</x:v>
      </x:c>
      <x:c r="F829" s="181" t="n">
        <x:v>1</x:v>
      </x:c>
      <x:c r="G829" s="67" t="n">
        <x:v>0.5</x:v>
      </x:c>
      <x:c r="H829"/>
      <x:c r="I829" s="65" t="n">
        <x:v>660</x:v>
      </x:c>
      <x:c r="J829" s="65" t="str">
        <x:v>德比郡</x:v>
      </x:c>
      <x:c r="K829" s="82" t="n">
        <x:v>5</x:v>
      </x:c>
      <x:c r="L829" s="82" t="n">
        <x:v>5</x:v>
      </x:c>
      <x:c r="M829" s="67" t="n">
        <x:v>1</x:v>
      </x:c>
      <x:c r="N829" s="181" t="n">
        <x:v>0.6</x:v>
      </x:c>
      <x:c r="O829" s="67" t="n">
        <x:v>0.2</x:v>
      </x:c>
    </x:row>
    <x:row r="830" ht="24" customHeight="1">
      <x:c r="A830" s="65" t="n">
        <x:v>661</x:v>
      </x:c>
      <x:c r="B830" s="65" t="str">
        <x:v>肯塔吉内斯</x:v>
      </x:c>
      <x:c r="C830" s="82" t="n">
        <x:v>1</x:v>
      </x:c>
      <x:c r="D830" s="82" t="n">
        <x:v>1</x:v>
      </x:c>
      <x:c r="E830" s="67" t="n">
        <x:v>0.5</x:v>
      </x:c>
      <x:c r="F830" s="181" t="n">
        <x:v>1</x:v>
      </x:c>
      <x:c r="G830" s="67" t="n">
        <x:v>0.5</x:v>
      </x:c>
      <x:c r="H830"/>
      <x:c r="I830" s="65" t="n">
        <x:v>661</x:v>
      </x:c>
      <x:c r="J830" s="65" t="str">
        <x:v>拉普拉塔大学生（Estudiantes de La Plata）</x:v>
      </x:c>
      <x:c r="K830" s="82" t="n">
        <x:v>5</x:v>
      </x:c>
      <x:c r="L830" s="82" t="n">
        <x:v>5</x:v>
      </x:c>
      <x:c r="M830" s="67" t="n">
        <x:v>1</x:v>
      </x:c>
      <x:c r="N830" s="181" t="n">
        <x:v>0.6</x:v>
      </x:c>
      <x:c r="O830" s="67" t="n">
        <x:v>0.2</x:v>
      </x:c>
    </x:row>
    <x:row r="831" ht="24" customHeight="1">
      <x:c r="A831" s="65" t="n">
        <x:v>662</x:v>
      </x:c>
      <x:c r="B831" s="65" t="str">
        <x:v>胡拜尔库迪西亚（卡达西亚 Al Qadsiah）</x:v>
      </x:c>
      <x:c r="C831" s="82" t="n">
        <x:v>1</x:v>
      </x:c>
      <x:c r="D831" s="82" t="n">
        <x:v>1</x:v>
      </x:c>
      <x:c r="E831" s="67" t="n">
        <x:v>0.5</x:v>
      </x:c>
      <x:c r="F831" s="181" t="n">
        <x:v>1</x:v>
      </x:c>
      <x:c r="G831" s="67" t="n">
        <x:v>0.5</x:v>
      </x:c>
      <x:c r="H831"/>
      <x:c r="I831" s="65" t="n">
        <x:v>662</x:v>
      </x:c>
      <x:c r="J831" s="65" t="str">
        <x:v>水晶宫（Crystal Palace）</x:v>
      </x:c>
      <x:c r="K831" s="82" t="n">
        <x:v>5</x:v>
      </x:c>
      <x:c r="L831" s="82" t="n">
        <x:v>5</x:v>
      </x:c>
      <x:c r="M831" s="67" t="n">
        <x:v>1</x:v>
      </x:c>
      <x:c r="N831" s="181" t="n">
        <x:v>0.6</x:v>
      </x:c>
      <x:c r="O831" s="67" t="n">
        <x:v>0.2</x:v>
      </x:c>
    </x:row>
    <x:row r="832" ht="24" customHeight="1">
      <x:c r="A832" s="65" t="n">
        <x:v>663</x:v>
      </x:c>
      <x:c r="B832" s="65" t="str">
        <x:v>艾沙尔特（Al Salt）</x:v>
      </x:c>
      <x:c r="C832" s="82" t="n">
        <x:v>1</x:v>
      </x:c>
      <x:c r="D832" s="82" t="n">
        <x:v>1</x:v>
      </x:c>
      <x:c r="E832" s="67" t="n">
        <x:v>0.5</x:v>
      </x:c>
      <x:c r="F832" s="181" t="n">
        <x:v>1</x:v>
      </x:c>
      <x:c r="G832" s="67" t="n">
        <x:v>0.5</x:v>
      </x:c>
      <x:c r="H832"/>
      <x:c r="I832" s="65" t="n">
        <x:v>663</x:v>
      </x:c>
      <x:c r="J832" s="65" t="str">
        <x:v>赫根（BK Häcken）</x:v>
      </x:c>
      <x:c r="K832" s="82" t="n">
        <x:v>5</x:v>
      </x:c>
      <x:c r="L832" s="82" t="n">
        <x:v>5</x:v>
      </x:c>
      <x:c r="M832" s="67" t="n">
        <x:v>1</x:v>
      </x:c>
      <x:c r="N832" s="181" t="n">
        <x:v>0.6</x:v>
      </x:c>
      <x:c r="O832" s="67" t="n">
        <x:v>0.2</x:v>
      </x:c>
    </x:row>
    <x:row r="833" ht="24" customHeight="1">
      <x:c r="A833" s="65" t="n">
        <x:v>664</x:v>
      </x:c>
      <x:c r="B833" s="65" t="str">
        <x:v>莫哈末丹（Mohammedan SC）</x:v>
      </x:c>
      <x:c r="C833" s="82" t="n">
        <x:v>1</x:v>
      </x:c>
      <x:c r="D833" s="82" t="n">
        <x:v>1</x:v>
      </x:c>
      <x:c r="E833" s="67" t="n">
        <x:v>0.5</x:v>
      </x:c>
      <x:c r="F833" s="181" t="n">
        <x:v>1</x:v>
      </x:c>
      <x:c r="G833" s="67" t="n">
        <x:v>0.5</x:v>
      </x:c>
      <x:c r="H833"/>
      <x:c r="I833" s="65" t="n">
        <x:v>664</x:v>
      </x:c>
      <x:c r="J833" s="65" t="str">
        <x:v>达姆施塔特</x:v>
      </x:c>
      <x:c r="K833" s="82" t="n">
        <x:v>5</x:v>
      </x:c>
      <x:c r="L833" s="82" t="n">
        <x:v>5</x:v>
      </x:c>
      <x:c r="M833" s="67" t="n">
        <x:v>1</x:v>
      </x:c>
      <x:c r="N833" s="181" t="n">
        <x:v>0.6</x:v>
      </x:c>
      <x:c r="O833" s="67" t="n">
        <x:v>0.2</x:v>
      </x:c>
    </x:row>
    <x:row r="834" ht="24" customHeight="1">
      <x:c r="A834" s="65" t="n">
        <x:v>665</x:v>
      </x:c>
      <x:c r="B834" s="65" t="str">
        <x:v>莫雷利亚（Atlético Morelia）</x:v>
      </x:c>
      <x:c r="C834" s="82" t="n">
        <x:v>1</x:v>
      </x:c>
      <x:c r="D834" s="82" t="n">
        <x:v>1</x:v>
      </x:c>
      <x:c r="E834" s="67" t="n">
        <x:v>0.5</x:v>
      </x:c>
      <x:c r="F834" s="181" t="n">
        <x:v>1</x:v>
      </x:c>
      <x:c r="G834" s="67" t="n">
        <x:v>0.5</x:v>
      </x:c>
      <x:c r="H834"/>
      <x:c r="I834" s="65" t="n">
        <x:v>665</x:v>
      </x:c>
      <x:c r="J834" s="65" t="str">
        <x:v>京都不死鸟</x:v>
      </x:c>
      <x:c r="K834" s="82" t="n">
        <x:v>7</x:v>
      </x:c>
      <x:c r="L834" s="82" t="n">
        <x:v>7</x:v>
      </x:c>
      <x:c r="M834" s="67" t="n">
        <x:v>1</x:v>
      </x:c>
      <x:c r="N834" s="181" t="n">
        <x:v>0.5714285714285714</x:v>
      </x:c>
      <x:c r="O834" s="67" t="n">
        <x:v>0.14285714285714285</x:v>
      </x:c>
    </x:row>
    <x:row r="835" ht="24" customHeight="1">
      <x:c r="A835" s="65" t="n">
        <x:v>666</x:v>
      </x:c>
      <x:c r="B835" s="65" t="str">
        <x:v>莫雷利亚（Club Atlético Morelia）</x:v>
      </x:c>
      <x:c r="C835" s="82" t="n">
        <x:v>1</x:v>
      </x:c>
      <x:c r="D835" s="82" t="n">
        <x:v>1</x:v>
      </x:c>
      <x:c r="E835" s="67" t="n">
        <x:v>0.5</x:v>
      </x:c>
      <x:c r="F835" s="181" t="n">
        <x:v>1</x:v>
      </x:c>
      <x:c r="G835" s="67" t="n">
        <x:v>0.5</x:v>
      </x:c>
      <x:c r="H835"/>
      <x:c r="I835" s="65" t="n">
        <x:v>666</x:v>
      </x:c>
      <x:c r="J835" s="65" t="str">
        <x:v>悉尼FC（Sydney FC）</x:v>
      </x:c>
      <x:c r="K835" s="82" t="n">
        <x:v>7</x:v>
      </x:c>
      <x:c r="L835" s="82" t="n">
        <x:v>7</x:v>
      </x:c>
      <x:c r="M835" s="67" t="n">
        <x:v>1</x:v>
      </x:c>
      <x:c r="N835" s="181" t="n">
        <x:v>0.5714285714285714</x:v>
      </x:c>
      <x:c r="O835" s="67" t="n">
        <x:v>0.14285714285714285</x:v>
      </x:c>
    </x:row>
    <x:row r="836" ht="24" customHeight="1">
      <x:c r="A836" s="65" t="n">
        <x:v>667</x:v>
      </x:c>
      <x:c r="B836" s="65" t="str">
        <x:v>菲尔特（SpVgg Greuther Fürth）</x:v>
      </x:c>
      <x:c r="C836" s="82" t="n">
        <x:v>1</x:v>
      </x:c>
      <x:c r="D836" s="82" t="n">
        <x:v>1</x:v>
      </x:c>
      <x:c r="E836" s="67" t="n">
        <x:v>0.5</x:v>
      </x:c>
      <x:c r="F836" s="181" t="n">
        <x:v>1</x:v>
      </x:c>
      <x:c r="G836" s="67" t="n">
        <x:v>0.5</x:v>
      </x:c>
      <x:c r="H836"/>
      <x:c r="I836" s="65" t="n">
        <x:v>667</x:v>
      </x:c>
      <x:c r="J836" s="65" t="str">
        <x:v>西班牙</x:v>
      </x:c>
      <x:c r="K836" s="82" t="n">
        <x:v>7</x:v>
      </x:c>
      <x:c r="L836" s="82" t="n">
        <x:v>7</x:v>
      </x:c>
      <x:c r="M836" s="67" t="n">
        <x:v>1</x:v>
      </x:c>
      <x:c r="N836" s="181" t="n">
        <x:v>0.5714285714285714</x:v>
      </x:c>
      <x:c r="O836" s="67" t="n">
        <x:v>0.14285714285714285</x:v>
      </x:c>
    </x:row>
    <x:row r="837" ht="24" customHeight="1">
      <x:c r="A837" s="65" t="n">
        <x:v>668</x:v>
      </x:c>
      <x:c r="B837" s="65" t="str">
        <x:v>贝尔格拉诺（科尔多瓦）</x:v>
      </x:c>
      <x:c r="C837" s="82" t="n">
        <x:v>1</x:v>
      </x:c>
      <x:c r="D837" s="82" t="n">
        <x:v>1</x:v>
      </x:c>
      <x:c r="E837" s="67" t="n">
        <x:v>0.5</x:v>
      </x:c>
      <x:c r="F837" s="181" t="n">
        <x:v>1</x:v>
      </x:c>
      <x:c r="G837" s="67" t="n">
        <x:v>0.5</x:v>
      </x:c>
      <x:c r="H837"/>
      <x:c r="I837" s="65" t="n">
        <x:v>668</x:v>
      </x:c>
      <x:c r="J837" s="65" t="str">
        <x:v>东孟加拉（East Bengal FC）</x:v>
      </x:c>
      <x:c r="K837" s="82" t="n">
        <x:v>4</x:v>
      </x:c>
      <x:c r="L837" s="82" t="n">
        <x:v>4</x:v>
      </x:c>
      <x:c r="M837" s="67" t="n">
        <x:v>1</x:v>
      </x:c>
      <x:c r="N837" s="181" t="n">
        <x:v>0.5</x:v>
      </x:c>
      <x:c r="O837" s="67" t="n">
        <x:v>0.25</x:v>
      </x:c>
    </x:row>
    <x:row r="838" ht="24" customHeight="1">
      <x:c r="A838" s="65" t="n">
        <x:v>669</x:v>
      </x:c>
      <x:c r="B838" s="65" t="str">
        <x:v>费哈（Al-Fayha）</x:v>
      </x:c>
      <x:c r="C838" s="82" t="n">
        <x:v>1</x:v>
      </x:c>
      <x:c r="D838" s="82" t="n">
        <x:v>1</x:v>
      </x:c>
      <x:c r="E838" s="67" t="n">
        <x:v>0.5</x:v>
      </x:c>
      <x:c r="F838" s="181" t="n">
        <x:v>1</x:v>
      </x:c>
      <x:c r="G838" s="67" t="n">
        <x:v>0.5</x:v>
      </x:c>
      <x:c r="H838"/>
      <x:c r="I838" s="65" t="n">
        <x:v>669</x:v>
      </x:c>
      <x:c r="J838" s="65" t="str">
        <x:v>利物浦（Liverpool）</x:v>
      </x:c>
      <x:c r="K838" s="82" t="n">
        <x:v>4</x:v>
      </x:c>
      <x:c r="L838" s="82" t="n">
        <x:v>4</x:v>
      </x:c>
      <x:c r="M838" s="67" t="n">
        <x:v>1</x:v>
      </x:c>
      <x:c r="N838" s="181" t="n">
        <x:v>0.5</x:v>
      </x:c>
      <x:c r="O838" s="67" t="n">
        <x:v>0.25</x:v>
      </x:c>
    </x:row>
    <x:row r="839" ht="24" customHeight="1">
      <x:c r="A839" s="65" t="n">
        <x:v>670</x:v>
      </x:c>
      <x:c r="B839" s="65" t="str">
        <x:v>防卫与正义（Defensa y Justicia）</x:v>
      </x:c>
      <x:c r="C839" s="82" t="n">
        <x:v>1</x:v>
      </x:c>
      <x:c r="D839" s="82" t="n">
        <x:v>1</x:v>
      </x:c>
      <x:c r="E839" s="67" t="n">
        <x:v>0.5</x:v>
      </x:c>
      <x:c r="F839" s="181" t="n">
        <x:v>1</x:v>
      </x:c>
      <x:c r="G839" s="67" t="n">
        <x:v>0.5</x:v>
      </x:c>
      <x:c r="H839"/>
      <x:c r="I839" s="65" t="n">
        <x:v>670</x:v>
      </x:c>
      <x:c r="J839" s="65" t="str">
        <x:v>国际波哥大（Internacional de Bogotá）</x:v>
      </x:c>
      <x:c r="K839" s="82" t="n">
        <x:v>2</x:v>
      </x:c>
      <x:c r="L839" s="82" t="n">
        <x:v>2</x:v>
      </x:c>
      <x:c r="M839" s="67" t="n">
        <x:v>1</x:v>
      </x:c>
      <x:c r="N839" s="181" t="n">
        <x:v>0.5</x:v>
      </x:c>
      <x:c r="O839" s="67" t="n">
        <x:v>0.5</x:v>
      </x:c>
    </x:row>
    <x:row r="840" ht="24" customHeight="1">
      <x:c r="A840" s="65" t="n">
        <x:v>671</x:v>
      </x:c>
      <x:c r="B840" s="65" t="str">
        <x:v>阿根廷青年</x:v>
      </x:c>
      <x:c r="C840" s="82" t="n">
        <x:v>1</x:v>
      </x:c>
      <x:c r="D840" s="82" t="n">
        <x:v>1</x:v>
      </x:c>
      <x:c r="E840" s="67" t="n">
        <x:v>0.5</x:v>
      </x:c>
      <x:c r="F840" s="181" t="n">
        <x:v>1</x:v>
      </x:c>
      <x:c r="G840" s="67" t="n">
        <x:v>0.5</x:v>
      </x:c>
      <x:c r="H840"/>
      <x:c r="I840" s="65" t="n">
        <x:v>671</x:v>
      </x:c>
      <x:c r="J840" s="65" t="str">
        <x:v>埃尔维斯（Ilves）</x:v>
      </x:c>
      <x:c r="K840" s="82" t="n">
        <x:v>2</x:v>
      </x:c>
      <x:c r="L840" s="82" t="n">
        <x:v>2</x:v>
      </x:c>
      <x:c r="M840" s="67" t="n">
        <x:v>1</x:v>
      </x:c>
      <x:c r="N840" s="181" t="n">
        <x:v>0.5</x:v>
      </x:c>
      <x:c r="O840" s="67" t="n">
        <x:v>0.5</x:v>
      </x:c>
    </x:row>
    <x:row r="841" ht="24" customHeight="1">
      <x:c r="A841" s="65" t="n">
        <x:v>672</x:v>
      </x:c>
      <x:c r="B841" s="65" t="str">
        <x:v>雷克斯汉姆（Wrexham）</x:v>
      </x:c>
      <x:c r="C841" s="82" t="n">
        <x:v>1</x:v>
      </x:c>
      <x:c r="D841" s="82" t="n">
        <x:v>1</x:v>
      </x:c>
      <x:c r="E841" s="67" t="n">
        <x:v>0.5</x:v>
      </x:c>
      <x:c r="F841" s="181" t="n">
        <x:v>1</x:v>
      </x:c>
      <x:c r="G841" s="67" t="n">
        <x:v>0.5</x:v>
      </x:c>
      <x:c r="H841"/>
      <x:c r="I841" s="65" t="n">
        <x:v>672</x:v>
      </x:c>
      <x:c r="J841" s="65" t="str">
        <x:v>托卢卡</x:v>
      </x:c>
      <x:c r="K841" s="82" t="n">
        <x:v>10</x:v>
      </x:c>
      <x:c r="L841" s="82" t="n">
        <x:v>10</x:v>
      </x:c>
      <x:c r="M841" s="67" t="n">
        <x:v>1</x:v>
      </x:c>
      <x:c r="N841" s="181" t="n">
        <x:v>0.5</x:v>
      </x:c>
      <x:c r="O841" s="67" t="n">
        <x:v>0.1</x:v>
      </x:c>
    </x:row>
    <x:row r="842" ht="24" customHeight="1">
      <x:c r="A842" s="65" t="n">
        <x:v>673</x:v>
      </x:c>
      <x:c r="B842" s="65" t="str">
        <x:v>黑德堡（Heidelberg United）</x:v>
      </x:c>
      <x:c r="C842" s="82" t="n">
        <x:v>1</x:v>
      </x:c>
      <x:c r="D842" s="82" t="n">
        <x:v>1</x:v>
      </x:c>
      <x:c r="E842" s="67" t="n">
        <x:v>0.5</x:v>
      </x:c>
      <x:c r="F842" s="181" t="n">
        <x:v>1</x:v>
      </x:c>
      <x:c r="G842" s="67" t="n">
        <x:v>0.5</x:v>
      </x:c>
      <x:c r="H842"/>
      <x:c r="I842" s="65" t="n">
        <x:v>673</x:v>
      </x:c>
      <x:c r="J842" s="65" t="str">
        <x:v>曼城（Manchester City）</x:v>
      </x:c>
      <x:c r="K842" s="82" t="n">
        <x:v>2</x:v>
      </x:c>
      <x:c r="L842" s="82" t="n">
        <x:v>2</x:v>
      </x:c>
      <x:c r="M842" s="67" t="n">
        <x:v>1</x:v>
      </x:c>
      <x:c r="N842" s="181" t="n">
        <x:v>0.5</x:v>
      </x:c>
      <x:c r="O842" s="67" t="n">
        <x:v>0.5</x:v>
      </x:c>
    </x:row>
    <x:row r="843" ht="24" customHeight="1">
      <x:c r="A843" s="65" t="n">
        <x:v>674</x:v>
      </x:c>
      <x:c r="B843" s="65" t="str">
        <x:v>墨尔本城（Melbourne City FC）</x:v>
      </x:c>
      <x:c r="C843" s="82" t="n">
        <x:v>1</x:v>
      </x:c>
      <x:c r="D843" s="82" t="n">
        <x:v>1</x:v>
      </x:c>
      <x:c r="E843" s="67" t="n">
        <x:v>0.5</x:v>
      </x:c>
      <x:c r="F843" s="181" t="n">
        <x:v>1</x:v>
      </x:c>
      <x:c r="G843" s="67" t="n">
        <x:v>0.5</x:v>
      </x:c>
      <x:c r="H843"/>
      <x:c r="I843" s="65" t="n">
        <x:v>674</x:v>
      </x:c>
      <x:c r="J843" s="65" t="str">
        <x:v>桑托斯拉古纳</x:v>
      </x:c>
      <x:c r="K843" s="82" t="n">
        <x:v>8</x:v>
      </x:c>
      <x:c r="L843" s="82" t="n">
        <x:v>8</x:v>
      </x:c>
      <x:c r="M843" s="67" t="n">
        <x:v>1</x:v>
      </x:c>
      <x:c r="N843" s="181" t="n">
        <x:v>0.5</x:v>
      </x:c>
      <x:c r="O843" s="67" t="n">
        <x:v>0.125</x:v>
      </x:c>
    </x:row>
    <x:row r="844" ht="24" customHeight="1">
      <x:c r="A844" s="65" t="n">
        <x:v>675</x:v>
      </x:c>
      <x:c r="B844" s="65" t="str">
        <x:v>墨尔本港鲨鱼（Port Melbourne Sharks）</x:v>
      </x:c>
      <x:c r="C844" s="82" t="n">
        <x:v>1</x:v>
      </x:c>
      <x:c r="D844" s="82" t="n">
        <x:v>1</x:v>
      </x:c>
      <x:c r="E844" s="67" t="n">
        <x:v>0.5</x:v>
      </x:c>
      <x:c r="F844" s="181" t="n">
        <x:v>1</x:v>
      </x:c>
      <x:c r="G844" s="67" t="n">
        <x:v>0.5</x:v>
      </x:c>
      <x:c r="H844"/>
      <x:c r="I844" s="65" t="n">
        <x:v>675</x:v>
      </x:c>
      <x:c r="J844" s="65" t="str">
        <x:v>洛杉矶FC（LAFC）</x:v>
      </x:c>
      <x:c r="K844" s="82" t="n">
        <x:v>4</x:v>
      </x:c>
      <x:c r="L844" s="82" t="n">
        <x:v>4</x:v>
      </x:c>
      <x:c r="M844" s="67" t="n">
        <x:v>1</x:v>
      </x:c>
      <x:c r="N844" s="181" t="n">
        <x:v>0.5</x:v>
      </x:c>
      <x:c r="O844" s="67" t="n">
        <x:v>0.25</x:v>
      </x:c>
    </x:row>
    <x:row r="845" ht="24" customHeight="1">
      <x:c r="A845" s="65" t="n">
        <x:v>676</x:v>
      </x:c>
      <x:c r="B845" s="65" t="str">
        <x:v>东北联（NorthEast United FC）</x:v>
      </x:c>
      <x:c r="C845" s="82" t="n">
        <x:v>3</x:v>
      </x:c>
      <x:c r="D845" s="82" t="n">
        <x:v>3</x:v>
      </x:c>
      <x:c r="E845" s="67" t="n">
        <x:v>0.5</x:v>
      </x:c>
      <x:c r="F845" s="181" t="n">
        <x:v>0.6666666666666666</x:v>
      </x:c>
      <x:c r="G845" s="67" t="n">
        <x:v>0.16666666666666666</x:v>
      </x:c>
      <x:c r="H845"/>
      <x:c r="I845" s="65" t="n">
        <x:v>676</x:v>
      </x:c>
      <x:c r="J845" s="65" t="str">
        <x:v>洛杉矶银河</x:v>
      </x:c>
      <x:c r="K845" s="82" t="n">
        <x:v>2</x:v>
      </x:c>
      <x:c r="L845" s="82" t="n">
        <x:v>2</x:v>
      </x:c>
      <x:c r="M845" s="67" t="n">
        <x:v>1</x:v>
      </x:c>
      <x:c r="N845" s="181" t="n">
        <x:v>0.5</x:v>
      </x:c>
      <x:c r="O845" s="67" t="n">
        <x:v>0.5</x:v>
      </x:c>
    </x:row>
    <x:row r="846" ht="24" customHeight="1">
      <x:c r="A846" s="65" t="n">
        <x:v>677</x:v>
      </x:c>
      <x:c r="B846" s="65" t="str">
        <x:v>哥德堡盖斯（GAIS）</x:v>
      </x:c>
      <x:c r="C846" s="82" t="n">
        <x:v>3</x:v>
      </x:c>
      <x:c r="D846" s="82" t="n">
        <x:v>3</x:v>
      </x:c>
      <x:c r="E846" s="67" t="n">
        <x:v>0.5</x:v>
      </x:c>
      <x:c r="F846" s="181" t="n">
        <x:v>0.6666666666666666</x:v>
      </x:c>
      <x:c r="G846" s="67" t="n">
        <x:v>0.16666666666666666</x:v>
      </x:c>
      <x:c r="H846"/>
      <x:c r="I846" s="65" t="n">
        <x:v>677</x:v>
      </x:c>
      <x:c r="J846" s="65" t="str">
        <x:v>班加罗尔FC</x:v>
      </x:c>
      <x:c r="K846" s="82" t="n">
        <x:v>2</x:v>
      </x:c>
      <x:c r="L846" s="82" t="n">
        <x:v>2</x:v>
      </x:c>
      <x:c r="M846" s="67" t="n">
        <x:v>1</x:v>
      </x:c>
      <x:c r="N846" s="181" t="n">
        <x:v>0.5</x:v>
      </x:c>
      <x:c r="O846" s="67" t="n">
        <x:v>0.5</x:v>
      </x:c>
    </x:row>
    <x:row r="847" ht="24" customHeight="1">
      <x:c r="A847" s="65" t="n">
        <x:v>678</x:v>
      </x:c>
      <x:c r="B847" s="65" t="str">
        <x:v>图库曼竞技</x:v>
      </x:c>
      <x:c r="C847" s="82" t="n">
        <x:v>3</x:v>
      </x:c>
      <x:c r="D847" s="82" t="n">
        <x:v>3</x:v>
      </x:c>
      <x:c r="E847" s="67" t="n">
        <x:v>0.5</x:v>
      </x:c>
      <x:c r="F847" s="181" t="n">
        <x:v>0.6666666666666666</x:v>
      </x:c>
      <x:c r="G847" s="67" t="n">
        <x:v>0.16666666666666666</x:v>
      </x:c>
      <x:c r="H847"/>
      <x:c r="I847" s="65" t="n">
        <x:v>678</x:v>
      </x:c>
      <x:c r="J847" s="65" t="str">
        <x:v>莱昂（León）</x:v>
      </x:c>
      <x:c r="K847" s="82" t="n">
        <x:v>2</x:v>
      </x:c>
      <x:c r="L847" s="82" t="n">
        <x:v>2</x:v>
      </x:c>
      <x:c r="M847" s="67" t="n">
        <x:v>1</x:v>
      </x:c>
      <x:c r="N847" s="181" t="n">
        <x:v>0.5</x:v>
      </x:c>
      <x:c r="O847" s="67" t="n">
        <x:v>0.5</x:v>
      </x:c>
    </x:row>
    <x:row r="848" ht="24" customHeight="1">
      <x:c r="A848" s="65" t="n">
        <x:v>679</x:v>
      </x:c>
      <x:c r="B848" s="65" t="str">
        <x:v>富勒姆（Fulham）</x:v>
      </x:c>
      <x:c r="C848" s="82" t="n">
        <x:v>3</x:v>
      </x:c>
      <x:c r="D848" s="82" t="n">
        <x:v>3</x:v>
      </x:c>
      <x:c r="E848" s="67" t="n">
        <x:v>0.5</x:v>
      </x:c>
      <x:c r="F848" s="181" t="n">
        <x:v>0.6666666666666666</x:v>
      </x:c>
      <x:c r="G848" s="67" t="n">
        <x:v>0.16666666666666666</x:v>
      </x:c>
      <x:c r="H848"/>
      <x:c r="I848" s="65" t="n">
        <x:v>679</x:v>
      </x:c>
      <x:c r="J848" s="65" t="str">
        <x:v>蒙得维的亚流浪者（Montevideo Wanderers）</x:v>
      </x:c>
      <x:c r="K848" s="82" t="n">
        <x:v>2</x:v>
      </x:c>
      <x:c r="L848" s="82" t="n">
        <x:v>2</x:v>
      </x:c>
      <x:c r="M848" s="67" t="n">
        <x:v>1</x:v>
      </x:c>
      <x:c r="N848" s="181" t="n">
        <x:v>0.5</x:v>
      </x:c>
      <x:c r="O848" s="67" t="n">
        <x:v>0.5</x:v>
      </x:c>
    </x:row>
    <x:row r="849" ht="24" customHeight="1">
      <x:c r="A849" s="65" t="n">
        <x:v>680</x:v>
      </x:c>
      <x:c r="B849" s="65" t="str">
        <x:v>布兰（SK Brann）</x:v>
      </x:c>
      <x:c r="C849" s="82" t="n">
        <x:v>3</x:v>
      </x:c>
      <x:c r="D849" s="82" t="n">
        <x:v>3</x:v>
      </x:c>
      <x:c r="E849" s="67" t="n">
        <x:v>0.5</x:v>
      </x:c>
      <x:c r="F849" s="181" t="n">
        <x:v>0.6666666666666666</x:v>
      </x:c>
      <x:c r="G849" s="67" t="n">
        <x:v>0.16666666666666666</x:v>
      </x:c>
      <x:c r="H849"/>
      <x:c r="I849" s="65" t="n">
        <x:v>680</x:v>
      </x:c>
      <x:c r="J849" s="65" t="str">
        <x:v>西汉姆联</x:v>
      </x:c>
      <x:c r="K849" s="82" t="n">
        <x:v>2</x:v>
      </x:c>
      <x:c r="L849" s="82" t="n">
        <x:v>2</x:v>
      </x:c>
      <x:c r="M849" s="67" t="n">
        <x:v>1</x:v>
      </x:c>
      <x:c r="N849" s="181" t="n">
        <x:v>0.5</x:v>
      </x:c>
      <x:c r="O849" s="67" t="n">
        <x:v>0.5</x:v>
      </x:c>
    </x:row>
    <x:row r="850" ht="24" customHeight="1">
      <x:c r="A850" s="65" t="n">
        <x:v>681</x:v>
      </x:c>
      <x:c r="B850" s="65" t="str">
        <x:v>汉诺威96（Hannover 96）</x:v>
      </x:c>
      <x:c r="C850" s="82" t="n">
        <x:v>3</x:v>
      </x:c>
      <x:c r="D850" s="82" t="n">
        <x:v>3</x:v>
      </x:c>
      <x:c r="E850" s="67" t="n">
        <x:v>0.5</x:v>
      </x:c>
      <x:c r="F850" s="181" t="n">
        <x:v>0.6666666666666666</x:v>
      </x:c>
      <x:c r="G850" s="67" t="n">
        <x:v>0.16666666666666666</x:v>
      </x:c>
      <x:c r="H850"/>
      <x:c r="I850" s="65" t="n">
        <x:v>681</x:v>
      </x:c>
      <x:c r="J850" s="65" t="str">
        <x:v>詹谢普尔</x:v>
      </x:c>
      <x:c r="K850" s="82" t="n">
        <x:v>2</x:v>
      </x:c>
      <x:c r="L850" s="82" t="n">
        <x:v>2</x:v>
      </x:c>
      <x:c r="M850" s="67" t="n">
        <x:v>1</x:v>
      </x:c>
      <x:c r="N850" s="181" t="n">
        <x:v>0.5</x:v>
      </x:c>
      <x:c r="O850" s="67" t="n">
        <x:v>0.5</x:v>
      </x:c>
    </x:row>
    <x:row r="851" ht="24" customHeight="1">
      <x:c r="A851" s="65" t="n">
        <x:v>682</x:v>
      </x:c>
      <x:c r="B851" s="65" t="str">
        <x:v>菲尔特</x:v>
      </x:c>
      <x:c r="C851" s="82" t="n">
        <x:v>3</x:v>
      </x:c>
      <x:c r="D851" s="82" t="n">
        <x:v>3</x:v>
      </x:c>
      <x:c r="E851" s="67" t="n">
        <x:v>0.5</x:v>
      </x:c>
      <x:c r="F851" s="181" t="n">
        <x:v>0.6666666666666666</x:v>
      </x:c>
      <x:c r="G851" s="67" t="n">
        <x:v>0.16666666666666666</x:v>
      </x:c>
      <x:c r="H851"/>
      <x:c r="I851" s="65" t="n">
        <x:v>682</x:v>
      </x:c>
      <x:c r="J851" s="65" t="str">
        <x:v>门多萨独立</x:v>
      </x:c>
      <x:c r="K851" s="82" t="n">
        <x:v>2</x:v>
      </x:c>
      <x:c r="L851" s="82" t="n">
        <x:v>2</x:v>
      </x:c>
      <x:c r="M851" s="67" t="n">
        <x:v>1</x:v>
      </x:c>
      <x:c r="N851" s="181" t="n">
        <x:v>0.5</x:v>
      </x:c>
      <x:c r="O851" s="67" t="n">
        <x:v>0.5</x:v>
      </x:c>
    </x:row>
    <x:row r="852" ht="24" customHeight="1">
      <x:c r="A852" s="65" t="n">
        <x:v>683</x:v>
      </x:c>
      <x:c r="B852" s="65" t="str">
        <x:v>菲尔特（Greuther Fürth）</x:v>
      </x:c>
      <x:c r="C852" s="82" t="n">
        <x:v>3</x:v>
      </x:c>
      <x:c r="D852" s="82" t="n">
        <x:v>3</x:v>
      </x:c>
      <x:c r="E852" s="67" t="n">
        <x:v>0.5</x:v>
      </x:c>
      <x:c r="F852" s="181" t="n">
        <x:v>0.6666666666666666</x:v>
      </x:c>
      <x:c r="G852" s="67" t="n">
        <x:v>0.16666666666666666</x:v>
      </x:c>
      <x:c r="H852"/>
      <x:c r="I852" s="65" t="n">
        <x:v>683</x:v>
      </x:c>
      <x:c r="J852" s="65" t="str">
        <x:v>阿根廷独立（Independiente）</x:v>
      </x:c>
      <x:c r="K852" s="82" t="n">
        <x:v>2</x:v>
      </x:c>
      <x:c r="L852" s="82" t="n">
        <x:v>2</x:v>
      </x:c>
      <x:c r="M852" s="67" t="n">
        <x:v>1</x:v>
      </x:c>
      <x:c r="N852" s="181" t="n">
        <x:v>0.5</x:v>
      </x:c>
      <x:c r="O852" s="67" t="n">
        <x:v>0.5</x:v>
      </x:c>
    </x:row>
    <x:row r="853" ht="24" customHeight="1">
      <x:c r="A853" s="65" t="n">
        <x:v>684</x:v>
      </x:c>
      <x:c r="B853" s="65" t="str">
        <x:v>萨普里萨（Deportivo Saprissa）</x:v>
      </x:c>
      <x:c r="C853" s="82" t="n">
        <x:v>3</x:v>
      </x:c>
      <x:c r="D853" s="82" t="n">
        <x:v>3</x:v>
      </x:c>
      <x:c r="E853" s="67" t="n">
        <x:v>0.5</x:v>
      </x:c>
      <x:c r="F853" s="181" t="n">
        <x:v>0.6666666666666666</x:v>
      </x:c>
      <x:c r="G853" s="67" t="n">
        <x:v>0.16666666666666666</x:v>
      </x:c>
      <x:c r="H853"/>
      <x:c r="I853" s="65" t="n">
        <x:v>684</x:v>
      </x:c>
      <x:c r="J853" s="65" t="str">
        <x:v>马卡拉</x:v>
      </x:c>
      <x:c r="K853" s="82" t="n">
        <x:v>2</x:v>
      </x:c>
      <x:c r="L853" s="82" t="n">
        <x:v>2</x:v>
      </x:c>
      <x:c r="M853" s="67" t="n">
        <x:v>1</x:v>
      </x:c>
      <x:c r="N853" s="181" t="n">
        <x:v>0.5</x:v>
      </x:c>
      <x:c r="O853" s="67" t="n">
        <x:v>0.5</x:v>
      </x:c>
    </x:row>
    <x:row r="854" ht="24" customHeight="1">
      <x:c r="A854" s="65" t="n">
        <x:v>685</x:v>
      </x:c>
      <x:c r="B854" s="65" t="str">
        <x:v>蒂华纳（Club Tijuana）</x:v>
      </x:c>
      <x:c r="C854" s="82" t="n">
        <x:v>3</x:v>
      </x:c>
      <x:c r="D854" s="82" t="n">
        <x:v>3</x:v>
      </x:c>
      <x:c r="E854" s="67" t="n">
        <x:v>0.5</x:v>
      </x:c>
      <x:c r="F854" s="181" t="n">
        <x:v>0.6666666666666666</x:v>
      </x:c>
      <x:c r="G854" s="67" t="n">
        <x:v>0.16666666666666666</x:v>
      </x:c>
      <x:c r="H854"/>
      <x:c r="I854" s="65" t="n">
        <x:v>685</x:v>
      </x:c>
      <x:c r="J854" s="65" t="str">
        <x:v>瓜比拉（Guabirá）</x:v>
      </x:c>
      <x:c r="K854" s="82" t="n">
        <x:v>3</x:v>
      </x:c>
      <x:c r="L854" s="82" t="n">
        <x:v>3</x:v>
      </x:c>
      <x:c r="M854" s="67" t="n">
        <x:v>1</x:v>
      </x:c>
      <x:c r="N854" s="181" t="n">
        <x:v>0.3333333333333333</x:v>
      </x:c>
      <x:c r="O854" s="67" t="n">
        <x:v>0.3333333333333333</x:v>
      </x:c>
    </x:row>
    <x:row r="855" ht="24" customHeight="1">
      <x:c r="A855" s="65" t="n">
        <x:v>686</x:v>
      </x:c>
      <x:c r="B855" s="65" t="str">
        <x:v>马萨特兰（Mazatlán FC）</x:v>
      </x:c>
      <x:c r="C855" s="82" t="n">
        <x:v>3</x:v>
      </x:c>
      <x:c r="D855" s="82" t="n">
        <x:v>3</x:v>
      </x:c>
      <x:c r="E855" s="67" t="n">
        <x:v>0.5</x:v>
      </x:c>
      <x:c r="F855" s="181" t="n">
        <x:v>0.6666666666666666</x:v>
      </x:c>
      <x:c r="G855" s="67" t="n">
        <x:v>0.16666666666666666</x:v>
      </x:c>
      <x:c r="H855"/>
      <x:c r="I855" s="65" t="n">
        <x:v>686</x:v>
      </x:c>
      <x:c r="J855" s="65" t="str">
        <x:v>上海海港（上海上港）</x:v>
      </x:c>
      <x:c r="K855" s="82" t="n">
        <x:v>1</x:v>
      </x:c>
      <x:c r="L855" s="82" t="n">
        <x:v>1</x:v>
      </x:c>
      <x:c r="M855" s="67" t="n">
        <x:v>0.5</x:v>
      </x:c>
      <x:c r="N855" s="181" t="n">
        <x:v>1</x:v>
      </x:c>
      <x:c r="O855" s="67" t="n">
        <x:v>0.5</x:v>
      </x:c>
    </x:row>
    <x:row r="856" ht="24" customHeight="1">
      <x:c r="A856" s="65" t="n">
        <x:v>687</x:v>
      </x:c>
      <x:c r="B856" s="65" t="str">
        <x:v>乌迪内斯</x:v>
      </x:c>
      <x:c r="C856" s="82" t="n">
        <x:v>5</x:v>
      </x:c>
      <x:c r="D856" s="82" t="n">
        <x:v>5</x:v>
      </x:c>
      <x:c r="E856" s="67" t="n">
        <x:v>0.5</x:v>
      </x:c>
      <x:c r="F856" s="181" t="n">
        <x:v>0.6</x:v>
      </x:c>
      <x:c r="G856" s="67" t="n">
        <x:v>0.1</x:v>
      </x:c>
      <x:c r="H856"/>
      <x:c r="I856" s="65" t="n">
        <x:v>687</x:v>
      </x:c>
      <x:c r="J856" s="65" t="str">
        <x:v>云博独立（Independiente Yumbo）</x:v>
      </x:c>
      <x:c r="K856" s="82" t="n">
        <x:v>1</x:v>
      </x:c>
      <x:c r="L856" s="82" t="n">
        <x:v>1</x:v>
      </x:c>
      <x:c r="M856" s="67" t="n">
        <x:v>0.5</x:v>
      </x:c>
      <x:c r="N856" s="181" t="n">
        <x:v>1</x:v>
      </x:c>
      <x:c r="O856" s="67" t="n">
        <x:v>0.5</x:v>
      </x:c>
    </x:row>
    <x:row r="857" ht="24" customHeight="1">
      <x:c r="A857" s="65" t="n">
        <x:v>688</x:v>
      </x:c>
      <x:c r="B857" s="65" t="str">
        <x:v>全北现代</x:v>
      </x:c>
      <x:c r="C857" s="82" t="n">
        <x:v>5</x:v>
      </x:c>
      <x:c r="D857" s="82" t="n">
        <x:v>5</x:v>
      </x:c>
      <x:c r="E857" s="67" t="n">
        <x:v>0.5</x:v>
      </x:c>
      <x:c r="F857" s="181" t="n">
        <x:v>0.6</x:v>
      </x:c>
      <x:c r="G857" s="67" t="n">
        <x:v>0.1</x:v>
      </x:c>
      <x:c r="H857"/>
      <x:c r="I857" s="65" t="n">
        <x:v>688</x:v>
      </x:c>
      <x:c r="J857" s="65" t="str">
        <x:v>休姆城（休城/Hume City）</x:v>
      </x:c>
      <x:c r="K857" s="82" t="n">
        <x:v>1</x:v>
      </x:c>
      <x:c r="L857" s="82" t="n">
        <x:v>1</x:v>
      </x:c>
      <x:c r="M857" s="67" t="n">
        <x:v>0.5</x:v>
      </x:c>
      <x:c r="N857" s="181" t="n">
        <x:v>1</x:v>
      </x:c>
      <x:c r="O857" s="67" t="n">
        <x:v>0.5</x:v>
      </x:c>
    </x:row>
    <x:row r="858" ht="24" customHeight="1">
      <x:c r="A858" s="65" t="n">
        <x:v>689</x:v>
      </x:c>
      <x:c r="B858" s="65" t="str">
        <x:v>广岛三箭（Sanfrecce Hiroshima）</x:v>
      </x:c>
      <x:c r="C858" s="82" t="n">
        <x:v>5</x:v>
      </x:c>
      <x:c r="D858" s="82" t="n">
        <x:v>5</x:v>
      </x:c>
      <x:c r="E858" s="67" t="n">
        <x:v>0.5</x:v>
      </x:c>
      <x:c r="F858" s="181" t="n">
        <x:v>0.6</x:v>
      </x:c>
      <x:c r="G858" s="67" t="n">
        <x:v>0.1</x:v>
      </x:c>
      <x:c r="H858"/>
      <x:c r="I858" s="65" t="n">
        <x:v>689</x:v>
      </x:c>
      <x:c r="J858" s="65" t="str">
        <x:v>佩尔西库库杜斯（Persiku Kudus）</x:v>
      </x:c>
      <x:c r="K858" s="82" t="n">
        <x:v>1</x:v>
      </x:c>
      <x:c r="L858" s="82" t="n">
        <x:v>1</x:v>
      </x:c>
      <x:c r="M858" s="67" t="n">
        <x:v>0.5</x:v>
      </x:c>
      <x:c r="N858" s="181" t="n">
        <x:v>1</x:v>
      </x:c>
      <x:c r="O858" s="67" t="n">
        <x:v>0.5</x:v>
      </x:c>
    </x:row>
    <x:row r="859" ht="24" customHeight="1">
      <x:c r="A859" s="65" t="n">
        <x:v>690</x:v>
      </x:c>
      <x:c r="B859" s="65" t="str">
        <x:v>德比郡</x:v>
      </x:c>
      <x:c r="C859" s="82" t="n">
        <x:v>5</x:v>
      </x:c>
      <x:c r="D859" s="82" t="n">
        <x:v>5</x:v>
      </x:c>
      <x:c r="E859" s="67" t="n">
        <x:v>0.5</x:v>
      </x:c>
      <x:c r="F859" s="181" t="n">
        <x:v>0.6</x:v>
      </x:c>
      <x:c r="G859" s="67" t="n">
        <x:v>0.1</x:v>
      </x:c>
      <x:c r="H859"/>
      <x:c r="I859" s="65" t="n">
        <x:v>690</x:v>
      </x:c>
      <x:c r="J859" s="65" t="str">
        <x:v>卡塔尔体育</x:v>
      </x:c>
      <x:c r="K859" s="82" t="n">
        <x:v>1</x:v>
      </x:c>
      <x:c r="L859" s="82" t="n">
        <x:v>1</x:v>
      </x:c>
      <x:c r="M859" s="67" t="n">
        <x:v>0.5</x:v>
      </x:c>
      <x:c r="N859" s="181" t="n">
        <x:v>1</x:v>
      </x:c>
      <x:c r="O859" s="67" t="n">
        <x:v>0.5</x:v>
      </x:c>
    </x:row>
    <x:row r="860" ht="24" customHeight="1">
      <x:c r="A860" s="65" t="n">
        <x:v>691</x:v>
      </x:c>
      <x:c r="B860" s="65" t="str">
        <x:v>提格雷</x:v>
      </x:c>
      <x:c r="C860" s="82" t="n">
        <x:v>5</x:v>
      </x:c>
      <x:c r="D860" s="82" t="n">
        <x:v>5</x:v>
      </x:c>
      <x:c r="E860" s="67" t="n">
        <x:v>0.5</x:v>
      </x:c>
      <x:c r="F860" s="181" t="n">
        <x:v>0.6</x:v>
      </x:c>
      <x:c r="G860" s="67" t="n">
        <x:v>0.1</x:v>
      </x:c>
      <x:c r="H860"/>
      <x:c r="I860" s="65" t="n">
        <x:v>691</x:v>
      </x:c>
      <x:c r="J860" s="65" t="str">
        <x:v>卢比奥纽（Rubio Ñu）</x:v>
      </x:c>
      <x:c r="K860" s="82" t="n">
        <x:v>1</x:v>
      </x:c>
      <x:c r="L860" s="82" t="n">
        <x:v>1</x:v>
      </x:c>
      <x:c r="M860" s="67" t="n">
        <x:v>0.5</x:v>
      </x:c>
      <x:c r="N860" s="181" t="n">
        <x:v>1</x:v>
      </x:c>
      <x:c r="O860" s="67" t="n">
        <x:v>0.5</x:v>
      </x:c>
    </x:row>
    <x:row r="861" ht="24" customHeight="1">
      <x:c r="A861" s="65" t="n">
        <x:v>692</x:v>
      </x:c>
      <x:c r="B861" s="65" t="str">
        <x:v>布林狮子（Bulleen Lions）</x:v>
      </x:c>
      <x:c r="C861" s="82" t="n">
        <x:v>7</x:v>
      </x:c>
      <x:c r="D861" s="82" t="n">
        <x:v>7</x:v>
      </x:c>
      <x:c r="E861" s="67" t="n">
        <x:v>0.5</x:v>
      </x:c>
      <x:c r="F861" s="181" t="n">
        <x:v>0.5714285714285714</x:v>
      </x:c>
      <x:c r="G861" s="67" t="n">
        <x:v>0.07142857142857142</x:v>
      </x:c>
      <x:c r="H861"/>
      <x:c r="I861" s="65" t="n">
        <x:v>692</x:v>
      </x:c>
      <x:c r="J861" s="65" t="str">
        <x:v>奥胡斯（AGF Aarhus）</x:v>
      </x:c>
      <x:c r="K861" s="82" t="n">
        <x:v>1</x:v>
      </x:c>
      <x:c r="L861" s="82" t="n">
        <x:v>1</x:v>
      </x:c>
      <x:c r="M861" s="67" t="n">
        <x:v>0.5</x:v>
      </x:c>
      <x:c r="N861" s="181" t="n">
        <x:v>1</x:v>
      </x:c>
      <x:c r="O861" s="67" t="n">
        <x:v>0.5</x:v>
      </x:c>
    </x:row>
    <x:row r="862" ht="24" customHeight="1">
      <x:c r="A862" s="65" t="n">
        <x:v>693</x:v>
      </x:c>
      <x:c r="B862" s="65" t="str">
        <x:v>伯恩茅斯</x:v>
      </x:c>
      <x:c r="C862" s="82" t="n">
        <x:v>2</x:v>
      </x:c>
      <x:c r="D862" s="82" t="n">
        <x:v>2</x:v>
      </x:c>
      <x:c r="E862" s="67" t="n">
        <x:v>0.5</x:v>
      </x:c>
      <x:c r="F862" s="181" t="n">
        <x:v>0.5</x:v>
      </x:c>
      <x:c r="G862" s="67" t="n">
        <x:v>0.25</x:v>
      </x:c>
      <x:c r="H862"/>
      <x:c r="I862" s="65" t="n">
        <x:v>693</x:v>
      </x:c>
      <x:c r="J862" s="65" t="str">
        <x:v>委内瑞拉中央大学（UCV）</x:v>
      </x:c>
      <x:c r="K862" s="82" t="n">
        <x:v>1</x:v>
      </x:c>
      <x:c r="L862" s="82" t="n">
        <x:v>1</x:v>
      </x:c>
      <x:c r="M862" s="67" t="n">
        <x:v>0.5</x:v>
      </x:c>
      <x:c r="N862" s="181" t="n">
        <x:v>1</x:v>
      </x:c>
      <x:c r="O862" s="67" t="n">
        <x:v>0.5</x:v>
      </x:c>
    </x:row>
    <x:row r="863" ht="24" customHeight="1">
      <x:c r="A863" s="65" t="n">
        <x:v>694</x:v>
      </x:c>
      <x:c r="B863" s="65" t="str">
        <x:v>加拿大U20</x:v>
      </x:c>
      <x:c r="C863" s="82" t="n">
        <x:v>2</x:v>
      </x:c>
      <x:c r="D863" s="82" t="n">
        <x:v>2</x:v>
      </x:c>
      <x:c r="E863" s="67" t="n">
        <x:v>0.5</x:v>
      </x:c>
      <x:c r="F863" s="181" t="n">
        <x:v>0.5</x:v>
      </x:c>
      <x:c r="G863" s="67" t="n">
        <x:v>0.25</x:v>
      </x:c>
      <x:c r="H863"/>
      <x:c r="I863" s="65" t="n">
        <x:v>694</x:v>
      </x:c>
      <x:c r="J863" s="65" t="str">
        <x:v>安提瓜（Antigua GFC）</x:v>
      </x:c>
      <x:c r="K863" s="82" t="n">
        <x:v>1</x:v>
      </x:c>
      <x:c r="L863" s="82" t="n">
        <x:v>1</x:v>
      </x:c>
      <x:c r="M863" s="67" t="n">
        <x:v>0.5</x:v>
      </x:c>
      <x:c r="N863" s="181" t="n">
        <x:v>1</x:v>
      </x:c>
      <x:c r="O863" s="67" t="n">
        <x:v>0.5</x:v>
      </x:c>
    </x:row>
    <x:row r="864" ht="24" customHeight="1">
      <x:c r="A864" s="65" t="n">
        <x:v>695</x:v>
      </x:c>
      <x:c r="B864" s="65" t="str">
        <x:v>古比斯（KuPS）</x:v>
      </x:c>
      <x:c r="C864" s="82" t="n">
        <x:v>2</x:v>
      </x:c>
      <x:c r="D864" s="82" t="n">
        <x:v>2</x:v>
      </x:c>
      <x:c r="E864" s="67" t="n">
        <x:v>0.5</x:v>
      </x:c>
      <x:c r="F864" s="181" t="n">
        <x:v>0.5</x:v>
      </x:c>
      <x:c r="G864" s="67" t="n">
        <x:v>0.25</x:v>
      </x:c>
      <x:c r="H864"/>
      <x:c r="I864" s="65" t="n">
        <x:v>695</x:v>
      </x:c>
      <x:c r="J864" s="65" t="str">
        <x:v>巴拉圭国民（Nacional Asunción）</x:v>
      </x:c>
      <x:c r="K864" s="82" t="n">
        <x:v>1</x:v>
      </x:c>
      <x:c r="L864" s="82" t="n">
        <x:v>1</x:v>
      </x:c>
      <x:c r="M864" s="67" t="n">
        <x:v>0.5</x:v>
      </x:c>
      <x:c r="N864" s="181" t="n">
        <x:v>1</x:v>
      </x:c>
      <x:c r="O864" s="67" t="n">
        <x:v>0.5</x:v>
      </x:c>
    </x:row>
    <x:row r="865" ht="24" customHeight="1">
      <x:c r="A865" s="65" t="n">
        <x:v>696</x:v>
      </x:c>
      <x:c r="B865" s="65" t="str">
        <x:v>哥德堡盖斯</x:v>
      </x:c>
      <x:c r="C865" s="82" t="n">
        <x:v>2</x:v>
      </x:c>
      <x:c r="D865" s="82" t="n">
        <x:v>2</x:v>
      </x:c>
      <x:c r="E865" s="67" t="n">
        <x:v>0.5</x:v>
      </x:c>
      <x:c r="F865" s="181" t="n">
        <x:v>0.5</x:v>
      </x:c>
      <x:c r="G865" s="67" t="n">
        <x:v>0.25</x:v>
      </x:c>
      <x:c r="H865"/>
      <x:c r="I865" s="65" t="n">
        <x:v>696</x:v>
      </x:c>
      <x:c r="J865" s="65" t="str">
        <x:v>巴日托普特拉（PS Barito Putera）</x:v>
      </x:c>
      <x:c r="K865" s="82" t="n">
        <x:v>1</x:v>
      </x:c>
      <x:c r="L865" s="82" t="n">
        <x:v>1</x:v>
      </x:c>
      <x:c r="M865" s="67" t="n">
        <x:v>0.5</x:v>
      </x:c>
      <x:c r="N865" s="181" t="n">
        <x:v>1</x:v>
      </x:c>
      <x:c r="O865" s="67" t="n">
        <x:v>0.5</x:v>
      </x:c>
    </x:row>
    <x:row r="866" ht="24" customHeight="1">
      <x:c r="A866" s="65" t="n">
        <x:v>697</x:v>
      </x:c>
      <x:c r="B866" s="65" t="str">
        <x:v>圣塔菲联</x:v>
      </x:c>
      <x:c r="C866" s="82" t="n">
        <x:v>2</x:v>
      </x:c>
      <x:c r="D866" s="82" t="n">
        <x:v>2</x:v>
      </x:c>
      <x:c r="E866" s="67" t="n">
        <x:v>0.5</x:v>
      </x:c>
      <x:c r="F866" s="181" t="n">
        <x:v>0.5</x:v>
      </x:c>
      <x:c r="G866" s="67" t="n">
        <x:v>0.25</x:v>
      </x:c>
      <x:c r="H866"/>
      <x:c r="I866" s="65" t="n">
        <x:v>697</x:v>
      </x:c>
      <x:c r="J866" s="65" t="str">
        <x:v>布伦瑞克城U23（Brunswick City U23）</x:v>
      </x:c>
      <x:c r="K866" s="82" t="n">
        <x:v>1</x:v>
      </x:c>
      <x:c r="L866" s="82" t="n">
        <x:v>1</x:v>
      </x:c>
      <x:c r="M866" s="67" t="n">
        <x:v>0.5</x:v>
      </x:c>
      <x:c r="N866" s="181" t="n">
        <x:v>1</x:v>
      </x:c>
      <x:c r="O866" s="67" t="n">
        <x:v>0.5</x:v>
      </x:c>
    </x:row>
    <x:row r="867" ht="24" customHeight="1">
      <x:c r="A867" s="65" t="n">
        <x:v>698</x:v>
      </x:c>
      <x:c r="B867" s="65" t="str">
        <x:v>多特蒙德（Borussia Dortmund）</x:v>
      </x:c>
      <x:c r="C867" s="82" t="n">
        <x:v>2</x:v>
      </x:c>
      <x:c r="D867" s="82" t="n">
        <x:v>2</x:v>
      </x:c>
      <x:c r="E867" s="67" t="n">
        <x:v>0.5</x:v>
      </x:c>
      <x:c r="F867" s="181" t="n">
        <x:v>0.5</x:v>
      </x:c>
      <x:c r="G867" s="67" t="n">
        <x:v>0.25</x:v>
      </x:c>
      <x:c r="H867"/>
      <x:c r="I867" s="65" t="n">
        <x:v>698</x:v>
      </x:c>
      <x:c r="J867" s="65" t="str">
        <x:v>布琳狮子（Bulleen Lions）</x:v>
      </x:c>
      <x:c r="K867" s="82" t="n">
        <x:v>1</x:v>
      </x:c>
      <x:c r="L867" s="82" t="n">
        <x:v>1</x:v>
      </x:c>
      <x:c r="M867" s="67" t="n">
        <x:v>0.5</x:v>
      </x:c>
      <x:c r="N867" s="181" t="n">
        <x:v>1</x:v>
      </x:c>
      <x:c r="O867" s="67" t="n">
        <x:v>0.5</x:v>
      </x:c>
    </x:row>
    <x:row r="868" ht="24" customHeight="1">
      <x:c r="A868" s="65" t="n">
        <x:v>699</x:v>
      </x:c>
      <x:c r="B868" s="65" t="str">
        <x:v>大阪樱花（Cerezo Osaka）</x:v>
      </x:c>
      <x:c r="C868" s="82" t="n">
        <x:v>4</x:v>
      </x:c>
      <x:c r="D868" s="82" t="n">
        <x:v>4</x:v>
      </x:c>
      <x:c r="E868" s="67" t="n">
        <x:v>0.5</x:v>
      </x:c>
      <x:c r="F868" s="181" t="n">
        <x:v>0.5</x:v>
      </x:c>
      <x:c r="G868" s="67" t="n">
        <x:v>0.125</x:v>
      </x:c>
      <x:c r="H868"/>
      <x:c r="I868" s="65" t="n">
        <x:v>699</x:v>
      </x:c>
      <x:c r="J868" s="65" t="str">
        <x:v>布琳狮子U23（Bulleen Lions U23）</x:v>
      </x:c>
      <x:c r="K868" s="82" t="n">
        <x:v>1</x:v>
      </x:c>
      <x:c r="L868" s="82" t="n">
        <x:v>1</x:v>
      </x:c>
      <x:c r="M868" s="67" t="n">
        <x:v>0.5</x:v>
      </x:c>
      <x:c r="N868" s="181" t="n">
        <x:v>1</x:v>
      </x:c>
      <x:c r="O868" s="67" t="n">
        <x:v>0.5</x:v>
      </x:c>
    </x:row>
    <x:row r="869" ht="24" customHeight="1">
      <x:c r="A869" s="65" t="n">
        <x:v>700</x:v>
      </x:c>
      <x:c r="B869" s="65" t="str">
        <x:v>婆罗洲FC（Borneo FC Samarinda）</x:v>
      </x:c>
      <x:c r="C869" s="82" t="n">
        <x:v>4</x:v>
      </x:c>
      <x:c r="D869" s="82" t="n">
        <x:v>4</x:v>
      </x:c>
      <x:c r="E869" s="67" t="n">
        <x:v>0.5</x:v>
      </x:c>
      <x:c r="F869" s="181" t="n">
        <x:v>0.5</x:v>
      </x:c>
      <x:c r="G869" s="67" t="n">
        <x:v>0.125</x:v>
      </x:c>
      <x:c r="H869"/>
      <x:c r="I869" s="65" t="n">
        <x:v>700</x:v>
      </x:c>
      <x:c r="J869" s="65" t="str">
        <x:v>普雷斯顿</x:v>
      </x:c>
      <x:c r="K869" s="82" t="n">
        <x:v>1</x:v>
      </x:c>
      <x:c r="L869" s="82" t="n">
        <x:v>1</x:v>
      </x:c>
      <x:c r="M869" s="67" t="n">
        <x:v>0.5</x:v>
      </x:c>
      <x:c r="N869" s="181" t="n">
        <x:v>1</x:v>
      </x:c>
      <x:c r="O869" s="67" t="n">
        <x:v>0.5</x:v>
      </x:c>
    </x:row>
    <x:row r="870" ht="24" customHeight="1">
      <x:c r="A870" s="65" t="n">
        <x:v>701</x:v>
      </x:c>
      <x:c r="B870" s="65" t="str">
        <x:v>巴厘联</x:v>
      </x:c>
      <x:c r="C870" s="82" t="n">
        <x:v>10</x:v>
      </x:c>
      <x:c r="D870" s="82" t="n">
        <x:v>10</x:v>
      </x:c>
      <x:c r="E870" s="67" t="n">
        <x:v>0.5</x:v>
      </x:c>
      <x:c r="F870" s="181" t="n">
        <x:v>0.5</x:v>
      </x:c>
      <x:c r="G870" s="67" t="n">
        <x:v>0.05</x:v>
      </x:c>
      <x:c r="H870"/>
      <x:c r="I870" s="65" t="n">
        <x:v>701</x:v>
      </x:c>
      <x:c r="J870" s="65" t="str">
        <x:v>欧登赛（Odense BK/OB）</x:v>
      </x:c>
      <x:c r="K870" s="82" t="n">
        <x:v>1</x:v>
      </x:c>
      <x:c r="L870" s="82" t="n">
        <x:v>1</x:v>
      </x:c>
      <x:c r="M870" s="67" t="n">
        <x:v>0.5</x:v>
      </x:c>
      <x:c r="N870" s="181" t="n">
        <x:v>1</x:v>
      </x:c>
      <x:c r="O870" s="67" t="n">
        <x:v>0.5</x:v>
      </x:c>
    </x:row>
    <x:row r="871" ht="24" customHeight="1">
      <x:c r="A871" s="65" t="n">
        <x:v>702</x:v>
      </x:c>
      <x:c r="B871" s="65" t="str">
        <x:v>布卡拉曼加竞技</x:v>
      </x:c>
      <x:c r="C871" s="82" t="n">
        <x:v>4</x:v>
      </x:c>
      <x:c r="D871" s="82" t="n">
        <x:v>4</x:v>
      </x:c>
      <x:c r="E871" s="67" t="n">
        <x:v>0.5</x:v>
      </x:c>
      <x:c r="F871" s="181" t="n">
        <x:v>0.5</x:v>
      </x:c>
      <x:c r="G871" s="67" t="n">
        <x:v>0.125</x:v>
      </x:c>
      <x:c r="H871"/>
      <x:c r="I871" s="65" t="n">
        <x:v>702</x:v>
      </x:c>
      <x:c r="J871" s="65" t="str">
        <x:v>济州联（Jeju SK FC）</x:v>
      </x:c>
      <x:c r="K871" s="82" t="n">
        <x:v>1</x:v>
      </x:c>
      <x:c r="L871" s="82" t="n">
        <x:v>1</x:v>
      </x:c>
      <x:c r="M871" s="67" t="n">
        <x:v>0.5</x:v>
      </x:c>
      <x:c r="N871" s="181" t="n">
        <x:v>1</x:v>
      </x:c>
      <x:c r="O871" s="67" t="n">
        <x:v>0.5</x:v>
      </x:c>
    </x:row>
    <x:row r="872" ht="24" customHeight="1">
      <x:c r="A872" s="65" t="n">
        <x:v>703</x:v>
      </x:c>
      <x:c r="B872" s="65" t="str">
        <x:v>托利马体育（Deportes Tolima）</x:v>
      </x:c>
      <x:c r="C872" s="82" t="n">
        <x:v>6</x:v>
      </x:c>
      <x:c r="D872" s="82" t="n">
        <x:v>6</x:v>
      </x:c>
      <x:c r="E872" s="67" t="n">
        <x:v>0.5</x:v>
      </x:c>
      <x:c r="F872" s="181" t="n">
        <x:v>0.5</x:v>
      </x:c>
      <x:c r="G872" s="67" t="n">
        <x:v>0.08333333333333333</x:v>
      </x:c>
      <x:c r="H872"/>
      <x:c r="I872" s="65" t="n">
        <x:v>703</x:v>
      </x:c>
      <x:c r="J872" s="65" t="str">
        <x:v>温哥华FC(Vancouver FC)</x:v>
      </x:c>
      <x:c r="K872" s="82" t="n">
        <x:v>1</x:v>
      </x:c>
      <x:c r="L872" s="82" t="n">
        <x:v>1</x:v>
      </x:c>
      <x:c r="M872" s="67" t="n">
        <x:v>0.5</x:v>
      </x:c>
      <x:c r="N872" s="181" t="n">
        <x:v>1</x:v>
      </x:c>
      <x:c r="O872" s="67" t="n">
        <x:v>0.5</x:v>
      </x:c>
    </x:row>
    <x:row r="873" ht="24" customHeight="1">
      <x:c r="A873" s="65" t="n">
        <x:v>704</x:v>
      </x:c>
      <x:c r="B873" s="65" t="str">
        <x:v>拉巴斯竞技（Club Atlético La Paz）</x:v>
      </x:c>
      <x:c r="C873" s="82" t="n">
        <x:v>2</x:v>
      </x:c>
      <x:c r="D873" s="82" t="n">
        <x:v>2</x:v>
      </x:c>
      <x:c r="E873" s="67" t="n">
        <x:v>0.5</x:v>
      </x:c>
      <x:c r="F873" s="181" t="n">
        <x:v>0.5</x:v>
      </x:c>
      <x:c r="G873" s="67" t="n">
        <x:v>0.25</x:v>
      </x:c>
      <x:c r="H873"/>
      <x:c r="I873" s="65" t="n">
        <x:v>704</x:v>
      </x:c>
      <x:c r="J873" s="65" t="str">
        <x:v>澳尼塔（温托大学/Universitario de Vinto）</x:v>
      </x:c>
      <x:c r="K873" s="82" t="n">
        <x:v>1</x:v>
      </x:c>
      <x:c r="L873" s="82" t="n">
        <x:v>1</x:v>
      </x:c>
      <x:c r="M873" s="67" t="n">
        <x:v>0.5</x:v>
      </x:c>
      <x:c r="N873" s="181" t="n">
        <x:v>1</x:v>
      </x:c>
      <x:c r="O873" s="67" t="n">
        <x:v>0.5</x:v>
      </x:c>
    </x:row>
    <x:row r="874" ht="24" customHeight="1">
      <x:c r="A874" s="65" t="n">
        <x:v>705</x:v>
      </x:c>
      <x:c r="B874" s="65" t="str">
        <x:v>普雷斯顿狮子</x:v>
      </x:c>
      <x:c r="C874" s="82" t="n">
        <x:v>4</x:v>
      </x:c>
      <x:c r="D874" s="82" t="n">
        <x:v>4</x:v>
      </x:c>
      <x:c r="E874" s="67" t="n">
        <x:v>0.5</x:v>
      </x:c>
      <x:c r="F874" s="181" t="n">
        <x:v>0.5</x:v>
      </x:c>
      <x:c r="G874" s="67" t="n">
        <x:v>0.125</x:v>
      </x:c>
      <x:c r="H874"/>
      <x:c r="I874" s="65" t="n">
        <x:v>705</x:v>
      </x:c>
      <x:c r="J874" s="65" t="str">
        <x:v>瓜斯塔托亚（Deportivo Guastatoya）</x:v>
      </x:c>
      <x:c r="K874" s="82" t="n">
        <x:v>1</x:v>
      </x:c>
      <x:c r="L874" s="82" t="n">
        <x:v>1</x:v>
      </x:c>
      <x:c r="M874" s="67" t="n">
        <x:v>0.5</x:v>
      </x:c>
      <x:c r="N874" s="181" t="n">
        <x:v>1</x:v>
      </x:c>
      <x:c r="O874" s="67" t="n">
        <x:v>0.5</x:v>
      </x:c>
    </x:row>
    <x:row r="875" ht="24" customHeight="1">
      <x:c r="A875" s="65" t="n">
        <x:v>706</x:v>
      </x:c>
      <x:c r="B875" s="65" t="str">
        <x:v>格林古利（Green Gully）</x:v>
      </x:c>
      <x:c r="C875" s="82" t="n">
        <x:v>6</x:v>
      </x:c>
      <x:c r="D875" s="82" t="n">
        <x:v>6</x:v>
      </x:c>
      <x:c r="E875" s="67" t="n">
        <x:v>0.5</x:v>
      </x:c>
      <x:c r="F875" s="181" t="n">
        <x:v>0.5</x:v>
      </x:c>
      <x:c r="G875" s="67" t="n">
        <x:v>0.08333333333333333</x:v>
      </x:c>
      <x:c r="H875"/>
      <x:c r="I875" s="65" t="n">
        <x:v>706</x:v>
      </x:c>
      <x:c r="J875" s="65" t="str">
        <x:v>皇家桑坦德（Real Santander）</x:v>
      </x:c>
      <x:c r="K875" s="82" t="n">
        <x:v>1</x:v>
      </x:c>
      <x:c r="L875" s="82" t="n">
        <x:v>1</x:v>
      </x:c>
      <x:c r="M875" s="67" t="n">
        <x:v>0.5</x:v>
      </x:c>
      <x:c r="N875" s="181" t="n">
        <x:v>1</x:v>
      </x:c>
      <x:c r="O875" s="67" t="n">
        <x:v>0.5</x:v>
      </x:c>
    </x:row>
    <x:row r="876" ht="24" customHeight="1">
      <x:c r="A876" s="65" t="n">
        <x:v>707</x:v>
      </x:c>
      <x:c r="B876" s="65" t="str">
        <x:v>沃特福德</x:v>
      </x:c>
      <x:c r="C876" s="82" t="n">
        <x:v>4</x:v>
      </x:c>
      <x:c r="D876" s="82" t="n">
        <x:v>4</x:v>
      </x:c>
      <x:c r="E876" s="67" t="n">
        <x:v>0.5</x:v>
      </x:c>
      <x:c r="F876" s="181" t="n">
        <x:v>0.5</x:v>
      </x:c>
      <x:c r="G876" s="67" t="n">
        <x:v>0.125</x:v>
      </x:c>
      <x:c r="H876"/>
      <x:c r="I876" s="65" t="n">
        <x:v>707</x:v>
      </x:c>
      <x:c r="J876" s="65" t="str">
        <x:v>福塔雷萨（Fortaleza CEIF）</x:v>
      </x:c>
      <x:c r="K876" s="82" t="n">
        <x:v>1</x:v>
      </x:c>
      <x:c r="L876" s="82" t="n">
        <x:v>1</x:v>
      </x:c>
      <x:c r="M876" s="67" t="n">
        <x:v>0.5</x:v>
      </x:c>
      <x:c r="N876" s="181" t="n">
        <x:v>1</x:v>
      </x:c>
      <x:c r="O876" s="67" t="n">
        <x:v>0.5</x:v>
      </x:c>
    </x:row>
    <x:row r="877" ht="24" customHeight="1">
      <x:c r="A877" s="65" t="n">
        <x:v>708</x:v>
      </x:c>
      <x:c r="B877" s="65" t="str">
        <x:v>牛津联</x:v>
      </x:c>
      <x:c r="C877" s="82" t="n">
        <x:v>4</x:v>
      </x:c>
      <x:c r="D877" s="82" t="n">
        <x:v>4</x:v>
      </x:c>
      <x:c r="E877" s="67" t="n">
        <x:v>0.5</x:v>
      </x:c>
      <x:c r="F877" s="181" t="n">
        <x:v>0.5</x:v>
      </x:c>
      <x:c r="G877" s="67" t="n">
        <x:v>0.125</x:v>
      </x:c>
      <x:c r="H877"/>
      <x:c r="I877" s="65" t="n">
        <x:v>708</x:v>
      </x:c>
      <x:c r="J877" s="65" t="str">
        <x:v>科特迪瓦U23（青年队）</x:v>
      </x:c>
      <x:c r="K877" s="82" t="n">
        <x:v>1</x:v>
      </x:c>
      <x:c r="L877" s="82" t="n">
        <x:v>1</x:v>
      </x:c>
      <x:c r="M877" s="67" t="n">
        <x:v>0.5</x:v>
      </x:c>
      <x:c r="N877" s="181" t="n">
        <x:v>1</x:v>
      </x:c>
      <x:c r="O877" s="67" t="n">
        <x:v>0.5</x:v>
      </x:c>
    </x:row>
    <x:row r="878" ht="24" customHeight="1">
      <x:c r="A878" s="65" t="n">
        <x:v>709</x:v>
      </x:c>
      <x:c r="B878" s="65" t="str">
        <x:v>皇家波托西（Real Potosí）</x:v>
      </x:c>
      <x:c r="C878" s="82" t="n">
        <x:v>3</x:v>
      </x:c>
      <x:c r="D878" s="82" t="n">
        <x:v>2</x:v>
      </x:c>
      <x:c r="E878" s="67" t="n">
        <x:v>0.5</x:v>
      </x:c>
      <x:c r="F878" s="181" t="n">
        <x:v>0.5</x:v>
      </x:c>
      <x:c r="G878" s="67" t="n">
        <x:v>0.25</x:v>
      </x:c>
      <x:c r="H878"/>
      <x:c r="I878" s="65" t="n">
        <x:v>709</x:v>
      </x:c>
      <x:c r="J878" s="65" t="str">
        <x:v>蓝十字(Cruz Azul)</x:v>
      </x:c>
      <x:c r="K878" s="82" t="n">
        <x:v>1</x:v>
      </x:c>
      <x:c r="L878" s="82" t="n">
        <x:v>1</x:v>
      </x:c>
      <x:c r="M878" s="67" t="n">
        <x:v>0.5</x:v>
      </x:c>
      <x:c r="N878" s="181" t="n">
        <x:v>1</x:v>
      </x:c>
      <x:c r="O878" s="67" t="n">
        <x:v>0.5</x:v>
      </x:c>
    </x:row>
    <x:row r="879" ht="24" customHeight="1">
      <x:c r="A879" s="65" t="n">
        <x:v>710</x:v>
      </x:c>
      <x:c r="B879" s="65" t="str">
        <x:v>秋田蓝色闪电（Blaublitz Akita）</x:v>
      </x:c>
      <x:c r="C879" s="82" t="n">
        <x:v>4</x:v>
      </x:c>
      <x:c r="D879" s="82" t="n">
        <x:v>4</x:v>
      </x:c>
      <x:c r="E879" s="67" t="n">
        <x:v>0.5</x:v>
      </x:c>
      <x:c r="F879" s="181" t="n">
        <x:v>0.5</x:v>
      </x:c>
      <x:c r="G879" s="67" t="n">
        <x:v>0.125</x:v>
      </x:c>
      <x:c r="H879"/>
      <x:c r="I879" s="65" t="n">
        <x:v>710</x:v>
      </x:c>
      <x:c r="J879" s="65" t="str">
        <x:v>贾奎斯科尔多巴（Jaguares de Córdoba）</x:v>
      </x:c>
      <x:c r="K879" s="82" t="n">
        <x:v>1</x:v>
      </x:c>
      <x:c r="L879" s="82" t="n">
        <x:v>1</x:v>
      </x:c>
      <x:c r="M879" s="67" t="n">
        <x:v>0.5</x:v>
      </x:c>
      <x:c r="N879" s="181" t="n">
        <x:v>1</x:v>
      </x:c>
      <x:c r="O879" s="67" t="n">
        <x:v>0.5</x:v>
      </x:c>
    </x:row>
    <x:row r="880" ht="24" customHeight="1">
      <x:c r="A880" s="65" t="n">
        <x:v>711</x:v>
      </x:c>
      <x:c r="B880" s="65" t="str">
        <x:v>苏格兰</x:v>
      </x:c>
      <x:c r="C880" s="82" t="n">
        <x:v>2</x:v>
      </x:c>
      <x:c r="D880" s="82" t="n">
        <x:v>2</x:v>
      </x:c>
      <x:c r="E880" s="67" t="n">
        <x:v>0.5</x:v>
      </x:c>
      <x:c r="F880" s="181" t="n">
        <x:v>0.5</x:v>
      </x:c>
      <x:c r="G880" s="67" t="n">
        <x:v>0.25</x:v>
      </x:c>
      <x:c r="H880"/>
      <x:c r="I880" s="65" t="n">
        <x:v>711</x:v>
      </x:c>
      <x:c r="J880" s="65" t="str">
        <x:v>贾奎斯科尔多瓦</x:v>
      </x:c>
      <x:c r="K880" s="82" t="n">
        <x:v>1</x:v>
      </x:c>
      <x:c r="L880" s="82" t="n">
        <x:v>1</x:v>
      </x:c>
      <x:c r="M880" s="67" t="n">
        <x:v>0.5</x:v>
      </x:c>
      <x:c r="N880" s="181" t="n">
        <x:v>1</x:v>
      </x:c>
      <x:c r="O880" s="67" t="n">
        <x:v>0.5</x:v>
      </x:c>
    </x:row>
    <x:row r="881" ht="24" customHeight="1">
      <x:c r="A881" s="65" t="n">
        <x:v>712</x:v>
      </x:c>
      <x:c r="B881" s="65" t="str">
        <x:v>莱万特（Levante UD）</x:v>
      </x:c>
      <x:c r="C881" s="82" t="n">
        <x:v>2</x:v>
      </x:c>
      <x:c r="D881" s="82" t="n">
        <x:v>2</x:v>
      </x:c>
      <x:c r="E881" s="67" t="n">
        <x:v>0.5</x:v>
      </x:c>
      <x:c r="F881" s="181" t="n">
        <x:v>0.5</x:v>
      </x:c>
      <x:c r="G881" s="67" t="n">
        <x:v>0.25</x:v>
      </x:c>
      <x:c r="H881"/>
      <x:c r="I881" s="65" t="n">
        <x:v>712</x:v>
      </x:c>
      <x:c r="J881" s="65" t="str">
        <x:v>赫根</x:v>
      </x:c>
      <x:c r="K881" s="82" t="n">
        <x:v>1</x:v>
      </x:c>
      <x:c r="L881" s="82" t="n">
        <x:v>1</x:v>
      </x:c>
      <x:c r="M881" s="67" t="n">
        <x:v>0.5</x:v>
      </x:c>
      <x:c r="N881" s="181" t="n">
        <x:v>1</x:v>
      </x:c>
      <x:c r="O881" s="67" t="n">
        <x:v>0.5</x:v>
      </x:c>
    </x:row>
    <x:row r="882" ht="24" customHeight="1">
      <x:c r="A882" s="65" t="n">
        <x:v>713</x:v>
      </x:c>
      <x:c r="B882" s="65" t="str">
        <x:v>莱卡特老虎</x:v>
      </x:c>
      <x:c r="C882" s="82" t="n">
        <x:v>2</x:v>
      </x:c>
      <x:c r="D882" s="82" t="n">
        <x:v>2</x:v>
      </x:c>
      <x:c r="E882" s="67" t="n">
        <x:v>0.5</x:v>
      </x:c>
      <x:c r="F882" s="181" t="n">
        <x:v>0.5</x:v>
      </x:c>
      <x:c r="G882" s="67" t="n">
        <x:v>0.25</x:v>
      </x:c>
      <x:c r="H882"/>
      <x:c r="I882" s="65" t="n">
        <x:v>713</x:v>
      </x:c>
      <x:c r="J882" s="65" t="str">
        <x:v>里奥夸尔托学生队</x:v>
      </x:c>
      <x:c r="K882" s="82" t="n">
        <x:v>1</x:v>
      </x:c>
      <x:c r="L882" s="82" t="n">
        <x:v>1</x:v>
      </x:c>
      <x:c r="M882" s="67" t="n">
        <x:v>0.5</x:v>
      </x:c>
      <x:c r="N882" s="181" t="n">
        <x:v>1</x:v>
      </x:c>
      <x:c r="O882" s="67" t="n">
        <x:v>0.5</x:v>
      </x:c>
    </x:row>
    <x:row r="883" ht="24" customHeight="1">
      <x:c r="A883" s="65" t="n">
        <x:v>714</x:v>
      </x:c>
      <x:c r="B883" s="65" t="str">
        <x:v>葡萄牙体育</x:v>
      </x:c>
      <x:c r="C883" s="82" t="n">
        <x:v>2</x:v>
      </x:c>
      <x:c r="D883" s="82" t="n">
        <x:v>2</x:v>
      </x:c>
      <x:c r="E883" s="67" t="n">
        <x:v>0.5</x:v>
      </x:c>
      <x:c r="F883" s="181" t="n">
        <x:v>0.5</x:v>
      </x:c>
      <x:c r="G883" s="67" t="n">
        <x:v>0.25</x:v>
      </x:c>
      <x:c r="H883"/>
      <x:c r="I883" s="65" t="n">
        <x:v>714</x:v>
      </x:c>
      <x:c r="J883" s="65" t="str">
        <x:v>阿根廷独立（CA Independiente）</x:v>
      </x:c>
      <x:c r="K883" s="82" t="n">
        <x:v>1</x:v>
      </x:c>
      <x:c r="L883" s="82" t="n">
        <x:v>1</x:v>
      </x:c>
      <x:c r="M883" s="67" t="n">
        <x:v>0.5</x:v>
      </x:c>
      <x:c r="N883" s="181" t="n">
        <x:v>1</x:v>
      </x:c>
      <x:c r="O883" s="67" t="n">
        <x:v>0.5</x:v>
      </x:c>
    </x:row>
    <x:row r="884" ht="24" customHeight="1">
      <x:c r="A884" s="65" t="n">
        <x:v>715</x:v>
      </x:c>
      <x:c r="B884" s="65" t="str">
        <x:v>西悉尼流浪者</x:v>
      </x:c>
      <x:c r="C884" s="82" t="n">
        <x:v>6</x:v>
      </x:c>
      <x:c r="D884" s="82" t="n">
        <x:v>6</x:v>
      </x:c>
      <x:c r="E884" s="67" t="n">
        <x:v>0.5</x:v>
      </x:c>
      <x:c r="F884" s="181" t="n">
        <x:v>0.5</x:v>
      </x:c>
      <x:c r="G884" s="67" t="n">
        <x:v>0.08333333333333333</x:v>
      </x:c>
      <x:c r="H884"/>
      <x:c r="I884" s="65" t="n">
        <x:v>715</x:v>
      </x:c>
      <x:c r="J884" s="65" t="str">
        <x:v>鹿儿岛联（Kagoshima United FC）</x:v>
      </x:c>
      <x:c r="K884" s="82" t="n">
        <x:v>1</x:v>
      </x:c>
      <x:c r="L884" s="82" t="n">
        <x:v>1</x:v>
      </x:c>
      <x:c r="M884" s="67" t="n">
        <x:v>0.5</x:v>
      </x:c>
      <x:c r="N884" s="181" t="n">
        <x:v>1</x:v>
      </x:c>
      <x:c r="O884" s="67" t="n">
        <x:v>0.5</x:v>
      </x:c>
    </x:row>
    <x:row r="885" ht="24" customHeight="1">
      <x:c r="A885" s="65" t="n">
        <x:v>716</x:v>
      </x:c>
      <x:c r="B885" s="65" t="str">
        <x:v>贝尔格拉诺（Belgrano）</x:v>
      </x:c>
      <x:c r="C885" s="82" t="n">
        <x:v>4</x:v>
      </x:c>
      <x:c r="D885" s="82" t="n">
        <x:v>4</x:v>
      </x:c>
      <x:c r="E885" s="67" t="n">
        <x:v>0.5</x:v>
      </x:c>
      <x:c r="F885" s="181" t="n">
        <x:v>0.5</x:v>
      </x:c>
      <x:c r="G885" s="67" t="n">
        <x:v>0.125</x:v>
      </x:c>
      <x:c r="H885"/>
      <x:c r="I885" s="65" t="n">
        <x:v>716</x:v>
      </x:c>
      <x:c r="J885" s="65" t="str">
        <x:v>伊普斯维奇</x:v>
      </x:c>
      <x:c r="K885" s="82" t="n">
        <x:v>3</x:v>
      </x:c>
      <x:c r="L885" s="82" t="n">
        <x:v>3</x:v>
      </x:c>
      <x:c r="M885" s="67" t="n">
        <x:v>0.5</x:v>
      </x:c>
      <x:c r="N885" s="181" t="n">
        <x:v>0.6666666666666666</x:v>
      </x:c>
      <x:c r="O885" s="67" t="n">
        <x:v>0.16666666666666666</x:v>
      </x:c>
    </x:row>
    <x:row r="886" ht="24" customHeight="1">
      <x:c r="A886" s="65" t="n">
        <x:v>717</x:v>
      </x:c>
      <x:c r="B886" s="65" t="str">
        <x:v>阿根廷</x:v>
      </x:c>
      <x:c r="C886" s="82" t="n">
        <x:v>7</x:v>
      </x:c>
      <x:c r="D886" s="82" t="n">
        <x:v>6</x:v>
      </x:c>
      <x:c r="E886" s="67" t="n">
        <x:v>0.5</x:v>
      </x:c>
      <x:c r="F886" s="181" t="n">
        <x:v>0.5</x:v>
      </x:c>
      <x:c r="G886" s="67" t="n">
        <x:v>0.08333333333333333</x:v>
      </x:c>
      <x:c r="H886"/>
      <x:c r="I886" s="65" t="n">
        <x:v>717</x:v>
      </x:c>
      <x:c r="J886" s="65" t="str">
        <x:v>布琳狮子（FC Bulleen Lions）</x:v>
      </x:c>
      <x:c r="K886" s="82" t="n">
        <x:v>3</x:v>
      </x:c>
      <x:c r="L886" s="82" t="n">
        <x:v>3</x:v>
      </x:c>
      <x:c r="M886" s="67" t="n">
        <x:v>0.5</x:v>
      </x:c>
      <x:c r="N886" s="181" t="n">
        <x:v>0.6666666666666666</x:v>
      </x:c>
      <x:c r="O886" s="67" t="n">
        <x:v>0.16666666666666666</x:v>
      </x:c>
    </x:row>
    <x:row r="887" ht="24" customHeight="1">
      <x:c r="A887" s="65" t="n">
        <x:v>718</x:v>
      </x:c>
      <x:c r="B887" s="65" t="str">
        <x:v>阿雷马</x:v>
      </x:c>
      <x:c r="C887" s="82" t="n">
        <x:v>6</x:v>
      </x:c>
      <x:c r="D887" s="82" t="n">
        <x:v>6</x:v>
      </x:c>
      <x:c r="E887" s="67" t="n">
        <x:v>0.5</x:v>
      </x:c>
      <x:c r="F887" s="181" t="n">
        <x:v>0.5</x:v>
      </x:c>
      <x:c r="G887" s="67" t="n">
        <x:v>0.08333333333333333</x:v>
      </x:c>
      <x:c r="H887"/>
      <x:c r="I887" s="65" t="n">
        <x:v>718</x:v>
      </x:c>
      <x:c r="J887" s="65" t="str">
        <x:v>帕斯度（Deportivo Pasto）</x:v>
      </x:c>
      <x:c r="K887" s="82" t="n">
        <x:v>3</x:v>
      </x:c>
      <x:c r="L887" s="82" t="n">
        <x:v>3</x:v>
      </x:c>
      <x:c r="M887" s="67" t="n">
        <x:v>0.5</x:v>
      </x:c>
      <x:c r="N887" s="181" t="n">
        <x:v>0.6666666666666666</x:v>
      </x:c>
      <x:c r="O887" s="67" t="n">
        <x:v>0.16666666666666666</x:v>
      </x:c>
    </x:row>
    <x:row r="888" ht="24" customHeight="1">
      <x:c r="A888" s="65" t="n">
        <x:v>719</x:v>
      </x:c>
      <x:c r="B888" s="65" t="str">
        <x:v>墨尔本城（Melbourne City）</x:v>
      </x:c>
      <x:c r="C888" s="82" t="n">
        <x:v>4</x:v>
      </x:c>
      <x:c r="D888" s="82" t="n">
        <x:v>4</x:v>
      </x:c>
      <x:c r="E888" s="67" t="n">
        <x:v>0.5</x:v>
      </x:c>
      <x:c r="F888" s="181" t="n">
        <x:v>0.5</x:v>
      </x:c>
      <x:c r="G888" s="67" t="n">
        <x:v>0.125</x:v>
      </x:c>
      <x:c r="H888"/>
      <x:c r="I888" s="65" t="n">
        <x:v>719</x:v>
      </x:c>
      <x:c r="J888" s="65" t="str">
        <x:v>河床</x:v>
      </x:c>
      <x:c r="K888" s="82" t="n">
        <x:v>3</x:v>
      </x:c>
      <x:c r="L888" s="82" t="n">
        <x:v>3</x:v>
      </x:c>
      <x:c r="M888" s="67" t="n">
        <x:v>0.5</x:v>
      </x:c>
      <x:c r="N888" s="181" t="n">
        <x:v>0.6666666666666666</x:v>
      </x:c>
      <x:c r="O888" s="67" t="n">
        <x:v>0.16666666666666666</x:v>
      </x:c>
    </x:row>
    <x:row r="889" ht="24" customHeight="1">
      <x:c r="A889" s="65" t="n">
        <x:v>720</x:v>
      </x:c>
      <x:c r="B889" s="65" t="str">
        <x:v>旁遮普FC</x:v>
      </x:c>
      <x:c r="C889" s="82" t="n">
        <x:v>5</x:v>
      </x:c>
      <x:c r="D889" s="82" t="n">
        <x:v>5</x:v>
      </x:c>
      <x:c r="E889" s="67" t="n">
        <x:v>0.5</x:v>
      </x:c>
      <x:c r="F889" s="181" t="n">
        <x:v>0.4</x:v>
      </x:c>
      <x:c r="G889" s="67" t="n">
        <x:v>0.1</x:v>
      </x:c>
      <x:c r="H889"/>
      <x:c r="I889" s="65" t="n">
        <x:v>720</x:v>
      </x:c>
      <x:c r="J889" s="65" t="str">
        <x:v>石油独立（Independiente Petrolero）</x:v>
      </x:c>
      <x:c r="K889" s="82" t="n">
        <x:v>3</x:v>
      </x:c>
      <x:c r="L889" s="82" t="n">
        <x:v>3</x:v>
      </x:c>
      <x:c r="M889" s="67" t="n">
        <x:v>0.5</x:v>
      </x:c>
      <x:c r="N889" s="181" t="n">
        <x:v>0.6666666666666666</x:v>
      </x:c>
      <x:c r="O889" s="67" t="n">
        <x:v>0.16666666666666666</x:v>
      </x:c>
    </x:row>
    <x:row r="890" ht="24" customHeight="1">
      <x:c r="A890" s="65" t="n">
        <x:v>721</x:v>
      </x:c>
      <x:c r="B890" s="65" t="str">
        <x:v>蒙特雷</x:v>
      </x:c>
      <x:c r="C890" s="82" t="n">
        <x:v>5</x:v>
      </x:c>
      <x:c r="D890" s="82" t="n">
        <x:v>5</x:v>
      </x:c>
      <x:c r="E890" s="67" t="n">
        <x:v>0.5</x:v>
      </x:c>
      <x:c r="F890" s="181" t="n">
        <x:v>0.4</x:v>
      </x:c>
      <x:c r="G890" s="67" t="n">
        <x:v>0.1</x:v>
      </x:c>
      <x:c r="H890"/>
      <x:c r="I890" s="65" t="n">
        <x:v>721</x:v>
      </x:c>
      <x:c r="J890" s="65" t="str">
        <x:v>罗萨里奥中央（Rosario Central）</x:v>
      </x:c>
      <x:c r="K890" s="82" t="n">
        <x:v>3</x:v>
      </x:c>
      <x:c r="L890" s="82" t="n">
        <x:v>3</x:v>
      </x:c>
      <x:c r="M890" s="67" t="n">
        <x:v>0.5</x:v>
      </x:c>
      <x:c r="N890" s="181" t="n">
        <x:v>0.6666666666666666</x:v>
      </x:c>
      <x:c r="O890" s="67" t="n">
        <x:v>0.16666666666666666</x:v>
      </x:c>
    </x:row>
    <x:row r="891" ht="24" customHeight="1">
      <x:c r="A891" s="65" t="n">
        <x:v>722</x:v>
      </x:c>
      <x:c r="B891" s="65" t="str">
        <x:v>帕斯托体育</x:v>
      </x:c>
      <x:c r="C891" s="82" t="n">
        <x:v>3</x:v>
      </x:c>
      <x:c r="D891" s="82" t="n">
        <x:v>3</x:v>
      </x:c>
      <x:c r="E891" s="67" t="n">
        <x:v>0.5</x:v>
      </x:c>
      <x:c r="F891" s="181" t="n">
        <x:v>0.3333333333333333</x:v>
      </x:c>
      <x:c r="G891" s="67" t="n">
        <x:v>0.16666666666666666</x:v>
      </x:c>
      <x:c r="H891"/>
      <x:c r="I891" s="65" t="n">
        <x:v>722</x:v>
      </x:c>
      <x:c r="J891" s="65" t="str">
        <x:v>菲尔特</x:v>
      </x:c>
      <x:c r="K891" s="82" t="n">
        <x:v>3</x:v>
      </x:c>
      <x:c r="L891" s="82" t="n">
        <x:v>3</x:v>
      </x:c>
      <x:c r="M891" s="67" t="n">
        <x:v>0.5</x:v>
      </x:c>
      <x:c r="N891" s="181" t="n">
        <x:v>0.6666666666666666</x:v>
      </x:c>
      <x:c r="O891" s="67" t="n">
        <x:v>0.16666666666666666</x:v>
      </x:c>
    </x:row>
    <x:row r="892" ht="24" customHeight="1">
      <x:c r="A892" s="65" t="n">
        <x:v>723</x:v>
      </x:c>
      <x:c r="B892" s="65" t="str">
        <x:v>澳大利亚</x:v>
      </x:c>
      <x:c r="C892" s="82" t="n">
        <x:v>3</x:v>
      </x:c>
      <x:c r="D892" s="82" t="n">
        <x:v>3</x:v>
      </x:c>
      <x:c r="E892" s="67" t="n">
        <x:v>0.5</x:v>
      </x:c>
      <x:c r="F892" s="181" t="n">
        <x:v>0.3333333333333333</x:v>
      </x:c>
      <x:c r="G892" s="67" t="n">
        <x:v>0.16666666666666666</x:v>
      </x:c>
      <x:c r="H892"/>
      <x:c r="I892" s="65" t="n">
        <x:v>723</x:v>
      </x:c>
      <x:c r="J892" s="65" t="str">
        <x:v>墨尔本胜利青年队</x:v>
      </x:c>
      <x:c r="K892" s="82" t="n">
        <x:v>3</x:v>
      </x:c>
      <x:c r="L892" s="82" t="n">
        <x:v>3</x:v>
      </x:c>
      <x:c r="M892" s="67" t="n">
        <x:v>0.5</x:v>
      </x:c>
      <x:c r="N892" s="181" t="n">
        <x:v>0.6666666666666666</x:v>
      </x:c>
      <x:c r="O892" s="67" t="n">
        <x:v>0.16666666666666666</x:v>
      </x:c>
    </x:row>
    <x:row r="893" ht="24" customHeight="1">
      <x:c r="A893" s="65" t="n">
        <x:v>724</x:v>
      </x:c>
      <x:c r="B893" s="65" t="str">
        <x:v>AC米兰（AC Milan）</x:v>
      </x:c>
      <x:c r="C893" s="82" t="n">
        <x:v>4</x:v>
      </x:c>
      <x:c r="D893" s="82" t="n">
        <x:v>4</x:v>
      </x:c>
      <x:c r="E893" s="67" t="n">
        <x:v>0</x:v>
      </x:c>
      <x:c r="F893" s="181" t="n">
        <x:v>0.5</x:v>
      </x:c>
      <x:c r="G893" s="67" t="n">
        <x:v>0</x:v>
      </x:c>
      <x:c r="H893"/>
      <x:c r="I893" s="65" t="n">
        <x:v>724</x:v>
      </x:c>
      <x:c r="J893" s="65" t="str">
        <x:v>南墨尔本</x:v>
      </x:c>
      <x:c r="K893" s="82" t="n">
        <x:v>5</x:v>
      </x:c>
      <x:c r="L893" s="82" t="n">
        <x:v>5</x:v>
      </x:c>
      <x:c r="M893" s="67" t="n">
        <x:v>0.5</x:v>
      </x:c>
      <x:c r="N893" s="181" t="n">
        <x:v>0.6</x:v>
      </x:c>
      <x:c r="O893" s="67" t="n">
        <x:v>0.1</x:v>
      </x:c>
    </x:row>
    <x:row r="894" ht="24" customHeight="1">
      <x:c r="A894" s="65" t="n">
        <x:v>725</x:v>
      </x:c>
      <x:c r="B894" s="65" t="str">
        <x:v>上海海港（Shanghai Port）</x:v>
      </x:c>
      <x:c r="C894" s="82" t="n">
        <x:v>2</x:v>
      </x:c>
      <x:c r="D894" s="82" t="n">
        <x:v>2</x:v>
      </x:c>
      <x:c r="E894" s="67" t="n">
        <x:v>0</x:v>
      </x:c>
      <x:c r="F894" s="181" t="n">
        <x:v>0.5</x:v>
      </x:c>
      <x:c r="G894" s="67" t="n">
        <x:v>0</x:v>
      </x:c>
      <x:c r="H894"/>
      <x:c r="I894" s="65" t="n">
        <x:v>725</x:v>
      </x:c>
      <x:c r="J894" s="65" t="str">
        <x:v>拉齐奥</x:v>
      </x:c>
      <x:c r="K894" s="82" t="n">
        <x:v>5</x:v>
      </x:c>
      <x:c r="L894" s="82" t="n">
        <x:v>5</x:v>
      </x:c>
      <x:c r="M894" s="67" t="n">
        <x:v>0.5</x:v>
      </x:c>
      <x:c r="N894" s="181" t="n">
        <x:v>0.6</x:v>
      </x:c>
      <x:c r="O894" s="67" t="n">
        <x:v>0.1</x:v>
      </x:c>
    </x:row>
    <x:row r="895" ht="24" customHeight="1">
      <x:c r="A895" s="65" t="n">
        <x:v>726</x:v>
      </x:c>
      <x:c r="B895" s="65" t="str">
        <x:v>东孟加拉（East Bengal FC）</x:v>
      </x:c>
      <x:c r="C895" s="82" t="n">
        <x:v>4</x:v>
      </x:c>
      <x:c r="D895" s="82" t="n">
        <x:v>4</x:v>
      </x:c>
      <x:c r="E895" s="67" t="n">
        <x:v>0</x:v>
      </x:c>
      <x:c r="F895" s="181" t="n">
        <x:v>0.5</x:v>
      </x:c>
      <x:c r="G895" s="67" t="n">
        <x:v>0</x:v>
      </x:c>
      <x:c r="H895"/>
      <x:c r="I895" s="65" t="n">
        <x:v>726</x:v>
      </x:c>
      <x:c r="J895" s="65" t="str">
        <x:v>朴茨茅斯</x:v>
      </x:c>
      <x:c r="K895" s="82" t="n">
        <x:v>5</x:v>
      </x:c>
      <x:c r="L895" s="82" t="n">
        <x:v>5</x:v>
      </x:c>
      <x:c r="M895" s="67" t="n">
        <x:v>0.5</x:v>
      </x:c>
      <x:c r="N895" s="181" t="n">
        <x:v>0.6</x:v>
      </x:c>
      <x:c r="O895" s="67" t="n">
        <x:v>0.1</x:v>
      </x:c>
    </x:row>
    <x:row r="896" ht="24" customHeight="1">
      <x:c r="A896" s="65" t="n">
        <x:v>727</x:v>
      </x:c>
      <x:c r="B896" s="65" t="str">
        <x:v>东方石油（Oriente Petrolero）</x:v>
      </x:c>
      <x:c r="C896" s="82" t="n">
        <x:v>3</x:v>
      </x:c>
      <x:c r="D896" s="82" t="n">
        <x:v>2</x:v>
      </x:c>
      <x:c r="E896" s="67" t="n">
        <x:v>0</x:v>
      </x:c>
      <x:c r="F896" s="181" t="n">
        <x:v>0.5</x:v>
      </x:c>
      <x:c r="G896" s="67" t="n">
        <x:v>0</x:v>
      </x:c>
      <x:c r="H896"/>
      <x:c r="I896" s="65" t="n">
        <x:v>727</x:v>
      </x:c>
      <x:c r="J896" s="65" t="str">
        <x:v>查尔顿竞技</x:v>
      </x:c>
      <x:c r="K896" s="82" t="n">
        <x:v>5</x:v>
      </x:c>
      <x:c r="L896" s="82" t="n">
        <x:v>5</x:v>
      </x:c>
      <x:c r="M896" s="67" t="n">
        <x:v>0.5</x:v>
      </x:c>
      <x:c r="N896" s="181" t="n">
        <x:v>0.6</x:v>
      </x:c>
      <x:c r="O896" s="67" t="n">
        <x:v>0.1</x:v>
      </x:c>
    </x:row>
    <x:row r="897" ht="24" customHeight="1">
      <x:c r="A897" s="65" t="n">
        <x:v>728</x:v>
      </x:c>
      <x:c r="B897" s="65" t="str">
        <x:v>丹德农市（Dandenong City）</x:v>
      </x:c>
      <x:c r="C897" s="82" t="n">
        <x:v>2</x:v>
      </x:c>
      <x:c r="D897" s="82" t="n">
        <x:v>2</x:v>
      </x:c>
      <x:c r="E897" s="67" t="n">
        <x:v>0</x:v>
      </x:c>
      <x:c r="F897" s="181" t="n">
        <x:v>0.5</x:v>
      </x:c>
      <x:c r="G897" s="67" t="n">
        <x:v>0</x:v>
      </x:c>
      <x:c r="H897"/>
      <x:c r="I897" s="65" t="n">
        <x:v>728</x:v>
      </x:c>
      <x:c r="J897" s="65" t="str">
        <x:v>艾云达尔（Avondale FC）</x:v>
      </x:c>
      <x:c r="K897" s="82" t="n">
        <x:v>7</x:v>
      </x:c>
      <x:c r="L897" s="82" t="n">
        <x:v>7</x:v>
      </x:c>
      <x:c r="M897" s="67" t="n">
        <x:v>0.5</x:v>
      </x:c>
      <x:c r="N897" s="181" t="n">
        <x:v>0.5714285714285714</x:v>
      </x:c>
      <x:c r="O897" s="67" t="n">
        <x:v>0.07142857142857142</x:v>
      </x:c>
    </x:row>
    <x:row r="898" ht="24" customHeight="1">
      <x:c r="A898" s="65" t="n">
        <x:v>729</x:v>
      </x:c>
      <x:c r="B898" s="65" t="str">
        <x:v>丹德农迅雷</x:v>
      </x:c>
      <x:c r="C898" s="82" t="n">
        <x:v>2</x:v>
      </x:c>
      <x:c r="D898" s="82" t="n">
        <x:v>2</x:v>
      </x:c>
      <x:c r="E898" s="67" t="n">
        <x:v>0</x:v>
      </x:c>
      <x:c r="F898" s="181" t="n">
        <x:v>0.5</x:v>
      </x:c>
      <x:c r="G898" s="67" t="n">
        <x:v>0</x:v>
      </x:c>
      <x:c r="H898"/>
      <x:c r="I898" s="65" t="n">
        <x:v>729</x:v>
      </x:c>
      <x:c r="J898" s="65" t="str">
        <x:v>凯泽斯劳滕</x:v>
      </x:c>
      <x:c r="K898" s="82" t="n">
        <x:v>2</x:v>
      </x:c>
      <x:c r="L898" s="82" t="n">
        <x:v>2</x:v>
      </x:c>
      <x:c r="M898" s="67" t="n">
        <x:v>0.5</x:v>
      </x:c>
      <x:c r="N898" s="181" t="n">
        <x:v>0.5</x:v>
      </x:c>
      <x:c r="O898" s="67" t="n">
        <x:v>0.25</x:v>
      </x:c>
    </x:row>
    <x:row r="899" ht="24" customHeight="1">
      <x:c r="A899" s="65" t="n">
        <x:v>730</x:v>
      </x:c>
      <x:c r="B899" s="65" t="str">
        <x:v>亚特兰大联</x:v>
      </x:c>
      <x:c r="C899" s="82" t="n">
        <x:v>2</x:v>
      </x:c>
      <x:c r="D899" s="82" t="n">
        <x:v>2</x:v>
      </x:c>
      <x:c r="E899" s="67" t="n">
        <x:v>0</x:v>
      </x:c>
      <x:c r="F899" s="181" t="n">
        <x:v>0.5</x:v>
      </x:c>
      <x:c r="G899" s="67" t="n">
        <x:v>0</x:v>
      </x:c>
      <x:c r="H899"/>
      <x:c r="I899" s="65" t="n">
        <x:v>730</x:v>
      </x:c>
      <x:c r="J899" s="65" t="str">
        <x:v>博卡青年</x:v>
      </x:c>
      <x:c r="K899" s="82" t="n">
        <x:v>2</x:v>
      </x:c>
      <x:c r="L899" s="82" t="n">
        <x:v>2</x:v>
      </x:c>
      <x:c r="M899" s="67" t="n">
        <x:v>0.5</x:v>
      </x:c>
      <x:c r="N899" s="181" t="n">
        <x:v>0.5</x:v>
      </x:c>
      <x:c r="O899" s="67" t="n">
        <x:v>0.25</x:v>
      </x:c>
    </x:row>
    <x:row r="900" ht="24" customHeight="1">
      <x:c r="A900" s="65" t="n">
        <x:v>731</x:v>
      </x:c>
      <x:c r="B900" s="65" t="str">
        <x:v>亚特兰特</x:v>
      </x:c>
      <x:c r="C900" s="82" t="n">
        <x:v>4</x:v>
      </x:c>
      <x:c r="D900" s="82" t="n">
        <x:v>4</x:v>
      </x:c>
      <x:c r="E900" s="67" t="n">
        <x:v>0</x:v>
      </x:c>
      <x:c r="F900" s="181" t="n">
        <x:v>0.5</x:v>
      </x:c>
      <x:c r="G900" s="67" t="n">
        <x:v>0</x:v>
      </x:c>
      <x:c r="H900"/>
      <x:c r="I900" s="65" t="n">
        <x:v>731</x:v>
      </x:c>
      <x:c r="J900" s="65" t="str">
        <x:v>哈卡（FC Haka）</x:v>
      </x:c>
      <x:c r="K900" s="82" t="n">
        <x:v>2</x:v>
      </x:c>
      <x:c r="L900" s="82" t="n">
        <x:v>2</x:v>
      </x:c>
      <x:c r="M900" s="67" t="n">
        <x:v>0.5</x:v>
      </x:c>
      <x:c r="N900" s="181" t="n">
        <x:v>0.5</x:v>
      </x:c>
      <x:c r="O900" s="67" t="n">
        <x:v>0.25</x:v>
      </x:c>
    </x:row>
    <x:row r="901" ht="24" customHeight="1">
      <x:c r="A901" s="65" t="n">
        <x:v>732</x:v>
      </x:c>
      <x:c r="B901" s="65" t="str">
        <x:v>亚特兰特（Atlante）</x:v>
      </x:c>
      <x:c r="C901" s="82" t="n">
        <x:v>2</x:v>
      </x:c>
      <x:c r="D901" s="82" t="n">
        <x:v>2</x:v>
      </x:c>
      <x:c r="E901" s="67" t="n">
        <x:v>0</x:v>
      </x:c>
      <x:c r="F901" s="181" t="n">
        <x:v>0.5</x:v>
      </x:c>
      <x:c r="G901" s="67" t="n">
        <x:v>0</x:v>
      </x:c>
      <x:c r="H901"/>
      <x:c r="I901" s="65" t="n">
        <x:v>732</x:v>
      </x:c>
      <x:c r="J901" s="65" t="str">
        <x:v>圣保利（FC St. Pauli）</x:v>
      </x:c>
      <x:c r="K901" s="82" t="n">
        <x:v>2</x:v>
      </x:c>
      <x:c r="L901" s="82" t="n">
        <x:v>2</x:v>
      </x:c>
      <x:c r="M901" s="67" t="n">
        <x:v>0.5</x:v>
      </x:c>
      <x:c r="N901" s="181" t="n">
        <x:v>0.5</x:v>
      </x:c>
      <x:c r="O901" s="67" t="n">
        <x:v>0.25</x:v>
      </x:c>
    </x:row>
    <x:row r="902" ht="24" customHeight="1">
      <x:c r="A902" s="65" t="n">
        <x:v>733</x:v>
      </x:c>
      <x:c r="B902" s="65" t="str">
        <x:v>伊拉普阿托</x:v>
      </x:c>
      <x:c r="C902" s="82" t="n">
        <x:v>2</x:v>
      </x:c>
      <x:c r="D902" s="82" t="n">
        <x:v>2</x:v>
      </x:c>
      <x:c r="E902" s="67" t="n">
        <x:v>0</x:v>
      </x:c>
      <x:c r="F902" s="181" t="n">
        <x:v>0.5</x:v>
      </x:c>
      <x:c r="G902" s="67" t="n">
        <x:v>0</x:v>
      </x:c>
      <x:c r="H902"/>
      <x:c r="I902" s="65" t="n">
        <x:v>733</x:v>
      </x:c>
      <x:c r="J902" s="65" t="str">
        <x:v>圣奥尔本斯圣特斯</x:v>
      </x:c>
      <x:c r="K902" s="82" t="n">
        <x:v>2</x:v>
      </x:c>
      <x:c r="L902" s="82" t="n">
        <x:v>2</x:v>
      </x:c>
      <x:c r="M902" s="67" t="n">
        <x:v>0.5</x:v>
      </x:c>
      <x:c r="N902" s="181" t="n">
        <x:v>0.5</x:v>
      </x:c>
      <x:c r="O902" s="67" t="n">
        <x:v>0.25</x:v>
      </x:c>
    </x:row>
    <x:row r="903" ht="24" customHeight="1">
      <x:c r="A903" s="65" t="n">
        <x:v>734</x:v>
      </x:c>
      <x:c r="B903" s="65" t="str">
        <x:v>佩斯索罗</x:v>
      </x:c>
      <x:c r="C903" s="82" t="n">
        <x:v>2</x:v>
      </x:c>
      <x:c r="D903" s="82" t="n">
        <x:v>2</x:v>
      </x:c>
      <x:c r="E903" s="67" t="n">
        <x:v>0</x:v>
      </x:c>
      <x:c r="F903" s="181" t="n">
        <x:v>0.5</x:v>
      </x:c>
      <x:c r="G903" s="67" t="n">
        <x:v>0</x:v>
      </x:c>
      <x:c r="H903"/>
      <x:c r="I903" s="65" t="n">
        <x:v>734</x:v>
      </x:c>
      <x:c r="J903" s="65" t="str">
        <x:v>大阪樱花（Cerezo Osaka）</x:v>
      </x:c>
      <x:c r="K903" s="82" t="n">
        <x:v>4</x:v>
      </x:c>
      <x:c r="L903" s="82" t="n">
        <x:v>4</x:v>
      </x:c>
      <x:c r="M903" s="67" t="n">
        <x:v>0.5</x:v>
      </x:c>
      <x:c r="N903" s="181" t="n">
        <x:v>0.5</x:v>
      </x:c>
      <x:c r="O903" s="67" t="n">
        <x:v>0.125</x:v>
      </x:c>
    </x:row>
    <x:row r="904" ht="24" customHeight="1">
      <x:c r="A904" s="65" t="n">
        <x:v>735</x:v>
      </x:c>
      <x:c r="B904" s="65" t="str">
        <x:v>全北现代（Jeonbuk Hyundai Motors）</x:v>
      </x:c>
      <x:c r="C904" s="82" t="n">
        <x:v>2</x:v>
      </x:c>
      <x:c r="D904" s="82" t="n">
        <x:v>2</x:v>
      </x:c>
      <x:c r="E904" s="67" t="n">
        <x:v>0</x:v>
      </x:c>
      <x:c r="F904" s="181" t="n">
        <x:v>0.5</x:v>
      </x:c>
      <x:c r="G904" s="67" t="n">
        <x:v>0</x:v>
      </x:c>
      <x:c r="H904"/>
      <x:c r="I904" s="65" t="n">
        <x:v>735</x:v>
      </x:c>
      <x:c r="J904" s="65" t="str">
        <x:v>婆罗洲FC萨马林达</x:v>
      </x:c>
      <x:c r="K904" s="82" t="n">
        <x:v>2</x:v>
      </x:c>
      <x:c r="L904" s="82" t="n">
        <x:v>2</x:v>
      </x:c>
      <x:c r="M904" s="67" t="n">
        <x:v>0.5</x:v>
      </x:c>
      <x:c r="N904" s="181" t="n">
        <x:v>0.5</x:v>
      </x:c>
      <x:c r="O904" s="67" t="n">
        <x:v>0.25</x:v>
      </x:c>
    </x:row>
    <x:row r="905" ht="24" customHeight="1">
      <x:c r="A905" s="65" t="n">
        <x:v>736</x:v>
      </x:c>
      <x:c r="B905" s="65" t="str">
        <x:v>全南天龙（Jeonnam Dragons）</x:v>
      </x:c>
      <x:c r="C905" s="82" t="n">
        <x:v>2</x:v>
      </x:c>
      <x:c r="D905" s="82" t="n">
        <x:v>2</x:v>
      </x:c>
      <x:c r="E905" s="67" t="n">
        <x:v>0</x:v>
      </x:c>
      <x:c r="F905" s="181" t="n">
        <x:v>0.5</x:v>
      </x:c>
      <x:c r="G905" s="67" t="n">
        <x:v>0</x:v>
      </x:c>
      <x:c r="H905"/>
      <x:c r="I905" s="65" t="n">
        <x:v>736</x:v>
      </x:c>
      <x:c r="J905" s="65" t="str">
        <x:v>拉巴斯竞技（CA La Paz）</x:v>
      </x:c>
      <x:c r="K905" s="82" t="n">
        <x:v>2</x:v>
      </x:c>
      <x:c r="L905" s="82" t="n">
        <x:v>2</x:v>
      </x:c>
      <x:c r="M905" s="67" t="n">
        <x:v>0.5</x:v>
      </x:c>
      <x:c r="N905" s="181" t="n">
        <x:v>0.5</x:v>
      </x:c>
      <x:c r="O905" s="67" t="n">
        <x:v>0.25</x:v>
      </x:c>
    </x:row>
    <x:row r="906" ht="24" customHeight="1">
      <x:c r="A906" s="65" t="n">
        <x:v>737</x:v>
      </x:c>
      <x:c r="B906" s="65" t="str">
        <x:v>八户云罗里（Vanraure Hachinohe）</x:v>
      </x:c>
      <x:c r="C906" s="82" t="n">
        <x:v>2</x:v>
      </x:c>
      <x:c r="D906" s="82" t="n">
        <x:v>2</x:v>
      </x:c>
      <x:c r="E906" s="67" t="n">
        <x:v>0</x:v>
      </x:c>
      <x:c r="F906" s="181" t="n">
        <x:v>0.5</x:v>
      </x:c>
      <x:c r="G906" s="67" t="n">
        <x:v>0</x:v>
      </x:c>
      <x:c r="H906"/>
      <x:c r="I906" s="65" t="n">
        <x:v>737</x:v>
      </x:c>
      <x:c r="J906" s="65" t="str">
        <x:v>温哥华白帽</x:v>
      </x:c>
      <x:c r="K906" s="82" t="n">
        <x:v>2</x:v>
      </x:c>
      <x:c r="L906" s="82" t="n">
        <x:v>2</x:v>
      </x:c>
      <x:c r="M906" s="67" t="n">
        <x:v>0.5</x:v>
      </x:c>
      <x:c r="N906" s="181" t="n">
        <x:v>0.5</x:v>
      </x:c>
      <x:c r="O906" s="67" t="n">
        <x:v>0.25</x:v>
      </x:c>
    </x:row>
    <x:row r="907" ht="24" customHeight="1">
      <x:c r="A907" s="65" t="n">
        <x:v>738</x:v>
      </x:c>
      <x:c r="B907" s="65" t="str">
        <x:v>兰黑姆（Ranheim IL）</x:v>
      </x:c>
      <x:c r="C907" s="82" t="n">
        <x:v>2</x:v>
      </x:c>
      <x:c r="D907" s="82" t="n">
        <x:v>2</x:v>
      </x:c>
      <x:c r="E907" s="67" t="n">
        <x:v>0</x:v>
      </x:c>
      <x:c r="F907" s="181" t="n">
        <x:v>0.5</x:v>
      </x:c>
      <x:c r="G907" s="67" t="n">
        <x:v>0</x:v>
      </x:c>
      <x:c r="H907"/>
      <x:c r="I907" s="65" t="n">
        <x:v>738</x:v>
      </x:c>
      <x:c r="J907" s="65" t="str">
        <x:v>福冈黄蜂（Avispa Fukuoka）</x:v>
      </x:c>
      <x:c r="K907" s="82" t="n">
        <x:v>4</x:v>
      </x:c>
      <x:c r="L907" s="82" t="n">
        <x:v>4</x:v>
      </x:c>
      <x:c r="M907" s="67" t="n">
        <x:v>0.5</x:v>
      </x:c>
      <x:c r="N907" s="181" t="n">
        <x:v>0.5</x:v>
      </x:c>
      <x:c r="O907" s="67" t="n">
        <x:v>0.125</x:v>
      </x:c>
    </x:row>
    <x:row r="908" ht="24" customHeight="1">
      <x:c r="A908" s="65" t="n">
        <x:v>739</x:v>
      </x:c>
      <x:c r="B908" s="65" t="str">
        <x:v>南安普顿</x:v>
      </x:c>
      <x:c r="C908" s="82" t="n">
        <x:v>2</x:v>
      </x:c>
      <x:c r="D908" s="82" t="n">
        <x:v>2</x:v>
      </x:c>
      <x:c r="E908" s="67" t="n">
        <x:v>0</x:v>
      </x:c>
      <x:c r="F908" s="181" t="n">
        <x:v>0.5</x:v>
      </x:c>
      <x:c r="G908" s="67" t="n">
        <x:v>0</x:v>
      </x:c>
      <x:c r="H908"/>
      <x:c r="I908" s="65" t="n">
        <x:v>739</x:v>
      </x:c>
      <x:c r="J908" s="65" t="str">
        <x:v>葡萄牙体育</x:v>
      </x:c>
      <x:c r="K908" s="82" t="n">
        <x:v>2</x:v>
      </x:c>
      <x:c r="L908" s="82" t="n">
        <x:v>2</x:v>
      </x:c>
      <x:c r="M908" s="67" t="n">
        <x:v>0.5</x:v>
      </x:c>
      <x:c r="N908" s="181" t="n">
        <x:v>0.5</x:v>
      </x:c>
      <x:c r="O908" s="67" t="n">
        <x:v>0.25</x:v>
      </x:c>
    </x:row>
    <x:row r="909" ht="24" customHeight="1">
      <x:c r="A909" s="65" t="n">
        <x:v>740</x:v>
      </x:c>
      <x:c r="B909" s="65" t="str">
        <x:v>南非</x:v>
      </x:c>
      <x:c r="C909" s="82" t="n">
        <x:v>2</x:v>
      </x:c>
      <x:c r="D909" s="82" t="n">
        <x:v>2</x:v>
      </x:c>
      <x:c r="E909" s="67" t="n">
        <x:v>0</x:v>
      </x:c>
      <x:c r="F909" s="181" t="n">
        <x:v>0.5</x:v>
      </x:c>
      <x:c r="G909" s="67" t="n">
        <x:v>0</x:v>
      </x:c>
      <x:c r="H909"/>
      <x:c r="I909" s="65" t="n">
        <x:v>740</x:v>
      </x:c>
      <x:c r="J909" s="65" t="str">
        <x:v>蓝十字</x:v>
      </x:c>
      <x:c r="K909" s="82" t="n">
        <x:v>8</x:v>
      </x:c>
      <x:c r="L909" s="82" t="n">
        <x:v>8</x:v>
      </x:c>
      <x:c r="M909" s="67" t="n">
        <x:v>0.5</x:v>
      </x:c>
      <x:c r="N909" s="181" t="n">
        <x:v>0.5</x:v>
      </x:c>
      <x:c r="O909" s="67" t="n">
        <x:v>0.0625</x:v>
      </x:c>
    </x:row>
    <x:row r="910" ht="24" customHeight="1">
      <x:c r="A910" s="65" t="n">
        <x:v>741</x:v>
      </x:c>
      <x:c r="B910" s="65" t="str">
        <x:v>博德闪耀（Bodø/Glimt）</x:v>
      </x:c>
      <x:c r="C910" s="82" t="n">
        <x:v>2</x:v>
      </x:c>
      <x:c r="D910" s="82" t="n">
        <x:v>2</x:v>
      </x:c>
      <x:c r="E910" s="67" t="n">
        <x:v>0</x:v>
      </x:c>
      <x:c r="F910" s="181" t="n">
        <x:v>0.5</x:v>
      </x:c>
      <x:c r="G910" s="67" t="n">
        <x:v>0</x:v>
      </x:c>
      <x:c r="H910"/>
      <x:c r="I910" s="65" t="n">
        <x:v>741</x:v>
      </x:c>
      <x:c r="J910" s="65" t="str">
        <x:v>里奥内格罗老鹰（Águilas Doradas）</x:v>
      </x:c>
      <x:c r="K910" s="82" t="n">
        <x:v>4</x:v>
      </x:c>
      <x:c r="L910" s="82" t="n">
        <x:v>4</x:v>
      </x:c>
      <x:c r="M910" s="67" t="n">
        <x:v>0.5</x:v>
      </x:c>
      <x:c r="N910" s="181" t="n">
        <x:v>0.5</x:v>
      </x:c>
      <x:c r="O910" s="67" t="n">
        <x:v>0.125</x:v>
      </x:c>
    </x:row>
    <x:row r="911" ht="24" customHeight="1">
      <x:c r="A911" s="65" t="n">
        <x:v>742</x:v>
      </x:c>
      <x:c r="B911" s="65" t="str">
        <x:v>博洛尼亚（Bologna）</x:v>
      </x:c>
      <x:c r="C911" s="82" t="n">
        <x:v>4</x:v>
      </x:c>
      <x:c r="D911" s="82" t="n">
        <x:v>4</x:v>
      </x:c>
      <x:c r="E911" s="67" t="n">
        <x:v>0</x:v>
      </x:c>
      <x:c r="F911" s="181" t="n">
        <x:v>0.5</x:v>
      </x:c>
      <x:c r="G911" s="67" t="n">
        <x:v>0</x:v>
      </x:c>
      <x:c r="H911"/>
      <x:c r="I911" s="65" t="n">
        <x:v>742</x:v>
      </x:c>
      <x:c r="J911" s="65" t="str">
        <x:v>阿尔多斯维</x:v>
      </x:c>
      <x:c r="K911" s="82" t="n">
        <x:v>4</x:v>
      </x:c>
      <x:c r="L911" s="82" t="n">
        <x:v>4</x:v>
      </x:c>
      <x:c r="M911" s="67" t="n">
        <x:v>0.5</x:v>
      </x:c>
      <x:c r="N911" s="181" t="n">
        <x:v>0.5</x:v>
      </x:c>
      <x:c r="O911" s="67" t="n">
        <x:v>0.125</x:v>
      </x:c>
    </x:row>
    <x:row r="912" ht="24" customHeight="1">
      <x:c r="A912" s="65" t="n">
        <x:v>743</x:v>
      </x:c>
      <x:c r="B912" s="65" t="str">
        <x:v>卡罗琳泉乔治十字FC（Caroline Springs George Cross FC）</x:v>
      </x:c>
      <x:c r="C912" s="82" t="n">
        <x:v>2</x:v>
      </x:c>
      <x:c r="D912" s="82" t="n">
        <x:v>2</x:v>
      </x:c>
      <x:c r="E912" s="67" t="n">
        <x:v>0</x:v>
      </x:c>
      <x:c r="F912" s="181" t="n">
        <x:v>0.5</x:v>
      </x:c>
      <x:c r="G912" s="67" t="n">
        <x:v>0</x:v>
      </x:c>
      <x:c r="H912"/>
      <x:c r="I912" s="65" t="n">
        <x:v>743</x:v>
      </x:c>
      <x:c r="J912" s="65" t="str">
        <x:v>阿森纳</x:v>
      </x:c>
      <x:c r="K912" s="82" t="n">
        <x:v>4</x:v>
      </x:c>
      <x:c r="L912" s="82" t="n">
        <x:v>4</x:v>
      </x:c>
      <x:c r="M912" s="67" t="n">
        <x:v>0.5</x:v>
      </x:c>
      <x:c r="N912" s="181" t="n">
        <x:v>0.5</x:v>
      </x:c>
      <x:c r="O912" s="67" t="n">
        <x:v>0.125</x:v>
      </x:c>
    </x:row>
    <x:row r="913" ht="24" customHeight="1">
      <x:c r="A913" s="65" t="n">
        <x:v>744</x:v>
      </x:c>
      <x:c r="B913" s="65" t="str">
        <x:v>哈卡（FC Haka）</x:v>
      </x:c>
      <x:c r="C913" s="82" t="n">
        <x:v>2</x:v>
      </x:c>
      <x:c r="D913" s="82" t="n">
        <x:v>2</x:v>
      </x:c>
      <x:c r="E913" s="67" t="n">
        <x:v>0</x:v>
      </x:c>
      <x:c r="F913" s="181" t="n">
        <x:v>0.5</x:v>
      </x:c>
      <x:c r="G913" s="67" t="n">
        <x:v>0</x:v>
      </x:c>
      <x:c r="H913"/>
      <x:c r="I913" s="65" t="n">
        <x:v>744</x:v>
      </x:c>
      <x:c r="J913" s="65" t="str">
        <x:v>CD奥林匹亚（CD Olimpia）</x:v>
      </x:c>
      <x:c r="K913" s="82" t="n">
        <x:v>2</x:v>
      </x:c>
      <x:c r="L913" s="82" t="n">
        <x:v>2</x:v>
      </x:c>
      <x:c r="M913" s="67" t="n">
        <x:v>0</x:v>
      </x:c>
      <x:c r="N913" s="181" t="n">
        <x:v>0.5</x:v>
      </x:c>
      <x:c r="O913" s="67" t="n">
        <x:v>0</x:v>
      </x:c>
    </x:row>
    <x:row r="914" ht="24" customHeight="1">
      <x:c r="A914" s="65" t="n">
        <x:v>745</x:v>
      </x:c>
      <x:c r="B914" s="65" t="str">
        <x:v>喀什国际</x:v>
      </x:c>
      <x:c r="C914" s="82" t="n">
        <x:v>4</x:v>
      </x:c>
      <x:c r="D914" s="82" t="n">
        <x:v>4</x:v>
      </x:c>
      <x:c r="E914" s="67" t="n">
        <x:v>0</x:v>
      </x:c>
      <x:c r="F914" s="181" t="n">
        <x:v>0.5</x:v>
      </x:c>
      <x:c r="G914" s="67" t="n">
        <x:v>0</x:v>
      </x:c>
      <x:c r="H914"/>
      <x:c r="I914" s="65" t="n">
        <x:v>745</x:v>
      </x:c>
      <x:c r="J914" s="65" t="str">
        <x:v>PSIM日惹</x:v>
      </x:c>
      <x:c r="K914" s="82" t="n">
        <x:v>2</x:v>
      </x:c>
      <x:c r="L914" s="82" t="n">
        <x:v>2</x:v>
      </x:c>
      <x:c r="M914" s="67" t="n">
        <x:v>0</x:v>
      </x:c>
      <x:c r="N914" s="181" t="n">
        <x:v>0.5</x:v>
      </x:c>
      <x:c r="O914" s="67" t="n">
        <x:v>0</x:v>
      </x:c>
    </x:row>
    <x:row r="915" ht="24" customHeight="1">
      <x:c r="A915" s="65" t="n">
        <x:v>746</x:v>
      </x:c>
      <x:c r="B915" s="65" t="str">
        <x:v>喀拉拉邦冲击波（Kerala Blasters）</x:v>
      </x:c>
      <x:c r="C915" s="82" t="n">
        <x:v>2</x:v>
      </x:c>
      <x:c r="D915" s="82" t="n">
        <x:v>2</x:v>
      </x:c>
      <x:c r="E915" s="67" t="n">
        <x:v>0</x:v>
      </x:c>
      <x:c r="F915" s="181" t="n">
        <x:v>0.5</x:v>
      </x:c>
      <x:c r="G915" s="67" t="n">
        <x:v>0</x:v>
      </x:c>
      <x:c r="H915"/>
      <x:c r="I915" s="65" t="n">
        <x:v>746</x:v>
      </x:c>
      <x:c r="J915" s="65" t="str">
        <x:v>SD公鹿（SD Raiders）</x:v>
      </x:c>
      <x:c r="K915" s="82" t="n">
        <x:v>2</x:v>
      </x:c>
      <x:c r="L915" s="82" t="n">
        <x:v>2</x:v>
      </x:c>
      <x:c r="M915" s="67" t="n">
        <x:v>0</x:v>
      </x:c>
      <x:c r="N915" s="181" t="n">
        <x:v>0.5</x:v>
      </x:c>
      <x:c r="O915" s="67" t="n">
        <x:v>0</x:v>
      </x:c>
    </x:row>
    <x:row r="916" ht="24" customHeight="1">
      <x:c r="A916" s="65" t="n">
        <x:v>747</x:v>
      </x:c>
      <x:c r="B916" s="65" t="str">
        <x:v>国民竞技</x:v>
      </x:c>
      <x:c r="C916" s="82" t="n">
        <x:v>8</x:v>
      </x:c>
      <x:c r="D916" s="82" t="n">
        <x:v>8</x:v>
      </x:c>
      <x:c r="E916" s="67" t="n">
        <x:v>0</x:v>
      </x:c>
      <x:c r="F916" s="181" t="n">
        <x:v>0.5</x:v>
      </x:c>
      <x:c r="G916" s="67" t="n">
        <x:v>0</x:v>
      </x:c>
      <x:c r="H916"/>
      <x:c r="I916" s="65" t="n">
        <x:v>747</x:v>
      </x:c>
      <x:c r="J916" s="65" t="str">
        <x:v>东京绿茵</x:v>
      </x:c>
      <x:c r="K916" s="82" t="n">
        <x:v>2</x:v>
      </x:c>
      <x:c r="L916" s="82" t="n">
        <x:v>2</x:v>
      </x:c>
      <x:c r="M916" s="67" t="n">
        <x:v>0</x:v>
      </x:c>
      <x:c r="N916" s="181" t="n">
        <x:v>0.5</x:v>
      </x:c>
      <x:c r="O916" s="67" t="n">
        <x:v>0</x:v>
      </x:c>
    </x:row>
    <x:row r="917" ht="24" customHeight="1">
      <x:c r="A917" s="65" t="n">
        <x:v>748</x:v>
      </x:c>
      <x:c r="B917" s="65" t="str">
        <x:v>国民竞技(Atlético Nacional)</x:v>
      </x:c>
      <x:c r="C917" s="82" t="n">
        <x:v>2</x:v>
      </x:c>
      <x:c r="D917" s="82" t="n">
        <x:v>2</x:v>
      </x:c>
      <x:c r="E917" s="67" t="n">
        <x:v>0</x:v>
      </x:c>
      <x:c r="F917" s="181" t="n">
        <x:v>0.5</x:v>
      </x:c>
      <x:c r="G917" s="67" t="n">
        <x:v>0</x:v>
      </x:c>
      <x:c r="H917"/>
      <x:c r="I917" s="65" t="n">
        <x:v>748</x:v>
      </x:c>
      <x:c r="J917" s="65" t="str">
        <x:v>东方石油（Oriente Petrolero）</x:v>
      </x:c>
      <x:c r="K917" s="82" t="n">
        <x:v>3</x:v>
      </x:c>
      <x:c r="L917" s="82" t="n">
        <x:v>2</x:v>
      </x:c>
      <x:c r="M917" s="67" t="n">
        <x:v>0</x:v>
      </x:c>
      <x:c r="N917" s="181" t="n">
        <x:v>0.5</x:v>
      </x:c>
      <x:c r="O917" s="67" t="n">
        <x:v>0</x:v>
      </x:c>
    </x:row>
    <x:row r="918" ht="24" customHeight="1">
      <x:c r="A918" s="65" t="n">
        <x:v>749</x:v>
      </x:c>
      <x:c r="B918" s="65" t="str">
        <x:v>圣乔治城（St George City FA）</x:v>
      </x:c>
      <x:c r="C918" s="82" t="n">
        <x:v>2</x:v>
      </x:c>
      <x:c r="D918" s="82" t="n">
        <x:v>2</x:v>
      </x:c>
      <x:c r="E918" s="67" t="n">
        <x:v>0</x:v>
      </x:c>
      <x:c r="F918" s="181" t="n">
        <x:v>0.5</x:v>
      </x:c>
      <x:c r="G918" s="67" t="n">
        <x:v>0</x:v>
      </x:c>
      <x:c r="H918"/>
      <x:c r="I918" s="65" t="n">
        <x:v>749</x:v>
      </x:c>
      <x:c r="J918" s="65" t="str">
        <x:v>中国</x:v>
      </x:c>
      <x:c r="K918" s="82" t="n">
        <x:v>2</x:v>
      </x:c>
      <x:c r="L918" s="82" t="n">
        <x:v>2</x:v>
      </x:c>
      <x:c r="M918" s="67" t="n">
        <x:v>0</x:v>
      </x:c>
      <x:c r="N918" s="181" t="n">
        <x:v>0.5</x:v>
      </x:c>
      <x:c r="O918" s="67" t="n">
        <x:v>0</x:v>
      </x:c>
    </x:row>
    <x:row r="919" ht="24" customHeight="1">
      <x:c r="A919" s="65" t="n">
        <x:v>750</x:v>
      </x:c>
      <x:c r="B919" s="65" t="str">
        <x:v>圣保利（FC St. Pauli）</x:v>
      </x:c>
      <x:c r="C919" s="82" t="n">
        <x:v>2</x:v>
      </x:c>
      <x:c r="D919" s="82" t="n">
        <x:v>2</x:v>
      </x:c>
      <x:c r="E919" s="67" t="n">
        <x:v>0</x:v>
      </x:c>
      <x:c r="F919" s="181" t="n">
        <x:v>0.5</x:v>
      </x:c>
      <x:c r="G919" s="67" t="n">
        <x:v>0</x:v>
      </x:c>
      <x:c r="H919"/>
      <x:c r="I919" s="65" t="n">
        <x:v>750</x:v>
      </x:c>
      <x:c r="J919" s="65" t="str">
        <x:v>中央海岸水手（Central Coast Mariners）</x:v>
      </x:c>
      <x:c r="K919" s="82" t="n">
        <x:v>2</x:v>
      </x:c>
      <x:c r="L919" s="82" t="n">
        <x:v>2</x:v>
      </x:c>
      <x:c r="M919" s="67" t="n">
        <x:v>0</x:v>
      </x:c>
      <x:c r="N919" s="181" t="n">
        <x:v>0.5</x:v>
      </x:c>
      <x:c r="O919" s="67" t="n">
        <x:v>0</x:v>
      </x:c>
    </x:row>
    <x:row r="920" ht="24" customHeight="1">
      <x:c r="A920" s="65" t="n">
        <x:v>751</x:v>
      </x:c>
      <x:c r="B920" s="65" t="str">
        <x:v>圣安东尼奥布鲁布鲁（San Antonio Bulo Bulo）</x:v>
      </x:c>
      <x:c r="C920" s="82" t="n">
        <x:v>2</x:v>
      </x:c>
      <x:c r="D920" s="82" t="n">
        <x:v>2</x:v>
      </x:c>
      <x:c r="E920" s="67" t="n">
        <x:v>0</x:v>
      </x:c>
      <x:c r="F920" s="181" t="n">
        <x:v>0.5</x:v>
      </x:c>
      <x:c r="G920" s="67" t="n">
        <x:v>0</x:v>
      </x:c>
      <x:c r="H920"/>
      <x:c r="I920" s="65" t="n">
        <x:v>751</x:v>
      </x:c>
      <x:c r="J920" s="65" t="str">
        <x:v>丹德农市</x:v>
      </x:c>
      <x:c r="K920" s="82" t="n">
        <x:v>2</x:v>
      </x:c>
      <x:c r="L920" s="82" t="n">
        <x:v>2</x:v>
      </x:c>
      <x:c r="M920" s="67" t="n">
        <x:v>0</x:v>
      </x:c>
      <x:c r="N920" s="181" t="n">
        <x:v>0.5</x:v>
      </x:c>
      <x:c r="O920" s="67" t="n">
        <x:v>0</x:v>
      </x:c>
    </x:row>
    <x:row r="921" ht="24" customHeight="1">
      <x:c r="A921" s="65" t="n">
        <x:v>752</x:v>
      </x:c>
      <x:c r="B921" s="65" t="str">
        <x:v>圣洛伦索（San Lorenzo）</x:v>
      </x:c>
      <x:c r="C921" s="82" t="n">
        <x:v>2</x:v>
      </x:c>
      <x:c r="D921" s="82" t="n">
        <x:v>2</x:v>
      </x:c>
      <x:c r="E921" s="67" t="n">
        <x:v>0</x:v>
      </x:c>
      <x:c r="F921" s="181" t="n">
        <x:v>0.5</x:v>
      </x:c>
      <x:c r="G921" s="67" t="n">
        <x:v>0</x:v>
      </x:c>
      <x:c r="H921"/>
      <x:c r="I921" s="65" t="n">
        <x:v>752</x:v>
      </x:c>
      <x:c r="J921" s="65" t="str">
        <x:v>丹德农迅雷（Dandenong Thunder）</x:v>
      </x:c>
      <x:c r="K921" s="82" t="n">
        <x:v>2</x:v>
      </x:c>
      <x:c r="L921" s="82" t="n">
        <x:v>2</x:v>
      </x:c>
      <x:c r="M921" s="67" t="n">
        <x:v>0</x:v>
      </x:c>
      <x:c r="N921" s="181" t="n">
        <x:v>0.5</x:v>
      </x:c>
      <x:c r="O921" s="67" t="n">
        <x:v>0</x:v>
      </x:c>
    </x:row>
    <x:row r="922" ht="24" customHeight="1">
      <x:c r="A922" s="65" t="n">
        <x:v>753</x:v>
      </x:c>
      <x:c r="B922" s="65" t="str">
        <x:v>埃弗顿</x:v>
      </x:c>
      <x:c r="C922" s="82" t="n">
        <x:v>2</x:v>
      </x:c>
      <x:c r="D922" s="82" t="n">
        <x:v>2</x:v>
      </x:c>
      <x:c r="E922" s="67" t="n">
        <x:v>0</x:v>
      </x:c>
      <x:c r="F922" s="181" t="n">
        <x:v>0.5</x:v>
      </x:c>
      <x:c r="G922" s="67" t="n">
        <x:v>0</x:v>
      </x:c>
      <x:c r="H922"/>
      <x:c r="I922" s="65" t="n">
        <x:v>753</x:v>
      </x:c>
      <x:c r="J922" s="65" t="str">
        <x:v>乌兹别克斯坦</x:v>
      </x:c>
      <x:c r="K922" s="82" t="n">
        <x:v>2</x:v>
      </x:c>
      <x:c r="L922" s="82" t="n">
        <x:v>2</x:v>
      </x:c>
      <x:c r="M922" s="67" t="n">
        <x:v>0</x:v>
      </x:c>
      <x:c r="N922" s="181" t="n">
        <x:v>0.5</x:v>
      </x:c>
      <x:c r="O922" s="67" t="n">
        <x:v>0</x:v>
      </x:c>
    </x:row>
    <x:row r="923" ht="24" customHeight="1">
      <x:c r="A923" s="65" t="n">
        <x:v>754</x:v>
      </x:c>
      <x:c r="B923" s="65" t="str">
        <x:v>埃弗顿（Everton）</x:v>
      </x:c>
      <x:c r="C923" s="82" t="n">
        <x:v>4</x:v>
      </x:c>
      <x:c r="D923" s="82" t="n">
        <x:v>4</x:v>
      </x:c>
      <x:c r="E923" s="67" t="n">
        <x:v>0</x:v>
      </x:c>
      <x:c r="F923" s="181" t="n">
        <x:v>0.5</x:v>
      </x:c>
      <x:c r="G923" s="67" t="n">
        <x:v>0</x:v>
      </x:c>
      <x:c r="H923"/>
      <x:c r="I923" s="65" t="n">
        <x:v>754</x:v>
      </x:c>
      <x:c r="J923" s="65" t="str">
        <x:v>亚特兰大联</x:v>
      </x:c>
      <x:c r="K923" s="82" t="n">
        <x:v>2</x:v>
      </x:c>
      <x:c r="L923" s="82" t="n">
        <x:v>2</x:v>
      </x:c>
      <x:c r="M923" s="67" t="n">
        <x:v>0</x:v>
      </x:c>
      <x:c r="N923" s="181" t="n">
        <x:v>0.5</x:v>
      </x:c>
      <x:c r="O923" s="67" t="n">
        <x:v>0</x:v>
      </x:c>
    </x:row>
    <x:row r="924" ht="24" customHeight="1">
      <x:c r="A924" s="65" t="n">
        <x:v>755</x:v>
      </x:c>
      <x:c r="B924" s="65" t="str">
        <x:v>基多大学体育（LDU Quito）</x:v>
      </x:c>
      <x:c r="C924" s="82" t="n">
        <x:v>3</x:v>
      </x:c>
      <x:c r="D924" s="82" t="n">
        <x:v>2</x:v>
      </x:c>
      <x:c r="E924" s="67" t="n">
        <x:v>0</x:v>
      </x:c>
      <x:c r="F924" s="181" t="n">
        <x:v>0.5</x:v>
      </x:c>
      <x:c r="G924" s="67" t="n">
        <x:v>0</x:v>
      </x:c>
      <x:c r="H924"/>
      <x:c r="I924" s="65" t="n">
        <x:v>755</x:v>
      </x:c>
      <x:c r="J924" s="65" t="str">
        <x:v>亚特兰特（Atlante）</x:v>
      </x:c>
      <x:c r="K924" s="82" t="n">
        <x:v>2</x:v>
      </x:c>
      <x:c r="L924" s="82" t="n">
        <x:v>2</x:v>
      </x:c>
      <x:c r="M924" s="67" t="n">
        <x:v>0</x:v>
      </x:c>
      <x:c r="N924" s="181" t="n">
        <x:v>0.5</x:v>
      </x:c>
      <x:c r="O924" s="67" t="n">
        <x:v>0</x:v>
      </x:c>
    </x:row>
    <x:row r="925" ht="24" customHeight="1">
      <x:c r="A925" s="65" t="n">
        <x:v>756</x:v>
      </x:c>
      <x:c r="B925" s="65" t="str">
        <x:v>大连英博</x:v>
      </x:c>
      <x:c r="C925" s="82" t="n">
        <x:v>2</x:v>
      </x:c>
      <x:c r="D925" s="82" t="n">
        <x:v>2</x:v>
      </x:c>
      <x:c r="E925" s="67" t="n">
        <x:v>0</x:v>
      </x:c>
      <x:c r="F925" s="181" t="n">
        <x:v>0.5</x:v>
      </x:c>
      <x:c r="G925" s="67" t="n">
        <x:v>0</x:v>
      </x:c>
      <x:c r="H925"/>
      <x:c r="I925" s="65" t="n">
        <x:v>756</x:v>
      </x:c>
      <x:c r="J925" s="65" t="str">
        <x:v>伊拉普阿托</x:v>
      </x:c>
      <x:c r="K925" s="82" t="n">
        <x:v>2</x:v>
      </x:c>
      <x:c r="L925" s="82" t="n">
        <x:v>2</x:v>
      </x:c>
      <x:c r="M925" s="67" t="n">
        <x:v>0</x:v>
      </x:c>
      <x:c r="N925" s="181" t="n">
        <x:v>0.5</x:v>
      </x:c>
      <x:c r="O925" s="67" t="n">
        <x:v>0</x:v>
      </x:c>
    </x:row>
    <x:row r="926" ht="24" customHeight="1">
      <x:c r="A926" s="65" t="n">
        <x:v>757</x:v>
      </x:c>
      <x:c r="B926" s="65" t="str">
        <x:v>奥兰多城</x:v>
      </x:c>
      <x:c r="C926" s="82" t="n">
        <x:v>2</x:v>
      </x:c>
      <x:c r="D926" s="82" t="n">
        <x:v>2</x:v>
      </x:c>
      <x:c r="E926" s="67" t="n">
        <x:v>0</x:v>
      </x:c>
      <x:c r="F926" s="181" t="n">
        <x:v>0.5</x:v>
      </x:c>
      <x:c r="G926" s="67" t="n">
        <x:v>0</x:v>
      </x:c>
      <x:c r="H926"/>
      <x:c r="I926" s="65" t="n">
        <x:v>757</x:v>
      </x:c>
      <x:c r="J926" s="65" t="str">
        <x:v>伊普斯维奇（Ipswich Town）</x:v>
      </x:c>
      <x:c r="K926" s="82" t="n">
        <x:v>4</x:v>
      </x:c>
      <x:c r="L926" s="82" t="n">
        <x:v>4</x:v>
      </x:c>
      <x:c r="M926" s="67" t="n">
        <x:v>0</x:v>
      </x:c>
      <x:c r="N926" s="181" t="n">
        <x:v>0.5</x:v>
      </x:c>
      <x:c r="O926" s="67" t="n">
        <x:v>0</x:v>
      </x:c>
    </x:row>
    <x:row r="927" ht="24" customHeight="1">
      <x:c r="A927" s="65" t="n">
        <x:v>758</x:v>
      </x:c>
      <x:c r="B927" s="65" t="str">
        <x:v>奥利恩特石油（Oriente Petrolero）</x:v>
      </x:c>
      <x:c r="C927" s="82" t="n">
        <x:v>2</x:v>
      </x:c>
      <x:c r="D927" s="82" t="n">
        <x:v>2</x:v>
      </x:c>
      <x:c r="E927" s="67" t="n">
        <x:v>0</x:v>
      </x:c>
      <x:c r="F927" s="181" t="n">
        <x:v>0.5</x:v>
      </x:c>
      <x:c r="G927" s="67" t="n">
        <x:v>0</x:v>
      </x:c>
      <x:c r="H927"/>
      <x:c r="I927" s="65" t="n">
        <x:v>758</x:v>
      </x:c>
      <x:c r="J927" s="65" t="str">
        <x:v>伯恩茅斯</x:v>
      </x:c>
      <x:c r="K927" s="82" t="n">
        <x:v>2</x:v>
      </x:c>
      <x:c r="L927" s="82" t="n">
        <x:v>2</x:v>
      </x:c>
      <x:c r="M927" s="67" t="n">
        <x:v>0</x:v>
      </x:c>
      <x:c r="N927" s="181" t="n">
        <x:v>0.5</x:v>
      </x:c>
      <x:c r="O927" s="67" t="n">
        <x:v>0</x:v>
      </x:c>
    </x:row>
    <x:row r="928" ht="24" customHeight="1">
      <x:c r="A928" s="65" t="n">
        <x:v>759</x:v>
      </x:c>
      <x:c r="B928" s="65" t="str">
        <x:v>奥康诺骑士</x:v>
      </x:c>
      <x:c r="C928" s="82" t="n">
        <x:v>2</x:v>
      </x:c>
      <x:c r="D928" s="82" t="n">
        <x:v>2</x:v>
      </x:c>
      <x:c r="E928" s="67" t="n">
        <x:v>0</x:v>
      </x:c>
      <x:c r="F928" s="181" t="n">
        <x:v>0.5</x:v>
      </x:c>
      <x:c r="G928" s="67" t="n">
        <x:v>0</x:v>
      </x:c>
      <x:c r="H928"/>
      <x:c r="I928" s="65" t="n">
        <x:v>759</x:v>
      </x:c>
      <x:c r="J928" s="65" t="str">
        <x:v>佩斯克谏义里</x:v>
      </x:c>
      <x:c r="K928" s="82" t="n">
        <x:v>4</x:v>
      </x:c>
      <x:c r="L928" s="82" t="n">
        <x:v>4</x:v>
      </x:c>
      <x:c r="M928" s="67" t="n">
        <x:v>0</x:v>
      </x:c>
      <x:c r="N928" s="181" t="n">
        <x:v>0.5</x:v>
      </x:c>
      <x:c r="O928" s="67" t="n">
        <x:v>0</x:v>
      </x:c>
    </x:row>
    <x:row r="929" ht="24" customHeight="1">
      <x:c r="A929" s="65" t="n">
        <x:v>760</x:v>
      </x:c>
      <x:c r="B929" s="65" t="str">
        <x:v>奥斯汀FC</x:v>
      </x:c>
      <x:c r="C929" s="82" t="n">
        <x:v>2</x:v>
      </x:c>
      <x:c r="D929" s="82" t="n">
        <x:v>2</x:v>
      </x:c>
      <x:c r="E929" s="67" t="n">
        <x:v>0</x:v>
      </x:c>
      <x:c r="F929" s="181" t="n">
        <x:v>0.5</x:v>
      </x:c>
      <x:c r="G929" s="67" t="n">
        <x:v>0</x:v>
      </x:c>
      <x:c r="H929"/>
      <x:c r="I929" s="65" t="n">
        <x:v>760</x:v>
      </x:c>
      <x:c r="J929" s="65" t="str">
        <x:v>佩斯索罗</x:v>
      </x:c>
      <x:c r="K929" s="82" t="n">
        <x:v>2</x:v>
      </x:c>
      <x:c r="L929" s="82" t="n">
        <x:v>2</x:v>
      </x:c>
      <x:c r="M929" s="67" t="n">
        <x:v>0</x:v>
      </x:c>
      <x:c r="N929" s="181" t="n">
        <x:v>0.5</x:v>
      </x:c>
      <x:c r="O929" s="67" t="n">
        <x:v>0</x:v>
      </x:c>
    </x:row>
    <x:row r="930" ht="24" customHeight="1">
      <x:c r="A930" s="65" t="n">
        <x:v>761</x:v>
      </x:c>
      <x:c r="B930" s="65" t="str">
        <x:v>安养FC（FC Anyang）</x:v>
      </x:c>
      <x:c r="C930" s="82" t="n">
        <x:v>2</x:v>
      </x:c>
      <x:c r="D930" s="82" t="n">
        <x:v>2</x:v>
      </x:c>
      <x:c r="E930" s="67" t="n">
        <x:v>0</x:v>
      </x:c>
      <x:c r="F930" s="181" t="n">
        <x:v>0.5</x:v>
      </x:c>
      <x:c r="G930" s="67" t="n">
        <x:v>0</x:v>
      </x:c>
      <x:c r="H930"/>
      <x:c r="I930" s="65" t="n">
        <x:v>761</x:v>
      </x:c>
      <x:c r="J930" s="65" t="str">
        <x:v>佩西加雅加达</x:v>
      </x:c>
      <x:c r="K930" s="82" t="n">
        <x:v>6</x:v>
      </x:c>
      <x:c r="L930" s="82" t="n">
        <x:v>6</x:v>
      </x:c>
      <x:c r="M930" s="67" t="n">
        <x:v>0</x:v>
      </x:c>
      <x:c r="N930" s="181" t="n">
        <x:v>0.5</x:v>
      </x:c>
      <x:c r="O930" s="67" t="n">
        <x:v>0</x:v>
      </x:c>
    </x:row>
    <x:row r="931" ht="24" customHeight="1">
      <x:c r="A931" s="65" t="n">
        <x:v>762</x:v>
      </x:c>
      <x:c r="B931" s="65" t="str">
        <x:v>山形山神</x:v>
      </x:c>
      <x:c r="C931" s="82" t="n">
        <x:v>2</x:v>
      </x:c>
      <x:c r="D931" s="82" t="n">
        <x:v>2</x:v>
      </x:c>
      <x:c r="E931" s="67" t="n">
        <x:v>0</x:v>
      </x:c>
      <x:c r="F931" s="181" t="n">
        <x:v>0.5</x:v>
      </x:c>
      <x:c r="G931" s="67" t="n">
        <x:v>0</x:v>
      </x:c>
      <x:c r="H931"/>
      <x:c r="I931" s="65" t="n">
        <x:v>762</x:v>
      </x:c>
      <x:c r="J931" s="65" t="str">
        <x:v>全北现代汽车</x:v>
      </x:c>
      <x:c r="K931" s="82" t="n">
        <x:v>2</x:v>
      </x:c>
      <x:c r="L931" s="82" t="n">
        <x:v>2</x:v>
      </x:c>
      <x:c r="M931" s="67" t="n">
        <x:v>0</x:v>
      </x:c>
      <x:c r="N931" s="181" t="n">
        <x:v>0.5</x:v>
      </x:c>
      <x:c r="O931" s="67" t="n">
        <x:v>0</x:v>
      </x:c>
    </x:row>
    <x:row r="932" ht="24" customHeight="1">
      <x:c r="A932" s="65" t="n">
        <x:v>763</x:v>
      </x:c>
      <x:c r="B932" s="65" t="str">
        <x:v>巴拉卡斯中央</x:v>
      </x:c>
      <x:c r="C932" s="82" t="n">
        <x:v>2</x:v>
      </x:c>
      <x:c r="D932" s="82" t="n">
        <x:v>2</x:v>
      </x:c>
      <x:c r="E932" s="67" t="n">
        <x:v>0</x:v>
      </x:c>
      <x:c r="F932" s="181" t="n">
        <x:v>0.5</x:v>
      </x:c>
      <x:c r="G932" s="67" t="n">
        <x:v>0</x:v>
      </x:c>
      <x:c r="H932"/>
      <x:c r="I932" s="65" t="n">
        <x:v>763</x:v>
      </x:c>
      <x:c r="J932" s="65" t="str">
        <x:v>全南天龙（Jeonnam Dragons）</x:v>
      </x:c>
      <x:c r="K932" s="82" t="n">
        <x:v>2</x:v>
      </x:c>
      <x:c r="L932" s="82" t="n">
        <x:v>2</x:v>
      </x:c>
      <x:c r="M932" s="67" t="n">
        <x:v>0</x:v>
      </x:c>
      <x:c r="N932" s="181" t="n">
        <x:v>0.5</x:v>
      </x:c>
      <x:c r="O932" s="67" t="n">
        <x:v>0</x:v>
      </x:c>
    </x:row>
    <x:row r="933" ht="24" customHeight="1">
      <x:c r="A933" s="65" t="n">
        <x:v>764</x:v>
      </x:c>
      <x:c r="B933" s="65" t="str">
        <x:v>巴拉纳竞技（Athletico Paranaense）</x:v>
      </x:c>
      <x:c r="C933" s="82" t="n">
        <x:v>2</x:v>
      </x:c>
      <x:c r="D933" s="82" t="n">
        <x:v>2</x:v>
      </x:c>
      <x:c r="E933" s="67" t="n">
        <x:v>0</x:v>
      </x:c>
      <x:c r="F933" s="181" t="n">
        <x:v>0.5</x:v>
      </x:c>
      <x:c r="G933" s="67" t="n">
        <x:v>0</x:v>
      </x:c>
      <x:c r="H933"/>
      <x:c r="I933" s="65" t="n">
        <x:v>764</x:v>
      </x:c>
      <x:c r="J933" s="65" t="str">
        <x:v>八户云罗里（Vanraure Hachinohe）</x:v>
      </x:c>
      <x:c r="K933" s="82" t="n">
        <x:v>2</x:v>
      </x:c>
      <x:c r="L933" s="82" t="n">
        <x:v>2</x:v>
      </x:c>
      <x:c r="M933" s="67" t="n">
        <x:v>0</x:v>
      </x:c>
      <x:c r="N933" s="181" t="n">
        <x:v>0.5</x:v>
      </x:c>
      <x:c r="O933" s="67" t="n">
        <x:v>0</x:v>
      </x:c>
    </x:row>
    <x:row r="934" ht="24" customHeight="1">
      <x:c r="A934" s="65" t="n">
        <x:v>765</x:v>
      </x:c>
      <x:c r="B934" s="65" t="str">
        <x:v>巴西国际</x:v>
      </x:c>
      <x:c r="C934" s="82" t="n">
        <x:v>2</x:v>
      </x:c>
      <x:c r="D934" s="82" t="n">
        <x:v>2</x:v>
      </x:c>
      <x:c r="E934" s="67" t="n">
        <x:v>0</x:v>
      </x:c>
      <x:c r="F934" s="181" t="n">
        <x:v>0.5</x:v>
      </x:c>
      <x:c r="G934" s="67" t="n">
        <x:v>0</x:v>
      </x:c>
      <x:c r="H934"/>
      <x:c r="I934" s="65" t="n">
        <x:v>765</x:v>
      </x:c>
      <x:c r="J934" s="65" t="str">
        <x:v>最强者</x:v>
      </x:c>
      <x:c r="K934" s="82" t="n">
        <x:v>2</x:v>
      </x:c>
      <x:c r="L934" s="82" t="n">
        <x:v>2</x:v>
      </x:c>
      <x:c r="M934" s="67" t="n">
        <x:v>0</x:v>
      </x:c>
      <x:c r="N934" s="181" t="n">
        <x:v>0.5</x:v>
      </x:c>
      <x:c r="O934" s="67" t="n">
        <x:v>0</x:v>
      </x:c>
    </x:row>
    <x:row r="935" ht="24" customHeight="1">
      <x:c r="A935" s="65" t="n">
        <x:v>766</x:v>
      </x:c>
      <x:c r="B935" s="65" t="str">
        <x:v>布伦瑞克（Eintracht Braunschweig）</x:v>
      </x:c>
      <x:c r="C935" s="82" t="n">
        <x:v>4</x:v>
      </x:c>
      <x:c r="D935" s="82" t="n">
        <x:v>4</x:v>
      </x:c>
      <x:c r="E935" s="67" t="n">
        <x:v>0</x:v>
      </x:c>
      <x:c r="F935" s="181" t="n">
        <x:v>0.5</x:v>
      </x:c>
      <x:c r="G935" s="67" t="n">
        <x:v>0</x:v>
      </x:c>
      <x:c r="H935"/>
      <x:c r="I935" s="65" t="n">
        <x:v>766</x:v>
      </x:c>
      <x:c r="J935" s="65" t="str">
        <x:v>凯泽斯劳滕（1. FC Kaiserslautern）</x:v>
      </x:c>
      <x:c r="K935" s="82" t="n">
        <x:v>4</x:v>
      </x:c>
      <x:c r="L935" s="82" t="n">
        <x:v>4</x:v>
      </x:c>
      <x:c r="M935" s="67" t="n">
        <x:v>0</x:v>
      </x:c>
      <x:c r="N935" s="181" t="n">
        <x:v>0.5</x:v>
      </x:c>
      <x:c r="O935" s="67" t="n">
        <x:v>0</x:v>
      </x:c>
    </x:row>
    <x:row r="936" ht="24" customHeight="1">
      <x:c r="A936" s="65" t="n">
        <x:v>767</x:v>
      </x:c>
      <x:c r="B936" s="65" t="str">
        <x:v>布伦瑞克城</x:v>
      </x:c>
      <x:c r="C936" s="82" t="n">
        <x:v>2</x:v>
      </x:c>
      <x:c r="D936" s="82" t="n">
        <x:v>2</x:v>
      </x:c>
      <x:c r="E936" s="67" t="n">
        <x:v>0</x:v>
      </x:c>
      <x:c r="F936" s="181" t="n">
        <x:v>0.5</x:v>
      </x:c>
      <x:c r="G936" s="67" t="n">
        <x:v>0</x:v>
      </x:c>
      <x:c r="H936"/>
      <x:c r="I936" s="65" t="n">
        <x:v>767</x:v>
      </x:c>
      <x:c r="J936" s="65" t="str">
        <x:v>利兹联（Leeds United）</x:v>
      </x:c>
      <x:c r="K936" s="82" t="n">
        <x:v>6</x:v>
      </x:c>
      <x:c r="L936" s="82" t="n">
        <x:v>6</x:v>
      </x:c>
      <x:c r="M936" s="67" t="n">
        <x:v>0</x:v>
      </x:c>
      <x:c r="N936" s="181" t="n">
        <x:v>0.5</x:v>
      </x:c>
      <x:c r="O936" s="67" t="n">
        <x:v>0</x:v>
      </x:c>
    </x:row>
    <x:row r="937" ht="24" customHeight="1">
      <x:c r="A937" s="65" t="n">
        <x:v>768</x:v>
      </x:c>
      <x:c r="B937" s="65" t="str">
        <x:v>布伦瑞克尤文图斯</x:v>
      </x:c>
      <x:c r="C937" s="82" t="n">
        <x:v>2</x:v>
      </x:c>
      <x:c r="D937" s="82" t="n">
        <x:v>2</x:v>
      </x:c>
      <x:c r="E937" s="67" t="n">
        <x:v>0</x:v>
      </x:c>
      <x:c r="F937" s="181" t="n">
        <x:v>0.5</x:v>
      </x:c>
      <x:c r="G937" s="67" t="n">
        <x:v>0</x:v>
      </x:c>
      <x:c r="H937"/>
      <x:c r="I937" s="65" t="n">
        <x:v>768</x:v>
      </x:c>
      <x:c r="J937" s="65" t="str">
        <x:v>千叶市原</x:v>
      </x:c>
      <x:c r="K937" s="82" t="n">
        <x:v>2</x:v>
      </x:c>
      <x:c r="L937" s="82" t="n">
        <x:v>2</x:v>
      </x:c>
      <x:c r="M937" s="67" t="n">
        <x:v>0</x:v>
      </x:c>
      <x:c r="N937" s="181" t="n">
        <x:v>0.5</x:v>
      </x:c>
      <x:c r="O937" s="67" t="n">
        <x:v>0</x:v>
      </x:c>
    </x:row>
    <x:row r="938" ht="24" customHeight="1">
      <x:c r="A938" s="65" t="n">
        <x:v>769</x:v>
      </x:c>
      <x:c r="B938" s="65" t="str">
        <x:v>布伦瑞克尤文图斯（Brunswick Juventus）</x:v>
      </x:c>
      <x:c r="C938" s="82" t="n">
        <x:v>6</x:v>
      </x:c>
      <x:c r="D938" s="82" t="n">
        <x:v>6</x:v>
      </x:c>
      <x:c r="E938" s="67" t="n">
        <x:v>0</x:v>
      </x:c>
      <x:c r="F938" s="181" t="n">
        <x:v>0.5</x:v>
      </x:c>
      <x:c r="G938" s="67" t="n">
        <x:v>0</x:v>
      </x:c>
      <x:c r="H938"/>
      <x:c r="I938" s="65" t="n">
        <x:v>769</x:v>
      </x:c>
      <x:c r="J938" s="65" t="str">
        <x:v>博德闪耀（Bodø/Glimt）</x:v>
      </x:c>
      <x:c r="K938" s="82" t="n">
        <x:v>2</x:v>
      </x:c>
      <x:c r="L938" s="82" t="n">
        <x:v>2</x:v>
      </x:c>
      <x:c r="M938" s="67" t="n">
        <x:v>0</x:v>
      </x:c>
      <x:c r="N938" s="181" t="n">
        <x:v>0.5</x:v>
      </x:c>
      <x:c r="O938" s="67" t="n">
        <x:v>0</x:v>
      </x:c>
    </x:row>
    <x:row r="939" ht="24" customHeight="1">
      <x:c r="A939" s="65" t="n">
        <x:v>770</x:v>
      </x:c>
      <x:c r="B939" s="65" t="str">
        <x:v>布卡拉曼加（Atlético Bucaramanga）</x:v>
      </x:c>
      <x:c r="C939" s="82" t="n">
        <x:v>4</x:v>
      </x:c>
      <x:c r="D939" s="82" t="n">
        <x:v>4</x:v>
      </x:c>
      <x:c r="E939" s="67" t="n">
        <x:v>0</x:v>
      </x:c>
      <x:c r="F939" s="181" t="n">
        <x:v>0.5</x:v>
      </x:c>
      <x:c r="G939" s="67" t="n">
        <x:v>0</x:v>
      </x:c>
      <x:c r="H939"/>
      <x:c r="I939" s="65" t="n">
        <x:v>770</x:v>
      </x:c>
      <x:c r="J939" s="65" t="str">
        <x:v>卡利博卡青年（Boca Juniors de Cali）</x:v>
      </x:c>
      <x:c r="K939" s="82" t="n">
        <x:v>2</x:v>
      </x:c>
      <x:c r="L939" s="82" t="n">
        <x:v>2</x:v>
      </x:c>
      <x:c r="M939" s="67" t="n">
        <x:v>0</x:v>
      </x:c>
      <x:c r="N939" s="181" t="n">
        <x:v>0.5</x:v>
      </x:c>
      <x:c r="O939" s="67" t="n">
        <x:v>0</x:v>
      </x:c>
    </x:row>
    <x:row r="940" ht="24" customHeight="1">
      <x:c r="A940" s="65" t="n">
        <x:v>771</x:v>
      </x:c>
      <x:c r="B940" s="65" t="str">
        <x:v>布琳狮子U23（FC Bulleen Lions U23）</x:v>
      </x:c>
      <x:c r="C940" s="82" t="n">
        <x:v>2</x:v>
      </x:c>
      <x:c r="D940" s="82" t="n">
        <x:v>2</x:v>
      </x:c>
      <x:c r="E940" s="67" t="n">
        <x:v>0</x:v>
      </x:c>
      <x:c r="F940" s="181" t="n">
        <x:v>0.5</x:v>
      </x:c>
      <x:c r="G940" s="67" t="n">
        <x:v>0</x:v>
      </x:c>
      <x:c r="H940"/>
      <x:c r="I940" s="65" t="n">
        <x:v>771</x:v>
      </x:c>
      <x:c r="J940" s="65" t="str">
        <x:v>名古屋鲸鱼</x:v>
      </x:c>
      <x:c r="K940" s="82" t="n">
        <x:v>2</x:v>
      </x:c>
      <x:c r="L940" s="82" t="n">
        <x:v>2</x:v>
      </x:c>
      <x:c r="M940" s="67" t="n">
        <x:v>0</x:v>
      </x:c>
      <x:c r="N940" s="181" t="n">
        <x:v>0.5</x:v>
      </x:c>
      <x:c r="O940" s="67" t="n">
        <x:v>0</x:v>
      </x:c>
    </x:row>
    <x:row r="941" ht="24" customHeight="1">
      <x:c r="A941" s="65" t="n">
        <x:v>772</x:v>
      </x:c>
      <x:c r="B941" s="65" t="str">
        <x:v>布鲁明</x:v>
      </x:c>
      <x:c r="C941" s="82" t="n">
        <x:v>2</x:v>
      </x:c>
      <x:c r="D941" s="82" t="n">
        <x:v>2</x:v>
      </x:c>
      <x:c r="E941" s="67" t="n">
        <x:v>0</x:v>
      </x:c>
      <x:c r="F941" s="181" t="n">
        <x:v>0.5</x:v>
      </x:c>
      <x:c r="G941" s="67" t="n">
        <x:v>0</x:v>
      </x:c>
      <x:c r="H941"/>
      <x:c r="I941" s="65" t="n">
        <x:v>772</x:v>
      </x:c>
      <x:c r="J941" s="65" t="str">
        <x:v>图库曼竞技（Atlético Tucumán）</x:v>
      </x:c>
      <x:c r="K941" s="82" t="n">
        <x:v>4</x:v>
      </x:c>
      <x:c r="L941" s="82" t="n">
        <x:v>4</x:v>
      </x:c>
      <x:c r="M941" s="67" t="n">
        <x:v>0</x:v>
      </x:c>
      <x:c r="N941" s="181" t="n">
        <x:v>0.5</x:v>
      </x:c>
      <x:c r="O941" s="67" t="n">
        <x:v>0</x:v>
      </x:c>
    </x:row>
    <x:row r="942" ht="24" customHeight="1">
      <x:c r="A942" s="65" t="n">
        <x:v>773</x:v>
      </x:c>
      <x:c r="B942" s="65" t="str">
        <x:v>布鲁明（Blooming）</x:v>
      </x:c>
      <x:c r="C942" s="82" t="n">
        <x:v>2</x:v>
      </x:c>
      <x:c r="D942" s="82" t="n">
        <x:v>2</x:v>
      </x:c>
      <x:c r="E942" s="67" t="n">
        <x:v>0</x:v>
      </x:c>
      <x:c r="F942" s="181" t="n">
        <x:v>0.5</x:v>
      </x:c>
      <x:c r="G942" s="67" t="n">
        <x:v>0</x:v>
      </x:c>
      <x:c r="H942"/>
      <x:c r="I942" s="65" t="n">
        <x:v>773</x:v>
      </x:c>
      <x:c r="J942" s="65" t="str">
        <x:v>圣乔治城（St George City FA）</x:v>
      </x:c>
      <x:c r="K942" s="82" t="n">
        <x:v>2</x:v>
      </x:c>
      <x:c r="L942" s="82" t="n">
        <x:v>2</x:v>
      </x:c>
      <x:c r="M942" s="67" t="n">
        <x:v>0</x:v>
      </x:c>
      <x:c r="N942" s="181" t="n">
        <x:v>0.5</x:v>
      </x:c>
      <x:c r="O942" s="67" t="n">
        <x:v>0</x:v>
      </x:c>
    </x:row>
    <x:row r="943" ht="24" customHeight="1">
      <x:c r="A943" s="65" t="n">
        <x:v>774</x:v>
      </x:c>
      <x:c r="B943" s="65" t="str">
        <x:v>帕丘卡（CF Pachuca）</x:v>
      </x:c>
      <x:c r="C943" s="82" t="n">
        <x:v>2</x:v>
      </x:c>
      <x:c r="D943" s="82" t="n">
        <x:v>2</x:v>
      </x:c>
      <x:c r="E943" s="67" t="n">
        <x:v>0</x:v>
      </x:c>
      <x:c r="F943" s="181" t="n">
        <x:v>0.5</x:v>
      </x:c>
      <x:c r="G943" s="67" t="n">
        <x:v>0</x:v>
      </x:c>
      <x:c r="H943"/>
      <x:c r="I943" s="65" t="n">
        <x:v>774</x:v>
      </x:c>
      <x:c r="J943" s="65" t="str">
        <x:v>圣地亚哥FC（San Diego FC）</x:v>
      </x:c>
      <x:c r="K943" s="82" t="n">
        <x:v>4</x:v>
      </x:c>
      <x:c r="L943" s="82" t="n">
        <x:v>4</x:v>
      </x:c>
      <x:c r="M943" s="67" t="n">
        <x:v>0</x:v>
      </x:c>
      <x:c r="N943" s="181" t="n">
        <x:v>0.5</x:v>
      </x:c>
      <x:c r="O943" s="67" t="n">
        <x:v>0</x:v>
      </x:c>
    </x:row>
    <x:row r="944" ht="24" customHeight="1">
      <x:c r="A944" s="65" t="n">
        <x:v>775</x:v>
      </x:c>
      <x:c r="B944" s="65" t="str">
        <x:v>帕尔斯巴亚</x:v>
      </x:c>
      <x:c r="C944" s="82" t="n">
        <x:v>2</x:v>
      </x:c>
      <x:c r="D944" s="82" t="n">
        <x:v>2</x:v>
      </x:c>
      <x:c r="E944" s="67" t="n">
        <x:v>0</x:v>
      </x:c>
      <x:c r="F944" s="181" t="n">
        <x:v>0.5</x:v>
      </x:c>
      <x:c r="G944" s="67" t="n">
        <x:v>0</x:v>
      </x:c>
      <x:c r="H944"/>
      <x:c r="I944" s="65" t="n">
        <x:v>775</x:v>
      </x:c>
      <x:c r="J944" s="65" t="str">
        <x:v>埃弗顿（Everton）</x:v>
      </x:c>
      <x:c r="K944" s="82" t="n">
        <x:v>4</x:v>
      </x:c>
      <x:c r="L944" s="82" t="n">
        <x:v>4</x:v>
      </x:c>
      <x:c r="M944" s="67" t="n">
        <x:v>0</x:v>
      </x:c>
      <x:c r="N944" s="181" t="n">
        <x:v>0.5</x:v>
      </x:c>
      <x:c r="O944" s="67" t="n">
        <x:v>0</x:v>
      </x:c>
    </x:row>
    <x:row r="945" ht="24" customHeight="1">
      <x:c r="A945" s="65" t="n">
        <x:v>776</x:v>
      </x:c>
      <x:c r="B945" s="65" t="str">
        <x:v>开罗国民（Al Ahly）</x:v>
      </x:c>
      <x:c r="C945" s="82" t="n">
        <x:v>2</x:v>
      </x:c>
      <x:c r="D945" s="82" t="n">
        <x:v>2</x:v>
      </x:c>
      <x:c r="E945" s="67" t="n">
        <x:v>0</x:v>
      </x:c>
      <x:c r="F945" s="181" t="n">
        <x:v>0.5</x:v>
      </x:c>
      <x:c r="G945" s="67" t="n">
        <x:v>0</x:v>
      </x:c>
      <x:c r="H945"/>
      <x:c r="I945" s="65" t="n">
        <x:v>776</x:v>
      </x:c>
      <x:c r="J945" s="65" t="str">
        <x:v>基多大学体育（LDU Quito）</x:v>
      </x:c>
      <x:c r="K945" s="82" t="n">
        <x:v>3</x:v>
      </x:c>
      <x:c r="L945" s="82" t="n">
        <x:v>2</x:v>
      </x:c>
      <x:c r="M945" s="67" t="n">
        <x:v>0</x:v>
      </x:c>
      <x:c r="N945" s="181" t="n">
        <x:v>0.5</x:v>
      </x:c>
      <x:c r="O945" s="67" t="n">
        <x:v>0</x:v>
      </x:c>
    </x:row>
    <x:row r="946" ht="24" customHeight="1">
      <x:c r="A946" s="65" t="n">
        <x:v>777</x:v>
      </x:c>
      <x:c r="B946" s="65" t="str">
        <x:v>弗鲁米嫩塞（Fluminense）</x:v>
      </x:c>
      <x:c r="C946" s="82" t="n">
        <x:v>4</x:v>
      </x:c>
      <x:c r="D946" s="82" t="n">
        <x:v>4</x:v>
      </x:c>
      <x:c r="E946" s="67" t="n">
        <x:v>0</x:v>
      </x:c>
      <x:c r="F946" s="181" t="n">
        <x:v>0.5</x:v>
      </x:c>
      <x:c r="G946" s="67" t="n">
        <x:v>0</x:v>
      </x:c>
      <x:c r="H946"/>
      <x:c r="I946" s="65" t="n">
        <x:v>777</x:v>
      </x:c>
      <x:c r="J946" s="65" t="str">
        <x:v>塔司塔坦格朗（Persita Tangerang）</x:v>
      </x:c>
      <x:c r="K946" s="82" t="n">
        <x:v>2</x:v>
      </x:c>
      <x:c r="L946" s="82" t="n">
        <x:v>2</x:v>
      </x:c>
      <x:c r="M946" s="67" t="n">
        <x:v>0</x:v>
      </x:c>
      <x:c r="N946" s="181" t="n">
        <x:v>0.5</x:v>
      </x:c>
      <x:c r="O946" s="67" t="n">
        <x:v>0</x:v>
      </x:c>
    </x:row>
    <x:row r="947" ht="24" customHeight="1">
      <x:c r="A947" s="65" t="n">
        <x:v>778</x:v>
      </x:c>
      <x:c r="B947" s="65" t="str">
        <x:v>恩比（ENPPI）</x:v>
      </x:c>
      <x:c r="C947" s="82" t="n">
        <x:v>2</x:v>
      </x:c>
      <x:c r="D947" s="82" t="n">
        <x:v>2</x:v>
      </x:c>
      <x:c r="E947" s="67" t="n">
        <x:v>0</x:v>
      </x:c>
      <x:c r="F947" s="181" t="n">
        <x:v>0.5</x:v>
      </x:c>
      <x:c r="G947" s="67" t="n">
        <x:v>0</x:v>
      </x:c>
      <x:c r="H947"/>
      <x:c r="I947" s="65" t="n">
        <x:v>778</x:v>
      </x:c>
      <x:c r="J947" s="65" t="str">
        <x:v>塔巴蒂奥（Tapatío）</x:v>
      </x:c>
      <x:c r="K947" s="82" t="n">
        <x:v>2</x:v>
      </x:c>
      <x:c r="L947" s="82" t="n">
        <x:v>2</x:v>
      </x:c>
      <x:c r="M947" s="67" t="n">
        <x:v>0</x:v>
      </x:c>
      <x:c r="N947" s="181" t="n">
        <x:v>0.5</x:v>
      </x:c>
      <x:c r="O947" s="67" t="n">
        <x:v>0</x:v>
      </x:c>
    </x:row>
    <x:row r="948" ht="24" customHeight="1">
      <x:c r="A948" s="65" t="n">
        <x:v>779</x:v>
      </x:c>
      <x:c r="B948" s="65" t="str">
        <x:v>悉尼FC青年队（Sydney FC Youth）</x:v>
      </x:c>
      <x:c r="C948" s="82" t="n">
        <x:v>2</x:v>
      </x:c>
      <x:c r="D948" s="82" t="n">
        <x:v>2</x:v>
      </x:c>
      <x:c r="E948" s="67" t="n">
        <x:v>0</x:v>
      </x:c>
      <x:c r="F948" s="181" t="n">
        <x:v>0.5</x:v>
      </x:c>
      <x:c r="G948" s="67" t="n">
        <x:v>0</x:v>
      </x:c>
      <x:c r="H948"/>
      <x:c r="I948" s="65" t="n">
        <x:v>779</x:v>
      </x:c>
      <x:c r="J948" s="65" t="str">
        <x:v>塞曼巴东</x:v>
      </x:c>
      <x:c r="K948" s="82" t="n">
        <x:v>2</x:v>
      </x:c>
      <x:c r="L948" s="82" t="n">
        <x:v>2</x:v>
      </x:c>
      <x:c r="M948" s="67" t="n">
        <x:v>0</x:v>
      </x:c>
      <x:c r="N948" s="181" t="n">
        <x:v>0.5</x:v>
      </x:c>
      <x:c r="O948" s="67" t="n">
        <x:v>0</x:v>
      </x:c>
    </x:row>
    <x:row r="949" ht="24" customHeight="1">
      <x:c r="A949" s="65" t="n">
        <x:v>780</x:v>
      </x:c>
      <x:c r="B949" s="65" t="str">
        <x:v>托利马（Deportes Tolima）</x:v>
      </x:c>
      <x:c r="C949" s="82" t="n">
        <x:v>2</x:v>
      </x:c>
      <x:c r="D949" s="82" t="n">
        <x:v>2</x:v>
      </x:c>
      <x:c r="E949" s="67" t="n">
        <x:v>0</x:v>
      </x:c>
      <x:c r="F949" s="181" t="n">
        <x:v>0.5</x:v>
      </x:c>
      <x:c r="G949" s="67" t="n">
        <x:v>0</x:v>
      </x:c>
      <x:c r="H949"/>
      <x:c r="I949" s="65" t="n">
        <x:v>780</x:v>
      </x:c>
      <x:c r="J949" s="65" t="str">
        <x:v>奥地利</x:v>
      </x:c>
      <x:c r="K949" s="82" t="n">
        <x:v>4</x:v>
      </x:c>
      <x:c r="L949" s="82" t="n">
        <x:v>4</x:v>
      </x:c>
      <x:c r="M949" s="67" t="n">
        <x:v>0</x:v>
      </x:c>
      <x:c r="N949" s="181" t="n">
        <x:v>0.5</x:v>
      </x:c>
      <x:c r="O949" s="67" t="n">
        <x:v>0</x:v>
      </x:c>
    </x:row>
    <x:row r="950" ht="24" customHeight="1">
      <x:c r="A950" s="65" t="n">
        <x:v>781</x:v>
      </x:c>
      <x:c r="B950" s="65" t="str">
        <x:v>托卢卡（Deportivo Toluca FC）</x:v>
      </x:c>
      <x:c r="C950" s="82" t="n">
        <x:v>2</x:v>
      </x:c>
      <x:c r="D950" s="82" t="n">
        <x:v>2</x:v>
      </x:c>
      <x:c r="E950" s="67" t="n">
        <x:v>0</x:v>
      </x:c>
      <x:c r="F950" s="181" t="n">
        <x:v>0.5</x:v>
      </x:c>
      <x:c r="G950" s="67" t="n">
        <x:v>0</x:v>
      </x:c>
      <x:c r="H950"/>
      <x:c r="I950" s="65" t="n">
        <x:v>781</x:v>
      </x:c>
      <x:c r="J950" s="65" t="str">
        <x:v>奥康诺骑士</x:v>
      </x:c>
      <x:c r="K950" s="82" t="n">
        <x:v>2</x:v>
      </x:c>
      <x:c r="L950" s="82" t="n">
        <x:v>2</x:v>
      </x:c>
      <x:c r="M950" s="67" t="n">
        <x:v>0</x:v>
      </x:c>
      <x:c r="N950" s="181" t="n">
        <x:v>0.5</x:v>
      </x:c>
      <x:c r="O950" s="67" t="n">
        <x:v>0</x:v>
      </x:c>
    </x:row>
    <x:row r="951" ht="24" customHeight="1">
      <x:c r="A951" s="65" t="n">
        <x:v>782</x:v>
      </x:c>
      <x:c r="B951" s="65" t="str">
        <x:v>拜仁慕尼黑（Bayern Munich）</x:v>
      </x:c>
      <x:c r="C951" s="82" t="n">
        <x:v>2</x:v>
      </x:c>
      <x:c r="D951" s="82" t="n">
        <x:v>2</x:v>
      </x:c>
      <x:c r="E951" s="67" t="n">
        <x:v>0</x:v>
      </x:c>
      <x:c r="F951" s="181" t="n">
        <x:v>0.5</x:v>
      </x:c>
      <x:c r="G951" s="67" t="n">
        <x:v>0</x:v>
      </x:c>
      <x:c r="H951"/>
      <x:c r="I951" s="65" t="n">
        <x:v>782</x:v>
      </x:c>
      <x:c r="J951" s="65" t="str">
        <x:v>奥罗拉</x:v>
      </x:c>
      <x:c r="K951" s="82" t="n">
        <x:v>2</x:v>
      </x:c>
      <x:c r="L951" s="82" t="n">
        <x:v>2</x:v>
      </x:c>
      <x:c r="M951" s="67" t="n">
        <x:v>0</x:v>
      </x:c>
      <x:c r="N951" s="181" t="n">
        <x:v>0.5</x:v>
      </x:c>
      <x:c r="O951" s="67" t="n">
        <x:v>0</x:v>
      </x:c>
    </x:row>
    <x:row r="952" ht="24" customHeight="1">
      <x:c r="A952" s="65" t="n">
        <x:v>783</x:v>
      </x:c>
      <x:c r="B952" s="65" t="str">
        <x:v>斯托克城</x:v>
      </x:c>
      <x:c r="C952" s="82" t="n">
        <x:v>2</x:v>
      </x:c>
      <x:c r="D952" s="82" t="n">
        <x:v>2</x:v>
      </x:c>
      <x:c r="E952" s="67" t="n">
        <x:v>0</x:v>
      </x:c>
      <x:c r="F952" s="181" t="n">
        <x:v>0.5</x:v>
      </x:c>
      <x:c r="G952" s="67" t="n">
        <x:v>0</x:v>
      </x:c>
      <x:c r="H952"/>
      <x:c r="I952" s="65" t="n">
        <x:v>783</x:v>
      </x:c>
      <x:c r="J952" s="65" t="str">
        <x:v>婆罗洲FC（Borneo FC Samarinda）</x:v>
      </x:c>
      <x:c r="K952" s="82" t="n">
        <x:v>4</x:v>
      </x:c>
      <x:c r="L952" s="82" t="n">
        <x:v>4</x:v>
      </x:c>
      <x:c r="M952" s="67" t="n">
        <x:v>0</x:v>
      </x:c>
      <x:c r="N952" s="181" t="n">
        <x:v>0.5</x:v>
      </x:c>
      <x:c r="O952" s="67" t="n">
        <x:v>0</x:v>
      </x:c>
    </x:row>
    <x:row r="953" ht="24" customHeight="1">
      <x:c r="A953" s="65" t="n">
        <x:v>784</x:v>
      </x:c>
      <x:c r="B953" s="65" t="str">
        <x:v>斯旺西城（Swansea City）</x:v>
      </x:c>
      <x:c r="C953" s="82" t="n">
        <x:v>2</x:v>
      </x:c>
      <x:c r="D953" s="82" t="n">
        <x:v>2</x:v>
      </x:c>
      <x:c r="E953" s="67" t="n">
        <x:v>0</x:v>
      </x:c>
      <x:c r="F953" s="181" t="n">
        <x:v>0.5</x:v>
      </x:c>
      <x:c r="G953" s="67" t="n">
        <x:v>0</x:v>
      </x:c>
      <x:c r="H953"/>
      <x:c r="I953" s="65" t="n">
        <x:v>784</x:v>
      </x:c>
      <x:c r="J953" s="65" t="str">
        <x:v>安养FC（FC Anyang）</x:v>
      </x:c>
      <x:c r="K953" s="82" t="n">
        <x:v>2</x:v>
      </x:c>
      <x:c r="L953" s="82" t="n">
        <x:v>2</x:v>
      </x:c>
      <x:c r="M953" s="67" t="n">
        <x:v>0</x:v>
      </x:c>
      <x:c r="N953" s="181" t="n">
        <x:v>0.5</x:v>
      </x:c>
      <x:c r="O953" s="67" t="n">
        <x:v>0</x:v>
      </x:c>
    </x:row>
    <x:row r="954" ht="24" customHeight="1">
      <x:c r="A954" s="65" t="n">
        <x:v>785</x:v>
      </x:c>
      <x:c r="B954" s="65" t="str">
        <x:v>新西兰</x:v>
      </x:c>
      <x:c r="C954" s="82" t="n">
        <x:v>2</x:v>
      </x:c>
      <x:c r="D954" s="82" t="n">
        <x:v>2</x:v>
      </x:c>
      <x:c r="E954" s="67" t="n">
        <x:v>0</x:v>
      </x:c>
      <x:c r="F954" s="181" t="n">
        <x:v>0.5</x:v>
      </x:c>
      <x:c r="G954" s="67" t="n">
        <x:v>0</x:v>
      </x:c>
      <x:c r="H954"/>
      <x:c r="I954" s="65" t="n">
        <x:v>785</x:v>
      </x:c>
      <x:c r="J954" s="65" t="str">
        <x:v>尤文图斯（Juventus）</x:v>
      </x:c>
      <x:c r="K954" s="82" t="n">
        <x:v>2</x:v>
      </x:c>
      <x:c r="L954" s="82" t="n">
        <x:v>2</x:v>
      </x:c>
      <x:c r="M954" s="67" t="n">
        <x:v>0</x:v>
      </x:c>
      <x:c r="N954" s="181" t="n">
        <x:v>0.5</x:v>
      </x:c>
      <x:c r="O954" s="67" t="n">
        <x:v>0</x:v>
      </x:c>
    </x:row>
    <x:row r="955" ht="24" customHeight="1">
      <x:c r="A955" s="65" t="n">
        <x:v>786</x:v>
      </x:c>
      <x:c r="B955" s="65" t="str">
        <x:v>旁遮普（Punjab FC）</x:v>
      </x:c>
      <x:c r="C955" s="82" t="n">
        <x:v>2</x:v>
      </x:c>
      <x:c r="D955" s="82" t="n">
        <x:v>2</x:v>
      </x:c>
      <x:c r="E955" s="67" t="n">
        <x:v>0</x:v>
      </x:c>
      <x:c r="F955" s="181" t="n">
        <x:v>0.5</x:v>
      </x:c>
      <x:c r="G955" s="67" t="n">
        <x:v>0</x:v>
      </x:c>
      <x:c r="H955"/>
      <x:c r="I955" s="65" t="n">
        <x:v>786</x:v>
      </x:c>
      <x:c r="J955" s="65" t="str">
        <x:v>山形山神</x:v>
      </x:c>
      <x:c r="K955" s="82" t="n">
        <x:v>2</x:v>
      </x:c>
      <x:c r="L955" s="82" t="n">
        <x:v>2</x:v>
      </x:c>
      <x:c r="M955" s="67" t="n">
        <x:v>0</x:v>
      </x:c>
      <x:c r="N955" s="181" t="n">
        <x:v>0.5</x:v>
      </x:c>
      <x:c r="O955" s="67" t="n">
        <x:v>0</x:v>
      </x:c>
    </x:row>
    <x:row r="956" ht="24" customHeight="1">
      <x:c r="A956" s="65" t="n">
        <x:v>787</x:v>
      </x:c>
      <x:c r="B956" s="65" t="str">
        <x:v>日本</x:v>
      </x:c>
      <x:c r="C956" s="82" t="n">
        <x:v>4</x:v>
      </x:c>
      <x:c r="D956" s="82" t="n">
        <x:v>4</x:v>
      </x:c>
      <x:c r="E956" s="67" t="n">
        <x:v>0</x:v>
      </x:c>
      <x:c r="F956" s="181" t="n">
        <x:v>0.5</x:v>
      </x:c>
      <x:c r="G956" s="67" t="n">
        <x:v>0</x:v>
      </x:c>
      <x:c r="H956"/>
      <x:c r="I956" s="65" t="n">
        <x:v>787</x:v>
      </x:c>
      <x:c r="J956" s="65" t="str">
        <x:v>巴兰基亚青年（Junior FC）</x:v>
      </x:c>
      <x:c r="K956" s="82" t="n">
        <x:v>4</x:v>
      </x:c>
      <x:c r="L956" s="82" t="n">
        <x:v>4</x:v>
      </x:c>
      <x:c r="M956" s="67" t="n">
        <x:v>0</x:v>
      </x:c>
      <x:c r="N956" s="181" t="n">
        <x:v>0.5</x:v>
      </x:c>
      <x:c r="O956" s="67" t="n">
        <x:v>0</x:v>
      </x:c>
    </x:row>
    <x:row r="957" ht="24" customHeight="1">
      <x:c r="A957" s="65" t="n">
        <x:v>788</x:v>
      </x:c>
      <x:c r="B957" s="65" t="str">
        <x:v>曼彻斯特城</x:v>
      </x:c>
      <x:c r="C957" s="82" t="n">
        <x:v>2</x:v>
      </x:c>
      <x:c r="D957" s="82" t="n">
        <x:v>2</x:v>
      </x:c>
      <x:c r="E957" s="67" t="n">
        <x:v>0</x:v>
      </x:c>
      <x:c r="F957" s="181" t="n">
        <x:v>0.5</x:v>
      </x:c>
      <x:c r="G957" s="67" t="n">
        <x:v>0</x:v>
      </x:c>
      <x:c r="H957"/>
      <x:c r="I957" s="65" t="n">
        <x:v>788</x:v>
      </x:c>
      <x:c r="J957" s="65" t="str">
        <x:v>巴厘联（Bali United）</x:v>
      </x:c>
      <x:c r="K957" s="82" t="n">
        <x:v>2</x:v>
      </x:c>
      <x:c r="L957" s="82" t="n">
        <x:v>2</x:v>
      </x:c>
      <x:c r="M957" s="67" t="n">
        <x:v>0</x:v>
      </x:c>
      <x:c r="N957" s="181" t="n">
        <x:v>0.5</x:v>
      </x:c>
      <x:c r="O957" s="67" t="n">
        <x:v>0</x:v>
      </x:c>
    </x:row>
    <x:row r="958" ht="24" customHeight="1">
      <x:c r="A958" s="65" t="n">
        <x:v>789</x:v>
      </x:c>
      <x:c r="B958" s="65" t="str">
        <x:v>曼彻斯特城（Manchester City）</x:v>
      </x:c>
      <x:c r="C958" s="82" t="n">
        <x:v>2</x:v>
      </x:c>
      <x:c r="D958" s="82" t="n">
        <x:v>2</x:v>
      </x:c>
      <x:c r="E958" s="67" t="n">
        <x:v>0</x:v>
      </x:c>
      <x:c r="F958" s="181" t="n">
        <x:v>0.5</x:v>
      </x:c>
      <x:c r="G958" s="67" t="n">
        <x:v>0</x:v>
      </x:c>
      <x:c r="H958"/>
      <x:c r="I958" s="65" t="n">
        <x:v>789</x:v>
      </x:c>
      <x:c r="J958" s="65" t="str">
        <x:v>巴塞罗那（FC Barcelona）</x:v>
      </x:c>
      <x:c r="K958" s="82" t="n">
        <x:v>2</x:v>
      </x:c>
      <x:c r="L958" s="82" t="n">
        <x:v>2</x:v>
      </x:c>
      <x:c r="M958" s="67" t="n">
        <x:v>0</x:v>
      </x:c>
      <x:c r="N958" s="181" t="n">
        <x:v>0.5</x:v>
      </x:c>
      <x:c r="O958" s="67" t="n">
        <x:v>0</x:v>
      </x:c>
    </x:row>
    <x:row r="959" ht="24" customHeight="1">
      <x:c r="A959" s="65" t="n">
        <x:v>790</x:v>
      </x:c>
      <x:c r="B959" s="65" t="str">
        <x:v>曼彻斯特联</x:v>
      </x:c>
      <x:c r="C959" s="82" t="n">
        <x:v>2</x:v>
      </x:c>
      <x:c r="D959" s="82" t="n">
        <x:v>2</x:v>
      </x:c>
      <x:c r="E959" s="67" t="n">
        <x:v>0</x:v>
      </x:c>
      <x:c r="F959" s="181" t="n">
        <x:v>0.5</x:v>
      </x:c>
      <x:c r="G959" s="67" t="n">
        <x:v>0</x:v>
      </x:c>
      <x:c r="H959"/>
      <x:c r="I959" s="65" t="n">
        <x:v>790</x:v>
      </x:c>
      <x:c r="J959" s="65" t="str">
        <x:v>巴拉卡斯中央（Barracas Central）</x:v>
      </x:c>
      <x:c r="K959" s="82" t="n">
        <x:v>2</x:v>
      </x:c>
      <x:c r="L959" s="82" t="n">
        <x:v>2</x:v>
      </x:c>
      <x:c r="M959" s="67" t="n">
        <x:v>0</x:v>
      </x:c>
      <x:c r="N959" s="181" t="n">
        <x:v>0.5</x:v>
      </x:c>
      <x:c r="O959" s="67" t="n">
        <x:v>0</x:v>
      </x:c>
    </x:row>
    <x:row r="960" ht="24" customHeight="1">
      <x:c r="A960" s="65" t="n">
        <x:v>791</x:v>
      </x:c>
      <x:c r="B960" s="65" t="str">
        <x:v>杰帕拉（Persijap）</x:v>
      </x:c>
      <x:c r="C960" s="82" t="n">
        <x:v>2</x:v>
      </x:c>
      <x:c r="D960" s="82" t="n">
        <x:v>2</x:v>
      </x:c>
      <x:c r="E960" s="67" t="n">
        <x:v>0</x:v>
      </x:c>
      <x:c r="F960" s="181" t="n">
        <x:v>0.5</x:v>
      </x:c>
      <x:c r="G960" s="67" t="n">
        <x:v>0</x:v>
      </x:c>
      <x:c r="H960"/>
      <x:c r="I960" s="65" t="n">
        <x:v>791</x:v>
      </x:c>
      <x:c r="J960" s="65" t="str">
        <x:v>巴杨卡拉泗水联（Bhayangkara FC）</x:v>
      </x:c>
      <x:c r="K960" s="82" t="n">
        <x:v>2</x:v>
      </x:c>
      <x:c r="L960" s="82" t="n">
        <x:v>2</x:v>
      </x:c>
      <x:c r="M960" s="67" t="n">
        <x:v>0</x:v>
      </x:c>
      <x:c r="N960" s="181" t="n">
        <x:v>0.5</x:v>
      </x:c>
      <x:c r="O960" s="67" t="n">
        <x:v>0</x:v>
      </x:c>
    </x:row>
    <x:row r="961" ht="24" customHeight="1">
      <x:c r="A961" s="65" t="n">
        <x:v>792</x:v>
      </x:c>
      <x:c r="B961" s="65" t="str">
        <x:v>果阿（FC Goa）</x:v>
      </x:c>
      <x:c r="C961" s="82" t="n">
        <x:v>2</x:v>
      </x:c>
      <x:c r="D961" s="82" t="n">
        <x:v>2</x:v>
      </x:c>
      <x:c r="E961" s="67" t="n">
        <x:v>0</x:v>
      </x:c>
      <x:c r="F961" s="181" t="n">
        <x:v>0.5</x:v>
      </x:c>
      <x:c r="G961" s="67" t="n">
        <x:v>0</x:v>
      </x:c>
      <x:c r="H961"/>
      <x:c r="I961" s="65" t="n">
        <x:v>792</x:v>
      </x:c>
      <x:c r="J961" s="65" t="str">
        <x:v>巴西国际（Internacional）</x:v>
      </x:c>
      <x:c r="K961" s="82" t="n">
        <x:v>2</x:v>
      </x:c>
      <x:c r="L961" s="82" t="n">
        <x:v>2</x:v>
      </x:c>
      <x:c r="M961" s="67" t="n">
        <x:v>0</x:v>
      </x:c>
      <x:c r="N961" s="181" t="n">
        <x:v>0.5</x:v>
      </x:c>
      <x:c r="O961" s="67" t="n">
        <x:v>0</x:v>
      </x:c>
    </x:row>
    <x:row r="962" ht="24" customHeight="1">
      <x:c r="A962" s="65" t="n">
        <x:v>793</x:v>
      </x:c>
      <x:c r="B962" s="65" t="str">
        <x:v>柏太阳神</x:v>
      </x:c>
      <x:c r="C962" s="82" t="n">
        <x:v>4</x:v>
      </x:c>
      <x:c r="D962" s="82" t="n">
        <x:v>4</x:v>
      </x:c>
      <x:c r="E962" s="67" t="n">
        <x:v>0</x:v>
      </x:c>
      <x:c r="F962" s="181" t="n">
        <x:v>0.5</x:v>
      </x:c>
      <x:c r="G962" s="67" t="n">
        <x:v>0</x:v>
      </x:c>
      <x:c r="H962"/>
      <x:c r="I962" s="65" t="n">
        <x:v>793</x:v>
      </x:c>
      <x:c r="J962" s="65" t="str">
        <x:v>布伦瑞克城</x:v>
      </x:c>
      <x:c r="K962" s="82" t="n">
        <x:v>2</x:v>
      </x:c>
      <x:c r="L962" s="82" t="n">
        <x:v>2</x:v>
      </x:c>
      <x:c r="M962" s="67" t="n">
        <x:v>0</x:v>
      </x:c>
      <x:c r="N962" s="181" t="n">
        <x:v>0.5</x:v>
      </x:c>
      <x:c r="O962" s="67" t="n">
        <x:v>0</x:v>
      </x:c>
    </x:row>
    <x:row r="963" ht="24" customHeight="1">
      <x:c r="A963" s="65" t="n">
        <x:v>794</x:v>
      </x:c>
      <x:c r="B963" s="65" t="str">
        <x:v>梅里达（维纳多斯）</x:v>
      </x:c>
      <x:c r="C963" s="82" t="n">
        <x:v>2</x:v>
      </x:c>
      <x:c r="D963" s="82" t="n">
        <x:v>2</x:v>
      </x:c>
      <x:c r="E963" s="67" t="n">
        <x:v>0</x:v>
      </x:c>
      <x:c r="F963" s="181" t="n">
        <x:v>0.5</x:v>
      </x:c>
      <x:c r="G963" s="67" t="n">
        <x:v>0</x:v>
      </x:c>
      <x:c r="H963"/>
      <x:c r="I963" s="65" t="n">
        <x:v>794</x:v>
      </x:c>
      <x:c r="J963" s="65" t="str">
        <x:v>布卡拉曼加（Atlético Bucaramanga）</x:v>
      </x:c>
      <x:c r="K963" s="82" t="n">
        <x:v>4</x:v>
      </x:c>
      <x:c r="L963" s="82" t="n">
        <x:v>4</x:v>
      </x:c>
      <x:c r="M963" s="67" t="n">
        <x:v>0</x:v>
      </x:c>
      <x:c r="N963" s="181" t="n">
        <x:v>0.5</x:v>
      </x:c>
      <x:c r="O963" s="67" t="n">
        <x:v>0</x:v>
      </x:c>
    </x:row>
    <x:row r="964" ht="24" customHeight="1">
      <x:c r="A964" s="65" t="n">
        <x:v>795</x:v>
      </x:c>
      <x:c r="B964" s="65" t="str">
        <x:v>横滨水手</x:v>
      </x:c>
      <x:c r="C964" s="82" t="n">
        <x:v>2</x:v>
      </x:c>
      <x:c r="D964" s="82" t="n">
        <x:v>2</x:v>
      </x:c>
      <x:c r="E964" s="67" t="n">
        <x:v>0</x:v>
      </x:c>
      <x:c r="F964" s="181" t="n">
        <x:v>0.5</x:v>
      </x:c>
      <x:c r="G964" s="67" t="n">
        <x:v>0</x:v>
      </x:c>
      <x:c r="H964"/>
      <x:c r="I964" s="65" t="n">
        <x:v>795</x:v>
      </x:c>
      <x:c r="J964" s="65" t="str">
        <x:v>布林狮子（FC Bulleen Lions）</x:v>
      </x:c>
      <x:c r="K964" s="82" t="n">
        <x:v>2</x:v>
      </x:c>
      <x:c r="L964" s="82" t="n">
        <x:v>2</x:v>
      </x:c>
      <x:c r="M964" s="67" t="n">
        <x:v>0</x:v>
      </x:c>
      <x:c r="N964" s="181" t="n">
        <x:v>0.5</x:v>
      </x:c>
      <x:c r="O964" s="67" t="n">
        <x:v>0</x:v>
      </x:c>
    </x:row>
    <x:row r="965" ht="24" customHeight="1">
      <x:c r="A965" s="65" t="n">
        <x:v>796</x:v>
      </x:c>
      <x:c r="B965" s="65" t="str">
        <x:v>欧克莱卡诺（Oakleigh Cannons）</x:v>
      </x:c>
      <x:c r="C965" s="82" t="n">
        <x:v>4</x:v>
      </x:c>
      <x:c r="D965" s="82" t="n">
        <x:v>4</x:v>
      </x:c>
      <x:c r="E965" s="67" t="n">
        <x:v>0</x:v>
      </x:c>
      <x:c r="F965" s="181" t="n">
        <x:v>0.5</x:v>
      </x:c>
      <x:c r="G965" s="67" t="n">
        <x:v>0</x:v>
      </x:c>
      <x:c r="H965"/>
      <x:c r="I965" s="65" t="n">
        <x:v>796</x:v>
      </x:c>
      <x:c r="J965" s="65" t="str">
        <x:v>布洛马波卡纳（IF Brommapojkarna）</x:v>
      </x:c>
      <x:c r="K965" s="82" t="n">
        <x:v>2</x:v>
      </x:c>
      <x:c r="L965" s="82" t="n">
        <x:v>2</x:v>
      </x:c>
      <x:c r="M965" s="67" t="n">
        <x:v>0</x:v>
      </x:c>
      <x:c r="N965" s="181" t="n">
        <x:v>0.5</x:v>
      </x:c>
      <x:c r="O965" s="67" t="n">
        <x:v>0</x:v>
      </x:c>
    </x:row>
    <x:row r="966" ht="24" customHeight="1">
      <x:c r="A966" s="65" t="n">
        <x:v>797</x:v>
      </x:c>
      <x:c r="B966" s="65" t="str">
        <x:v>水户蜀葵</x:v>
      </x:c>
      <x:c r="C966" s="82" t="n">
        <x:v>2</x:v>
      </x:c>
      <x:c r="D966" s="82" t="n">
        <x:v>2</x:v>
      </x:c>
      <x:c r="E966" s="67" t="n">
        <x:v>0</x:v>
      </x:c>
      <x:c r="F966" s="181" t="n">
        <x:v>0.5</x:v>
      </x:c>
      <x:c r="G966" s="67" t="n">
        <x:v>0</x:v>
      </x:c>
      <x:c r="H966"/>
      <x:c r="I966" s="65" t="n">
        <x:v>797</x:v>
      </x:c>
      <x:c r="J966" s="65" t="str">
        <x:v>布莱克本（Blackburn Rovers）</x:v>
      </x:c>
      <x:c r="K966" s="82" t="n">
        <x:v>2</x:v>
      </x:c>
      <x:c r="L966" s="82" t="n">
        <x:v>2</x:v>
      </x:c>
      <x:c r="M966" s="67" t="n">
        <x:v>0</x:v>
      </x:c>
      <x:c r="N966" s="181" t="n">
        <x:v>0.5</x:v>
      </x:c>
      <x:c r="O966" s="67" t="n">
        <x:v>0</x:v>
      </x:c>
    </x:row>
    <x:row r="967" ht="24" customHeight="1">
      <x:c r="A967" s="65" t="n">
        <x:v>798</x:v>
      </x:c>
      <x:c r="B967" s="65" t="str">
        <x:v>水晶竞技（Sporting Cristal）</x:v>
      </x:c>
      <x:c r="C967" s="82" t="n">
        <x:v>2</x:v>
      </x:c>
      <x:c r="D967" s="82" t="n">
        <x:v>2</x:v>
      </x:c>
      <x:c r="E967" s="67" t="n">
        <x:v>0</x:v>
      </x:c>
      <x:c r="F967" s="181" t="n">
        <x:v>0.5</x:v>
      </x:c>
      <x:c r="G967" s="67" t="n">
        <x:v>0</x:v>
      </x:c>
      <x:c r="H967"/>
      <x:c r="I967" s="65" t="n">
        <x:v>798</x:v>
      </x:c>
      <x:c r="J967" s="65" t="str">
        <x:v>布里斯班城（Brisbane City）</x:v>
      </x:c>
      <x:c r="K967" s="82" t="n">
        <x:v>2</x:v>
      </x:c>
      <x:c r="L967" s="82" t="n">
        <x:v>2</x:v>
      </x:c>
      <x:c r="M967" s="67" t="n">
        <x:v>0</x:v>
      </x:c>
      <x:c r="N967" s="181" t="n">
        <x:v>0.5</x:v>
      </x:c>
      <x:c r="O967" s="67" t="n">
        <x:v>0</x:v>
      </x:c>
    </x:row>
    <x:row r="968" ht="24" customHeight="1">
      <x:c r="A968" s="65" t="n">
        <x:v>799</x:v>
      </x:c>
      <x:c r="B968" s="65" t="str">
        <x:v>河内公安（Công An Hà Nội）</x:v>
      </x:c>
      <x:c r="C968" s="82" t="n">
        <x:v>2</x:v>
      </x:c>
      <x:c r="D968" s="82" t="n">
        <x:v>2</x:v>
      </x:c>
      <x:c r="E968" s="67" t="n">
        <x:v>0</x:v>
      </x:c>
      <x:c r="F968" s="181" t="n">
        <x:v>0.5</x:v>
      </x:c>
      <x:c r="G968" s="67" t="n">
        <x:v>0</x:v>
      </x:c>
      <x:c r="H968"/>
      <x:c r="I968" s="65" t="n">
        <x:v>799</x:v>
      </x:c>
      <x:c r="J968" s="65" t="str">
        <x:v>布里斯班狮吼</x:v>
      </x:c>
      <x:c r="K968" s="82" t="n">
        <x:v>4</x:v>
      </x:c>
      <x:c r="L968" s="82" t="n">
        <x:v>4</x:v>
      </x:c>
      <x:c r="M968" s="67" t="n">
        <x:v>0</x:v>
      </x:c>
      <x:c r="N968" s="181" t="n">
        <x:v>0.5</x:v>
      </x:c>
      <x:c r="O968" s="67" t="n">
        <x:v>0</x:v>
      </x:c>
    </x:row>
    <x:row r="969" ht="24" customHeight="1">
      <x:c r="A969" s="65" t="n">
        <x:v>800</x:v>
      </x:c>
      <x:c r="B969" s="65" t="str">
        <x:v>法国</x:v>
      </x:c>
      <x:c r="C969" s="82" t="n">
        <x:v>6</x:v>
      </x:c>
      <x:c r="D969" s="82" t="n">
        <x:v>6</x:v>
      </x:c>
      <x:c r="E969" s="67" t="n">
        <x:v>0</x:v>
      </x:c>
      <x:c r="F969" s="181" t="n">
        <x:v>0.5</x:v>
      </x:c>
      <x:c r="G969" s="67" t="n">
        <x:v>0</x:v>
      </x:c>
      <x:c r="H969"/>
      <x:c r="I969" s="65" t="n">
        <x:v>800</x:v>
      </x:c>
      <x:c r="J969" s="65" t="str">
        <x:v>布鲁明（Blooming）</x:v>
      </x:c>
      <x:c r="K969" s="82" t="n">
        <x:v>2</x:v>
      </x:c>
      <x:c r="L969" s="82" t="n">
        <x:v>2</x:v>
      </x:c>
      <x:c r="M969" s="67" t="n">
        <x:v>0</x:v>
      </x:c>
      <x:c r="N969" s="181" t="n">
        <x:v>0.5</x:v>
      </x:c>
      <x:c r="O969" s="67" t="n">
        <x:v>0</x:v>
      </x:c>
    </x:row>
    <x:row r="970" ht="24" customHeight="1">
      <x:c r="A970" s="65" t="n">
        <x:v>801</x:v>
      </x:c>
      <x:c r="B970" s="65" t="str">
        <x:v>波鸿</x:v>
      </x:c>
      <x:c r="C970" s="82" t="n">
        <x:v>4</x:v>
      </x:c>
      <x:c r="D970" s="82" t="n">
        <x:v>4</x:v>
      </x:c>
      <x:c r="E970" s="67" t="n">
        <x:v>0</x:v>
      </x:c>
      <x:c r="F970" s="181" t="n">
        <x:v>0.5</x:v>
      </x:c>
      <x:c r="G970" s="67" t="n">
        <x:v>0</x:v>
      </x:c>
      <x:c r="H970"/>
      <x:c r="I970" s="65" t="n">
        <x:v>801</x:v>
      </x:c>
      <x:c r="J970" s="65" t="str">
        <x:v>帕丘卡</x:v>
      </x:c>
      <x:c r="K970" s="82" t="n">
        <x:v>6</x:v>
      </x:c>
      <x:c r="L970" s="82" t="n">
        <x:v>6</x:v>
      </x:c>
      <x:c r="M970" s="67" t="n">
        <x:v>0</x:v>
      </x:c>
      <x:c r="N970" s="181" t="n">
        <x:v>0.5</x:v>
      </x:c>
      <x:c r="O970" s="67" t="n">
        <x:v>0</x:v>
      </x:c>
    </x:row>
    <x:row r="971" ht="24" customHeight="1">
      <x:c r="A971" s="65" t="n">
        <x:v>802</x:v>
      </x:c>
      <x:c r="B971" s="65" t="str">
        <x:v>洛杉矶FC</x:v>
      </x:c>
      <x:c r="C971" s="82" t="n">
        <x:v>4</x:v>
      </x:c>
      <x:c r="D971" s="82" t="n">
        <x:v>4</x:v>
      </x:c>
      <x:c r="E971" s="67" t="n">
        <x:v>0</x:v>
      </x:c>
      <x:c r="F971" s="181" t="n">
        <x:v>0.5</x:v>
      </x:c>
      <x:c r="G971" s="67" t="n">
        <x:v>0</x:v>
      </x:c>
      <x:c r="H971"/>
      <x:c r="I971" s="65" t="n">
        <x:v>802</x:v>
      </x:c>
      <x:c r="J971" s="65" t="str">
        <x:v>帕丘卡（CF Pachuca）</x:v>
      </x:c>
      <x:c r="K971" s="82" t="n">
        <x:v>2</x:v>
      </x:c>
      <x:c r="L971" s="82" t="n">
        <x:v>2</x:v>
      </x:c>
      <x:c r="M971" s="67" t="n">
        <x:v>0</x:v>
      </x:c>
      <x:c r="N971" s="181" t="n">
        <x:v>0.5</x:v>
      </x:c>
      <x:c r="O971" s="67" t="n">
        <x:v>0</x:v>
      </x:c>
    </x:row>
    <x:row r="972" ht="24" customHeight="1">
      <x:c r="A972" s="65" t="n">
        <x:v>803</x:v>
      </x:c>
      <x:c r="B972" s="65" t="str">
        <x:v>洛杉矶银河</x:v>
      </x:c>
      <x:c r="C972" s="82" t="n">
        <x:v>2</x:v>
      </x:c>
      <x:c r="D972" s="82" t="n">
        <x:v>2</x:v>
      </x:c>
      <x:c r="E972" s="67" t="n">
        <x:v>0</x:v>
      </x:c>
      <x:c r="F972" s="181" t="n">
        <x:v>0.5</x:v>
      </x:c>
      <x:c r="G972" s="67" t="n">
        <x:v>0</x:v>
      </x:c>
      <x:c r="H972"/>
      <x:c r="I972" s="65" t="n">
        <x:v>803</x:v>
      </x:c>
      <x:c r="J972" s="65" t="str">
        <x:v>帕尔斯巴亚</x:v>
      </x:c>
      <x:c r="K972" s="82" t="n">
        <x:v>2</x:v>
      </x:c>
      <x:c r="L972" s="82" t="n">
        <x:v>2</x:v>
      </x:c>
      <x:c r="M972" s="67" t="n">
        <x:v>0</x:v>
      </x:c>
      <x:c r="N972" s="181" t="n">
        <x:v>0.5</x:v>
      </x:c>
      <x:c r="O972" s="67" t="n">
        <x:v>0</x:v>
      </x:c>
    </x:row>
    <x:row r="973" ht="24" customHeight="1">
      <x:c r="A973" s="65" t="n">
        <x:v>804</x:v>
      </x:c>
      <x:c r="B973" s="65" t="str">
        <x:v>洛杉矶银河（LA Galaxy）</x:v>
      </x:c>
      <x:c r="C973" s="82" t="n">
        <x:v>2</x:v>
      </x:c>
      <x:c r="D973" s="82" t="n">
        <x:v>2</x:v>
      </x:c>
      <x:c r="E973" s="67" t="n">
        <x:v>0</x:v>
      </x:c>
      <x:c r="F973" s="181" t="n">
        <x:v>0.5</x:v>
      </x:c>
      <x:c r="G973" s="67" t="n">
        <x:v>0</x:v>
      </x:c>
      <x:c r="H973"/>
      <x:c r="I973" s="65" t="n">
        <x:v>804</x:v>
      </x:c>
      <x:c r="J973" s="65" t="str">
        <x:v>帕德博恩</x:v>
      </x:c>
      <x:c r="K973" s="82" t="n">
        <x:v>4</x:v>
      </x:c>
      <x:c r="L973" s="82" t="n">
        <x:v>4</x:v>
      </x:c>
      <x:c r="M973" s="67" t="n">
        <x:v>0</x:v>
      </x:c>
      <x:c r="N973" s="181" t="n">
        <x:v>0.5</x:v>
      </x:c>
      <x:c r="O973" s="67" t="n">
        <x:v>0</x:v>
      </x:c>
    </x:row>
    <x:row r="974" ht="24" customHeight="1">
      <x:c r="A974" s="65" t="n">
        <x:v>805</x:v>
      </x:c>
      <x:c r="B974" s="65" t="str">
        <x:v>浦和红钻</x:v>
      </x:c>
      <x:c r="C974" s="82" t="n">
        <x:v>2</x:v>
      </x:c>
      <x:c r="D974" s="82" t="n">
        <x:v>2</x:v>
      </x:c>
      <x:c r="E974" s="67" t="n">
        <x:v>0</x:v>
      </x:c>
      <x:c r="F974" s="181" t="n">
        <x:v>0.5</x:v>
      </x:c>
      <x:c r="G974" s="67" t="n">
        <x:v>0</x:v>
      </x:c>
      <x:c r="H974"/>
      <x:c r="I974" s="65" t="n">
        <x:v>805</x:v>
      </x:c>
      <x:c r="J974" s="65" t="str">
        <x:v>广岛三箭</x:v>
      </x:c>
      <x:c r="K974" s="82" t="n">
        <x:v>6</x:v>
      </x:c>
      <x:c r="L974" s="82" t="n">
        <x:v>6</x:v>
      </x:c>
      <x:c r="M974" s="67" t="n">
        <x:v>0</x:v>
      </x:c>
      <x:c r="N974" s="181" t="n">
        <x:v>0.5</x:v>
      </x:c>
      <x:c r="O974" s="67" t="n">
        <x:v>0</x:v>
      </x:c>
    </x:row>
    <x:row r="975" ht="24" customHeight="1">
      <x:c r="A975" s="65" t="n">
        <x:v>806</x:v>
      </x:c>
      <x:c r="B975" s="65" t="str">
        <x:v>淡滨尼流浪者（Tampines Rovers）</x:v>
      </x:c>
      <x:c r="C975" s="82" t="n">
        <x:v>2</x:v>
      </x:c>
      <x:c r="D975" s="82" t="n">
        <x:v>2</x:v>
      </x:c>
      <x:c r="E975" s="67" t="n">
        <x:v>0</x:v>
      </x:c>
      <x:c r="F975" s="181" t="n">
        <x:v>0.5</x:v>
      </x:c>
      <x:c r="G975" s="67" t="n">
        <x:v>0</x:v>
      </x:c>
      <x:c r="H975"/>
      <x:c r="I975" s="65" t="n">
        <x:v>806</x:v>
      </x:c>
      <x:c r="J975" s="65" t="str">
        <x:v>库奥皮奥（KuPS）</x:v>
      </x:c>
      <x:c r="K975" s="82" t="n">
        <x:v>2</x:v>
      </x:c>
      <x:c r="L975" s="82" t="n">
        <x:v>2</x:v>
      </x:c>
      <x:c r="M975" s="67" t="n">
        <x:v>0</x:v>
      </x:c>
      <x:c r="N975" s="181" t="n">
        <x:v>0.5</x:v>
      </x:c>
      <x:c r="O975" s="67" t="n">
        <x:v>0</x:v>
      </x:c>
    </x:row>
    <x:row r="976" ht="24" customHeight="1">
      <x:c r="A976" s="65" t="n">
        <x:v>807</x:v>
      </x:c>
      <x:c r="B976" s="65" t="str">
        <x:v>温哥华白帽（Vancouver Whitecaps）</x:v>
      </x:c>
      <x:c r="C976" s="82" t="n">
        <x:v>2</x:v>
      </x:c>
      <x:c r="D976" s="82" t="n">
        <x:v>2</x:v>
      </x:c>
      <x:c r="E976" s="67" t="n">
        <x:v>0</x:v>
      </x:c>
      <x:c r="F976" s="181" t="n">
        <x:v>0.5</x:v>
      </x:c>
      <x:c r="G976" s="67" t="n">
        <x:v>0</x:v>
      </x:c>
      <x:c r="H976"/>
      <x:c r="I976" s="65" t="n">
        <x:v>807</x:v>
      </x:c>
      <x:c r="J976" s="65" t="str">
        <x:v>开罗国民（Al Ahly）</x:v>
      </x:c>
      <x:c r="K976" s="82" t="n">
        <x:v>2</x:v>
      </x:c>
      <x:c r="L976" s="82" t="n">
        <x:v>2</x:v>
      </x:c>
      <x:c r="M976" s="67" t="n">
        <x:v>0</x:v>
      </x:c>
      <x:c r="N976" s="181" t="n">
        <x:v>0.5</x:v>
      </x:c>
      <x:c r="O976" s="67" t="n">
        <x:v>0</x:v>
      </x:c>
    </x:row>
    <x:row r="977" ht="24" customHeight="1">
      <x:c r="A977" s="65" t="n">
        <x:v>808</x:v>
      </x:c>
      <x:c r="B977" s="65" t="str">
        <x:v>狼队（Wolverhampton Wanderers）</x:v>
      </x:c>
      <x:c r="C977" s="82" t="n">
        <x:v>2</x:v>
      </x:c>
      <x:c r="D977" s="82" t="n">
        <x:v>2</x:v>
      </x:c>
      <x:c r="E977" s="67" t="n">
        <x:v>0</x:v>
      </x:c>
      <x:c r="F977" s="181" t="n">
        <x:v>0.5</x:v>
      </x:c>
      <x:c r="G977" s="67" t="n">
        <x:v>0</x:v>
      </x:c>
      <x:c r="H977"/>
      <x:c r="I977" s="65" t="n">
        <x:v>808</x:v>
      </x:c>
      <x:c r="J977" s="65" t="str">
        <x:v>弗尔戈FC（Forge FC）</x:v>
      </x:c>
      <x:c r="K977" s="82" t="n">
        <x:v>2</x:v>
      </x:c>
      <x:c r="L977" s="82" t="n">
        <x:v>2</x:v>
      </x:c>
      <x:c r="M977" s="67" t="n">
        <x:v>0</x:v>
      </x:c>
      <x:c r="N977" s="181" t="n">
        <x:v>0.5</x:v>
      </x:c>
      <x:c r="O977" s="67" t="n">
        <x:v>0</x:v>
      </x:c>
    </x:row>
    <x:row r="978" ht="24" customHeight="1">
      <x:c r="A978" s="65" t="n">
        <x:v>809</x:v>
      </x:c>
      <x:c r="B978" s="65" t="str">
        <x:v>班加罗尔</x:v>
      </x:c>
      <x:c r="C978" s="82" t="n">
        <x:v>4</x:v>
      </x:c>
      <x:c r="D978" s="82" t="n">
        <x:v>4</x:v>
      </x:c>
      <x:c r="E978" s="67" t="n">
        <x:v>0</x:v>
      </x:c>
      <x:c r="F978" s="181" t="n">
        <x:v>0.5</x:v>
      </x:c>
      <x:c r="G978" s="67" t="n">
        <x:v>0</x:v>
      </x:c>
      <x:c r="H978"/>
      <x:c r="I978" s="65" t="n">
        <x:v>809</x:v>
      </x:c>
      <x:c r="J978" s="65" t="str">
        <x:v>悉尼FC</x:v>
      </x:c>
      <x:c r="K978" s="82" t="n">
        <x:v>6</x:v>
      </x:c>
      <x:c r="L978" s="82" t="n">
        <x:v>6</x:v>
      </x:c>
      <x:c r="M978" s="67" t="n">
        <x:v>0</x:v>
      </x:c>
      <x:c r="N978" s="181" t="n">
        <x:v>0.5</x:v>
      </x:c>
      <x:c r="O978" s="67" t="n">
        <x:v>0</x:v>
      </x:c>
    </x:row>
    <x:row r="979" ht="24" customHeight="1">
      <x:c r="A979" s="65" t="n">
        <x:v>810</x:v>
      </x:c>
      <x:c r="B979" s="65" t="str">
        <x:v>班加罗尔（Bengaluru FC）</x:v>
      </x:c>
      <x:c r="C979" s="82" t="n">
        <x:v>2</x:v>
      </x:c>
      <x:c r="D979" s="82" t="n">
        <x:v>2</x:v>
      </x:c>
      <x:c r="E979" s="67" t="n">
        <x:v>0</x:v>
      </x:c>
      <x:c r="F979" s="181" t="n">
        <x:v>0.5</x:v>
      </x:c>
      <x:c r="G979" s="67" t="n">
        <x:v>0</x:v>
      </x:c>
      <x:c r="H979"/>
      <x:c r="I979" s="65" t="n">
        <x:v>810</x:v>
      </x:c>
      <x:c r="J979" s="65" t="str">
        <x:v>惠灵顿凤凰</x:v>
      </x:c>
      <x:c r="K979" s="82" t="n">
        <x:v>6</x:v>
      </x:c>
      <x:c r="L979" s="82" t="n">
        <x:v>6</x:v>
      </x:c>
      <x:c r="M979" s="67" t="n">
        <x:v>0</x:v>
      </x:c>
      <x:c r="N979" s="181" t="n">
        <x:v>0.5</x:v>
      </x:c>
      <x:c r="O979" s="67" t="n">
        <x:v>0</x:v>
      </x:c>
    </x:row>
    <x:row r="980" ht="24" customHeight="1">
      <x:c r="A980" s="65" t="n">
        <x:v>811</x:v>
      </x:c>
      <x:c r="B980" s="65" t="str">
        <x:v>瓜比拉</x:v>
      </x:c>
      <x:c r="C980" s="82" t="n">
        <x:v>2</x:v>
      </x:c>
      <x:c r="D980" s="82" t="n">
        <x:v>2</x:v>
      </x:c>
      <x:c r="E980" s="67" t="n">
        <x:v>0</x:v>
      </x:c>
      <x:c r="F980" s="181" t="n">
        <x:v>0.5</x:v>
      </x:c>
      <x:c r="G980" s="67" t="n">
        <x:v>0</x:v>
      </x:c>
      <x:c r="H980"/>
      <x:c r="I980" s="65" t="n">
        <x:v>811</x:v>
      </x:c>
      <x:c r="J980" s="65" t="str">
        <x:v>惠灵顿凤凰（Wellington Phoenix）</x:v>
      </x:c>
      <x:c r="K980" s="82" t="n">
        <x:v>4</x:v>
      </x:c>
      <x:c r="L980" s="82" t="n">
        <x:v>4</x:v>
      </x:c>
      <x:c r="M980" s="67" t="n">
        <x:v>0</x:v>
      </x:c>
      <x:c r="N980" s="181" t="n">
        <x:v>0.5</x:v>
      </x:c>
      <x:c r="O980" s="67" t="n">
        <x:v>0</x:v>
      </x:c>
    </x:row>
    <x:row r="981" ht="24" customHeight="1">
      <x:c r="A981" s="65" t="n">
        <x:v>812</x:v>
      </x:c>
      <x:c r="B981" s="65" t="str">
        <x:v>瓦斯科达伽马（Vasco da Gama）</x:v>
      </x:c>
      <x:c r="C981" s="82" t="n">
        <x:v>2</x:v>
      </x:c>
      <x:c r="D981" s="82" t="n">
        <x:v>2</x:v>
      </x:c>
      <x:c r="E981" s="67" t="n">
        <x:v>0</x:v>
      </x:c>
      <x:c r="F981" s="181" t="n">
        <x:v>0.5</x:v>
      </x:c>
      <x:c r="G981" s="67" t="n">
        <x:v>0</x:v>
      </x:c>
      <x:c r="H981"/>
      <x:c r="I981" s="65" t="n">
        <x:v>812</x:v>
      </x:c>
      <x:c r="J981" s="65" t="str">
        <x:v>意大利</x:v>
      </x:c>
      <x:c r="K981" s="82" t="n">
        <x:v>2</x:v>
      </x:c>
      <x:c r="L981" s="82" t="n">
        <x:v>2</x:v>
      </x:c>
      <x:c r="M981" s="67" t="n">
        <x:v>0</x:v>
      </x:c>
      <x:c r="N981" s="181" t="n">
        <x:v>0.5</x:v>
      </x:c>
      <x:c r="O981" s="67" t="n">
        <x:v>0</x:v>
      </x:c>
    </x:row>
    <x:row r="982" ht="24" customHeight="1">
      <x:c r="A982" s="65" t="n">
        <x:v>813</x:v>
      </x:c>
      <x:c r="B982" s="65" t="str">
        <x:v>町田泽维亚</x:v>
      </x:c>
      <x:c r="C982" s="82" t="n">
        <x:v>2</x:v>
      </x:c>
      <x:c r="D982" s="82" t="n">
        <x:v>2</x:v>
      </x:c>
      <x:c r="E982" s="67" t="n">
        <x:v>0</x:v>
      </x:c>
      <x:c r="F982" s="181" t="n">
        <x:v>0.5</x:v>
      </x:c>
      <x:c r="G982" s="67" t="n">
        <x:v>0</x:v>
      </x:c>
      <x:c r="H982"/>
      <x:c r="I982" s="65" t="n">
        <x:v>813</x:v>
      </x:c>
      <x:c r="J982" s="65" t="str">
        <x:v>成都蓉城</x:v>
      </x:c>
      <x:c r="K982" s="82" t="n">
        <x:v>4</x:v>
      </x:c>
      <x:c r="L982" s="82" t="n">
        <x:v>4</x:v>
      </x:c>
      <x:c r="M982" s="67" t="n">
        <x:v>0</x:v>
      </x:c>
      <x:c r="N982" s="181" t="n">
        <x:v>0.5</x:v>
      </x:c>
      <x:c r="O982" s="67" t="n">
        <x:v>0</x:v>
      </x:c>
    </x:row>
    <x:row r="983" ht="24" customHeight="1">
      <x:c r="A983" s="65" t="n">
        <x:v>814</x:v>
      </x:c>
      <x:c r="B983" s="65" t="str">
        <x:v>皇家托马亚波</x:v>
      </x:c>
      <x:c r="C983" s="82" t="n">
        <x:v>2</x:v>
      </x:c>
      <x:c r="D983" s="82" t="n">
        <x:v>2</x:v>
      </x:c>
      <x:c r="E983" s="67" t="n">
        <x:v>0</x:v>
      </x:c>
      <x:c r="F983" s="181" t="n">
        <x:v>0.5</x:v>
      </x:c>
      <x:c r="G983" s="67" t="n">
        <x:v>0</x:v>
      </x:c>
      <x:c r="H983"/>
      <x:c r="I983" s="65" t="n">
        <x:v>814</x:v>
      </x:c>
      <x:c r="J983" s="65" t="str">
        <x:v>成都蓉城（Chengdu Rongcheng）</x:v>
      </x:c>
      <x:c r="K983" s="82" t="n">
        <x:v>2</x:v>
      </x:c>
      <x:c r="L983" s="82" t="n">
        <x:v>2</x:v>
      </x:c>
      <x:c r="M983" s="67" t="n">
        <x:v>0</x:v>
      </x:c>
      <x:c r="N983" s="181" t="n">
        <x:v>0.5</x:v>
      </x:c>
      <x:c r="O983" s="67" t="n">
        <x:v>0</x:v>
      </x:c>
    </x:row>
    <x:row r="984" ht="24" customHeight="1">
      <x:c r="A984" s="65" t="n">
        <x:v>815</x:v>
      </x:c>
      <x:c r="B984" s="65" t="str">
        <x:v>福塔雷萨CEIF</x:v>
      </x:c>
      <x:c r="C984" s="82" t="n">
        <x:v>2</x:v>
      </x:c>
      <x:c r="D984" s="82" t="n">
        <x:v>2</x:v>
      </x:c>
      <x:c r="E984" s="67" t="n">
        <x:v>0</x:v>
      </x:c>
      <x:c r="F984" s="181" t="n">
        <x:v>0.5</x:v>
      </x:c>
      <x:c r="G984" s="67" t="n">
        <x:v>0</x:v>
      </x:c>
      <x:c r="H984"/>
      <x:c r="I984" s="65" t="n">
        <x:v>815</x:v>
      </x:c>
      <x:c r="J984" s="65" t="str">
        <x:v>托利马（Deportes Tolima）</x:v>
      </x:c>
      <x:c r="K984" s="82" t="n">
        <x:v>2</x:v>
      </x:c>
      <x:c r="L984" s="82" t="n">
        <x:v>2</x:v>
      </x:c>
      <x:c r="M984" s="67" t="n">
        <x:v>0</x:v>
      </x:c>
      <x:c r="N984" s="181" t="n">
        <x:v>0.5</x:v>
      </x:c>
      <x:c r="O984" s="67" t="n">
        <x:v>0</x:v>
      </x:c>
    </x:row>
    <x:row r="985" ht="24" customHeight="1">
      <x:c r="A985" s="65" t="n">
        <x:v>816</x:v>
      </x:c>
      <x:c r="B985" s="65" t="str">
        <x:v>科尔多瓦美洲虎（Jaguares de Córdoba）</x:v>
      </x:c>
      <x:c r="C985" s="82" t="n">
        <x:v>4</x:v>
      </x:c>
      <x:c r="D985" s="82" t="n">
        <x:v>4</x:v>
      </x:c>
      <x:c r="E985" s="67" t="n">
        <x:v>0</x:v>
      </x:c>
      <x:c r="F985" s="181" t="n">
        <x:v>0.5</x:v>
      </x:c>
      <x:c r="G985" s="67" t="n">
        <x:v>0</x:v>
      </x:c>
      <x:c r="H985"/>
      <x:c r="I985" s="65" t="n">
        <x:v>816</x:v>
      </x:c>
      <x:c r="J985" s="65" t="str">
        <x:v>托利马体育（Deportes Tolima）</x:v>
      </x:c>
      <x:c r="K985" s="82" t="n">
        <x:v>6</x:v>
      </x:c>
      <x:c r="L985" s="82" t="n">
        <x:v>6</x:v>
      </x:c>
      <x:c r="M985" s="67" t="n">
        <x:v>0</x:v>
      </x:c>
      <x:c r="N985" s="181" t="n">
        <x:v>0.5</x:v>
      </x:c>
      <x:c r="O985" s="67" t="n">
        <x:v>0</x:v>
      </x:c>
    </x:row>
    <x:row r="986" ht="24" customHeight="1">
      <x:c r="A986" s="65" t="n">
        <x:v>817</x:v>
      </x:c>
      <x:c r="B986" s="65" t="str">
        <x:v>红牛布拉甘蒂诺（Red Bull Bragantino）</x:v>
      </x:c>
      <x:c r="C986" s="82" t="n">
        <x:v>2</x:v>
      </x:c>
      <x:c r="D986" s="82" t="n">
        <x:v>2</x:v>
      </x:c>
      <x:c r="E986" s="67" t="n">
        <x:v>0</x:v>
      </x:c>
      <x:c r="F986" s="181" t="n">
        <x:v>0.5</x:v>
      </x:c>
      <x:c r="G986" s="67" t="n">
        <x:v>0</x:v>
      </x:c>
      <x:c r="H986"/>
      <x:c r="I986" s="65" t="n">
        <x:v>817</x:v>
      </x:c>
      <x:c r="J986" s="65" t="str">
        <x:v>托卢卡（Deportivo Toluca FC）</x:v>
      </x:c>
      <x:c r="K986" s="82" t="n">
        <x:v>2</x:v>
      </x:c>
      <x:c r="L986" s="82" t="n">
        <x:v>2</x:v>
      </x:c>
      <x:c r="M986" s="67" t="n">
        <x:v>0</x:v>
      </x:c>
      <x:c r="N986" s="181" t="n">
        <x:v>0.5</x:v>
      </x:c>
      <x:c r="O986" s="67" t="n">
        <x:v>0</x:v>
      </x:c>
    </x:row>
    <x:row r="987" ht="24" customHeight="1">
      <x:c r="A987" s="65" t="n">
        <x:v>818</x:v>
      </x:c>
      <x:c r="B987" s="65" t="str">
        <x:v>罗萨里奥中央</x:v>
      </x:c>
      <x:c r="C987" s="82" t="n">
        <x:v>2</x:v>
      </x:c>
      <x:c r="D987" s="82" t="n">
        <x:v>2</x:v>
      </x:c>
      <x:c r="E987" s="67" t="n">
        <x:v>0</x:v>
      </x:c>
      <x:c r="F987" s="181" t="n">
        <x:v>0.5</x:v>
      </x:c>
      <x:c r="G987" s="67" t="n">
        <x:v>0</x:v>
      </x:c>
      <x:c r="H987"/>
      <x:c r="I987" s="65" t="n">
        <x:v>818</x:v>
      </x:c>
      <x:c r="J987" s="65" t="str">
        <x:v>拉巴斯竞技（Club Atlético La Paz）</x:v>
      </x:c>
      <x:c r="K987" s="82" t="n">
        <x:v>2</x:v>
      </x:c>
      <x:c r="L987" s="82" t="n">
        <x:v>2</x:v>
      </x:c>
      <x:c r="M987" s="67" t="n">
        <x:v>0</x:v>
      </x:c>
      <x:c r="N987" s="181" t="n">
        <x:v>0.5</x:v>
      </x:c>
      <x:c r="O987" s="67" t="n">
        <x:v>0</x:v>
      </x:c>
    </x:row>
    <x:row r="988" ht="24" customHeight="1">
      <x:c r="A988" s="65" t="n">
        <x:v>819</x:v>
      </x:c>
      <x:c r="B988" s="65" t="str">
        <x:v>美国</x:v>
      </x:c>
      <x:c r="C988" s="82" t="n">
        <x:v>4</x:v>
      </x:c>
      <x:c r="D988" s="82" t="n">
        <x:v>4</x:v>
      </x:c>
      <x:c r="E988" s="67" t="n">
        <x:v>0</x:v>
      </x:c>
      <x:c r="F988" s="181" t="n">
        <x:v>0.5</x:v>
      </x:c>
      <x:c r="G988" s="67" t="n">
        <x:v>0</x:v>
      </x:c>
      <x:c r="H988"/>
      <x:c r="I988" s="65" t="n">
        <x:v>819</x:v>
      </x:c>
      <x:c r="J988" s="65" t="str">
        <x:v>斯托克城</x:v>
      </x:c>
      <x:c r="K988" s="82" t="n">
        <x:v>2</x:v>
      </x:c>
      <x:c r="L988" s="82" t="n">
        <x:v>2</x:v>
      </x:c>
      <x:c r="M988" s="67" t="n">
        <x:v>0</x:v>
      </x:c>
      <x:c r="N988" s="181" t="n">
        <x:v>0.5</x:v>
      </x:c>
      <x:c r="O988" s="67" t="n">
        <x:v>0</x:v>
      </x:c>
    </x:row>
    <x:row r="989" ht="24" customHeight="1">
      <x:c r="A989" s="65" t="n">
        <x:v>820</x:v>
      </x:c>
      <x:c r="B989" s="65" t="str">
        <x:v>群马草津温泉</x:v>
      </x:c>
      <x:c r="C989" s="82" t="n">
        <x:v>2</x:v>
      </x:c>
      <x:c r="D989" s="82" t="n">
        <x:v>2</x:v>
      </x:c>
      <x:c r="E989" s="67" t="n">
        <x:v>0</x:v>
      </x:c>
      <x:c r="F989" s="181" t="n">
        <x:v>0.5</x:v>
      </x:c>
      <x:c r="G989" s="67" t="n">
        <x:v>0</x:v>
      </x:c>
      <x:c r="H989"/>
      <x:c r="I989" s="65" t="n">
        <x:v>820</x:v>
      </x:c>
      <x:c r="J989" s="65" t="str">
        <x:v>斯旺西城</x:v>
      </x:c>
      <x:c r="K989" s="82" t="n">
        <x:v>2</x:v>
      </x:c>
      <x:c r="L989" s="82" t="n">
        <x:v>2</x:v>
      </x:c>
      <x:c r="M989" s="67" t="n">
        <x:v>0</x:v>
      </x:c>
      <x:c r="N989" s="181" t="n">
        <x:v>0.5</x:v>
      </x:c>
      <x:c r="O989" s="67" t="n">
        <x:v>0</x:v>
      </x:c>
    </x:row>
    <x:row r="990" ht="24" customHeight="1">
      <x:c r="A990" s="65" t="n">
        <x:v>821</x:v>
      </x:c>
      <x:c r="B990" s="65" t="str">
        <x:v>考文垂</x:v>
      </x:c>
      <x:c r="C990" s="82" t="n">
        <x:v>2</x:v>
      </x:c>
      <x:c r="D990" s="82" t="n">
        <x:v>2</x:v>
      </x:c>
      <x:c r="E990" s="67" t="n">
        <x:v>0</x:v>
      </x:c>
      <x:c r="F990" s="181" t="n">
        <x:v>0.5</x:v>
      </x:c>
      <x:c r="G990" s="67" t="n">
        <x:v>0</x:v>
      </x:c>
      <x:c r="H990"/>
      <x:c r="I990" s="65" t="n">
        <x:v>821</x:v>
      </x:c>
      <x:c r="J990" s="65" t="str">
        <x:v>新南威尔士精神</x:v>
      </x:c>
      <x:c r="K990" s="82" t="n">
        <x:v>2</x:v>
      </x:c>
      <x:c r="L990" s="82" t="n">
        <x:v>2</x:v>
      </x:c>
      <x:c r="M990" s="67" t="n">
        <x:v>0</x:v>
      </x:c>
      <x:c r="N990" s="181" t="n">
        <x:v>0.5</x:v>
      </x:c>
      <x:c r="O990" s="67" t="n">
        <x:v>0</x:v>
      </x:c>
    </x:row>
    <x:row r="991" ht="24" customHeight="1">
      <x:c r="A991" s="65" t="n">
        <x:v>822</x:v>
      </x:c>
      <x:c r="B991" s="65" t="str">
        <x:v>荷尔斯泰因基尔（Holstein Kiel）</x:v>
      </x:c>
      <x:c r="C991" s="82" t="n">
        <x:v>2</x:v>
      </x:c>
      <x:c r="D991" s="82" t="n">
        <x:v>2</x:v>
      </x:c>
      <x:c r="E991" s="67" t="n">
        <x:v>0</x:v>
      </x:c>
      <x:c r="F991" s="181" t="n">
        <x:v>0.5</x:v>
      </x:c>
      <x:c r="G991" s="67" t="n">
        <x:v>0</x:v>
      </x:c>
      <x:c r="H991"/>
      <x:c r="I991" s="65" t="n">
        <x:v>822</x:v>
      </x:c>
      <x:c r="J991" s="65" t="str">
        <x:v>旁遮普</x:v>
      </x:c>
      <x:c r="K991" s="82" t="n">
        <x:v>2</x:v>
      </x:c>
      <x:c r="L991" s="82" t="n">
        <x:v>2</x:v>
      </x:c>
      <x:c r="M991" s="67" t="n">
        <x:v>0</x:v>
      </x:c>
      <x:c r="N991" s="181" t="n">
        <x:v>0.5</x:v>
      </x:c>
      <x:c r="O991" s="67" t="n">
        <x:v>0</x:v>
      </x:c>
    </x:row>
    <x:row r="992" ht="24" customHeight="1">
      <x:c r="A992" s="65" t="n">
        <x:v>823</x:v>
      </x:c>
      <x:c r="B992" s="65" t="str">
        <x:v>荷尔施泰因基尔</x:v>
      </x:c>
      <x:c r="C992" s="82" t="n">
        <x:v>4</x:v>
      </x:c>
      <x:c r="D992" s="82" t="n">
        <x:v>4</x:v>
      </x:c>
      <x:c r="E992" s="67" t="n">
        <x:v>0</x:v>
      </x:c>
      <x:c r="F992" s="181" t="n">
        <x:v>0.5</x:v>
      </x:c>
      <x:c r="G992" s="67" t="n">
        <x:v>0</x:v>
      </x:c>
      <x:c r="H992"/>
      <x:c r="I992" s="65" t="n">
        <x:v>823</x:v>
      </x:c>
      <x:c r="J992" s="65" t="str">
        <x:v>日本</x:v>
      </x:c>
      <x:c r="K992" s="82" t="n">
        <x:v>4</x:v>
      </x:c>
      <x:c r="L992" s="82" t="n">
        <x:v>4</x:v>
      </x:c>
      <x:c r="M992" s="67" t="n">
        <x:v>0</x:v>
      </x:c>
      <x:c r="N992" s="181" t="n">
        <x:v>0.5</x:v>
      </x:c>
      <x:c r="O992" s="67" t="n">
        <x:v>0</x:v>
      </x:c>
    </x:row>
    <x:row r="993" ht="24" customHeight="1">
      <x:c r="A993" s="65" t="n">
        <x:v>824</x:v>
      </x:c>
      <x:c r="B993" s="65" t="str">
        <x:v>莱切（Lecce）</x:v>
      </x:c>
      <x:c r="C993" s="82" t="n">
        <x:v>2</x:v>
      </x:c>
      <x:c r="D993" s="82" t="n">
        <x:v>2</x:v>
      </x:c>
      <x:c r="E993" s="67" t="n">
        <x:v>0</x:v>
      </x:c>
      <x:c r="F993" s="181" t="n">
        <x:v>0.5</x:v>
      </x:c>
      <x:c r="G993" s="67" t="n">
        <x:v>0</x:v>
      </x:c>
      <x:c r="H993"/>
      <x:c r="I993" s="65" t="n">
        <x:v>824</x:v>
      </x:c>
      <x:c r="J993" s="65" t="str">
        <x:v>明尼苏达联</x:v>
      </x:c>
      <x:c r="K993" s="82" t="n">
        <x:v>2</x:v>
      </x:c>
      <x:c r="L993" s="82" t="n">
        <x:v>2</x:v>
      </x:c>
      <x:c r="M993" s="67" t="n">
        <x:v>0</x:v>
      </x:c>
      <x:c r="N993" s="181" t="n">
        <x:v>0.5</x:v>
      </x:c>
      <x:c r="O993" s="67" t="n">
        <x:v>0</x:v>
      </x:c>
    </x:row>
    <x:row r="994" ht="24" customHeight="1">
      <x:c r="A994" s="65" t="n">
        <x:v>825</x:v>
      </x:c>
      <x:c r="B994" s="65" t="str">
        <x:v>萨卡特卡斯矿工（Mineros de Zacatecas）</x:v>
      </x:c>
      <x:c r="C994" s="82" t="n">
        <x:v>2</x:v>
      </x:c>
      <x:c r="D994" s="82" t="n">
        <x:v>2</x:v>
      </x:c>
      <x:c r="E994" s="67" t="n">
        <x:v>0</x:v>
      </x:c>
      <x:c r="F994" s="181" t="n">
        <x:v>0.5</x:v>
      </x:c>
      <x:c r="G994" s="67" t="n">
        <x:v>0</x:v>
      </x:c>
      <x:c r="H994"/>
      <x:c r="I994" s="65" t="n">
        <x:v>825</x:v>
      </x:c>
      <x:c r="J994" s="65" t="str">
        <x:v>普拉腾斯</x:v>
      </x:c>
      <x:c r="K994" s="82" t="n">
        <x:v>2</x:v>
      </x:c>
      <x:c r="L994" s="82" t="n">
        <x:v>2</x:v>
      </x:c>
      <x:c r="M994" s="67" t="n">
        <x:v>0</x:v>
      </x:c>
      <x:c r="N994" s="181" t="n">
        <x:v>0.5</x:v>
      </x:c>
      <x:c r="O994" s="67" t="n">
        <x:v>0</x:v>
      </x:c>
    </x:row>
    <x:row r="995" ht="24" customHeight="1">
      <x:c r="A995" s="65" t="n">
        <x:v>826</x:v>
      </x:c>
      <x:c r="B995" s="65" t="str">
        <x:v>蒂华纳</x:v>
      </x:c>
      <x:c r="C995" s="82" t="n">
        <x:v>6</x:v>
      </x:c>
      <x:c r="D995" s="82" t="n">
        <x:v>6</x:v>
      </x:c>
      <x:c r="E995" s="67" t="n">
        <x:v>0</x:v>
      </x:c>
      <x:c r="F995" s="181" t="n">
        <x:v>0.5</x:v>
      </x:c>
      <x:c r="G995" s="67" t="n">
        <x:v>0</x:v>
      </x:c>
      <x:c r="H995"/>
      <x:c r="I995" s="65" t="n">
        <x:v>826</x:v>
      </x:c>
      <x:c r="J995" s="65" t="str">
        <x:v>本菲卡（Benfica）</x:v>
      </x:c>
      <x:c r="K995" s="82" t="n">
        <x:v>2</x:v>
      </x:c>
      <x:c r="L995" s="82" t="n">
        <x:v>2</x:v>
      </x:c>
      <x:c r="M995" s="67" t="n">
        <x:v>0</x:v>
      </x:c>
      <x:c r="N995" s="181" t="n">
        <x:v>0.5</x:v>
      </x:c>
      <x:c r="O995" s="67" t="n">
        <x:v>0</x:v>
      </x:c>
    </x:row>
    <x:row r="996" ht="24" customHeight="1">
      <x:c r="A996" s="65" t="n">
        <x:v>827</x:v>
      </x:c>
      <x:c r="B996" s="65" t="str">
        <x:v>蒙特雷（Monterrey）</x:v>
      </x:c>
      <x:c r="C996" s="82" t="n">
        <x:v>2</x:v>
      </x:c>
      <x:c r="D996" s="82" t="n">
        <x:v>2</x:v>
      </x:c>
      <x:c r="E996" s="67" t="n">
        <x:v>0</x:v>
      </x:c>
      <x:c r="F996" s="181" t="n">
        <x:v>0.5</x:v>
      </x:c>
      <x:c r="G996" s="67" t="n">
        <x:v>0</x:v>
      </x:c>
      <x:c r="H996"/>
      <x:c r="I996" s="65" t="n">
        <x:v>827</x:v>
      </x:c>
      <x:c r="J996" s="65" t="str">
        <x:v>柔佛新山（Johor Darul Ta'zim）</x:v>
      </x:c>
      <x:c r="K996" s="82" t="n">
        <x:v>2</x:v>
      </x:c>
      <x:c r="L996" s="82" t="n">
        <x:v>2</x:v>
      </x:c>
      <x:c r="M996" s="67" t="n">
        <x:v>0</x:v>
      </x:c>
      <x:c r="N996" s="181" t="n">
        <x:v>0.5</x:v>
      </x:c>
      <x:c r="O996" s="67" t="n">
        <x:v>0</x:v>
      </x:c>
    </x:row>
    <x:row r="997" ht="24" customHeight="1">
      <x:c r="A997" s="65" t="n">
        <x:v>828</x:v>
      </x:c>
      <x:c r="B997" s="65" t="str">
        <x:v>西部联青年队</x:v>
      </x:c>
      <x:c r="C997" s="82" t="n">
        <x:v>2</x:v>
      </x:c>
      <x:c r="D997" s="82" t="n">
        <x:v>2</x:v>
      </x:c>
      <x:c r="E997" s="67" t="n">
        <x:v>0</x:v>
      </x:c>
      <x:c r="F997" s="181" t="n">
        <x:v>0.5</x:v>
      </x:c>
      <x:c r="G997" s="67" t="n">
        <x:v>0</x:v>
      </x:c>
      <x:c r="H997"/>
      <x:c r="I997" s="65" t="n">
        <x:v>828</x:v>
      </x:c>
      <x:c r="J997" s="65" t="str">
        <x:v>格林古利</x:v>
      </x:c>
      <x:c r="K997" s="82" t="n">
        <x:v>4</x:v>
      </x:c>
      <x:c r="L997" s="82" t="n">
        <x:v>4</x:v>
      </x:c>
      <x:c r="M997" s="67" t="n">
        <x:v>0</x:v>
      </x:c>
      <x:c r="N997" s="181" t="n">
        <x:v>0.5</x:v>
      </x:c>
      <x:c r="O997" s="67" t="n">
        <x:v>0</x:v>
      </x:c>
    </x:row>
    <x:row r="998" ht="24" customHeight="1">
      <x:c r="A998" s="65" t="n">
        <x:v>829</x:v>
      </x:c>
      <x:c r="B998" s="65" t="str">
        <x:v>詹谢普尔FC</x:v>
      </x:c>
      <x:c r="C998" s="82" t="n">
        <x:v>2</x:v>
      </x:c>
      <x:c r="D998" s="82" t="n">
        <x:v>2</x:v>
      </x:c>
      <x:c r="E998" s="67" t="n">
        <x:v>0</x:v>
      </x:c>
      <x:c r="F998" s="181" t="n">
        <x:v>0.5</x:v>
      </x:c>
      <x:c r="G998" s="67" t="n">
        <x:v>0</x:v>
      </x:c>
      <x:c r="H998"/>
      <x:c r="I998" s="65" t="n">
        <x:v>829</x:v>
      </x:c>
      <x:c r="J998" s="65" t="str">
        <x:v>桑托斯</x:v>
      </x:c>
      <x:c r="K998" s="82" t="n">
        <x:v>2</x:v>
      </x:c>
      <x:c r="L998" s="82" t="n">
        <x:v>2</x:v>
      </x:c>
      <x:c r="M998" s="67" t="n">
        <x:v>0</x:v>
      </x:c>
      <x:c r="N998" s="181" t="n">
        <x:v>0.5</x:v>
      </x:c>
      <x:c r="O998" s="67" t="n">
        <x:v>0</x:v>
      </x:c>
    </x:row>
    <x:row r="999" ht="24" customHeight="1">
      <x:c r="A999" s="65" t="n">
        <x:v>830</x:v>
      </x:c>
      <x:c r="B999" s="65" t="str">
        <x:v>诺维奇城</x:v>
      </x:c>
      <x:c r="C999" s="82" t="n">
        <x:v>2</x:v>
      </x:c>
      <x:c r="D999" s="82" t="n">
        <x:v>2</x:v>
      </x:c>
      <x:c r="E999" s="67" t="n">
        <x:v>0</x:v>
      </x:c>
      <x:c r="F999" s="181" t="n">
        <x:v>0.5</x:v>
      </x:c>
      <x:c r="G999" s="67" t="n">
        <x:v>0</x:v>
      </x:c>
      <x:c r="H999"/>
      <x:c r="I999" s="65" t="n">
        <x:v>830</x:v>
      </x:c>
      <x:c r="J999" s="65" t="str">
        <x:v>梅里达（Venados FC）</x:v>
      </x:c>
      <x:c r="K999" s="82" t="n">
        <x:v>2</x:v>
      </x:c>
      <x:c r="L999" s="82" t="n">
        <x:v>2</x:v>
      </x:c>
      <x:c r="M999" s="67" t="n">
        <x:v>0</x:v>
      </x:c>
      <x:c r="N999" s="181" t="n">
        <x:v>0.5</x:v>
      </x:c>
      <x:c r="O999" s="67" t="n">
        <x:v>0</x:v>
      </x:c>
    </x:row>
    <x:row r="1000" ht="24" customHeight="1">
      <x:c r="A1000" s="65" t="n">
        <x:v>831</x:v>
      </x:c>
      <x:c r="B1000" s="65" t="str">
        <x:v>谢周三</x:v>
      </x:c>
      <x:c r="C1000" s="82" t="n">
        <x:v>2</x:v>
      </x:c>
      <x:c r="D1000" s="82" t="n">
        <x:v>2</x:v>
      </x:c>
      <x:c r="E1000" s="67" t="n">
        <x:v>0</x:v>
      </x:c>
      <x:c r="F1000" s="181" t="n">
        <x:v>0.5</x:v>
      </x:c>
      <x:c r="G1000" s="67" t="n">
        <x:v>0</x:v>
      </x:c>
      <x:c r="H1000"/>
      <x:c r="I1000" s="65" t="n">
        <x:v>831</x:v>
      </x:c>
      <x:c r="J1000" s="65" t="str">
        <x:v>梅里达（维纳多斯）</x:v>
      </x:c>
      <x:c r="K1000" s="82" t="n">
        <x:v>2</x:v>
      </x:c>
      <x:c r="L1000" s="82" t="n">
        <x:v>2</x:v>
      </x:c>
      <x:c r="M1000" s="67" t="n">
        <x:v>0</x:v>
      </x:c>
      <x:c r="N1000" s="181" t="n">
        <x:v>0.5</x:v>
      </x:c>
      <x:c r="O1000" s="67" t="n">
        <x:v>0</x:v>
      </x:c>
    </x:row>
    <x:row r="1001" ht="24" customHeight="1">
      <x:c r="A1001" s="65" t="n">
        <x:v>832</x:v>
      </x:c>
      <x:c r="B1001" s="65" t="str">
        <x:v>谢菲尔德联</x:v>
      </x:c>
      <x:c r="C1001" s="82" t="n">
        <x:v>4</x:v>
      </x:c>
      <x:c r="D1001" s="82" t="n">
        <x:v>4</x:v>
      </x:c>
      <x:c r="E1001" s="67" t="n">
        <x:v>0</x:v>
      </x:c>
      <x:c r="F1001" s="181" t="n">
        <x:v>0.5</x:v>
      </x:c>
      <x:c r="G1001" s="67" t="n">
        <x:v>0</x:v>
      </x:c>
      <x:c r="H1001"/>
      <x:c r="I1001" s="65" t="n">
        <x:v>832</x:v>
      </x:c>
      <x:c r="J1001" s="65" t="str">
        <x:v>梅里达维纳多斯（Venados FC）</x:v>
      </x:c>
      <x:c r="K1001" s="82" t="n">
        <x:v>2</x:v>
      </x:c>
      <x:c r="L1001" s="82" t="n">
        <x:v>2</x:v>
      </x:c>
      <x:c r="M1001" s="67" t="n">
        <x:v>0</x:v>
      </x:c>
      <x:c r="N1001" s="181" t="n">
        <x:v>0.5</x:v>
      </x:c>
      <x:c r="O1001" s="67" t="n">
        <x:v>0</x:v>
      </x:c>
    </x:row>
    <x:row r="1002" ht="24" customHeight="1">
      <x:c r="A1002" s="65" t="n">
        <x:v>833</x:v>
      </x:c>
      <x:c r="B1002" s="65" t="str">
        <x:v>达姆施塔特98（SV Darmstadt 98）</x:v>
      </x:c>
      <x:c r="C1002" s="82" t="n">
        <x:v>2</x:v>
      </x:c>
      <x:c r="D1002" s="82" t="n">
        <x:v>2</x:v>
      </x:c>
      <x:c r="E1002" s="67" t="n">
        <x:v>0</x:v>
      </x:c>
      <x:c r="F1002" s="181" t="n">
        <x:v>0.5</x:v>
      </x:c>
      <x:c r="G1002" s="67" t="n">
        <x:v>0</x:v>
      </x:c>
      <x:c r="H1002"/>
      <x:c r="I1002" s="65" t="n">
        <x:v>833</x:v>
      </x:c>
      <x:c r="J1002" s="65" t="str">
        <x:v>欧克莱卡诺（Oakleigh Cannons）</x:v>
      </x:c>
      <x:c r="K1002" s="82" t="n">
        <x:v>4</x:v>
      </x:c>
      <x:c r="L1002" s="82" t="n">
        <x:v>4</x:v>
      </x:c>
      <x:c r="M1002" s="67" t="n">
        <x:v>0</x:v>
      </x:c>
      <x:c r="N1002" s="181" t="n">
        <x:v>0.5</x:v>
      </x:c>
      <x:c r="O1002" s="67" t="n">
        <x:v>0</x:v>
      </x:c>
    </x:row>
    <x:row r="1003" ht="24" customHeight="1">
      <x:c r="A1003" s="65" t="n">
        <x:v>834</x:v>
      </x:c>
      <x:c r="B1003" s="65" t="str">
        <x:v>达拉斯FC（FC Dallas）</x:v>
      </x:c>
      <x:c r="C1003" s="82" t="n">
        <x:v>2</x:v>
      </x:c>
      <x:c r="D1003" s="82" t="n">
        <x:v>2</x:v>
      </x:c>
      <x:c r="E1003" s="67" t="n">
        <x:v>0</x:v>
      </x:c>
      <x:c r="F1003" s="181" t="n">
        <x:v>0.5</x:v>
      </x:c>
      <x:c r="G1003" s="67" t="n">
        <x:v>0</x:v>
      </x:c>
      <x:c r="H1003"/>
      <x:c r="I1003" s="65" t="n">
        <x:v>834</x:v>
      </x:c>
      <x:c r="J1003" s="65" t="str">
        <x:v>比利时</x:v>
      </x:c>
      <x:c r="K1003" s="82" t="n">
        <x:v>6</x:v>
      </x:c>
      <x:c r="L1003" s="82" t="n">
        <x:v>6</x:v>
      </x:c>
      <x:c r="M1003" s="67" t="n">
        <x:v>0</x:v>
      </x:c>
      <x:c r="N1003" s="181" t="n">
        <x:v>0.5</x:v>
      </x:c>
      <x:c r="O1003" s="67" t="n">
        <x:v>0</x:v>
      </x:c>
    </x:row>
    <x:row r="1004" ht="24" customHeight="1">
      <x:c r="A1004" s="65" t="n">
        <x:v>835</x:v>
      </x:c>
      <x:c r="B1004" s="65" t="str">
        <x:v>里奥夸尔托学生（Estudiantes de Río Cuarto）</x:v>
      </x:c>
      <x:c r="C1004" s="82" t="n">
        <x:v>2</x:v>
      </x:c>
      <x:c r="D1004" s="82" t="n">
        <x:v>2</x:v>
      </x:c>
      <x:c r="E1004" s="67" t="n">
        <x:v>0</x:v>
      </x:c>
      <x:c r="F1004" s="181" t="n">
        <x:v>0.5</x:v>
      </x:c>
      <x:c r="G1004" s="67" t="n">
        <x:v>0</x:v>
      </x:c>
      <x:c r="H1004"/>
      <x:c r="I1004" s="65" t="n">
        <x:v>835</x:v>
      </x:c>
      <x:c r="J1004" s="65" t="str">
        <x:v>比萨（Pisa）</x:v>
      </x:c>
      <x:c r="K1004" s="82" t="n">
        <x:v>4</x:v>
      </x:c>
      <x:c r="L1004" s="82" t="n">
        <x:v>4</x:v>
      </x:c>
      <x:c r="M1004" s="67" t="n">
        <x:v>0</x:v>
      </x:c>
      <x:c r="N1004" s="181" t="n">
        <x:v>0.5</x:v>
      </x:c>
      <x:c r="O1004" s="67" t="n">
        <x:v>0</x:v>
      </x:c>
    </x:row>
    <x:row r="1005" ht="24" customHeight="1">
      <x:c r="A1005" s="65" t="n">
        <x:v>836</x:v>
      </x:c>
      <x:c r="B1005" s="65" t="str">
        <x:v>钦奈泰坦</x:v>
      </x:c>
      <x:c r="C1005" s="82" t="n">
        <x:v>2</x:v>
      </x:c>
      <x:c r="D1005" s="82" t="n">
        <x:v>2</x:v>
      </x:c>
      <x:c r="E1005" s="67" t="n">
        <x:v>0</x:v>
      </x:c>
      <x:c r="F1005" s="181" t="n">
        <x:v>0.5</x:v>
      </x:c>
      <x:c r="G1005" s="67" t="n">
        <x:v>0</x:v>
      </x:c>
      <x:c r="H1005"/>
      <x:c r="I1005" s="65" t="n">
        <x:v>836</x:v>
      </x:c>
      <x:c r="J1005" s="65" t="str">
        <x:v>水晶竞技（Sporting Cristal）</x:v>
      </x:c>
      <x:c r="K1005" s="82" t="n">
        <x:v>2</x:v>
      </x:c>
      <x:c r="L1005" s="82" t="n">
        <x:v>2</x:v>
      </x:c>
      <x:c r="M1005" s="67" t="n">
        <x:v>0</x:v>
      </x:c>
      <x:c r="N1005" s="181" t="n">
        <x:v>0.5</x:v>
      </x:c>
      <x:c r="O1005" s="67" t="n">
        <x:v>0</x:v>
      </x:c>
    </x:row>
    <x:row r="1006" ht="24" customHeight="1">
      <x:c r="A1006" s="65" t="n">
        <x:v>837</x:v>
      </x:c>
      <x:c r="B1006" s="65" t="str">
        <x:v>阿斯顿维拉</x:v>
      </x:c>
      <x:c r="C1006" s="82" t="n">
        <x:v>2</x:v>
      </x:c>
      <x:c r="D1006" s="82" t="n">
        <x:v>2</x:v>
      </x:c>
      <x:c r="E1006" s="67" t="n">
        <x:v>0</x:v>
      </x:c>
      <x:c r="F1006" s="181" t="n">
        <x:v>0.5</x:v>
      </x:c>
      <x:c r="G1006" s="67" t="n">
        <x:v>0</x:v>
      </x:c>
      <x:c r="H1006"/>
      <x:c r="I1006" s="65" t="n">
        <x:v>837</x:v>
      </x:c>
      <x:c r="J1006" s="65" t="str">
        <x:v>沙佩科恩斯（Chapecoense）</x:v>
      </x:c>
      <x:c r="K1006" s="82" t="n">
        <x:v>2</x:v>
      </x:c>
      <x:c r="L1006" s="82" t="n">
        <x:v>2</x:v>
      </x:c>
      <x:c r="M1006" s="67" t="n">
        <x:v>0</x:v>
      </x:c>
      <x:c r="N1006" s="181" t="n">
        <x:v>0.5</x:v>
      </x:c>
      <x:c r="O1006" s="67" t="n">
        <x:v>0</x:v>
      </x:c>
    </x:row>
    <x:row r="1007" ht="24" customHeight="1">
      <x:c r="A1007" s="65" t="n">
        <x:v>838</x:v>
      </x:c>
      <x:c r="B1007" s="65" t="str">
        <x:v>首尔衣恋（Seoul E-Land FC）</x:v>
      </x:c>
      <x:c r="C1007" s="82" t="n">
        <x:v>2</x:v>
      </x:c>
      <x:c r="D1007" s="82" t="n">
        <x:v>2</x:v>
      </x:c>
      <x:c r="E1007" s="67" t="n">
        <x:v>0</x:v>
      </x:c>
      <x:c r="F1007" s="181" t="n">
        <x:v>0.5</x:v>
      </x:c>
      <x:c r="G1007" s="67" t="n">
        <x:v>0</x:v>
      </x:c>
      <x:c r="H1007"/>
      <x:c r="I1007" s="65" t="n">
        <x:v>838</x:v>
      </x:c>
      <x:c r="J1007" s="65" t="str">
        <x:v>沙尔克04</x:v>
      </x:c>
      <x:c r="K1007" s="82" t="n">
        <x:v>4</x:v>
      </x:c>
      <x:c r="L1007" s="82" t="n">
        <x:v>4</x:v>
      </x:c>
      <x:c r="M1007" s="67" t="n">
        <x:v>0</x:v>
      </x:c>
      <x:c r="N1007" s="181" t="n">
        <x:v>0.5</x:v>
      </x:c>
      <x:c r="O1007" s="67" t="n">
        <x:v>0</x:v>
      </x:c>
    </x:row>
    <x:row r="1008" ht="24" customHeight="1">
      <x:c r="A1008" s="65" t="n">
        <x:v>839</x:v>
      </x:c>
      <x:c r="B1008" s="65" t="str">
        <x:v>马卡拉（CSD Macará）</x:v>
      </x:c>
      <x:c r="C1008" s="82" t="n">
        <x:v>2</x:v>
      </x:c>
      <x:c r="D1008" s="82" t="n">
        <x:v>2</x:v>
      </x:c>
      <x:c r="E1008" s="67" t="n">
        <x:v>0</x:v>
      </x:c>
      <x:c r="F1008" s="181" t="n">
        <x:v>0.5</x:v>
      </x:c>
      <x:c r="G1008" s="67" t="n">
        <x:v>0</x:v>
      </x:c>
      <x:c r="H1008"/>
      <x:c r="I1008" s="65" t="n">
        <x:v>839</x:v>
      </x:c>
      <x:c r="J1008" s="65" t="str">
        <x:v>沙尔克04（FC Schalke 04）</x:v>
      </x:c>
      <x:c r="K1008" s="82" t="n">
        <x:v>2</x:v>
      </x:c>
      <x:c r="L1008" s="82" t="n">
        <x:v>2</x:v>
      </x:c>
      <x:c r="M1008" s="67" t="n">
        <x:v>0</x:v>
      </x:c>
      <x:c r="N1008" s="181" t="n">
        <x:v>0.5</x:v>
      </x:c>
      <x:c r="O1008" s="67" t="n">
        <x:v>0</x:v>
      </x:c>
    </x:row>
    <x:row r="1009" ht="24" customHeight="1">
      <x:c r="A1009" s="65" t="n">
        <x:v>840</x:v>
      </x:c>
      <x:c r="B1009" s="65" t="str">
        <x:v>马可尼种马（Marconi Stallions）</x:v>
      </x:c>
      <x:c r="C1009" s="82" t="n">
        <x:v>2</x:v>
      </x:c>
      <x:c r="D1009" s="82" t="n">
        <x:v>2</x:v>
      </x:c>
      <x:c r="E1009" s="67" t="n">
        <x:v>0</x:v>
      </x:c>
      <x:c r="F1009" s="181" t="n">
        <x:v>0.5</x:v>
      </x:c>
      <x:c r="G1009" s="67" t="n">
        <x:v>0</x:v>
      </x:c>
      <x:c r="H1009"/>
      <x:c r="I1009" s="65" t="n">
        <x:v>840</x:v>
      </x:c>
      <x:c r="J1009" s="65" t="str">
        <x:v>沙尔克04（Schalke 04）</x:v>
      </x:c>
      <x:c r="K1009" s="82" t="n">
        <x:v>2</x:v>
      </x:c>
      <x:c r="L1009" s="82" t="n">
        <x:v>2</x:v>
      </x:c>
      <x:c r="M1009" s="67" t="n">
        <x:v>0</x:v>
      </x:c>
      <x:c r="N1009" s="181" t="n">
        <x:v>0.5</x:v>
      </x:c>
      <x:c r="O1009" s="67" t="n">
        <x:v>0</x:v>
      </x:c>
    </x:row>
    <x:row r="1010" ht="24" customHeight="1">
      <x:c r="A1010" s="65" t="n">
        <x:v>841</x:v>
      </x:c>
      <x:c r="B1010" s="65" t="str">
        <x:v>马斯里</x:v>
      </x:c>
      <x:c r="C1010" s="82" t="n">
        <x:v>2</x:v>
      </x:c>
      <x:c r="D1010" s="82" t="n">
        <x:v>2</x:v>
      </x:c>
      <x:c r="E1010" s="67" t="n">
        <x:v>0</x:v>
      </x:c>
      <x:c r="F1010" s="181" t="n">
        <x:v>0.5</x:v>
      </x:c>
      <x:c r="G1010" s="67" t="n">
        <x:v>0</x:v>
      </x:c>
      <x:c r="H1010"/>
      <x:c r="I1010" s="65" t="n">
        <x:v>841</x:v>
      </x:c>
      <x:c r="J1010" s="65" t="str">
        <x:v>河内公安（Công An Hà Nội）</x:v>
      </x:c>
      <x:c r="K1010" s="82" t="n">
        <x:v>2</x:v>
      </x:c>
      <x:c r="L1010" s="82" t="n">
        <x:v>2</x:v>
      </x:c>
      <x:c r="M1010" s="67" t="n">
        <x:v>0</x:v>
      </x:c>
      <x:c r="N1010" s="181" t="n">
        <x:v>0.5</x:v>
      </x:c>
      <x:c r="O1010" s="67" t="n">
        <x:v>0</x:v>
      </x:c>
    </x:row>
    <x:row r="1011" ht="24" customHeight="1">
      <x:c r="A1011" s="65" t="n">
        <x:v>842</x:v>
      </x:c>
      <x:c r="B1011" s="65" t="str">
        <x:v>马斯里（Al Masry）</x:v>
      </x:c>
      <x:c r="C1011" s="82" t="n">
        <x:v>2</x:v>
      </x:c>
      <x:c r="D1011" s="82" t="n">
        <x:v>2</x:v>
      </x:c>
      <x:c r="E1011" s="67" t="n">
        <x:v>0</x:v>
      </x:c>
      <x:c r="F1011" s="181" t="n">
        <x:v>0.5</x:v>
      </x:c>
      <x:c r="G1011" s="67" t="n">
        <x:v>0</x:v>
      </x:c>
      <x:c r="H1011"/>
      <x:c r="I1011" s="65" t="n">
        <x:v>842</x:v>
      </x:c>
      <x:c r="J1011" s="65" t="str">
        <x:v>波鸿</x:v>
      </x:c>
      <x:c r="K1011" s="82" t="n">
        <x:v>4</x:v>
      </x:c>
      <x:c r="L1011" s="82" t="n">
        <x:v>4</x:v>
      </x:c>
      <x:c r="M1011" s="67" t="n">
        <x:v>0</x:v>
      </x:c>
      <x:c r="N1011" s="181" t="n">
        <x:v>0.5</x:v>
      </x:c>
      <x:c r="O1011" s="67" t="n">
        <x:v>0</x:v>
      </x:c>
    </x:row>
    <x:row r="1012" ht="24" customHeight="1">
      <x:c r="A1012" s="65" t="n">
        <x:v>843</x:v>
      </x:c>
      <x:c r="B1012" s="65" t="str">
        <x:v>麦克阿瑟</x:v>
      </x:c>
      <x:c r="C1012" s="82" t="n">
        <x:v>2</x:v>
      </x:c>
      <x:c r="D1012" s="82" t="n">
        <x:v>2</x:v>
      </x:c>
      <x:c r="E1012" s="67" t="n">
        <x:v>0</x:v>
      </x:c>
      <x:c r="F1012" s="181" t="n">
        <x:v>0.5</x:v>
      </x:c>
      <x:c r="G1012" s="67" t="n">
        <x:v>0</x:v>
      </x:c>
      <x:c r="H1012"/>
      <x:c r="I1012" s="65" t="n">
        <x:v>843</x:v>
      </x:c>
      <x:c r="J1012" s="65" t="str">
        <x:v>洛杉矶银河（LA Galaxy）</x:v>
      </x:c>
      <x:c r="K1012" s="82" t="n">
        <x:v>2</x:v>
      </x:c>
      <x:c r="L1012" s="82" t="n">
        <x:v>2</x:v>
      </x:c>
      <x:c r="M1012" s="67" t="n">
        <x:v>0</x:v>
      </x:c>
      <x:c r="N1012" s="181" t="n">
        <x:v>0.5</x:v>
      </x:c>
      <x:c r="O1012" s="67" t="n">
        <x:v>0</x:v>
      </x:c>
    </x:row>
    <x:row r="1013" ht="24" customHeight="1">
      <x:c r="A1013" s="65" t="n">
        <x:v>844</x:v>
      </x:c>
      <x:c r="B1013" s="65" t="str">
        <x:v>纽卡斯尔喷气机（Newcastle Jets）</x:v>
      </x:c>
      <x:c r="C1013" s="82" t="n">
        <x:v>5</x:v>
      </x:c>
      <x:c r="D1013" s="82" t="n">
        <x:v>5</x:v>
      </x:c>
      <x:c r="E1013" s="67" t="n">
        <x:v>0</x:v>
      </x:c>
      <x:c r="F1013" s="181" t="n">
        <x:v>0.4</x:v>
      </x:c>
      <x:c r="G1013" s="67" t="n">
        <x:v>0</x:v>
      </x:c>
      <x:c r="H1013"/>
      <x:c r="I1013" s="65" t="n">
        <x:v>844</x:v>
      </x:c>
      <x:c r="J1013" s="65" t="str">
        <x:v>浦和红钻</x:v>
      </x:c>
      <x:c r="K1013" s="82" t="n">
        <x:v>2</x:v>
      </x:c>
      <x:c r="L1013" s="82" t="n">
        <x:v>2</x:v>
      </x:c>
      <x:c r="M1013" s="67" t="n">
        <x:v>0</x:v>
      </x:c>
      <x:c r="N1013" s="181" t="n">
        <x:v>0.5</x:v>
      </x:c>
      <x:c r="O1013" s="67" t="n">
        <x:v>0</x:v>
      </x:c>
    </x:row>
    <x:row r="1014" ht="24" customHeight="1">
      <x:c r="A1014" s="65" t="n">
        <x:v>845</x:v>
      </x:c>
      <x:c r="B1014" s="65" t="str">
        <x:v>阿特拉斯</x:v>
      </x:c>
      <x:c r="C1014" s="82" t="n">
        <x:v>8</x:v>
      </x:c>
      <x:c r="D1014" s="82" t="n">
        <x:v>8</x:v>
      </x:c>
      <x:c r="E1014" s="67" t="n">
        <x:v>0</x:v>
      </x:c>
      <x:c r="F1014" s="181" t="n">
        <x:v>0.375</x:v>
      </x:c>
      <x:c r="G1014" s="67" t="n">
        <x:v>0</x:v>
      </x:c>
      <x:c r="H1014"/>
      <x:c r="I1014" s="65" t="n">
        <x:v>845</x:v>
      </x:c>
      <x:c r="J1014" s="65" t="str">
        <x:v>淡滨尼流浪者（Tampines Rovers）</x:v>
      </x:c>
      <x:c r="K1014" s="82" t="n">
        <x:v>2</x:v>
      </x:c>
      <x:c r="L1014" s="82" t="n">
        <x:v>2</x:v>
      </x:c>
      <x:c r="M1014" s="67" t="n">
        <x:v>0</x:v>
      </x:c>
      <x:c r="N1014" s="181" t="n">
        <x:v>0.5</x:v>
      </x:c>
      <x:c r="O1014" s="67" t="n">
        <x:v>0</x:v>
      </x:c>
    </x:row>
    <x:row r="1015" ht="24" customHeight="1">
      <x:c r="A1015" s="65" t="n">
        <x:v>846</x:v>
      </x:c>
      <x:c r="B1015" s="65" t="str">
        <x:v>FC东京（FC Tokyo）</x:v>
      </x:c>
      <x:c r="C1015" s="82" t="n">
        <x:v>3</x:v>
      </x:c>
      <x:c r="D1015" s="82" t="n">
        <x:v>3</x:v>
      </x:c>
      <x:c r="E1015" s="67" t="n">
        <x:v>0</x:v>
      </x:c>
      <x:c r="F1015" s="181" t="n">
        <x:v>0.3333333333333333</x:v>
      </x:c>
      <x:c r="G1015" s="67" t="n">
        <x:v>0</x:v>
      </x:c>
      <x:c r="H1015"/>
      <x:c r="I1015" s="65" t="n">
        <x:v>846</x:v>
      </x:c>
      <x:c r="J1015" s="65" t="str">
        <x:v>温哥华白帽（Vancouver Whitecaps FC）</x:v>
      </x:c>
      <x:c r="K1015" s="82" t="n">
        <x:v>2</x:v>
      </x:c>
      <x:c r="L1015" s="82" t="n">
        <x:v>2</x:v>
      </x:c>
      <x:c r="M1015" s="67" t="n">
        <x:v>0</x:v>
      </x:c>
      <x:c r="N1015" s="181" t="n">
        <x:v>0.5</x:v>
      </x:c>
      <x:c r="O1015" s="67" t="n">
        <x:v>0</x:v>
      </x:c>
    </x:row>
    <x:row r="1016" ht="24" customHeight="1">
      <x:c r="A1016" s="65" t="n">
        <x:v>847</x:v>
      </x:c>
      <x:c r="B1016" s="65" t="str">
        <x:v>PSBS巴克伦佛（PSBS Biak Numfor）</x:v>
      </x:c>
      <x:c r="C1016" s="82" t="n">
        <x:v>3</x:v>
      </x:c>
      <x:c r="D1016" s="82" t="n">
        <x:v>3</x:v>
      </x:c>
      <x:c r="E1016" s="67" t="n">
        <x:v>0</x:v>
      </x:c>
      <x:c r="F1016" s="181" t="n">
        <x:v>0.3333333333333333</x:v>
      </x:c>
      <x:c r="G1016" s="67" t="n">
        <x:v>0</x:v>
      </x:c>
      <x:c r="H1016"/>
      <x:c r="I1016" s="65" t="n">
        <x:v>847</x:v>
      </x:c>
      <x:c r="J1016" s="65" t="str">
        <x:v>狼队（Wolverhampton Wanderers）</x:v>
      </x:c>
      <x:c r="K1016" s="82" t="n">
        <x:v>2</x:v>
      </x:c>
      <x:c r="L1016" s="82" t="n">
        <x:v>2</x:v>
      </x:c>
      <x:c r="M1016" s="67" t="n">
        <x:v>0</x:v>
      </x:c>
      <x:c r="N1016" s="181" t="n">
        <x:v>0.5</x:v>
      </x:c>
      <x:c r="O1016" s="67" t="n">
        <x:v>0</x:v>
      </x:c>
    </x:row>
    <x:row r="1017" ht="24" customHeight="1">
      <x:c r="A1017" s="65" t="n">
        <x:v>848</x:v>
      </x:c>
      <x:c r="B1017" s="65" t="str">
        <x:v>博亚卡奇科</x:v>
      </x:c>
      <x:c r="C1017" s="82" t="n">
        <x:v>3</x:v>
      </x:c>
      <x:c r="D1017" s="82" t="n">
        <x:v>3</x:v>
      </x:c>
      <x:c r="E1017" s="67" t="n">
        <x:v>0</x:v>
      </x:c>
      <x:c r="F1017" s="181" t="n">
        <x:v>0.3333333333333333</x:v>
      </x:c>
      <x:c r="G1017" s="67" t="n">
        <x:v>0</x:v>
      </x:c>
      <x:c r="H1017"/>
      <x:c r="I1017" s="65" t="n">
        <x:v>848</x:v>
      </x:c>
      <x:c r="J1017" s="65" t="str">
        <x:v>玻利瓦尔</x:v>
      </x:c>
      <x:c r="K1017" s="82" t="n">
        <x:v>2</x:v>
      </x:c>
      <x:c r="L1017" s="82" t="n">
        <x:v>2</x:v>
      </x:c>
      <x:c r="M1017" s="67" t="n">
        <x:v>0</x:v>
      </x:c>
      <x:c r="N1017" s="181" t="n">
        <x:v>0.5</x:v>
      </x:c>
      <x:c r="O1017" s="67" t="n">
        <x:v>0</x:v>
      </x:c>
    </x:row>
    <x:row r="1018" ht="24" customHeight="1">
      <x:c r="A1018" s="65" t="n">
        <x:v>849</x:v>
      </x:c>
      <x:c r="B1018" s="65" t="str">
        <x:v>埃及</x:v>
      </x:c>
      <x:c r="C1018" s="82" t="n">
        <x:v>3</x:v>
      </x:c>
      <x:c r="D1018" s="82" t="n">
        <x:v>3</x:v>
      </x:c>
      <x:c r="E1018" s="67" t="n">
        <x:v>0</x:v>
      </x:c>
      <x:c r="F1018" s="181" t="n">
        <x:v>0.3333333333333333</x:v>
      </x:c>
      <x:c r="G1018" s="67" t="n">
        <x:v>0</x:v>
      </x:c>
      <x:c r="H1018"/>
      <x:c r="I1018" s="65" t="n">
        <x:v>849</x:v>
      </x:c>
      <x:c r="J1018" s="65" t="str">
        <x:v>班菲尔德</x:v>
      </x:c>
      <x:c r="K1018" s="82" t="n">
        <x:v>4</x:v>
      </x:c>
      <x:c r="L1018" s="82" t="n">
        <x:v>4</x:v>
      </x:c>
      <x:c r="M1018" s="67" t="n">
        <x:v>0</x:v>
      </x:c>
      <x:c r="N1018" s="181" t="n">
        <x:v>0.5</x:v>
      </x:c>
      <x:c r="O1018" s="67" t="n">
        <x:v>0</x:v>
      </x:c>
    </x:row>
    <x:row r="1019" ht="24" customHeight="1">
      <x:c r="A1019" s="65" t="n">
        <x:v>850</x:v>
      </x:c>
      <x:c r="B1019" s="65" t="str">
        <x:v>布伦特福德（Brentford）</x:v>
      </x:c>
      <x:c r="C1019" s="82" t="n">
        <x:v>3</x:v>
      </x:c>
      <x:c r="D1019" s="82" t="n">
        <x:v>3</x:v>
      </x:c>
      <x:c r="E1019" s="67" t="n">
        <x:v>0</x:v>
      </x:c>
      <x:c r="F1019" s="181" t="n">
        <x:v>0.3333333333333333</x:v>
      </x:c>
      <x:c r="G1019" s="67" t="n">
        <x:v>0</x:v>
      </x:c>
      <x:c r="H1019"/>
      <x:c r="I1019" s="65" t="n">
        <x:v>850</x:v>
      </x:c>
      <x:c r="J1019" s="65" t="str">
        <x:v>瑞典</x:v>
      </x:c>
      <x:c r="K1019" s="82" t="n">
        <x:v>4</x:v>
      </x:c>
      <x:c r="L1019" s="82" t="n">
        <x:v>4</x:v>
      </x:c>
      <x:c r="M1019" s="67" t="n">
        <x:v>0</x:v>
      </x:c>
      <x:c r="N1019" s="181" t="n">
        <x:v>0.5</x:v>
      </x:c>
      <x:c r="O1019" s="67" t="n">
        <x:v>0</x:v>
      </x:c>
    </x:row>
    <x:row r="1020" ht="24" customHeight="1">
      <x:c r="A1020" s="65" t="n">
        <x:v>851</x:v>
      </x:c>
      <x:c r="B1020" s="65" t="str">
        <x:v>海地</x:v>
      </x:c>
      <x:c r="C1020" s="82" t="n">
        <x:v>3</x:v>
      </x:c>
      <x:c r="D1020" s="82" t="n">
        <x:v>3</x:v>
      </x:c>
      <x:c r="E1020" s="67" t="n">
        <x:v>0</x:v>
      </x:c>
      <x:c r="F1020" s="181" t="n">
        <x:v>0.3333333333333333</x:v>
      </x:c>
      <x:c r="G1020" s="67" t="n">
        <x:v>0</x:v>
      </x:c>
      <x:c r="H1020"/>
      <x:c r="I1020" s="65" t="n">
        <x:v>851</x:v>
      </x:c>
      <x:c r="J1020" s="65" t="str">
        <x:v>瓜比拉</x:v>
      </x:c>
      <x:c r="K1020" s="82" t="n">
        <x:v>2</x:v>
      </x:c>
      <x:c r="L1020" s="82" t="n">
        <x:v>2</x:v>
      </x:c>
      <x:c r="M1020" s="67" t="n">
        <x:v>0</x:v>
      </x:c>
      <x:c r="N1020" s="181" t="n">
        <x:v>0.5</x:v>
      </x:c>
      <x:c r="O1020" s="67" t="n">
        <x:v>0</x:v>
      </x:c>
    </x:row>
    <x:row r="1021" ht="24" customHeight="1">
      <x:c r="A1021" s="65" t="n">
        <x:v>852</x:v>
      </x:c>
      <x:c r="B1021" s="65" t="str">
        <x:v>科尔多瓦中央（Central Córdoba SdE）</x:v>
      </x:c>
      <x:c r="C1021" s="82" t="n">
        <x:v>3</x:v>
      </x:c>
      <x:c r="D1021" s="82" t="n">
        <x:v>3</x:v>
      </x:c>
      <x:c r="E1021" s="67" t="n">
        <x:v>0</x:v>
      </x:c>
      <x:c r="F1021" s="181" t="n">
        <x:v>0.3333333333333333</x:v>
      </x:c>
      <x:c r="G1021" s="67" t="n">
        <x:v>0</x:v>
      </x:c>
      <x:c r="H1021"/>
      <x:c r="I1021" s="65" t="n">
        <x:v>852</x:v>
      </x:c>
      <x:c r="J1021" s="65" t="str">
        <x:v>瓜达拉哈拉（Chivas Guadalajara）</x:v>
      </x:c>
      <x:c r="K1021" s="82" t="n">
        <x:v>4</x:v>
      </x:c>
      <x:c r="L1021" s="82" t="n">
        <x:v>4</x:v>
      </x:c>
      <x:c r="M1021" s="67" t="n">
        <x:v>0</x:v>
      </x:c>
      <x:c r="N1021" s="181" t="n">
        <x:v>0.5</x:v>
      </x:c>
      <x:c r="O1021" s="67" t="n">
        <x:v>0</x:v>
      </x:c>
    </x:row>
    <x:row r="1022" ht="24" customHeight="1">
      <x:c r="A1022" s="65" t="n">
        <x:v>853</x:v>
      </x:c>
      <x:c r="B1022" s="65" t="str">
        <x:v>考文垂（Coventry City）</x:v>
      </x:c>
      <x:c r="C1022" s="82" t="n">
        <x:v>3</x:v>
      </x:c>
      <x:c r="D1022" s="82" t="n">
        <x:v>3</x:v>
      </x:c>
      <x:c r="E1022" s="67" t="n">
        <x:v>0</x:v>
      </x:c>
      <x:c r="F1022" s="181" t="n">
        <x:v>0.3333333333333333</x:v>
      </x:c>
      <x:c r="G1022" s="67" t="n">
        <x:v>0</x:v>
      </x:c>
      <x:c r="H1022"/>
      <x:c r="I1022" s="65" t="n">
        <x:v>853</x:v>
      </x:c>
      <x:c r="J1022" s="65" t="str">
        <x:v>町田泽维亚（FC Machida Zelvia）</x:v>
      </x:c>
      <x:c r="K1022" s="82" t="n">
        <x:v>4</x:v>
      </x:c>
      <x:c r="L1022" s="82" t="n">
        <x:v>4</x:v>
      </x:c>
      <x:c r="M1022" s="67" t="n">
        <x:v>0</x:v>
      </x:c>
      <x:c r="N1022" s="181" t="n">
        <x:v>0.5</x:v>
      </x:c>
      <x:c r="O1022" s="67" t="n">
        <x:v>0</x:v>
      </x:c>
    </x:row>
    <x:row r="1023" ht="24" customHeight="1">
      <x:c r="A1023" s="65" t="n">
        <x:v>854</x:v>
      </x:c>
      <x:c r="B1023" s="65" t="str">
        <x:v>莫哈末丹SC</x:v>
      </x:c>
      <x:c r="C1023" s="82" t="n">
        <x:v>3</x:v>
      </x:c>
      <x:c r="D1023" s="82" t="n">
        <x:v>3</x:v>
      </x:c>
      <x:c r="E1023" s="67" t="n">
        <x:v>0</x:v>
      </x:c>
      <x:c r="F1023" s="181" t="n">
        <x:v>0.3333333333333333</x:v>
      </x:c>
      <x:c r="G1023" s="67" t="n">
        <x:v>0</x:v>
      </x:c>
      <x:c r="H1023"/>
      <x:c r="I1023" s="65" t="n">
        <x:v>854</x:v>
      </x:c>
      <x:c r="J1023" s="65" t="str">
        <x:v>町田泽维亚（Machida Zelvia）</x:v>
      </x:c>
      <x:c r="K1023" s="82" t="n">
        <x:v>2</x:v>
      </x:c>
      <x:c r="L1023" s="82" t="n">
        <x:v>2</x:v>
      </x:c>
      <x:c r="M1023" s="67" t="n">
        <x:v>0</x:v>
      </x:c>
      <x:c r="N1023" s="181" t="n">
        <x:v>0.5</x:v>
      </x:c>
      <x:c r="O1023" s="67" t="n">
        <x:v>0</x:v>
      </x:c>
    </x:row>
    <x:row r="1024" ht="24" customHeight="1">
      <x:c r="A1024" s="65" t="n">
        <x:v>855</x:v>
      </x:c>
      <x:c r="B1024" s="65" t="str">
        <x:v>西布罗姆维奇</x:v>
      </x:c>
      <x:c r="C1024" s="82" t="n">
        <x:v>3</x:v>
      </x:c>
      <x:c r="D1024" s="82" t="n">
        <x:v>3</x:v>
      </x:c>
      <x:c r="E1024" s="67" t="n">
        <x:v>0</x:v>
      </x:c>
      <x:c r="F1024" s="181" t="n">
        <x:v>0.3333333333333333</x:v>
      </x:c>
      <x:c r="G1024" s="67" t="n">
        <x:v>0</x:v>
      </x:c>
      <x:c r="H1024"/>
      <x:c r="I1024" s="65" t="n">
        <x:v>855</x:v>
      </x:c>
      <x:c r="J1024" s="65" t="str">
        <x:v>百万富翁（Millonarios FC）</x:v>
      </x:c>
      <x:c r="K1024" s="82" t="n">
        <x:v>2</x:v>
      </x:c>
      <x:c r="L1024" s="82" t="n">
        <x:v>2</x:v>
      </x:c>
      <x:c r="M1024" s="67" t="n">
        <x:v>0</x:v>
      </x:c>
      <x:c r="N1024" s="181" t="n">
        <x:v>0.5</x:v>
      </x:c>
      <x:c r="O1024" s="67" t="n">
        <x:v>0</x:v>
      </x:c>
    </x:row>
    <x:row r="1025" ht="24" customHeight="1">
      <x:c r="A1025" s="65" t="n">
        <x:v>856</x:v>
      </x:c>
      <x:c r="B1025" s="65" t="str">
        <x:v>都灵</x:v>
      </x:c>
      <x:c r="C1025" s="82" t="n">
        <x:v>3</x:v>
      </x:c>
      <x:c r="D1025" s="82" t="n">
        <x:v>3</x:v>
      </x:c>
      <x:c r="E1025" s="67" t="n">
        <x:v>0</x:v>
      </x:c>
      <x:c r="F1025" s="181" t="n">
        <x:v>0.3333333333333333</x:v>
      </x:c>
      <x:c r="G1025" s="67" t="n">
        <x:v>0</x:v>
      </x:c>
      <x:c r="H1025"/>
      <x:c r="I1025" s="65" t="n">
        <x:v>856</x:v>
      </x:c>
      <x:c r="J1025" s="65" t="str">
        <x:v>皇家奥维耶多（Real Oviedo）</x:v>
      </x:c>
      <x:c r="K1025" s="82" t="n">
        <x:v>2</x:v>
      </x:c>
      <x:c r="L1025" s="82" t="n">
        <x:v>2</x:v>
      </x:c>
      <x:c r="M1025" s="67" t="n">
        <x:v>0</x:v>
      </x:c>
      <x:c r="N1025" s="181" t="n">
        <x:v>0.5</x:v>
      </x:c>
      <x:c r="O1025" s="67" t="n">
        <x:v>0</x:v>
      </x:c>
    </x:row>
    <x:row r="1026" ht="24" customHeight="1">
      <x:c r="A1026" s="65" t="n">
        <x:v>857</x:v>
      </x:c>
      <x:c r="B1026" s="65" t="str">
        <x:v>重庆铜梁龙</x:v>
      </x:c>
      <x:c r="C1026" s="82" t="n">
        <x:v>3</x:v>
      </x:c>
      <x:c r="D1026" s="82" t="n">
        <x:v>3</x:v>
      </x:c>
      <x:c r="E1026" s="67" t="n">
        <x:v>0</x:v>
      </x:c>
      <x:c r="F1026" s="181" t="n">
        <x:v>0.3333333333333333</x:v>
      </x:c>
      <x:c r="G1026" s="67" t="n">
        <x:v>0</x:v>
      </x:c>
      <x:c r="H1026"/>
      <x:c r="I1026" s="65" t="n">
        <x:v>857</x:v>
      </x:c>
      <x:c r="J1026" s="65" t="str">
        <x:v>皇家波托西（Real Potosí）</x:v>
      </x:c>
      <x:c r="K1026" s="82" t="n">
        <x:v>3</x:v>
      </x:c>
      <x:c r="L1026" s="82" t="n">
        <x:v>2</x:v>
      </x:c>
      <x:c r="M1026" s="67" t="n">
        <x:v>0</x:v>
      </x:c>
      <x:c r="N1026" s="181" t="n">
        <x:v>0.5</x:v>
      </x:c>
      <x:c r="O1026" s="67" t="n">
        <x:v>0</x:v>
      </x:c>
    </x:row>
    <x:row r="1027" ht="24" customHeight="1">
      <x:c r="A1027" s="65" t="n">
        <x:v>858</x:v>
      </x:c>
      <x:c r="B1027" s="65" t="str">
        <x:v>成都蓉城</x:v>
      </x:c>
      <x:c r="C1027" s="82" t="n">
        <x:v>4</x:v>
      </x:c>
      <x:c r="D1027" s="82" t="n">
        <x:v>4</x:v>
      </x:c>
      <x:c r="E1027" s="67" t="n">
        <x:v>0</x:v>
      </x:c>
      <x:c r="F1027" s="181" t="n">
        <x:v>0.25</x:v>
      </x:c>
      <x:c r="G1027" s="67" t="n">
        <x:v>0</x:v>
      </x:c>
      <x:c r="H1027"/>
      <x:c r="I1027" s="65" t="n">
        <x:v>858</x:v>
      </x:c>
      <x:c r="J1027" s="65" t="str">
        <x:v>福尔柯克（Falkirk）</x:v>
      </x:c>
      <x:c r="K1027" s="82" t="n">
        <x:v>2</x:v>
      </x:c>
      <x:c r="L1027" s="82" t="n">
        <x:v>2</x:v>
      </x:c>
      <x:c r="M1027" s="67" t="n">
        <x:v>0</x:v>
      </x:c>
      <x:c r="N1027" s="181" t="n">
        <x:v>0.5</x:v>
      </x:c>
      <x:c r="O1027" s="67" t="n">
        <x:v>0</x:v>
      </x:c>
    </x:row>
    <x:row r="1028" ht="24" customHeight="1">
      <x:c r="A1028" s="65" t="n">
        <x:v>859</x:v>
      </x:c>
      <x:c r="B1028" s="65" t="str">
        <x:v>柏斯度（Deportivo Pasto）</x:v>
      </x:c>
      <x:c r="C1028" s="82" t="n">
        <x:v>4</x:v>
      </x:c>
      <x:c r="D1028" s="82" t="n">
        <x:v>4</x:v>
      </x:c>
      <x:c r="E1028" s="67" t="n">
        <x:v>0</x:v>
      </x:c>
      <x:c r="F1028" s="181" t="n">
        <x:v>0.25</x:v>
      </x:c>
      <x:c r="G1028" s="67" t="n">
        <x:v>0</x:v>
      </x:c>
      <x:c r="H1028"/>
      <x:c r="I1028" s="65" t="n">
        <x:v>859</x:v>
      </x:c>
      <x:c r="J1028" s="65" t="str">
        <x:v>秋田蓝色闪电（Blaublitz Akita）</x:v>
      </x:c>
      <x:c r="K1028" s="82" t="n">
        <x:v>4</x:v>
      </x:c>
      <x:c r="L1028" s="82" t="n">
        <x:v>4</x:v>
      </x:c>
      <x:c r="M1028" s="67" t="n">
        <x:v>0</x:v>
      </x:c>
      <x:c r="N1028" s="181" t="n">
        <x:v>0.5</x:v>
      </x:c>
      <x:c r="O1028" s="67" t="n">
        <x:v>0</x:v>
      </x:c>
    </x:row>
    <x:row r="1029" ht="24" customHeight="1">
      <x:c r="A1029" s="65" t="n">
        <x:v>860</x:v>
      </x:c>
      <x:c r="B1029" s="65" t="str">
        <x:v>沙尔克04</x:v>
      </x:c>
      <x:c r="C1029" s="82" t="n">
        <x:v>4</x:v>
      </x:c>
      <x:c r="D1029" s="82" t="n">
        <x:v>4</x:v>
      </x:c>
      <x:c r="E1029" s="67" t="n">
        <x:v>0</x:v>
      </x:c>
      <x:c r="F1029" s="181" t="n">
        <x:v>0.25</x:v>
      </x:c>
      <x:c r="G1029" s="67" t="n">
        <x:v>0</x:v>
      </x:c>
      <x:c r="H1029"/>
      <x:c r="I1029" s="65" t="n">
        <x:v>860</x:v>
      </x:c>
      <x:c r="J1029" s="65" t="str">
        <x:v>科尔多巴美洲虎（Jaguares de Córdoba）</x:v>
      </x:c>
      <x:c r="K1029" s="82" t="n">
        <x:v>2</x:v>
      </x:c>
      <x:c r="L1029" s="82" t="n">
        <x:v>2</x:v>
      </x:c>
      <x:c r="M1029" s="67" t="n">
        <x:v>0</x:v>
      </x:c>
      <x:c r="N1029" s="181" t="n">
        <x:v>0.5</x:v>
      </x:c>
      <x:c r="O1029" s="67" t="n">
        <x:v>0</x:v>
      </x:c>
    </x:row>
    <x:row r="1030" ht="24" customHeight="1">
      <x:c r="A1030" s="65" t="n">
        <x:v>861</x:v>
      </x:c>
      <x:c r="B1030" s="65" t="str">
        <x:v>VPS瓦萨</x:v>
      </x:c>
      <x:c r="C1030" s="82" t="n">
        <x:v>1</x:v>
      </x:c>
      <x:c r="D1030" s="82" t="n">
        <x:v>1</x:v>
      </x:c>
      <x:c r="E1030" s="67" t="n">
        <x:v>0</x:v>
      </x:c>
      <x:c r="F1030" s="181" t="n">
        <x:v>0</x:v>
      </x:c>
      <x:c r="G1030" s="67" t="n">
        <x:v>0</x:v>
      </x:c>
      <x:c r="H1030"/>
      <x:c r="I1030" s="65" t="n">
        <x:v>861</x:v>
      </x:c>
      <x:c r="J1030" s="65" t="str">
        <x:v>科尔多瓦学院</x:v>
      </x:c>
      <x:c r="K1030" s="82" t="n">
        <x:v>2</x:v>
      </x:c>
      <x:c r="L1030" s="82" t="n">
        <x:v>2</x:v>
      </x:c>
      <x:c r="M1030" s="67" t="n">
        <x:v>0</x:v>
      </x:c>
      <x:c r="N1030" s="181" t="n">
        <x:v>0.5</x:v>
      </x:c>
      <x:c r="O1030" s="67" t="n">
        <x:v>0</x:v>
      </x:c>
    </x:row>
    <x:row r="1031" ht="24" customHeight="1">
      <x:c r="A1031" s="65" t="n">
        <x:v>862</x:v>
      </x:c>
      <x:c r="B1031" s="65" t="str">
        <x:v>万隆（佩西比万隆/Persib Bandung）</x:v>
      </x:c>
      <x:c r="C1031" s="82" t="n">
        <x:v>1</x:v>
      </x:c>
      <x:c r="D1031" s="82" t="n">
        <x:v>1</x:v>
      </x:c>
      <x:c r="E1031" s="67" t="n">
        <x:v>0</x:v>
      </x:c>
      <x:c r="F1031" s="181" t="n">
        <x:v>0</x:v>
      </x:c>
      <x:c r="G1031" s="67" t="n">
        <x:v>0</x:v>
      </x:c>
      <x:c r="H1031"/>
      <x:c r="I1031" s="65" t="n">
        <x:v>862</x:v>
      </x:c>
      <x:c r="J1031" s="65" t="str">
        <x:v>科莫（Como 1907）</x:v>
      </x:c>
      <x:c r="K1031" s="82" t="n">
        <x:v>2</x:v>
      </x:c>
      <x:c r="L1031" s="82" t="n">
        <x:v>2</x:v>
      </x:c>
      <x:c r="M1031" s="67" t="n">
        <x:v>0</x:v>
      </x:c>
      <x:c r="N1031" s="181" t="n">
        <x:v>0.5</x:v>
      </x:c>
      <x:c r="O1031" s="67" t="n">
        <x:v>0</x:v>
      </x:c>
    </x:row>
    <x:row r="1032" ht="24" customHeight="1">
      <x:c r="A1032" s="65" t="n">
        <x:v>863</x:v>
      </x:c>
      <x:c r="B1032" s="65" t="str">
        <x:v>亚松森瓜拉尼（Guaraní）</x:v>
      </x:c>
      <x:c r="C1032" s="82" t="n">
        <x:v>1</x:v>
      </x:c>
      <x:c r="D1032" s="82" t="n">
        <x:v>1</x:v>
      </x:c>
      <x:c r="E1032" s="67" t="n">
        <x:v>0</x:v>
      </x:c>
      <x:c r="F1032" s="181" t="n">
        <x:v>0</x:v>
      </x:c>
      <x:c r="G1032" s="67" t="n">
        <x:v>0</x:v>
      </x:c>
      <x:c r="H1032"/>
      <x:c r="I1032" s="65" t="n">
        <x:v>863</x:v>
      </x:c>
      <x:c r="J1032" s="65" t="str">
        <x:v>米拉索尔（Mirassol）</x:v>
      </x:c>
      <x:c r="K1032" s="82" t="n">
        <x:v>4</x:v>
      </x:c>
      <x:c r="L1032" s="82" t="n">
        <x:v>4</x:v>
      </x:c>
      <x:c r="M1032" s="67" t="n">
        <x:v>0</x:v>
      </x:c>
      <x:c r="N1032" s="181" t="n">
        <x:v>0.5</x:v>
      </x:c>
      <x:c r="O1032" s="67" t="n">
        <x:v>0</x:v>
      </x:c>
    </x:row>
    <x:row r="1033" ht="24" customHeight="1">
      <x:c r="A1033" s="65" t="n">
        <x:v>864</x:v>
      </x:c>
      <x:c r="B1033" s="65" t="str">
        <x:v>仙台七夕（Vegalta Sendai）</x:v>
      </x:c>
      <x:c r="C1033" s="82" t="n">
        <x:v>1</x:v>
      </x:c>
      <x:c r="D1033" s="82" t="n">
        <x:v>1</x:v>
      </x:c>
      <x:c r="E1033" s="67" t="n">
        <x:v>0</x:v>
      </x:c>
      <x:c r="F1033" s="181" t="n">
        <x:v>0</x:v>
      </x:c>
      <x:c r="G1033" s="67" t="n">
        <x:v>0</x:v>
      </x:c>
      <x:c r="H1033"/>
      <x:c r="I1033" s="65" t="n">
        <x:v>864</x:v>
      </x:c>
      <x:c r="J1033" s="65" t="str">
        <x:v>纽伦堡（1. FC Nürnberg）</x:v>
      </x:c>
      <x:c r="K1033" s="82" t="n">
        <x:v>2</x:v>
      </x:c>
      <x:c r="L1033" s="82" t="n">
        <x:v>2</x:v>
      </x:c>
      <x:c r="M1033" s="67" t="n">
        <x:v>0</x:v>
      </x:c>
      <x:c r="N1033" s="181" t="n">
        <x:v>0.5</x:v>
      </x:c>
      <x:c r="O1033" s="67" t="n">
        <x:v>0</x:v>
      </x:c>
    </x:row>
    <x:row r="1034" ht="24" customHeight="1">
      <x:c r="A1034" s="65" t="n">
        <x:v>865</x:v>
      </x:c>
      <x:c r="B1034" s="65" t="str">
        <x:v>伯恩茅斯（Bournemouth）</x:v>
      </x:c>
      <x:c r="C1034" s="82" t="n">
        <x:v>1</x:v>
      </x:c>
      <x:c r="D1034" s="82" t="n">
        <x:v>1</x:v>
      </x:c>
      <x:c r="E1034" s="67" t="n">
        <x:v>0</x:v>
      </x:c>
      <x:c r="F1034" s="181" t="n">
        <x:v>0</x:v>
      </x:c>
      <x:c r="G1034" s="67" t="n">
        <x:v>0</x:v>
      </x:c>
      <x:c r="H1034"/>
      <x:c r="I1034" s="65" t="n">
        <x:v>865</x:v>
      </x:c>
      <x:c r="J1034" s="65" t="str">
        <x:v>纽卡斯尔联</x:v>
      </x:c>
      <x:c r="K1034" s="82" t="n">
        <x:v>2</x:v>
      </x:c>
      <x:c r="L1034" s="82" t="n">
        <x:v>2</x:v>
      </x:c>
      <x:c r="M1034" s="67" t="n">
        <x:v>0</x:v>
      </x:c>
      <x:c r="N1034" s="181" t="n">
        <x:v>0.5</x:v>
      </x:c>
      <x:c r="O1034" s="67" t="n">
        <x:v>0</x:v>
      </x:c>
    </x:row>
    <x:row r="1035" ht="24" customHeight="1">
      <x:c r="A1035" s="65" t="n">
        <x:v>866</x:v>
      </x:c>
      <x:c r="B1035" s="65" t="str">
        <x:v>佩纳罗尔（蒙得维的亚）（Peñarol）</x:v>
      </x:c>
      <x:c r="C1035" s="82" t="n">
        <x:v>1</x:v>
      </x:c>
      <x:c r="D1035" s="82" t="n">
        <x:v>1</x:v>
      </x:c>
      <x:c r="E1035" s="67" t="n">
        <x:v>0</x:v>
      </x:c>
      <x:c r="F1035" s="181" t="n">
        <x:v>0</x:v>
      </x:c>
      <x:c r="G1035" s="67" t="n">
        <x:v>0</x:v>
      </x:c>
      <x:c r="H1035"/>
      <x:c r="I1035" s="65" t="n">
        <x:v>866</x:v>
      </x:c>
      <x:c r="J1035" s="65" t="str">
        <x:v>群马草津温泉</x:v>
      </x:c>
      <x:c r="K1035" s="82" t="n">
        <x:v>2</x:v>
      </x:c>
      <x:c r="L1035" s="82" t="n">
        <x:v>2</x:v>
      </x:c>
      <x:c r="M1035" s="67" t="n">
        <x:v>0</x:v>
      </x:c>
      <x:c r="N1035" s="181" t="n">
        <x:v>0.5</x:v>
      </x:c>
      <x:c r="O1035" s="67" t="n">
        <x:v>0</x:v>
      </x:c>
    </x:row>
    <x:row r="1036" ht="24" customHeight="1">
      <x:c r="A1036" s="65" t="n">
        <x:v>867</x:v>
      </x:c>
      <x:c r="B1036" s="65" t="str">
        <x:v>侨卡巴（Boyacá Chicó）</x:v>
      </x:c>
      <x:c r="C1036" s="82" t="n">
        <x:v>1</x:v>
      </x:c>
      <x:c r="D1036" s="82" t="n">
        <x:v>1</x:v>
      </x:c>
      <x:c r="E1036" s="67" t="n">
        <x:v>0</x:v>
      </x:c>
      <x:c r="F1036" s="181" t="n">
        <x:v>0</x:v>
      </x:c>
      <x:c r="G1036" s="67" t="n">
        <x:v>0</x:v>
      </x:c>
      <x:c r="H1036"/>
      <x:c r="I1036" s="65" t="n">
        <x:v>867</x:v>
      </x:c>
      <x:c r="J1036" s="65" t="str">
        <x:v>艾文代尔（Avondale FC）</x:v>
      </x:c>
      <x:c r="K1036" s="82" t="n">
        <x:v>2</x:v>
      </x:c>
      <x:c r="L1036" s="82" t="n">
        <x:v>2</x:v>
      </x:c>
      <x:c r="M1036" s="67" t="n">
        <x:v>0</x:v>
      </x:c>
      <x:c r="N1036" s="181" t="n">
        <x:v>0.5</x:v>
      </x:c>
      <x:c r="O1036" s="67" t="n">
        <x:v>0</x:v>
      </x:c>
    </x:row>
    <x:row r="1037" ht="24" customHeight="1">
      <x:c r="A1037" s="65" t="n">
        <x:v>868</x:v>
      </x:c>
      <x:c r="B1037" s="65" t="str">
        <x:v>卡夫达瓦尔(Kafr El Dawar)</x:v>
      </x:c>
      <x:c r="C1037" s="82" t="n">
        <x:v>1</x:v>
      </x:c>
      <x:c r="D1037" s="82" t="n">
        <x:v>1</x:v>
      </x:c>
      <x:c r="E1037" s="67" t="n">
        <x:v>0</x:v>
      </x:c>
      <x:c r="F1037" s="181" t="n">
        <x:v>0</x:v>
      </x:c>
      <x:c r="G1037" s="67" t="n">
        <x:v>0</x:v>
      </x:c>
      <x:c r="H1037"/>
      <x:c r="I1037" s="65" t="n">
        <x:v>868</x:v>
      </x:c>
      <x:c r="J1037" s="65" t="str">
        <x:v>艾禾斯堡（SV 07 Elversberg）</x:v>
      </x:c>
      <x:c r="K1037" s="82" t="n">
        <x:v>2</x:v>
      </x:c>
      <x:c r="L1037" s="82" t="n">
        <x:v>2</x:v>
      </x:c>
      <x:c r="M1037" s="67" t="n">
        <x:v>0</x:v>
      </x:c>
      <x:c r="N1037" s="181" t="n">
        <x:v>0.5</x:v>
      </x:c>
      <x:c r="O1037" s="67" t="n">
        <x:v>0</x:v>
      </x:c>
    </x:row>
    <x:row r="1038" ht="24" customHeight="1">
      <x:c r="A1038" s="65" t="n">
        <x:v>869</x:v>
      </x:c>
      <x:c r="B1038" s="65" t="str">
        <x:v>卡罗琳泉乔治十字</x:v>
      </x:c>
      <x:c r="C1038" s="82" t="n">
        <x:v>1</x:v>
      </x:c>
      <x:c r="D1038" s="82" t="n">
        <x:v>1</x:v>
      </x:c>
      <x:c r="E1038" s="67" t="n">
        <x:v>0</x:v>
      </x:c>
      <x:c r="F1038" s="181" t="n">
        <x:v>0</x:v>
      </x:c>
      <x:c r="G1038" s="67" t="n">
        <x:v>0</x:v>
      </x:c>
      <x:c r="H1038"/>
      <x:c r="I1038" s="65" t="n">
        <x:v>869</x:v>
      </x:c>
      <x:c r="J1038" s="65" t="str">
        <x:v>荷兰</x:v>
      </x:c>
      <x:c r="K1038" s="82" t="n">
        <x:v>4</x:v>
      </x:c>
      <x:c r="L1038" s="82" t="n">
        <x:v>4</x:v>
      </x:c>
      <x:c r="M1038" s="67" t="n">
        <x:v>0</x:v>
      </x:c>
      <x:c r="N1038" s="181" t="n">
        <x:v>0.5</x:v>
      </x:c>
      <x:c r="O1038" s="67" t="n">
        <x:v>0</x:v>
      </x:c>
    </x:row>
    <x:row r="1039" ht="24" customHeight="1">
      <x:c r="A1039" s="65" t="n">
        <x:v>870</x:v>
      </x:c>
      <x:c r="B1039" s="65" t="str">
        <x:v>哥斯达黎加</x:v>
      </x:c>
      <x:c r="C1039" s="82" t="n">
        <x:v>1</x:v>
      </x:c>
      <x:c r="D1039" s="82" t="n">
        <x:v>1</x:v>
      </x:c>
      <x:c r="E1039" s="67" t="n">
        <x:v>0</x:v>
      </x:c>
      <x:c r="F1039" s="181" t="n">
        <x:v>0</x:v>
      </x:c>
      <x:c r="G1039" s="67" t="n">
        <x:v>0</x:v>
      </x:c>
      <x:c r="H1039"/>
      <x:c r="I1039" s="65" t="n">
        <x:v>870</x:v>
      </x:c>
      <x:c r="J1039" s="65" t="str">
        <x:v>莫雷利亚竞技（Atlético Morelia）</x:v>
      </x:c>
      <x:c r="K1039" s="82" t="n">
        <x:v>4</x:v>
      </x:c>
      <x:c r="L1039" s="82" t="n">
        <x:v>4</x:v>
      </x:c>
      <x:c r="M1039" s="67" t="n">
        <x:v>0</x:v>
      </x:c>
      <x:c r="N1039" s="181" t="n">
        <x:v>0.5</x:v>
      </x:c>
      <x:c r="O1039" s="67" t="n">
        <x:v>0</x:v>
      </x:c>
    </x:row>
    <x:row r="1040" ht="24" customHeight="1">
      <x:c r="A1040" s="65" t="n">
        <x:v>871</x:v>
      </x:c>
      <x:c r="B1040" s="65" t="str">
        <x:v>唐迪拉（Tondela）</x:v>
      </x:c>
      <x:c r="C1040" s="82" t="n">
        <x:v>1</x:v>
      </x:c>
      <x:c r="D1040" s="82" t="n">
        <x:v>1</x:v>
      </x:c>
      <x:c r="E1040" s="67" t="n">
        <x:v>0</x:v>
      </x:c>
      <x:c r="F1040" s="181" t="n">
        <x:v>0</x:v>
      </x:c>
      <x:c r="G1040" s="67" t="n">
        <x:v>0</x:v>
      </x:c>
      <x:c r="H1040"/>
      <x:c r="I1040" s="65" t="n">
        <x:v>871</x:v>
      </x:c>
      <x:c r="J1040" s="65" t="str">
        <x:v>莱万特（Levante UD）</x:v>
      </x:c>
      <x:c r="K1040" s="82" t="n">
        <x:v>2</x:v>
      </x:c>
      <x:c r="L1040" s="82" t="n">
        <x:v>2</x:v>
      </x:c>
      <x:c r="M1040" s="67" t="n">
        <x:v>0</x:v>
      </x:c>
      <x:c r="N1040" s="181" t="n">
        <x:v>0.5</x:v>
      </x:c>
      <x:c r="O1040" s="67" t="n">
        <x:v>0</x:v>
      </x:c>
    </x:row>
    <x:row r="1041" ht="24" customHeight="1">
      <x:c r="A1041" s="65" t="n">
        <x:v>872</x:v>
      </x:c>
      <x:c r="B1041" s="65" t="str">
        <x:v>图尔库国际</x:v>
      </x:c>
      <x:c r="C1041" s="82" t="n">
        <x:v>1</x:v>
      </x:c>
      <x:c r="D1041" s="82" t="n">
        <x:v>1</x:v>
      </x:c>
      <x:c r="E1041" s="67" t="n">
        <x:v>0</x:v>
      </x:c>
      <x:c r="F1041" s="181" t="n">
        <x:v>0</x:v>
      </x:c>
      <x:c r="G1041" s="67" t="n">
        <x:v>0</x:v>
      </x:c>
      <x:c r="H1041"/>
      <x:c r="I1041" s="65" t="n">
        <x:v>872</x:v>
      </x:c>
      <x:c r="J1041" s="65" t="str">
        <x:v>莱切</x:v>
      </x:c>
      <x:c r="K1041" s="82" t="n">
        <x:v>2</x:v>
      </x:c>
      <x:c r="L1041" s="82" t="n">
        <x:v>2</x:v>
      </x:c>
      <x:c r="M1041" s="67" t="n">
        <x:v>0</x:v>
      </x:c>
      <x:c r="N1041" s="181" t="n">
        <x:v>0.5</x:v>
      </x:c>
      <x:c r="O1041" s="67" t="n">
        <x:v>0</x:v>
      </x:c>
    </x:row>
    <x:row r="1042" ht="24" customHeight="1">
      <x:c r="A1042" s="65" t="n">
        <x:v>873</x:v>
      </x:c>
      <x:c r="B1042" s="65" t="str">
        <x:v>圣克拉拉（Santa Clara）</x:v>
      </x:c>
      <x:c r="C1042" s="82" t="n">
        <x:v>1</x:v>
      </x:c>
      <x:c r="D1042" s="82" t="n">
        <x:v>1</x:v>
      </x:c>
      <x:c r="E1042" s="67" t="n">
        <x:v>0</x:v>
      </x:c>
      <x:c r="F1042" s="181" t="n">
        <x:v>0</x:v>
      </x:c>
      <x:c r="G1042" s="67" t="n">
        <x:v>0</x:v>
      </x:c>
      <x:c r="H1042"/>
      <x:c r="I1042" s="65" t="n">
        <x:v>873</x:v>
      </x:c>
      <x:c r="J1042" s="65" t="str">
        <x:v>莱斯特城</x:v>
      </x:c>
      <x:c r="K1042" s="82" t="n">
        <x:v>2</x:v>
      </x:c>
      <x:c r="L1042" s="82" t="n">
        <x:v>2</x:v>
      </x:c>
      <x:c r="M1042" s="67" t="n">
        <x:v>0</x:v>
      </x:c>
      <x:c r="N1042" s="181" t="n">
        <x:v>0.5</x:v>
      </x:c>
      <x:c r="O1042" s="67" t="n">
        <x:v>0</x:v>
      </x:c>
    </x:row>
    <x:row r="1043" ht="24" customHeight="1">
      <x:c r="A1043" s="65" t="n">
        <x:v>874</x:v>
      </x:c>
      <x:c r="B1043" s="65" t="str">
        <x:v>城南FC（Seongnam FC）</x:v>
      </x:c>
      <x:c r="C1043" s="82" t="n">
        <x:v>1</x:v>
      </x:c>
      <x:c r="D1043" s="82" t="n">
        <x:v>1</x:v>
      </x:c>
      <x:c r="E1043" s="67" t="n">
        <x:v>0</x:v>
      </x:c>
      <x:c r="F1043" s="181" t="n">
        <x:v>0</x:v>
      </x:c>
      <x:c r="G1043" s="67" t="n">
        <x:v>0</x:v>
      </x:c>
      <x:c r="H1043"/>
      <x:c r="I1043" s="65" t="n">
        <x:v>874</x:v>
      </x:c>
      <x:c r="J1043" s="65" t="str">
        <x:v>莱昂（Club León）</x:v>
      </x:c>
      <x:c r="K1043" s="82" t="n">
        <x:v>2</x:v>
      </x:c>
      <x:c r="L1043" s="82" t="n">
        <x:v>2</x:v>
      </x:c>
      <x:c r="M1043" s="67" t="n">
        <x:v>0</x:v>
      </x:c>
      <x:c r="N1043" s="181" t="n">
        <x:v>0.5</x:v>
      </x:c>
      <x:c r="O1043" s="67" t="n">
        <x:v>0</x:v>
      </x:c>
    </x:row>
    <x:row r="1044" ht="24" customHeight="1">
      <x:c r="A1044" s="65" t="n">
        <x:v>875</x:v>
      </x:c>
      <x:c r="B1044" s="65" t="str">
        <x:v>埃尔特姆红背（Eltham Redbacks FC）</x:v>
      </x:c>
      <x:c r="C1044" s="82" t="n">
        <x:v>1</x:v>
      </x:c>
      <x:c r="D1044" s="82" t="n">
        <x:v>1</x:v>
      </x:c>
      <x:c r="E1044" s="67" t="n">
        <x:v>0</x:v>
      </x:c>
      <x:c r="F1044" s="181" t="n">
        <x:v>0</x:v>
      </x:c>
      <x:c r="G1044" s="67" t="n">
        <x:v>0</x:v>
      </x:c>
      <x:c r="H1044"/>
      <x:c r="I1044" s="65" t="n">
        <x:v>875</x:v>
      </x:c>
      <x:c r="J1044" s="65" t="str">
        <x:v>萨卡特卡斯矿工（Mineros de Zacatecas）</x:v>
      </x:c>
      <x:c r="K1044" s="82" t="n">
        <x:v>2</x:v>
      </x:c>
      <x:c r="L1044" s="82" t="n">
        <x:v>2</x:v>
      </x:c>
      <x:c r="M1044" s="67" t="n">
        <x:v>0</x:v>
      </x:c>
      <x:c r="N1044" s="181" t="n">
        <x:v>0.5</x:v>
      </x:c>
      <x:c r="O1044" s="67" t="n">
        <x:v>0</x:v>
      </x:c>
    </x:row>
    <x:row r="1045" ht="24" customHeight="1">
      <x:c r="A1045" s="65" t="n">
        <x:v>876</x:v>
      </x:c>
      <x:c r="B1045" s="65" t="str">
        <x:v>埃文代尔</x:v>
      </x:c>
      <x:c r="C1045" s="82" t="n">
        <x:v>1</x:v>
      </x:c>
      <x:c r="D1045" s="82" t="n">
        <x:v>1</x:v>
      </x:c>
      <x:c r="E1045" s="67" t="n">
        <x:v>0</x:v>
      </x:c>
      <x:c r="F1045" s="181" t="n">
        <x:v>0</x:v>
      </x:c>
      <x:c r="G1045" s="67" t="n">
        <x:v>0</x:v>
      </x:c>
      <x:c r="H1045"/>
      <x:c r="I1045" s="65" t="n">
        <x:v>876</x:v>
      </x:c>
      <x:c r="J1045" s="65" t="str">
        <x:v>萨斯菲尔德（Vélez Sarsfield）</x:v>
      </x:c>
      <x:c r="K1045" s="82" t="n">
        <x:v>2</x:v>
      </x:c>
      <x:c r="L1045" s="82" t="n">
        <x:v>2</x:v>
      </x:c>
      <x:c r="M1045" s="67" t="n">
        <x:v>0</x:v>
      </x:c>
      <x:c r="N1045" s="181" t="n">
        <x:v>0.5</x:v>
      </x:c>
      <x:c r="O1045" s="67" t="n">
        <x:v>0</x:v>
      </x:c>
    </x:row>
    <x:row r="1046" ht="24" customHeight="1">
      <x:c r="A1046" s="65" t="n">
        <x:v>877</x:v>
      </x:c>
      <x:c r="B1046" s="65" t="str">
        <x:v>塞伊奈约基（SJK）</x:v>
      </x:c>
      <x:c r="C1046" s="82" t="n">
        <x:v>1</x:v>
      </x:c>
      <x:c r="D1046" s="82" t="n">
        <x:v>1</x:v>
      </x:c>
      <x:c r="E1046" s="67" t="n">
        <x:v>0</x:v>
      </x:c>
      <x:c r="F1046" s="181" t="n">
        <x:v>0</x:v>
      </x:c>
      <x:c r="G1046" s="67" t="n">
        <x:v>0</x:v>
      </x:c>
      <x:c r="H1046"/>
      <x:c r="I1046" s="65" t="n">
        <x:v>877</x:v>
      </x:c>
      <x:c r="J1046" s="65" t="str">
        <x:v>葡萄牙</x:v>
      </x:c>
      <x:c r="K1046" s="82" t="n">
        <x:v>2</x:v>
      </x:c>
      <x:c r="L1046" s="82" t="n">
        <x:v>2</x:v>
      </x:c>
      <x:c r="M1046" s="67" t="n">
        <x:v>0</x:v>
      </x:c>
      <x:c r="N1046" s="181" t="n">
        <x:v>0.5</x:v>
      </x:c>
      <x:c r="O1046" s="67" t="n">
        <x:v>0</x:v>
      </x:c>
    </x:row>
    <x:row r="1047" ht="24" customHeight="1">
      <x:c r="A1047" s="65" t="n">
        <x:v>878</x:v>
      </x:c>
      <x:c r="B1047" s="65" t="str">
        <x:v>奥卢</x:v>
      </x:c>
      <x:c r="C1047" s="82" t="n">
        <x:v>1</x:v>
      </x:c>
      <x:c r="D1047" s="82" t="n">
        <x:v>1</x:v>
      </x:c>
      <x:c r="E1047" s="67" t="n">
        <x:v>0</x:v>
      </x:c>
      <x:c r="F1047" s="181" t="n">
        <x:v>0</x:v>
      </x:c>
      <x:c r="G1047" s="67" t="n">
        <x:v>0</x:v>
      </x:c>
      <x:c r="H1047"/>
      <x:c r="I1047" s="65" t="n">
        <x:v>878</x:v>
      </x:c>
      <x:c r="J1047" s="65" t="str">
        <x:v>蒙特雷（CF Monterrey）</x:v>
      </x:c>
      <x:c r="K1047" s="82" t="n">
        <x:v>2</x:v>
      </x:c>
      <x:c r="L1047" s="82" t="n">
        <x:v>2</x:v>
      </x:c>
      <x:c r="M1047" s="67" t="n">
        <x:v>0</x:v>
      </x:c>
      <x:c r="N1047" s="181" t="n">
        <x:v>0.5</x:v>
      </x:c>
      <x:c r="O1047" s="67" t="n">
        <x:v>0</x:v>
      </x:c>
    </x:row>
    <x:row r="1048" ht="24" customHeight="1">
      <x:c r="A1048" s="65" t="n">
        <x:v>879</x:v>
      </x:c>
      <x:c r="B1048" s="65" t="str">
        <x:v>奥胡斯（AGF Aarhus）</x:v>
      </x:c>
      <x:c r="C1048" s="82" t="n">
        <x:v>1</x:v>
      </x:c>
      <x:c r="D1048" s="82" t="n">
        <x:v>1</x:v>
      </x:c>
      <x:c r="E1048" s="67" t="n">
        <x:v>0</x:v>
      </x:c>
      <x:c r="F1048" s="181" t="n">
        <x:v>0</x:v>
      </x:c>
      <x:c r="G1048" s="67" t="n">
        <x:v>0</x:v>
      </x:c>
      <x:c r="H1048"/>
      <x:c r="I1048" s="65" t="n">
        <x:v>879</x:v>
      </x:c>
      <x:c r="J1048" s="65" t="str">
        <x:v>詹谢普尔FC</x:v>
      </x:c>
      <x:c r="K1048" s="82" t="n">
        <x:v>2</x:v>
      </x:c>
      <x:c r="L1048" s="82" t="n">
        <x:v>2</x:v>
      </x:c>
      <x:c r="M1048" s="67" t="n">
        <x:v>0</x:v>
      </x:c>
      <x:c r="N1048" s="181" t="n">
        <x:v>0.5</x:v>
      </x:c>
      <x:c r="O1048" s="67" t="n">
        <x:v>0</x:v>
      </x:c>
    </x:row>
    <x:row r="1049" ht="24" customHeight="1">
      <x:c r="A1049" s="65" t="n">
        <x:v>880</x:v>
      </x:c>
      <x:c r="B1049" s="65" t="str">
        <x:v>孟买城FC</x:v>
      </x:c>
      <x:c r="C1049" s="82" t="n">
        <x:v>1</x:v>
      </x:c>
      <x:c r="D1049" s="82" t="n">
        <x:v>1</x:v>
      </x:c>
      <x:c r="E1049" s="67" t="n">
        <x:v>0</x:v>
      </x:c>
      <x:c r="F1049" s="181" t="n">
        <x:v>0</x:v>
      </x:c>
      <x:c r="G1049" s="67" t="n">
        <x:v>0</x:v>
      </x:c>
      <x:c r="H1049"/>
      <x:c r="I1049" s="65" t="n">
        <x:v>880</x:v>
      </x:c>
      <x:c r="J1049" s="65" t="str">
        <x:v>诺丁汉森林</x:v>
      </x:c>
      <x:c r="K1049" s="82" t="n">
        <x:v>2</x:v>
      </x:c>
      <x:c r="L1049" s="82" t="n">
        <x:v>2</x:v>
      </x:c>
      <x:c r="M1049" s="67" t="n">
        <x:v>0</x:v>
      </x:c>
      <x:c r="N1049" s="181" t="n">
        <x:v>0.5</x:v>
      </x:c>
      <x:c r="O1049" s="67" t="n">
        <x:v>0</x:v>
      </x:c>
    </x:row>
    <x:row r="1050" ht="24" customHeight="1">
      <x:c r="A1050" s="65" t="n">
        <x:v>881</x:v>
      </x:c>
      <x:c r="B1050" s="65" t="str">
        <x:v>尤文图德（拉斯彼德拉斯）（Juventud de Las Piedras）</x:v>
      </x:c>
      <x:c r="C1050" s="82" t="n">
        <x:v>1</x:v>
      </x:c>
      <x:c r="D1050" s="82" t="n">
        <x:v>1</x:v>
      </x:c>
      <x:c r="E1050" s="67" t="n">
        <x:v>0</x:v>
      </x:c>
      <x:c r="F1050" s="181" t="n">
        <x:v>0</x:v>
      </x:c>
      <x:c r="G1050" s="67" t="n">
        <x:v>0</x:v>
      </x:c>
      <x:c r="H1050"/>
      <x:c r="I1050" s="65" t="n">
        <x:v>881</x:v>
      </x:c>
      <x:c r="J1050" s="65" t="str">
        <x:v>诺维奇城</x:v>
      </x:c>
      <x:c r="K1050" s="82" t="n">
        <x:v>2</x:v>
      </x:c>
      <x:c r="L1050" s="82" t="n">
        <x:v>2</x:v>
      </x:c>
      <x:c r="M1050" s="67" t="n">
        <x:v>0</x:v>
      </x:c>
      <x:c r="N1050" s="181" t="n">
        <x:v>0.5</x:v>
      </x:c>
      <x:c r="O1050" s="67" t="n">
        <x:v>0</x:v>
      </x:c>
    </x:row>
    <x:row r="1051" ht="24" customHeight="1">
      <x:c r="A1051" s="65" t="n">
        <x:v>882</x:v>
      </x:c>
      <x:c r="B1051" s="65" t="str">
        <x:v>德文波特城</x:v>
      </x:c>
      <x:c r="C1051" s="82" t="n">
        <x:v>1</x:v>
      </x:c>
      <x:c r="D1051" s="82" t="n">
        <x:v>1</x:v>
      </x:c>
      <x:c r="E1051" s="67" t="n">
        <x:v>0</x:v>
      </x:c>
      <x:c r="F1051" s="181" t="n">
        <x:v>0</x:v>
      </x:c>
      <x:c r="G1051" s="67" t="n">
        <x:v>0</x:v>
      </x:c>
      <x:c r="H1051"/>
      <x:c r="I1051" s="65" t="n">
        <x:v>882</x:v>
      </x:c>
      <x:c r="J1051" s="65" t="str">
        <x:v>谢周三</x:v>
      </x:c>
      <x:c r="K1051" s="82" t="n">
        <x:v>2</x:v>
      </x:c>
      <x:c r="L1051" s="82" t="n">
        <x:v>2</x:v>
      </x:c>
      <x:c r="M1051" s="67" t="n">
        <x:v>0</x:v>
      </x:c>
      <x:c r="N1051" s="181" t="n">
        <x:v>0.5</x:v>
      </x:c>
      <x:c r="O1051" s="67" t="n">
        <x:v>0</x:v>
      </x:c>
    </x:row>
    <x:row r="1052" ht="24" customHeight="1">
      <x:c r="A1052" s="65" t="n">
        <x:v>883</x:v>
      </x:c>
      <x:c r="B1052" s="65" t="str">
        <x:v>拉查武里（Ratchaburi FC）</x:v>
      </x:c>
      <x:c r="C1052" s="82" t="n">
        <x:v>1</x:v>
      </x:c>
      <x:c r="D1052" s="82" t="n">
        <x:v>1</x:v>
      </x:c>
      <x:c r="E1052" s="67" t="n">
        <x:v>0</x:v>
      </x:c>
      <x:c r="F1052" s="181" t="n">
        <x:v>0</x:v>
      </x:c>
      <x:c r="G1052" s="67" t="n">
        <x:v>0</x:v>
      </x:c>
      <x:c r="H1052"/>
      <x:c r="I1052" s="65" t="n">
        <x:v>883</x:v>
      </x:c>
      <x:c r="J1052" s="65" t="str">
        <x:v>贝尔格拉诺（Belgrano）</x:v>
      </x:c>
      <x:c r="K1052" s="82" t="n">
        <x:v>4</x:v>
      </x:c>
      <x:c r="L1052" s="82" t="n">
        <x:v>4</x:v>
      </x:c>
      <x:c r="M1052" s="67" t="n">
        <x:v>0</x:v>
      </x:c>
      <x:c r="N1052" s="181" t="n">
        <x:v>0.5</x:v>
      </x:c>
      <x:c r="O1052" s="67" t="n">
        <x:v>0</x:v>
      </x:c>
    </x:row>
    <x:row r="1053" ht="24" customHeight="1">
      <x:c r="A1053" s="65" t="n">
        <x:v>884</x:v>
      </x:c>
      <x:c r="B1053" s="65" t="str">
        <x:v>新圣徒（The New Saints）</x:v>
      </x:c>
      <x:c r="C1053" s="82" t="n">
        <x:v>1</x:v>
      </x:c>
      <x:c r="D1053" s="82" t="n">
        <x:v>1</x:v>
      </x:c>
      <x:c r="E1053" s="67" t="n">
        <x:v>0</x:v>
      </x:c>
      <x:c r="F1053" s="181" t="n">
        <x:v>0</x:v>
      </x:c>
      <x:c r="G1053" s="67" t="n">
        <x:v>0</x:v>
      </x:c>
      <x:c r="H1053"/>
      <x:c r="I1053" s="65" t="n">
        <x:v>884</x:v>
      </x:c>
      <x:c r="J1053" s="65" t="str">
        <x:v>费城联合（Philadelphia Union）</x:v>
      </x:c>
      <x:c r="K1053" s="82" t="n">
        <x:v>2</x:v>
      </x:c>
      <x:c r="L1053" s="82" t="n">
        <x:v>2</x:v>
      </x:c>
      <x:c r="M1053" s="67" t="n">
        <x:v>0</x:v>
      </x:c>
      <x:c r="N1053" s="181" t="n">
        <x:v>0.5</x:v>
      </x:c>
      <x:c r="O1053" s="67" t="n">
        <x:v>0</x:v>
      </x:c>
    </x:row>
    <x:row r="1054" ht="24" customHeight="1">
      <x:c r="A1054" s="65" t="n">
        <x:v>885</x:v>
      </x:c>
      <x:c r="B1054" s="65" t="str">
        <x:v>未来FC（Modern Sport FC）</x:v>
      </x:c>
      <x:c r="C1054" s="82" t="n">
        <x:v>1</x:v>
      </x:c>
      <x:c r="D1054" s="82" t="n">
        <x:v>1</x:v>
      </x:c>
      <x:c r="E1054" s="67" t="n">
        <x:v>0</x:v>
      </x:c>
      <x:c r="F1054" s="181" t="n">
        <x:v>0</x:v>
      </x:c>
      <x:c r="G1054" s="67" t="n">
        <x:v>0</x:v>
      </x:c>
      <x:c r="H1054"/>
      <x:c r="I1054" s="65" t="n">
        <x:v>885</x:v>
      </x:c>
      <x:c r="J1054" s="65" t="str">
        <x:v>赛那乔其（SJK Seinäjoki）</x:v>
      </x:c>
      <x:c r="K1054" s="82" t="n">
        <x:v>2</x:v>
      </x:c>
      <x:c r="L1054" s="82" t="n">
        <x:v>2</x:v>
      </x:c>
      <x:c r="M1054" s="67" t="n">
        <x:v>0</x:v>
      </x:c>
      <x:c r="N1054" s="181" t="n">
        <x:v>0.5</x:v>
      </x:c>
      <x:c r="O1054" s="67" t="n">
        <x:v>0</x:v>
      </x:c>
    </x:row>
    <x:row r="1055" ht="24" customHeight="1">
      <x:c r="A1055" s="65" t="n">
        <x:v>886</x:v>
      </x:c>
      <x:c r="B1055" s="65" t="str">
        <x:v>果阿</x:v>
      </x:c>
      <x:c r="C1055" s="82" t="n">
        <x:v>1</x:v>
      </x:c>
      <x:c r="D1055" s="82" t="n">
        <x:v>1</x:v>
      </x:c>
      <x:c r="E1055" s="67" t="n">
        <x:v>0</x:v>
      </x:c>
      <x:c r="F1055" s="181" t="n">
        <x:v>0</x:v>
      </x:c>
      <x:c r="G1055" s="67" t="n">
        <x:v>0</x:v>
      </x:c>
      <x:c r="H1055"/>
      <x:c r="I1055" s="65" t="n">
        <x:v>886</x:v>
      </x:c>
      <x:c r="J1055" s="65" t="str">
        <x:v>赫尔城（Hull City）</x:v>
      </x:c>
      <x:c r="K1055" s="82" t="n">
        <x:v>8</x:v>
      </x:c>
      <x:c r="L1055" s="82" t="n">
        <x:v>8</x:v>
      </x:c>
      <x:c r="M1055" s="67" t="n">
        <x:v>0</x:v>
      </x:c>
      <x:c r="N1055" s="181" t="n">
        <x:v>0.5</x:v>
      </x:c>
      <x:c r="O1055" s="67" t="n">
        <x:v>0</x:v>
      </x:c>
    </x:row>
    <x:row r="1056" ht="24" customHeight="1">
      <x:c r="A1056" s="65" t="n">
        <x:v>887</x:v>
      </x:c>
      <x:c r="B1056" s="65" t="str">
        <x:v>欧登赛（Odense BK/OB）</x:v>
      </x:c>
      <x:c r="C1056" s="82" t="n">
        <x:v>1</x:v>
      </x:c>
      <x:c r="D1056" s="82" t="n">
        <x:v>1</x:v>
      </x:c>
      <x:c r="E1056" s="67" t="n">
        <x:v>0</x:v>
      </x:c>
      <x:c r="F1056" s="181" t="n">
        <x:v>0</x:v>
      </x:c>
      <x:c r="G1056" s="67" t="n">
        <x:v>0</x:v>
      </x:c>
      <x:c r="H1056"/>
      <x:c r="I1056" s="65" t="n">
        <x:v>887</x:v>
      </x:c>
      <x:c r="J1056" s="65" t="str">
        <x:v>达努比奥（Danubio FC）</x:v>
      </x:c>
      <x:c r="K1056" s="82" t="n">
        <x:v>2</x:v>
      </x:c>
      <x:c r="L1056" s="82" t="n">
        <x:v>2</x:v>
      </x:c>
      <x:c r="M1056" s="67" t="n">
        <x:v>0</x:v>
      </x:c>
      <x:c r="N1056" s="181" t="n">
        <x:v>0.5</x:v>
      </x:c>
      <x:c r="O1056" s="67" t="n">
        <x:v>0</x:v>
      </x:c>
    </x:row>
    <x:row r="1057" ht="24" customHeight="1">
      <x:c r="A1057" s="65" t="n">
        <x:v>888</x:v>
      </x:c>
      <x:c r="B1057" s="65" t="str">
        <x:v>江原FC</x:v>
      </x:c>
      <x:c r="C1057" s="82" t="n">
        <x:v>1</x:v>
      </x:c>
      <x:c r="D1057" s="82" t="n">
        <x:v>1</x:v>
      </x:c>
      <x:c r="E1057" s="67" t="n">
        <x:v>0</x:v>
      </x:c>
      <x:c r="F1057" s="181" t="n">
        <x:v>0</x:v>
      </x:c>
      <x:c r="G1057" s="67" t="n">
        <x:v>0</x:v>
      </x:c>
      <x:c r="H1057"/>
      <x:c r="I1057" s="65" t="n">
        <x:v>888</x:v>
      </x:c>
      <x:c r="J1057" s="65" t="str">
        <x:v>达姆施塔特98（SV Darmstadt 98）</x:v>
      </x:c>
      <x:c r="K1057" s="82" t="n">
        <x:v>2</x:v>
      </x:c>
      <x:c r="L1057" s="82" t="n">
        <x:v>2</x:v>
      </x:c>
      <x:c r="M1057" s="67" t="n">
        <x:v>0</x:v>
      </x:c>
      <x:c r="N1057" s="181" t="n">
        <x:v>0.5</x:v>
      </x:c>
      <x:c r="O1057" s="67" t="n">
        <x:v>0</x:v>
      </x:c>
    </x:row>
    <x:row r="1058" ht="24" customHeight="1">
      <x:c r="A1058" s="65" t="n">
        <x:v>889</x:v>
      </x:c>
      <x:c r="B1058" s="65" t="str">
        <x:v>洛杉矶FC（Los Angeles FC）</x:v>
      </x:c>
      <x:c r="C1058" s="82" t="n">
        <x:v>1</x:v>
      </x:c>
      <x:c r="D1058" s="82" t="n">
        <x:v>1</x:v>
      </x:c>
      <x:c r="E1058" s="67" t="n">
        <x:v>0</x:v>
      </x:c>
      <x:c r="F1058" s="181" t="n">
        <x:v>0</x:v>
      </x:c>
      <x:c r="G1058" s="67" t="n">
        <x:v>0</x:v>
      </x:c>
      <x:c r="H1058"/>
      <x:c r="I1058" s="65" t="n">
        <x:v>889</x:v>
      </x:c>
      <x:c r="J1058" s="65" t="str">
        <x:v>达拉斯FC（FC Dallas）</x:v>
      </x:c>
      <x:c r="K1058" s="82" t="n">
        <x:v>2</x:v>
      </x:c>
      <x:c r="L1058" s="82" t="n">
        <x:v>2</x:v>
      </x:c>
      <x:c r="M1058" s="67" t="n">
        <x:v>0</x:v>
      </x:c>
      <x:c r="N1058" s="181" t="n">
        <x:v>0.5</x:v>
      </x:c>
      <x:c r="O1058" s="67" t="n">
        <x:v>0</x:v>
      </x:c>
    </x:row>
    <x:row r="1059" ht="24" customHeight="1">
      <x:c r="A1059" s="65" t="n">
        <x:v>890</x:v>
      </x:c>
      <x:c r="B1059" s="65" t="str">
        <x:v>清奈泰坦</x:v>
      </x:c>
      <x:c r="C1059" s="82" t="n">
        <x:v>1</x:v>
      </x:c>
      <x:c r="D1059" s="82" t="n">
        <x:v>1</x:v>
      </x:c>
      <x:c r="E1059" s="67" t="n">
        <x:v>0</x:v>
      </x:c>
      <x:c r="F1059" s="181" t="n">
        <x:v>0</x:v>
      </x:c>
      <x:c r="G1059" s="67" t="n">
        <x:v>0</x:v>
      </x:c>
      <x:c r="H1059"/>
      <x:c r="I1059" s="65" t="n">
        <x:v>890</x:v>
      </x:c>
      <x:c r="J1059" s="65" t="str">
        <x:v>那不勒斯（Napoli）</x:v>
      </x:c>
      <x:c r="K1059" s="82" t="n">
        <x:v>4</x:v>
      </x:c>
      <x:c r="L1059" s="82" t="n">
        <x:v>4</x:v>
      </x:c>
      <x:c r="M1059" s="67" t="n">
        <x:v>0</x:v>
      </x:c>
      <x:c r="N1059" s="181" t="n">
        <x:v>0.5</x:v>
      </x:c>
      <x:c r="O1059" s="67" t="n">
        <x:v>0</x:v>
      </x:c>
    </x:row>
    <x:row r="1060" ht="24" customHeight="1">
      <x:c r="A1060" s="65" t="n">
        <x:v>891</x:v>
      </x:c>
      <x:c r="B1060" s="65" t="str">
        <x:v>湾水市（Bayswater City）</x:v>
      </x:c>
      <x:c r="C1060" s="82" t="n">
        <x:v>1</x:v>
      </x:c>
      <x:c r="D1060" s="82" t="n">
        <x:v>1</x:v>
      </x:c>
      <x:c r="E1060" s="67" t="n">
        <x:v>0</x:v>
      </x:c>
      <x:c r="F1060" s="181" t="n">
        <x:v>0</x:v>
      </x:c>
      <x:c r="G1060" s="67" t="n">
        <x:v>0</x:v>
      </x:c>
      <x:c r="H1060"/>
      <x:c r="I1060" s="65" t="n">
        <x:v>891</x:v>
      </x:c>
      <x:c r="J1060" s="65" t="str">
        <x:v>钦奈泰坦</x:v>
      </x:c>
      <x:c r="K1060" s="82" t="n">
        <x:v>2</x:v>
      </x:c>
      <x:c r="L1060" s="82" t="n">
        <x:v>2</x:v>
      </x:c>
      <x:c r="M1060" s="67" t="n">
        <x:v>0</x:v>
      </x:c>
      <x:c r="N1060" s="181" t="n">
        <x:v>0.5</x:v>
      </x:c>
      <x:c r="O1060" s="67" t="n">
        <x:v>0</x:v>
      </x:c>
    </x:row>
    <x:row r="1061" ht="24" customHeight="1">
      <x:c r="A1061" s="65" t="n">
        <x:v>892</x:v>
      </x:c>
      <x:c r="B1061" s="65" t="str">
        <x:v>特帕蒂特兰FC（Tepatitlán FC）</x:v>
      </x:c>
      <x:c r="C1061" s="82" t="n">
        <x:v>1</x:v>
      </x:c>
      <x:c r="D1061" s="82" t="n">
        <x:v>1</x:v>
      </x:c>
      <x:c r="E1061" s="67" t="n">
        <x:v>0</x:v>
      </x:c>
      <x:c r="F1061" s="181" t="n">
        <x:v>0</x:v>
      </x:c>
      <x:c r="G1061" s="67" t="n">
        <x:v>0</x:v>
      </x:c>
      <x:c r="H1061"/>
      <x:c r="I1061" s="65" t="n">
        <x:v>892</x:v>
      </x:c>
      <x:c r="J1061" s="65" t="str">
        <x:v>阿利安萨</x:v>
      </x:c>
      <x:c r="K1061" s="82" t="n">
        <x:v>2</x:v>
      </x:c>
      <x:c r="L1061" s="82" t="n">
        <x:v>2</x:v>
      </x:c>
      <x:c r="M1061" s="67" t="n">
        <x:v>0</x:v>
      </x:c>
      <x:c r="N1061" s="181" t="n">
        <x:v>0.5</x:v>
      </x:c>
      <x:c r="O1061" s="67" t="n">
        <x:v>0</x:v>
      </x:c>
    </x:row>
    <x:row r="1062" ht="24" customHeight="1">
      <x:c r="A1062" s="65" t="n">
        <x:v>893</x:v>
      </x:c>
      <x:c r="B1062" s="65" t="str">
        <x:v>特拉卡拉（Coyotes de Tlaxcala）</x:v>
      </x:c>
      <x:c r="C1062" s="82" t="n">
        <x:v>1</x:v>
      </x:c>
      <x:c r="D1062" s="82" t="n">
        <x:v>1</x:v>
      </x:c>
      <x:c r="E1062" s="67" t="n">
        <x:v>0</x:v>
      </x:c>
      <x:c r="F1062" s="181" t="n">
        <x:v>0</x:v>
      </x:c>
      <x:c r="G1062" s="67" t="n">
        <x:v>0</x:v>
      </x:c>
      <x:c r="H1062"/>
      <x:c r="I1062" s="65" t="n">
        <x:v>893</x:v>
      </x:c>
      <x:c r="J1062" s="65" t="str">
        <x:v>阿德莱德联</x:v>
      </x:c>
      <x:c r="K1062" s="82" t="n">
        <x:v>6</x:v>
      </x:c>
      <x:c r="L1062" s="82" t="n">
        <x:v>6</x:v>
      </x:c>
      <x:c r="M1062" s="67" t="n">
        <x:v>0</x:v>
      </x:c>
      <x:c r="N1062" s="181" t="n">
        <x:v>0.5</x:v>
      </x:c>
      <x:c r="O1062" s="67" t="n">
        <x:v>0</x:v>
      </x:c>
    </x:row>
    <x:row r="1063" ht="24" customHeight="1">
      <x:c r="A1063" s="65" t="n">
        <x:v>894</x:v>
      </x:c>
      <x:c r="B1063" s="65" t="str">
        <x:v>玛丽港</x:v>
      </x:c>
      <x:c r="C1063" s="82" t="n">
        <x:v>1</x:v>
      </x:c>
      <x:c r="D1063" s="82" t="n">
        <x:v>1</x:v>
      </x:c>
      <x:c r="E1063" s="67" t="n">
        <x:v>0</x:v>
      </x:c>
      <x:c r="F1063" s="181" t="n">
        <x:v>0</x:v>
      </x:c>
      <x:c r="G1063" s="67" t="n">
        <x:v>0</x:v>
      </x:c>
      <x:c r="H1063"/>
      <x:c r="I1063" s="65" t="n">
        <x:v>894</x:v>
      </x:c>
      <x:c r="J1063" s="65" t="str">
        <x:v>阿拉特亚美尼亚（Ararat-Armenia）</x:v>
      </x:c>
      <x:c r="K1063" s="82" t="n">
        <x:v>2</x:v>
      </x:c>
      <x:c r="L1063" s="82" t="n">
        <x:v>2</x:v>
      </x:c>
      <x:c r="M1063" s="67" t="n">
        <x:v>0</x:v>
      </x:c>
      <x:c r="N1063" s="181" t="n">
        <x:v>0.5</x:v>
      </x:c>
      <x:c r="O1063" s="67" t="n">
        <x:v>0</x:v>
      </x:c>
    </x:row>
    <x:row r="1064" ht="24" customHeight="1">
      <x:c r="A1064" s="65" t="n">
        <x:v>895</x:v>
      </x:c>
      <x:c r="B1064" s="65" t="str">
        <x:v>玻利瓦尔（Club Bolívar）</x:v>
      </x:c>
      <x:c r="C1064" s="82" t="n">
        <x:v>1</x:v>
      </x:c>
      <x:c r="D1064" s="82" t="n">
        <x:v>1</x:v>
      </x:c>
      <x:c r="E1064" s="67" t="n">
        <x:v>0</x:v>
      </x:c>
      <x:c r="F1064" s="181" t="n">
        <x:v>0</x:v>
      </x:c>
      <x:c r="G1064" s="67" t="n">
        <x:v>0</x:v>
      </x:c>
      <x:c r="H1064"/>
      <x:c r="I1064" s="65" t="n">
        <x:v>895</x:v>
      </x:c>
      <x:c r="J1064" s="65" t="str">
        <x:v>阿斯顿维拉</x:v>
      </x:c>
      <x:c r="K1064" s="82" t="n">
        <x:v>2</x:v>
      </x:c>
      <x:c r="L1064" s="82" t="n">
        <x:v>2</x:v>
      </x:c>
      <x:c r="M1064" s="67" t="n">
        <x:v>0</x:v>
      </x:c>
      <x:c r="N1064" s="181" t="n">
        <x:v>0.5</x:v>
      </x:c>
      <x:c r="O1064" s="67" t="n">
        <x:v>0</x:v>
      </x:c>
    </x:row>
    <x:row r="1065" ht="24" customHeight="1">
      <x:c r="A1065" s="65" t="n">
        <x:v>896</x:v>
      </x:c>
      <x:c r="B1065" s="65" t="str">
        <x:v>瑞模贝雷</x:v>
      </x:c>
      <x:c r="C1065" s="82" t="n">
        <x:v>1</x:v>
      </x:c>
      <x:c r="D1065" s="82" t="n">
        <x:v>1</x:v>
      </x:c>
      <x:c r="E1065" s="67" t="n">
        <x:v>0</x:v>
      </x:c>
      <x:c r="F1065" s="181" t="n">
        <x:v>0</x:v>
      </x:c>
      <x:c r="G1065" s="67" t="n">
        <x:v>0</x:v>
      </x:c>
      <x:c r="H1065"/>
      <x:c r="I1065" s="65" t="n">
        <x:v>896</x:v>
      </x:c>
      <x:c r="J1065" s="65" t="str">
        <x:v>阿根廷青年人</x:v>
      </x:c>
      <x:c r="K1065" s="82" t="n">
        <x:v>4</x:v>
      </x:c>
      <x:c r="L1065" s="82" t="n">
        <x:v>4</x:v>
      </x:c>
      <x:c r="M1065" s="67" t="n">
        <x:v>0</x:v>
      </x:c>
      <x:c r="N1065" s="181" t="n">
        <x:v>0.5</x:v>
      </x:c>
      <x:c r="O1065" s="67" t="n">
        <x:v>0</x:v>
      </x:c>
    </x:row>
    <x:row r="1066" ht="24" customHeight="1">
      <x:c r="A1066" s="65" t="n">
        <x:v>897</x:v>
      </x:c>
      <x:c r="B1066" s="65" t="str">
        <x:v>秋田蓝闪电（Blaublitz Akita）</x:v>
      </x:c>
      <x:c r="C1066" s="82" t="n">
        <x:v>1</x:v>
      </x:c>
      <x:c r="D1066" s="82" t="n">
        <x:v>1</x:v>
      </x:c>
      <x:c r="E1066" s="67" t="n">
        <x:v>0</x:v>
      </x:c>
      <x:c r="F1066" s="181" t="n">
        <x:v>0</x:v>
      </x:c>
      <x:c r="G1066" s="67" t="n">
        <x:v>0</x:v>
      </x:c>
      <x:c r="H1066"/>
      <x:c r="I1066" s="65" t="n">
        <x:v>897</x:v>
      </x:c>
      <x:c r="J1066" s="65" t="str">
        <x:v>阿森纳（Arsenal）</x:v>
      </x:c>
      <x:c r="K1066" s="82" t="n">
        <x:v>8</x:v>
      </x:c>
      <x:c r="L1066" s="82" t="n">
        <x:v>8</x:v>
      </x:c>
      <x:c r="M1066" s="67" t="n">
        <x:v>0</x:v>
      </x:c>
      <x:c r="N1066" s="181" t="n">
        <x:v>0.5</x:v>
      </x:c>
      <x:c r="O1066" s="67" t="n">
        <x:v>0</x:v>
      </x:c>
    </x:row>
    <x:row r="1067" ht="24" customHeight="1">
      <x:c r="A1067" s="65" t="n">
        <x:v>898</x:v>
      </x:c>
      <x:c r="B1067" s="65" t="str">
        <x:v>竞技俱乐部（阿韦亚内达）（Racing Club）</x:v>
      </x:c>
      <x:c r="C1067" s="82" t="n">
        <x:v>1</x:v>
      </x:c>
      <x:c r="D1067" s="82" t="n">
        <x:v>1</x:v>
      </x:c>
      <x:c r="E1067" s="67" t="n">
        <x:v>0</x:v>
      </x:c>
      <x:c r="F1067" s="181" t="n">
        <x:v>0</x:v>
      </x:c>
      <x:c r="G1067" s="67" t="n">
        <x:v>0</x:v>
      </x:c>
      <x:c r="H1067"/>
      <x:c r="I1067" s="65" t="n">
        <x:v>898</x:v>
      </x:c>
      <x:c r="J1067" s="65" t="str">
        <x:v>阿特拉斯</x:v>
      </x:c>
      <x:c r="K1067" s="82" t="n">
        <x:v>8</x:v>
      </x:c>
      <x:c r="L1067" s="82" t="n">
        <x:v>8</x:v>
      </x:c>
      <x:c r="M1067" s="67" t="n">
        <x:v>0</x:v>
      </x:c>
      <x:c r="N1067" s="181" t="n">
        <x:v>0.5</x:v>
      </x:c>
      <x:c r="O1067" s="67" t="n">
        <x:v>0</x:v>
      </x:c>
    </x:row>
    <x:row r="1068" ht="24" customHeight="1">
      <x:c r="A1068" s="65" t="n">
        <x:v>899</x:v>
      </x:c>
      <x:c r="B1068" s="65" t="str">
        <x:v>索伦托FC（Sorrento FC）</x:v>
      </x:c>
      <x:c r="C1068" s="82" t="n">
        <x:v>1</x:v>
      </x:c>
      <x:c r="D1068" s="82" t="n">
        <x:v>1</x:v>
      </x:c>
      <x:c r="E1068" s="67" t="n">
        <x:v>0</x:v>
      </x:c>
      <x:c r="F1068" s="181" t="n">
        <x:v>0</x:v>
      </x:c>
      <x:c r="G1068" s="67" t="n">
        <x:v>0</x:v>
      </x:c>
      <x:c r="H1068"/>
      <x:c r="I1068" s="65" t="n">
        <x:v>899</x:v>
      </x:c>
      <x:c r="J1068" s="65" t="str">
        <x:v>青岛西海岸</x:v>
      </x:c>
      <x:c r="K1068" s="82" t="n">
        <x:v>4</x:v>
      </x:c>
      <x:c r="L1068" s="82" t="n">
        <x:v>4</x:v>
      </x:c>
      <x:c r="M1068" s="67" t="n">
        <x:v>0</x:v>
      </x:c>
      <x:c r="N1068" s="181" t="n">
        <x:v>0.5</x:v>
      </x:c>
      <x:c r="O1068" s="67" t="n">
        <x:v>0</x:v>
      </x:c>
    </x:row>
    <x:row r="1069" ht="24" customHeight="1">
      <x:c r="A1069" s="65" t="n">
        <x:v>900</x:v>
      </x:c>
      <x:c r="B1069" s="65" t="str">
        <x:v>维戈塞尔塔（Celta Vigo）</x:v>
      </x:c>
      <x:c r="C1069" s="82" t="n">
        <x:v>1</x:v>
      </x:c>
      <x:c r="D1069" s="82" t="n">
        <x:v>1</x:v>
      </x:c>
      <x:c r="E1069" s="67" t="n">
        <x:v>0</x:v>
      </x:c>
      <x:c r="F1069" s="181" t="n">
        <x:v>0</x:v>
      </x:c>
      <x:c r="G1069" s="67" t="n">
        <x:v>0</x:v>
      </x:c>
      <x:c r="H1069"/>
      <x:c r="I1069" s="65" t="n">
        <x:v>900</x:v>
      </x:c>
      <x:c r="J1069" s="65" t="str">
        <x:v>马卡拉（CSD Macará）</x:v>
      </x:c>
      <x:c r="K1069" s="82" t="n">
        <x:v>2</x:v>
      </x:c>
      <x:c r="L1069" s="82" t="n">
        <x:v>2</x:v>
      </x:c>
      <x:c r="M1069" s="67" t="n">
        <x:v>0</x:v>
      </x:c>
      <x:c r="N1069" s="181" t="n">
        <x:v>0.5</x:v>
      </x:c>
      <x:c r="O1069" s="67" t="n">
        <x:v>0</x:v>
      </x:c>
    </x:row>
    <x:row r="1070" ht="24" customHeight="1">
      <x:c r="A1070" s="65" t="n">
        <x:v>901</x:v>
      </x:c>
      <x:c r="B1070" s="65" t="str">
        <x:v>美洲狮（UNAM Pumas）</x:v>
      </x:c>
      <x:c r="C1070" s="82" t="n">
        <x:v>1</x:v>
      </x:c>
      <x:c r="D1070" s="82" t="n">
        <x:v>1</x:v>
      </x:c>
      <x:c r="E1070" s="67" t="n">
        <x:v>0</x:v>
      </x:c>
      <x:c r="F1070" s="181" t="n">
        <x:v>0</x:v>
      </x:c>
      <x:c r="G1070" s="67" t="n">
        <x:v>0</x:v>
      </x:c>
      <x:c r="H1070"/>
      <x:c r="I1070" s="65" t="n">
        <x:v>901</x:v>
      </x:c>
      <x:c r="J1070" s="65" t="str">
        <x:v>马可尼（Marconi Stallions）</x:v>
      </x:c>
      <x:c r="K1070" s="82" t="n">
        <x:v>6</x:v>
      </x:c>
      <x:c r="L1070" s="82" t="n">
        <x:v>6</x:v>
      </x:c>
      <x:c r="M1070" s="67" t="n">
        <x:v>0</x:v>
      </x:c>
      <x:c r="N1070" s="181" t="n">
        <x:v>0.5</x:v>
      </x:c>
      <x:c r="O1070" s="67" t="n">
        <x:v>0</x:v>
      </x:c>
    </x:row>
    <x:row r="1071" ht="24" customHeight="1">
      <x:c r="A1071" s="65" t="n">
        <x:v>902</x:v>
      </x:c>
      <x:c r="B1071" s="65" t="str">
        <x:v>艾华卡（FC Alverca）</x:v>
      </x:c>
      <x:c r="C1071" s="82" t="n">
        <x:v>1</x:v>
      </x:c>
      <x:c r="D1071" s="82" t="n">
        <x:v>1</x:v>
      </x:c>
      <x:c r="E1071" s="67" t="n">
        <x:v>0</x:v>
      </x:c>
      <x:c r="F1071" s="181" t="n">
        <x:v>0</x:v>
      </x:c>
      <x:c r="G1071" s="67" t="n">
        <x:v>0</x:v>
      </x:c>
      <x:c r="H1071"/>
      <x:c r="I1071" s="65" t="n">
        <x:v>902</x:v>
      </x:c>
      <x:c r="J1071" s="65" t="str">
        <x:v>马德格堡（1. FC Magdeburg）</x:v>
      </x:c>
      <x:c r="K1071" s="82" t="n">
        <x:v>2</x:v>
      </x:c>
      <x:c r="L1071" s="82" t="n">
        <x:v>2</x:v>
      </x:c>
      <x:c r="M1071" s="67" t="n">
        <x:v>0</x:v>
      </x:c>
      <x:c r="N1071" s="181" t="n">
        <x:v>0.5</x:v>
      </x:c>
      <x:c r="O1071" s="67" t="n">
        <x:v>0</x:v>
      </x:c>
    </x:row>
    <x:row r="1072" ht="24" customHeight="1">
      <x:c r="A1072" s="65" t="n">
        <x:v>903</x:v>
      </x:c>
      <x:c r="B1072" s="65" t="str">
        <x:v>莫亨巴根</x:v>
      </x:c>
      <x:c r="C1072" s="82" t="n">
        <x:v>1</x:v>
      </x:c>
      <x:c r="D1072" s="82" t="n">
        <x:v>1</x:v>
      </x:c>
      <x:c r="E1072" s="67" t="n">
        <x:v>0</x:v>
      </x:c>
      <x:c r="F1072" s="181" t="n">
        <x:v>0</x:v>
      </x:c>
      <x:c r="G1072" s="67" t="n">
        <x:v>0</x:v>
      </x:c>
      <x:c r="H1072"/>
      <x:c r="I1072" s="65" t="n">
        <x:v>903</x:v>
      </x:c>
      <x:c r="J1072" s="65" t="str">
        <x:v>马德里竞技（Atlético Madrid）</x:v>
      </x:c>
      <x:c r="K1072" s="82" t="n">
        <x:v>2</x:v>
      </x:c>
      <x:c r="L1072" s="82" t="n">
        <x:v>2</x:v>
      </x:c>
      <x:c r="M1072" s="67" t="n">
        <x:v>0</x:v>
      </x:c>
      <x:c r="N1072" s="181" t="n">
        <x:v>0.5</x:v>
      </x:c>
      <x:c r="O1072" s="67" t="n">
        <x:v>0</x:v>
      </x:c>
    </x:row>
    <x:row r="1073" ht="24" customHeight="1">
      <x:c r="A1073" s="65" t="n">
        <x:v>904</x:v>
      </x:c>
      <x:c r="B1073" s="65" t="str">
        <x:v>萨巴赫（Sabah FK）</x:v>
      </x:c>
      <x:c r="C1073" s="82" t="n">
        <x:v>1</x:v>
      </x:c>
      <x:c r="D1073" s="82" t="n">
        <x:v>1</x:v>
      </x:c>
      <x:c r="E1073" s="67" t="n">
        <x:v>0</x:v>
      </x:c>
      <x:c r="F1073" s="181" t="n">
        <x:v>0</x:v>
      </x:c>
      <x:c r="G1073" s="67" t="n">
        <x:v>0</x:v>
      </x:c>
      <x:c r="H1073"/>
      <x:c r="I1073" s="65" t="n">
        <x:v>904</x:v>
      </x:c>
      <x:c r="J1073" s="65" t="str">
        <x:v>鹿岛鹿角</x:v>
      </x:c>
      <x:c r="K1073" s="82" t="n">
        <x:v>2</x:v>
      </x:c>
      <x:c r="L1073" s="82" t="n">
        <x:v>2</x:v>
      </x:c>
      <x:c r="M1073" s="67" t="n">
        <x:v>0</x:v>
      </x:c>
      <x:c r="N1073" s="181" t="n">
        <x:v>0.5</x:v>
      </x:c>
      <x:c r="O1073" s="67" t="n">
        <x:v>0</x:v>
      </x:c>
    </x:row>
    <x:row r="1074" ht="24" customHeight="1">
      <x:c r="A1074" s="65" t="n">
        <x:v>905</x:v>
      </x:c>
      <x:c r="B1074" s="65" t="str">
        <x:v>诺维奇(诺维奇城/Norwich)</x:v>
      </x:c>
      <x:c r="C1074" s="82" t="n">
        <x:v>1</x:v>
      </x:c>
      <x:c r="D1074" s="82" t="n">
        <x:v>1</x:v>
      </x:c>
      <x:c r="E1074" s="67" t="n">
        <x:v>0</x:v>
      </x:c>
      <x:c r="F1074" s="181" t="n">
        <x:v>0</x:v>
      </x:c>
      <x:c r="G1074" s="67" t="n">
        <x:v>0</x:v>
      </x:c>
      <x:c r="H1074"/>
      <x:c r="I1074" s="65" t="n">
        <x:v>905</x:v>
      </x:c>
      <x:c r="J1074" s="65" t="str">
        <x:v>麦克阿瑟</x:v>
      </x:c>
      <x:c r="K1074" s="82" t="n">
        <x:v>2</x:v>
      </x:c>
      <x:c r="L1074" s="82" t="n">
        <x:v>2</x:v>
      </x:c>
      <x:c r="M1074" s="67" t="n">
        <x:v>0</x:v>
      </x:c>
      <x:c r="N1074" s="181" t="n">
        <x:v>0.5</x:v>
      </x:c>
      <x:c r="O1074" s="67" t="n">
        <x:v>0</x:v>
      </x:c>
    </x:row>
    <x:row r="1075" ht="24" customHeight="1">
      <x:c r="A1075" s="65" t="n">
        <x:v>906</x:v>
      </x:c>
      <x:c r="B1075" s="65" t="str">
        <x:v>谢菲尔德星期三(谢周三/Sheff Wed)</x:v>
      </x:c>
      <x:c r="C1075" s="82" t="n">
        <x:v>1</x:v>
      </x:c>
      <x:c r="D1075" s="82" t="n">
        <x:v>1</x:v>
      </x:c>
      <x:c r="E1075" s="67" t="n">
        <x:v>0</x:v>
      </x:c>
      <x:c r="F1075" s="181" t="n">
        <x:v>0</x:v>
      </x:c>
      <x:c r="G1075" s="67" t="n">
        <x:v>0</x:v>
      </x:c>
      <x:c r="H1075"/>
      <x:c r="I1075" s="65" t="n">
        <x:v>906</x:v>
      </x:c>
      <x:c r="J1075" s="65" t="str">
        <x:v>麦克阿瑟FC</x:v>
      </x:c>
      <x:c r="K1075" s="82" t="n">
        <x:v>4</x:v>
      </x:c>
      <x:c r="L1075" s="82" t="n">
        <x:v>4</x:v>
      </x:c>
      <x:c r="M1075" s="67" t="n">
        <x:v>0</x:v>
      </x:c>
      <x:c r="N1075" s="181" t="n">
        <x:v>0.5</x:v>
      </x:c>
      <x:c r="O1075" s="67" t="n">
        <x:v>0</x:v>
      </x:c>
    </x:row>
    <x:row r="1076" ht="24" customHeight="1">
      <x:c r="A1076" s="65" t="n">
        <x:v>907</x:v>
      </x:c>
      <x:c r="B1076" s="65" t="str">
        <x:v>赞岐釜玉海（Kamatamare Sanuki）</x:v>
      </x:c>
      <x:c r="C1076" s="82" t="n">
        <x:v>1</x:v>
      </x:c>
      <x:c r="D1076" s="82" t="n">
        <x:v>1</x:v>
      </x:c>
      <x:c r="E1076" s="67" t="n">
        <x:v>0</x:v>
      </x:c>
      <x:c r="F1076" s="181" t="n">
        <x:v>0</x:v>
      </x:c>
      <x:c r="G1076" s="67" t="n">
        <x:v>0</x:v>
      </x:c>
      <x:c r="H1076"/>
      <x:c r="I1076" s="65" t="n">
        <x:v>907</x:v>
      </x:c>
      <x:c r="J1076" s="65" t="str">
        <x:v>墨尔本城</x:v>
      </x:c>
      <x:c r="K1076" s="82" t="n">
        <x:v>6</x:v>
      </x:c>
      <x:c r="L1076" s="82" t="n">
        <x:v>6</x:v>
      </x:c>
      <x:c r="M1076" s="67" t="n">
        <x:v>0</x:v>
      </x:c>
      <x:c r="N1076" s="181" t="n">
        <x:v>0.5</x:v>
      </x:c>
      <x:c r="O1076" s="67" t="n">
        <x:v>0</x:v>
      </x:c>
    </x:row>
    <x:row r="1077" ht="24" customHeight="1">
      <x:c r="A1077" s="65" t="n">
        <x:v>908</x:v>
      </x:c>
      <x:c r="B1077" s="65" t="str">
        <x:v>赫尔辛基</x:v>
      </x:c>
      <x:c r="C1077" s="82" t="n">
        <x:v>1</x:v>
      </x:c>
      <x:c r="D1077" s="82" t="n">
        <x:v>1</x:v>
      </x:c>
      <x:c r="E1077" s="67" t="n">
        <x:v>0</x:v>
      </x:c>
      <x:c r="F1077" s="181" t="n">
        <x:v>0</x:v>
      </x:c>
      <x:c r="G1077" s="67" t="n">
        <x:v>0</x:v>
      </x:c>
      <x:c r="H1077"/>
      <x:c r="I1077" s="65" t="n">
        <x:v>908</x:v>
      </x:c>
      <x:c r="J1077" s="65" t="str">
        <x:v>墨尔本城（Melbourne City）</x:v>
      </x:c>
      <x:c r="K1077" s="82" t="n">
        <x:v>4</x:v>
      </x:c>
      <x:c r="L1077" s="82" t="n">
        <x:v>4</x:v>
      </x:c>
      <x:c r="M1077" s="67" t="n">
        <x:v>0</x:v>
      </x:c>
      <x:c r="N1077" s="181" t="n">
        <x:v>0.5</x:v>
      </x:c>
      <x:c r="O1077" s="67" t="n">
        <x:v>0</x:v>
      </x:c>
    </x:row>
    <x:row r="1078" ht="24" customHeight="1">
      <x:c r="A1078" s="65" t="n">
        <x:v>909</x:v>
      </x:c>
      <x:c r="B1078" s="65" t="str">
        <x:v>达克尔野(El Daklyeh)</x:v>
      </x:c>
      <x:c r="C1078" s="82" t="n">
        <x:v>1</x:v>
      </x:c>
      <x:c r="D1078" s="82" t="n">
        <x:v>1</x:v>
      </x:c>
      <x:c r="E1078" s="67" t="n">
        <x:v>0</x:v>
      </x:c>
      <x:c r="F1078" s="181" t="n">
        <x:v>0</x:v>
      </x:c>
      <x:c r="G1078" s="67" t="n">
        <x:v>0</x:v>
      </x:c>
      <x:c r="H1078"/>
      <x:c r="I1078" s="65" t="n">
        <x:v>909</x:v>
      </x:c>
      <x:c r="J1078" s="65" t="str">
        <x:v>PSM马卡萨（PSM Makassar）</x:v>
      </x:c>
      <x:c r="K1078" s="82" t="n">
        <x:v>7</x:v>
      </x:c>
      <x:c r="L1078" s="82" t="n">
        <x:v>7</x:v>
      </x:c>
      <x:c r="M1078" s="67" t="n">
        <x:v>0</x:v>
      </x:c>
      <x:c r="N1078" s="181" t="n">
        <x:v>0.42857142857142855</x:v>
      </x:c>
      <x:c r="O1078" s="67" t="n">
        <x:v>0</x:v>
      </x:c>
    </x:row>
    <x:row r="1079" ht="24" customHeight="1">
      <x:c r="A1079" s="65" t="n">
        <x:v>910</x:v>
      </x:c>
      <x:c r="B1079" s="65" t="str">
        <x:v>里加FC（Riga FC）</x:v>
      </x:c>
      <x:c r="C1079" s="82" t="n">
        <x:v>1</x:v>
      </x:c>
      <x:c r="D1079" s="82" t="n">
        <x:v>1</x:v>
      </x:c>
      <x:c r="E1079" s="67" t="n">
        <x:v>0</x:v>
      </x:c>
      <x:c r="F1079" s="181" t="n">
        <x:v>0</x:v>
      </x:c>
      <x:c r="G1079" s="67" t="n">
        <x:v>0</x:v>
      </x:c>
      <x:c r="H1079"/>
      <x:c r="I1079" s="65" t="n">
        <x:v>910</x:v>
      </x:c>
      <x:c r="J1079" s="65" t="str">
        <x:v>本特利绿茵（Bentleigh Greens）</x:v>
      </x:c>
      <x:c r="K1079" s="82" t="n">
        <x:v>5</x:v>
      </x:c>
      <x:c r="L1079" s="82" t="n">
        <x:v>5</x:v>
      </x:c>
      <x:c r="M1079" s="67" t="n">
        <x:v>0</x:v>
      </x:c>
      <x:c r="N1079" s="181" t="n">
        <x:v>0.4</x:v>
      </x:c>
      <x:c r="O1079" s="67" t="n">
        <x:v>0</x:v>
      </x:c>
    </x:row>
    <x:row r="1080" ht="24" customHeight="1">
      <x:c r="A1080" s="65" t="n">
        <x:v>911</x:v>
      </x:c>
      <x:c r="B1080" s="65" t="str">
        <x:v>金布洛治狮队</x:v>
      </x:c>
      <x:c r="C1080" s="82" t="n">
        <x:v>1</x:v>
      </x:c>
      <x:c r="D1080" s="82" t="n">
        <x:v>1</x:v>
      </x:c>
      <x:c r="E1080" s="67" t="n">
        <x:v>0</x:v>
      </x:c>
      <x:c r="F1080" s="181" t="n">
        <x:v>0</x:v>
      </x:c>
      <x:c r="G1080" s="67" t="n">
        <x:v>0</x:v>
      </x:c>
      <x:c r="H1080"/>
      <x:c r="I1080" s="65" t="n">
        <x:v>911</x:v>
      </x:c>
      <x:c r="J1080" s="65" t="str">
        <x:v>英格兰</x:v>
      </x:c>
      <x:c r="K1080" s="82" t="n">
        <x:v>6</x:v>
      </x:c>
      <x:c r="L1080" s="82" t="n">
        <x:v>5</x:v>
      </x:c>
      <x:c r="M1080" s="67" t="n">
        <x:v>0</x:v>
      </x:c>
      <x:c r="N1080" s="181" t="n">
        <x:v>0.4</x:v>
      </x:c>
      <x:c r="O1080" s="67" t="n">
        <x:v>0</x:v>
      </x:c>
    </x:row>
    <x:row r="1081" ht="24" customHeight="1">
      <x:c r="A1081" s="65" t="n">
        <x:v>912</x:v>
      </x:c>
      <x:c r="B1081" s="65" t="str">
        <x:v>釜山偶像（Busan I Park）</x:v>
      </x:c>
      <x:c r="C1081" s="82" t="n">
        <x:v>1</x:v>
      </x:c>
      <x:c r="D1081" s="82" t="n">
        <x:v>1</x:v>
      </x:c>
      <x:c r="E1081" s="67" t="n">
        <x:v>0</x:v>
      </x:c>
      <x:c r="F1081" s="181" t="n">
        <x:v>0</x:v>
      </x:c>
      <x:c r="G1081" s="67" t="n">
        <x:v>0</x:v>
      </x:c>
      <x:c r="H1081"/>
      <x:c r="I1081" s="65" t="n">
        <x:v>912</x:v>
      </x:c>
      <x:c r="J1081" s="65" t="str">
        <x:v>云南玉昆</x:v>
      </x:c>
      <x:c r="K1081" s="82" t="n">
        <x:v>3</x:v>
      </x:c>
      <x:c r="L1081" s="82" t="n">
        <x:v>3</x:v>
      </x:c>
      <x:c r="M1081" s="67" t="n">
        <x:v>0</x:v>
      </x:c>
      <x:c r="N1081" s="181" t="n">
        <x:v>0.3333333333333333</x:v>
      </x:c>
      <x:c r="O1081" s="67" t="n">
        <x:v>0</x:v>
      </x:c>
    </x:row>
    <x:row r="1082" ht="24" customHeight="1">
      <x:c r="A1082" s="65" t="n">
        <x:v>913</x:v>
      </x:c>
      <x:c r="B1082" s="65" t="str">
        <x:v>长野帕塞罗（AC Nagano Parceiro）</x:v>
      </x:c>
      <x:c r="C1082" s="82" t="n">
        <x:v>1</x:v>
      </x:c>
      <x:c r="D1082" s="82" t="n">
        <x:v>1</x:v>
      </x:c>
      <x:c r="E1082" s="67" t="n">
        <x:v>0</x:v>
      </x:c>
      <x:c r="F1082" s="181" t="n">
        <x:v>0</x:v>
      </x:c>
      <x:c r="G1082" s="67" t="n">
        <x:v>0</x:v>
      </x:c>
      <x:c r="H1082"/>
      <x:c r="I1082" s="65" t="n">
        <x:v>913</x:v>
      </x:c>
      <x:c r="J1082" s="65" t="str">
        <x:v>哥伦布机员（Columbus Crew）</x:v>
      </x:c>
      <x:c r="K1082" s="82" t="n">
        <x:v>3</x:v>
      </x:c>
      <x:c r="L1082" s="82" t="n">
        <x:v>3</x:v>
      </x:c>
      <x:c r="M1082" s="67" t="n">
        <x:v>0</x:v>
      </x:c>
      <x:c r="N1082" s="181" t="n">
        <x:v>0.3333333333333333</x:v>
      </x:c>
      <x:c r="O1082" s="67" t="n">
        <x:v>0</x:v>
      </x:c>
    </x:row>
    <x:row r="1083" ht="24" customHeight="1">
      <x:c r="A1083" s="65" t="n">
        <x:v>914</x:v>
      </x:c>
      <x:c r="B1083" s="65" t="str">
        <x:v>阿利安萨FC（Alianza FC Valledupar）</x:v>
      </x:c>
      <x:c r="C1083" s="82" t="n">
        <x:v>1</x:v>
      </x:c>
      <x:c r="D1083" s="82" t="n">
        <x:v>1</x:v>
      </x:c>
      <x:c r="E1083" s="67" t="n">
        <x:v>0</x:v>
      </x:c>
      <x:c r="F1083" s="181" t="n">
        <x:v>0</x:v>
      </x:c>
      <x:c r="G1083" s="67" t="n">
        <x:v>0</x:v>
      </x:c>
      <x:c r="H1083"/>
      <x:c r="I1083" s="65" t="n">
        <x:v>914</x:v>
      </x:c>
      <x:c r="J1083" s="65" t="str">
        <x:v>埃及</x:v>
      </x:c>
      <x:c r="K1083" s="82" t="n">
        <x:v>3</x:v>
      </x:c>
      <x:c r="L1083" s="82" t="n">
        <x:v>3</x:v>
      </x:c>
      <x:c r="M1083" s="67" t="n">
        <x:v>0</x:v>
      </x:c>
      <x:c r="N1083" s="181" t="n">
        <x:v>0.3333333333333333</x:v>
      </x:c>
      <x:c r="O1083" s="67" t="n">
        <x:v>0</x:v>
      </x:c>
    </x:row>
    <x:row r="1084" ht="24" customHeight="1">
      <x:c r="A1084" s="65" t="n">
        <x:v>915</x:v>
      </x:c>
      <x:c r="B1084" s="65" t="str">
        <x:v>阿尔托纳魔法</x:v>
      </x:c>
      <x:c r="C1084" s="82" t="n">
        <x:v>1</x:v>
      </x:c>
      <x:c r="D1084" s="82" t="n">
        <x:v>1</x:v>
      </x:c>
      <x:c r="E1084" s="67" t="n">
        <x:v>0</x:v>
      </x:c>
      <x:c r="F1084" s="181" t="n">
        <x:v>0</x:v>
      </x:c>
      <x:c r="G1084" s="67" t="n">
        <x:v>0</x:v>
      </x:c>
      <x:c r="H1084"/>
      <x:c r="I1084" s="65" t="n">
        <x:v>915</x:v>
      </x:c>
      <x:c r="J1084" s="65" t="str">
        <x:v>悉尼联58（Sydney United 58 FC）</x:v>
      </x:c>
      <x:c r="K1084" s="82" t="n">
        <x:v>3</x:v>
      </x:c>
      <x:c r="L1084" s="82" t="n">
        <x:v>3</x:v>
      </x:c>
      <x:c r="M1084" s="67" t="n">
        <x:v>0</x:v>
      </x:c>
      <x:c r="N1084" s="181" t="n">
        <x:v>0.3333333333333333</x:v>
      </x:c>
      <x:c r="O1084" s="67" t="n">
        <x:v>0</x:v>
      </x:c>
    </x:row>
    <x:row r="1085" ht="24" customHeight="1">
      <x:c r="A1085" s="65" t="n">
        <x:v>916</x:v>
      </x:c>
      <x:c r="B1085" s="65" t="str">
        <x:v>阿根廷青年人（Argentinos Juniors）</x:v>
      </x:c>
      <x:c r="C1085" s="82" t="n">
        <x:v>1</x:v>
      </x:c>
      <x:c r="D1085" s="82" t="n">
        <x:v>1</x:v>
      </x:c>
      <x:c r="E1085" s="67" t="n">
        <x:v>0</x:v>
      </x:c>
      <x:c r="F1085" s="181" t="n">
        <x:v>0</x:v>
      </x:c>
      <x:c r="G1085" s="67" t="n">
        <x:v>0</x:v>
      </x:c>
      <x:c r="H1085"/>
      <x:c r="I1085" s="65" t="n">
        <x:v>916</x:v>
      </x:c>
      <x:c r="J1085" s="65" t="str">
        <x:v>海地</x:v>
      </x:c>
      <x:c r="K1085" s="82" t="n">
        <x:v>3</x:v>
      </x:c>
      <x:c r="L1085" s="82" t="n">
        <x:v>3</x:v>
      </x:c>
      <x:c r="M1085" s="67" t="n">
        <x:v>0</x:v>
      </x:c>
      <x:c r="N1085" s="181" t="n">
        <x:v>0.3333333333333333</x:v>
      </x:c>
      <x:c r="O1085" s="67" t="n">
        <x:v>0</x:v>
      </x:c>
    </x:row>
    <x:row r="1086" ht="24" customHeight="1">
      <x:c r="A1086" s="65" t="n">
        <x:v>917</x:v>
      </x:c>
      <x:c r="B1086" s="65" t="str">
        <x:v>马卡拉（Macará）</x:v>
      </x:c>
      <x:c r="C1086" s="82" t="n">
        <x:v>1</x:v>
      </x:c>
      <x:c r="D1086" s="82" t="n">
        <x:v>1</x:v>
      </x:c>
      <x:c r="E1086" s="67" t="n">
        <x:v>0</x:v>
      </x:c>
      <x:c r="F1086" s="181" t="n">
        <x:v>0</x:v>
      </x:c>
      <x:c r="G1086" s="67" t="n">
        <x:v>0</x:v>
      </x:c>
      <x:c r="H1086"/>
      <x:c r="I1086" s="65" t="n">
        <x:v>917</x:v>
      </x:c>
      <x:c r="J1086" s="65" t="str">
        <x:v>澳大利亚</x:v>
      </x:c>
      <x:c r="K1086" s="82" t="n">
        <x:v>3</x:v>
      </x:c>
      <x:c r="L1086" s="82" t="n">
        <x:v>3</x:v>
      </x:c>
      <x:c r="M1086" s="67" t="n">
        <x:v>0</x:v>
      </x:c>
      <x:c r="N1086" s="181" t="n">
        <x:v>0.3333333333333333</x:v>
      </x:c>
      <x:c r="O1086" s="67" t="n">
        <x:v>0</x:v>
      </x:c>
    </x:row>
    <x:row r="1087" ht="24" customHeight="1">
      <x:c r="A1087" s="65" t="n">
        <x:v>918</x:v>
      </x:c>
      <x:c r="B1087" s="65" t="str">
        <x:v>马哈拉纺织（Ghazl El Mahalla）</x:v>
      </x:c>
      <x:c r="C1087" s="82" t="n">
        <x:v>1</x:v>
      </x:c>
      <x:c r="D1087" s="82" t="n">
        <x:v>1</x:v>
      </x:c>
      <x:c r="E1087" s="67" t="n">
        <x:v>0</x:v>
      </x:c>
      <x:c r="F1087" s="181" t="n">
        <x:v>0</x:v>
      </x:c>
      <x:c r="G1087" s="67" t="n">
        <x:v>0</x:v>
      </x:c>
      <x:c r="H1087"/>
      <x:c r="I1087" s="65" t="n">
        <x:v>918</x:v>
      </x:c>
      <x:c r="J1087" s="65" t="str">
        <x:v>特帕迪特兰（Tepatitlán FC）</x:v>
      </x:c>
      <x:c r="K1087" s="82" t="n">
        <x:v>3</x:v>
      </x:c>
      <x:c r="L1087" s="82" t="n">
        <x:v>3</x:v>
      </x:c>
      <x:c r="M1087" s="67" t="n">
        <x:v>0</x:v>
      </x:c>
      <x:c r="N1087" s="181" t="n">
        <x:v>0.3333333333333333</x:v>
      </x:c>
      <x:c r="O1087" s="67" t="n">
        <x:v>0</x:v>
      </x:c>
    </x:row>
    <x:row r="1088" ht="24" customHeight="1">
      <x:c r="A1088" s="65" t="n">
        <x:v>919</x:v>
      </x:c>
      <x:c r="B1088" s="65" t="str">
        <x:v>马尔多纳多（Deportivo Maldonado）</x:v>
      </x:c>
      <x:c r="C1088" s="82" t="n">
        <x:v>1</x:v>
      </x:c>
      <x:c r="D1088" s="82" t="n">
        <x:v>1</x:v>
      </x:c>
      <x:c r="E1088" s="67" t="n">
        <x:v>0</x:v>
      </x:c>
      <x:c r="F1088" s="181" t="n">
        <x:v>0</x:v>
      </x:c>
      <x:c r="G1088" s="67" t="n">
        <x:v>0</x:v>
      </x:c>
      <x:c r="H1088"/>
      <x:c r="I1088" s="65" t="n">
        <x:v>919</x:v>
      </x:c>
      <x:c r="J1088" s="65" t="str">
        <x:v>秘鲁</x:v>
      </x:c>
      <x:c r="K1088" s="82" t="n">
        <x:v>3</x:v>
      </x:c>
      <x:c r="L1088" s="82" t="n">
        <x:v>3</x:v>
      </x:c>
      <x:c r="M1088" s="67" t="n">
        <x:v>0</x:v>
      </x:c>
      <x:c r="N1088" s="181" t="n">
        <x:v>0.3333333333333333</x:v>
      </x:c>
      <x:c r="O1088" s="67" t="n">
        <x:v>0</x:v>
      </x:c>
    </x:row>
    <x:row r="1089" ht="24" customHeight="1">
      <x:c r="A1089" s="65" t="n">
        <x:v>920</x:v>
      </x:c>
      <x:c r="B1089" s="65" t="str">
        <x:v>光州FC</x:v>
      </x:c>
      <x:c r="C1089" s="82" t="n">
        <x:v>2</x:v>
      </x:c>
      <x:c r="D1089" s="82" t="n">
        <x:v>2</x:v>
      </x:c>
      <x:c r="E1089" s="67" t="n">
        <x:v>-0.5</x:v>
      </x:c>
      <x:c r="F1089" s="181" t="n">
        <x:v>0.5</x:v>
      </x:c>
      <x:c r="G1089" s="67" t="n">
        <x:v>-0.25</x:v>
      </x:c>
      <x:c r="H1089"/>
      <x:c r="I1089" s="65" t="n">
        <x:v>920</x:v>
      </x:c>
      <x:c r="J1089" s="65" t="str">
        <x:v>中央科尔多瓦（圣地亚哥）</x:v>
      </x:c>
      <x:c r="K1089" s="82" t="n">
        <x:v>1</x:v>
      </x:c>
      <x:c r="L1089" s="82" t="n">
        <x:v>1</x:v>
      </x:c>
      <x:c r="M1089" s="67" t="n">
        <x:v>0</x:v>
      </x:c>
      <x:c r="N1089" s="181" t="n">
        <x:v>0</x:v>
      </x:c>
      <x:c r="O1089" s="67" t="n">
        <x:v>0</x:v>
      </x:c>
    </x:row>
    <x:row r="1090" ht="24" customHeight="1">
      <x:c r="A1090" s="65" t="n">
        <x:v>921</x:v>
      </x:c>
      <x:c r="B1090" s="65" t="str">
        <x:v>利兹联（Leeds United）</x:v>
      </x:c>
      <x:c r="C1090" s="82" t="n">
        <x:v>6</x:v>
      </x:c>
      <x:c r="D1090" s="82" t="n">
        <x:v>6</x:v>
      </x:c>
      <x:c r="E1090" s="67" t="n">
        <x:v>-0.5</x:v>
      </x:c>
      <x:c r="F1090" s="181" t="n">
        <x:v>0.5</x:v>
      </x:c>
      <x:c r="G1090" s="67" t="n">
        <x:v>-0.08333333333333333</x:v>
      </x:c>
      <x:c r="H1090"/>
      <x:c r="I1090" s="65" t="n">
        <x:v>921</x:v>
      </x:c>
      <x:c r="J1090" s="65" t="str">
        <x:v>伯明翰军团（Birmingham Legion FC）</x:v>
      </x:c>
      <x:c r="K1090" s="82" t="n">
        <x:v>2</x:v>
      </x:c>
      <x:c r="L1090" s="82" t="n">
        <x:v>2</x:v>
      </x:c>
      <x:c r="M1090" s="67" t="n">
        <x:v>0</x:v>
      </x:c>
      <x:c r="N1090" s="181" t="n">
        <x:v>0</x:v>
      </x:c>
      <x:c r="O1090" s="67" t="n">
        <x:v>0</x:v>
      </x:c>
    </x:row>
    <x:row r="1091" ht="24" customHeight="1">
      <x:c r="A1091" s="65" t="n">
        <x:v>922</x:v>
      </x:c>
      <x:c r="B1091" s="65" t="str">
        <x:v>千叶市原（JEF United Chiba）</x:v>
      </x:c>
      <x:c r="C1091" s="82" t="n">
        <x:v>2</x:v>
      </x:c>
      <x:c r="D1091" s="82" t="n">
        <x:v>2</x:v>
      </x:c>
      <x:c r="E1091" s="67" t="n">
        <x:v>-0.5</x:v>
      </x:c>
      <x:c r="F1091" s="181" t="n">
        <x:v>0.5</x:v>
      </x:c>
      <x:c r="G1091" s="67" t="n">
        <x:v>-0.25</x:v>
      </x:c>
      <x:c r="H1091"/>
      <x:c r="I1091" s="65" t="n">
        <x:v>922</x:v>
      </x:c>
      <x:c r="J1091" s="65" t="str">
        <x:v>切洛（Cerro）</x:v>
      </x:c>
      <x:c r="K1091" s="82" t="n">
        <x:v>1</x:v>
      </x:c>
      <x:c r="L1091" s="82" t="n">
        <x:v>1</x:v>
      </x:c>
      <x:c r="M1091" s="67" t="n">
        <x:v>0</x:v>
      </x:c>
      <x:c r="N1091" s="181" t="n">
        <x:v>0</x:v>
      </x:c>
      <x:c r="O1091" s="67" t="n">
        <x:v>0</x:v>
      </x:c>
    </x:row>
    <x:row r="1092" ht="24" customHeight="1">
      <x:c r="A1092" s="65" t="n">
        <x:v>923</x:v>
      </x:c>
      <x:c r="B1092" s="65" t="str">
        <x:v>半岛电力（Peninsula Power）</x:v>
      </x:c>
      <x:c r="C1092" s="82" t="n">
        <x:v>2</x:v>
      </x:c>
      <x:c r="D1092" s="82" t="n">
        <x:v>2</x:v>
      </x:c>
      <x:c r="E1092" s="67" t="n">
        <x:v>-0.5</x:v>
      </x:c>
      <x:c r="F1092" s="181" t="n">
        <x:v>0.5</x:v>
      </x:c>
      <x:c r="G1092" s="67" t="n">
        <x:v>-0.25</x:v>
      </x:c>
      <x:c r="H1092"/>
      <x:c r="I1092" s="65" t="n">
        <x:v>923</x:v>
      </x:c>
      <x:c r="J1092" s="65" t="str">
        <x:v>利兹联</x:v>
      </x:c>
      <x:c r="K1092" s="82" t="n">
        <x:v>1</x:v>
      </x:c>
      <x:c r="L1092" s="82" t="n">
        <x:v>1</x:v>
      </x:c>
      <x:c r="M1092" s="67" t="n">
        <x:v>0</x:v>
      </x:c>
      <x:c r="N1092" s="181" t="n">
        <x:v>0</x:v>
      </x:c>
      <x:c r="O1092" s="67" t="n">
        <x:v>0</x:v>
      </x:c>
    </x:row>
    <x:row r="1093" ht="24" customHeight="1">
      <x:c r="A1093" s="65" t="n">
        <x:v>924</x:v>
      </x:c>
      <x:c r="B1093" s="65" t="str">
        <x:v>哥德堡（IFK Göteborg）</x:v>
      </x:c>
      <x:c r="C1093" s="82" t="n">
        <x:v>2</x:v>
      </x:c>
      <x:c r="D1093" s="82" t="n">
        <x:v>2</x:v>
      </x:c>
      <x:c r="E1093" s="67" t="n">
        <x:v>-0.5</x:v>
      </x:c>
      <x:c r="F1093" s="181" t="n">
        <x:v>0.5</x:v>
      </x:c>
      <x:c r="G1093" s="67" t="n">
        <x:v>-0.25</x:v>
      </x:c>
      <x:c r="H1093"/>
      <x:c r="I1093" s="65" t="n">
        <x:v>924</x:v>
      </x:c>
      <x:c r="J1093" s="65" t="str">
        <x:v>卡利体育会</x:v>
      </x:c>
      <x:c r="K1093" s="82" t="n">
        <x:v>1</x:v>
      </x:c>
      <x:c r="L1093" s="82" t="n">
        <x:v>1</x:v>
      </x:c>
      <x:c r="M1093" s="67" t="n">
        <x:v>0</x:v>
      </x:c>
      <x:c r="N1093" s="181" t="n">
        <x:v>0</x:v>
      </x:c>
      <x:c r="O1093" s="67" t="n">
        <x:v>0</x:v>
      </x:c>
    </x:row>
    <x:row r="1094" ht="24" customHeight="1">
      <x:c r="A1094" s="65" t="n">
        <x:v>925</x:v>
      </x:c>
      <x:c r="B1094" s="65" t="str">
        <x:v>国际波哥大（Internacional de Bogotá）</x:v>
      </x:c>
      <x:c r="C1094" s="82" t="n">
        <x:v>2</x:v>
      </x:c>
      <x:c r="D1094" s="82" t="n">
        <x:v>2</x:v>
      </x:c>
      <x:c r="E1094" s="67" t="n">
        <x:v>-0.5</x:v>
      </x:c>
      <x:c r="F1094" s="181" t="n">
        <x:v>0.5</x:v>
      </x:c>
      <x:c r="G1094" s="67" t="n">
        <x:v>-0.25</x:v>
      </x:c>
      <x:c r="H1094"/>
      <x:c r="I1094" s="65" t="n">
        <x:v>925</x:v>
      </x:c>
      <x:c r="J1094" s="65" t="str">
        <x:v>名古屋鲸八（Nagoya Grampus）</x:v>
      </x:c>
      <x:c r="K1094" s="82" t="n">
        <x:v>1</x:v>
      </x:c>
      <x:c r="L1094" s="82" t="n">
        <x:v>1</x:v>
      </x:c>
      <x:c r="M1094" s="67" t="n">
        <x:v>0</x:v>
      </x:c>
      <x:c r="N1094" s="181" t="n">
        <x:v>0</x:v>
      </x:c>
      <x:c r="O1094" s="67" t="n">
        <x:v>0</x:v>
      </x:c>
    </x:row>
    <x:row r="1095" ht="24" customHeight="1">
      <x:c r="A1095" s="65" t="n">
        <x:v>926</x:v>
      </x:c>
      <x:c r="B1095" s="65" t="str">
        <x:v>圣路易斯竞技（Atlético de San Luis）</x:v>
      </x:c>
      <x:c r="C1095" s="82" t="n">
        <x:v>2</x:v>
      </x:c>
      <x:c r="D1095" s="82" t="n">
        <x:v>2</x:v>
      </x:c>
      <x:c r="E1095" s="67" t="n">
        <x:v>-0.5</x:v>
      </x:c>
      <x:c r="F1095" s="181" t="n">
        <x:v>0.5</x:v>
      </x:c>
      <x:c r="G1095" s="67" t="n">
        <x:v>-0.25</x:v>
      </x:c>
      <x:c r="H1095"/>
      <x:c r="I1095" s="65" t="n">
        <x:v>926</x:v>
      </x:c>
      <x:c r="J1095" s="65" t="str">
        <x:v>哥斯达黎加</x:v>
      </x:c>
      <x:c r="K1095" s="82" t="n">
        <x:v>1</x:v>
      </x:c>
      <x:c r="L1095" s="82" t="n">
        <x:v>1</x:v>
      </x:c>
      <x:c r="M1095" s="67" t="n">
        <x:v>0</x:v>
      </x:c>
      <x:c r="N1095" s="181" t="n">
        <x:v>0</x:v>
      </x:c>
      <x:c r="O1095" s="67" t="n">
        <x:v>0</x:v>
      </x:c>
    </x:row>
    <x:row r="1096" ht="24" customHeight="1">
      <x:c r="A1096" s="65" t="n">
        <x:v>927</x:v>
      </x:c>
      <x:c r="B1096" s="65" t="str">
        <x:v>奥尔格里特（Örgryte IS）</x:v>
      </x:c>
      <x:c r="C1096" s="82" t="n">
        <x:v>2</x:v>
      </x:c>
      <x:c r="D1096" s="82" t="n">
        <x:v>2</x:v>
      </x:c>
      <x:c r="E1096" s="67" t="n">
        <x:v>-0.5</x:v>
      </x:c>
      <x:c r="F1096" s="181" t="n">
        <x:v>0.5</x:v>
      </x:c>
      <x:c r="G1096" s="67" t="n">
        <x:v>-0.25</x:v>
      </x:c>
      <x:c r="H1096"/>
      <x:c r="I1096" s="65" t="n">
        <x:v>927</x:v>
      </x:c>
      <x:c r="J1096" s="65" t="str">
        <x:v>唐迪拉（Tondela）</x:v>
      </x:c>
      <x:c r="K1096" s="82" t="n">
        <x:v>1</x:v>
      </x:c>
      <x:c r="L1096" s="82" t="n">
        <x:v>1</x:v>
      </x:c>
      <x:c r="M1096" s="67" t="n">
        <x:v>0</x:v>
      </x:c>
      <x:c r="N1096" s="181" t="n">
        <x:v>0</x:v>
      </x:c>
      <x:c r="O1096" s="67" t="n">
        <x:v>0</x:v>
      </x:c>
    </x:row>
    <x:row r="1097" ht="24" customHeight="1">
      <x:c r="A1097" s="65" t="n">
        <x:v>928</x:v>
      </x:c>
      <x:c r="B1097" s="65" t="str">
        <x:v>安养FC</x:v>
      </x:c>
      <x:c r="C1097" s="82" t="n">
        <x:v>2</x:v>
      </x:c>
      <x:c r="D1097" s="82" t="n">
        <x:v>2</x:v>
      </x:c>
      <x:c r="E1097" s="67" t="n">
        <x:v>-0.5</x:v>
      </x:c>
      <x:c r="F1097" s="181" t="n">
        <x:v>0.5</x:v>
      </x:c>
      <x:c r="G1097" s="67" t="n">
        <x:v>-0.25</x:v>
      </x:c>
      <x:c r="H1097"/>
      <x:c r="I1097" s="65" t="n">
        <x:v>928</x:v>
      </x:c>
      <x:c r="J1097" s="65" t="str">
        <x:v>图库曼圣马丁（San Martín de Tucumán）</x:v>
      </x:c>
      <x:c r="K1097" s="82" t="n">
        <x:v>1</x:v>
      </x:c>
      <x:c r="L1097" s="82" t="n">
        <x:v>1</x:v>
      </x:c>
      <x:c r="M1097" s="67" t="n">
        <x:v>0</x:v>
      </x:c>
      <x:c r="N1097" s="181" t="n">
        <x:v>0</x:v>
      </x:c>
      <x:c r="O1097" s="67" t="n">
        <x:v>0</x:v>
      </x:c>
    </x:row>
    <x:row r="1098" ht="24" customHeight="1">
      <x:c r="A1098" s="65" t="n">
        <x:v>929</x:v>
      </x:c>
      <x:c r="B1098" s="65" t="str">
        <x:v>巴厘联（Bali United）</x:v>
      </x:c>
      <x:c r="C1098" s="82" t="n">
        <x:v>2</x:v>
      </x:c>
      <x:c r="D1098" s="82" t="n">
        <x:v>2</x:v>
      </x:c>
      <x:c r="E1098" s="67" t="n">
        <x:v>-0.5</x:v>
      </x:c>
      <x:c r="F1098" s="181" t="n">
        <x:v>0.5</x:v>
      </x:c>
      <x:c r="G1098" s="67" t="n">
        <x:v>-0.25</x:v>
      </x:c>
      <x:c r="H1098"/>
      <x:c r="I1098" s="65" t="n">
        <x:v>929</x:v>
      </x:c>
      <x:c r="J1098" s="65" t="str">
        <x:v>圣乔治圣徒（St George Saints）</x:v>
      </x:c>
      <x:c r="K1098" s="82" t="n">
        <x:v>1</x:v>
      </x:c>
      <x:c r="L1098" s="82" t="n">
        <x:v>1</x:v>
      </x:c>
      <x:c r="M1098" s="67" t="n">
        <x:v>0</x:v>
      </x:c>
      <x:c r="N1098" s="181" t="n">
        <x:v>0</x:v>
      </x:c>
      <x:c r="O1098" s="67" t="n">
        <x:v>0</x:v>
      </x:c>
    </x:row>
    <x:row r="1099" ht="24" customHeight="1">
      <x:c r="A1099" s="65" t="n">
        <x:v>930</x:v>
      </x:c>
      <x:c r="B1099" s="65" t="str">
        <x:v>普拉滕斯</x:v>
      </x:c>
      <x:c r="C1099" s="82" t="n">
        <x:v>2</x:v>
      </x:c>
      <x:c r="D1099" s="82" t="n">
        <x:v>2</x:v>
      </x:c>
      <x:c r="E1099" s="67" t="n">
        <x:v>-0.5</x:v>
      </x:c>
      <x:c r="F1099" s="181" t="n">
        <x:v>0.5</x:v>
      </x:c>
      <x:c r="G1099" s="67" t="n">
        <x:v>-0.25</x:v>
      </x:c>
      <x:c r="H1099"/>
      <x:c r="I1099" s="65" t="n">
        <x:v>930</x:v>
      </x:c>
      <x:c r="J1099" s="65" t="str">
        <x:v>埃尔帕索机车（El Paso Locomotive）</x:v>
      </x:c>
      <x:c r="K1099" s="82" t="n">
        <x:v>1</x:v>
      </x:c>
      <x:c r="L1099" s="82" t="n">
        <x:v>1</x:v>
      </x:c>
      <x:c r="M1099" s="67" t="n">
        <x:v>0</x:v>
      </x:c>
      <x:c r="N1099" s="181" t="n">
        <x:v>0</x:v>
      </x:c>
      <x:c r="O1099" s="67" t="n">
        <x:v>0</x:v>
      </x:c>
    </x:row>
    <x:row r="1100" ht="24" customHeight="1">
      <x:c r="A1100" s="65" t="n">
        <x:v>931</x:v>
      </x:c>
      <x:c r="B1100" s="65" t="str">
        <x:v>柔佛新山（Johor Darul Ta'zim）</x:v>
      </x:c>
      <x:c r="C1100" s="82" t="n">
        <x:v>2</x:v>
      </x:c>
      <x:c r="D1100" s="82" t="n">
        <x:v>2</x:v>
      </x:c>
      <x:c r="E1100" s="67" t="n">
        <x:v>-0.5</x:v>
      </x:c>
      <x:c r="F1100" s="181" t="n">
        <x:v>0.5</x:v>
      </x:c>
      <x:c r="G1100" s="67" t="n">
        <x:v>-0.25</x:v>
      </x:c>
      <x:c r="H1100"/>
      <x:c r="I1100" s="65" t="n">
        <x:v>931</x:v>
      </x:c>
      <x:c r="J1100" s="65" t="str">
        <x:v>山东泰山</x:v>
      </x:c>
      <x:c r="K1100" s="82" t="n">
        <x:v>1</x:v>
      </x:c>
      <x:c r="L1100" s="82" t="n">
        <x:v>1</x:v>
      </x:c>
      <x:c r="M1100" s="67" t="n">
        <x:v>0</x:v>
      </x:c>
      <x:c r="N1100" s="181" t="n">
        <x:v>0</x:v>
      </x:c>
      <x:c r="O1100" s="67" t="n">
        <x:v>0</x:v>
      </x:c>
    </x:row>
    <x:row r="1101" ht="24" customHeight="1">
      <x:c r="A1101" s="65" t="n">
        <x:v>932</x:v>
      </x:c>
      <x:c r="B1101" s="65" t="str">
        <x:v>比萨</x:v>
      </x:c>
      <x:c r="C1101" s="82" t="n">
        <x:v>6</x:v>
      </x:c>
      <x:c r="D1101" s="82" t="n">
        <x:v>6</x:v>
      </x:c>
      <x:c r="E1101" s="67" t="n">
        <x:v>-0.5</x:v>
      </x:c>
      <x:c r="F1101" s="181" t="n">
        <x:v>0.5</x:v>
      </x:c>
      <x:c r="G1101" s="67" t="n">
        <x:v>-0.08333333333333333</x:v>
      </x:c>
      <x:c r="H1101"/>
      <x:c r="I1101" s="65" t="n">
        <x:v>932</x:v>
      </x:c>
      <x:c r="J1101" s="65" t="str">
        <x:v>希雷迪亚诺（Herediano）</x:v>
      </x:c>
      <x:c r="K1101" s="82" t="n">
        <x:v>1</x:v>
      </x:c>
      <x:c r="L1101" s="82" t="n">
        <x:v>1</x:v>
      </x:c>
      <x:c r="M1101" s="67" t="n">
        <x:v>0</x:v>
      </x:c>
      <x:c r="N1101" s="181" t="n">
        <x:v>0</x:v>
      </x:c>
      <x:c r="O1101" s="67" t="n">
        <x:v>0</x:v>
      </x:c>
    </x:row>
    <x:row r="1102" ht="24" customHeight="1">
      <x:c r="A1102" s="65" t="n">
        <x:v>933</x:v>
      </x:c>
      <x:c r="B1102" s="65" t="str">
        <x:v>水户蜀葵（Mito HollyHock）</x:v>
      </x:c>
      <x:c r="C1102" s="82" t="n">
        <x:v>4</x:v>
      </x:c>
      <x:c r="D1102" s="82" t="n">
        <x:v>4</x:v>
      </x:c>
      <x:c r="E1102" s="67" t="n">
        <x:v>-0.5</x:v>
      </x:c>
      <x:c r="F1102" s="181" t="n">
        <x:v>0.5</x:v>
      </x:c>
      <x:c r="G1102" s="67" t="n">
        <x:v>-0.125</x:v>
      </x:c>
      <x:c r="H1102"/>
      <x:c r="I1102" s="65" t="n">
        <x:v>933</x:v>
      </x:c>
      <x:c r="J1102" s="65" t="str">
        <x:v>帕斯托（Deportivo Pasto）</x:v>
      </x:c>
      <x:c r="K1102" s="82" t="n">
        <x:v>1</x:v>
      </x:c>
      <x:c r="L1102" s="82" t="n">
        <x:v>1</x:v>
      </x:c>
      <x:c r="M1102" s="67" t="n">
        <x:v>0</x:v>
      </x:c>
      <x:c r="N1102" s="181" t="n">
        <x:v>0</x:v>
      </x:c>
      <x:c r="O1102" s="67" t="n">
        <x:v>0</x:v>
      </x:c>
    </x:row>
    <x:row r="1103" ht="24" customHeight="1">
      <x:c r="A1103" s="65" t="n">
        <x:v>934</x:v>
      </x:c>
      <x:c r="B1103" s="65" t="str">
        <x:v>沙佩科恩斯（Chapecoense）</x:v>
      </x:c>
      <x:c r="C1103" s="82" t="n">
        <x:v>2</x:v>
      </x:c>
      <x:c r="D1103" s="82" t="n">
        <x:v>2</x:v>
      </x:c>
      <x:c r="E1103" s="67" t="n">
        <x:v>-0.5</x:v>
      </x:c>
      <x:c r="F1103" s="181" t="n">
        <x:v>0.5</x:v>
      </x:c>
      <x:c r="G1103" s="67" t="n">
        <x:v>-0.25</x:v>
      </x:c>
      <x:c r="H1103"/>
      <x:c r="I1103" s="65" t="n">
        <x:v>934</x:v>
      </x:c>
      <x:c r="J1103" s="65" t="str">
        <x:v>底特律城（Detroit City FC）</x:v>
      </x:c>
      <x:c r="K1103" s="82" t="n">
        <x:v>1</x:v>
      </x:c>
      <x:c r="L1103" s="82" t="n">
        <x:v>1</x:v>
      </x:c>
      <x:c r="M1103" s="67" t="n">
        <x:v>0</x:v>
      </x:c>
      <x:c r="N1103" s="181" t="n">
        <x:v>0</x:v>
      </x:c>
      <x:c r="O1103" s="67" t="n">
        <x:v>0</x:v>
      </x:c>
    </x:row>
    <x:row r="1104" ht="24" customHeight="1">
      <x:c r="A1104" s="65" t="n">
        <x:v>935</x:v>
      </x:c>
      <x:c r="B1104" s="65" t="str">
        <x:v>清水心跳（Shimizu S-Pulse）</x:v>
      </x:c>
      <x:c r="C1104" s="82" t="n">
        <x:v>4</x:v>
      </x:c>
      <x:c r="D1104" s="82" t="n">
        <x:v>4</x:v>
      </x:c>
      <x:c r="E1104" s="67" t="n">
        <x:v>-0.5</x:v>
      </x:c>
      <x:c r="F1104" s="181" t="n">
        <x:v>0.5</x:v>
      </x:c>
      <x:c r="G1104" s="67" t="n">
        <x:v>-0.125</x:v>
      </x:c>
      <x:c r="H1104"/>
      <x:c r="I1104" s="65" t="n">
        <x:v>935</x:v>
      </x:c>
      <x:c r="J1104" s="65" t="str">
        <x:v>德累斯顿迪纳摩（SG Dynamo Dresden）</x:v>
      </x:c>
      <x:c r="K1104" s="82" t="n">
        <x:v>1</x:v>
      </x:c>
      <x:c r="L1104" s="82" t="n">
        <x:v>1</x:v>
      </x:c>
      <x:c r="M1104" s="67" t="n">
        <x:v>0</x:v>
      </x:c>
      <x:c r="N1104" s="181" t="n">
        <x:v>0</x:v>
      </x:c>
      <x:c r="O1104" s="67" t="n">
        <x:v>0</x:v>
      </x:c>
    </x:row>
    <x:row r="1105" ht="24" customHeight="1">
      <x:c r="A1105" s="65" t="n">
        <x:v>936</x:v>
      </x:c>
      <x:c r="B1105" s="65" t="str">
        <x:v>瓜达拉哈拉大学（Leones Negros UdeG）</x:v>
      </x:c>
      <x:c r="C1105" s="82" t="n">
        <x:v>2</x:v>
      </x:c>
      <x:c r="D1105" s="82" t="n">
        <x:v>2</x:v>
      </x:c>
      <x:c r="E1105" s="67" t="n">
        <x:v>-0.5</x:v>
      </x:c>
      <x:c r="F1105" s="181" t="n">
        <x:v>0.5</x:v>
      </x:c>
      <x:c r="G1105" s="67" t="n">
        <x:v>-0.25</x:v>
      </x:c>
      <x:c r="H1105"/>
      <x:c r="I1105" s="65" t="n">
        <x:v>936</x:v>
      </x:c>
      <x:c r="J1105" s="65" t="str">
        <x:v>德芬索竞技（Defensor Sporting）</x:v>
      </x:c>
      <x:c r="K1105" s="82" t="n">
        <x:v>1</x:v>
      </x:c>
      <x:c r="L1105" s="82" t="n">
        <x:v>1</x:v>
      </x:c>
      <x:c r="M1105" s="67" t="n">
        <x:v>0</x:v>
      </x:c>
      <x:c r="N1105" s="181" t="n">
        <x:v>0</x:v>
      </x:c>
      <x:c r="O1105" s="67" t="n">
        <x:v>0</x:v>
      </x:c>
    </x:row>
    <x:row r="1106" ht="24" customHeight="1">
      <x:c r="A1106" s="65" t="n">
        <x:v>937</x:v>
      </x:c>
      <x:c r="B1106" s="65" t="str">
        <x:v>町田泽维亚（Machida Zelvia）</x:v>
      </x:c>
      <x:c r="C1106" s="82" t="n">
        <x:v>2</x:v>
      </x:c>
      <x:c r="D1106" s="82" t="n">
        <x:v>2</x:v>
      </x:c>
      <x:c r="E1106" s="67" t="n">
        <x:v>-0.5</x:v>
      </x:c>
      <x:c r="F1106" s="181" t="n">
        <x:v>0.5</x:v>
      </x:c>
      <x:c r="G1106" s="67" t="n">
        <x:v>-0.25</x:v>
      </x:c>
      <x:c r="H1106"/>
      <x:c r="I1106" s="65" t="n">
        <x:v>937</x:v>
      </x:c>
      <x:c r="J1106" s="65" t="str">
        <x:v>查路（FF Jaro）</x:v>
      </x:c>
      <x:c r="K1106" s="82" t="n">
        <x:v>1</x:v>
      </x:c>
      <x:c r="L1106" s="82" t="n">
        <x:v>1</x:v>
      </x:c>
      <x:c r="M1106" s="67" t="n">
        <x:v>0</x:v>
      </x:c>
      <x:c r="N1106" s="181" t="n">
        <x:v>0</x:v>
      </x:c>
      <x:c r="O1106" s="67" t="n">
        <x:v>0</x:v>
      </x:c>
    </x:row>
    <x:row r="1107" ht="24" customHeight="1">
      <x:c r="A1107" s="65" t="n">
        <x:v>938</x:v>
      </x:c>
      <x:c r="B1107" s="65" t="str">
        <x:v>福冈黄蜂</x:v>
      </x:c>
      <x:c r="C1107" s="82" t="n">
        <x:v>2</x:v>
      </x:c>
      <x:c r="D1107" s="82" t="n">
        <x:v>2</x:v>
      </x:c>
      <x:c r="E1107" s="67" t="n">
        <x:v>-0.5</x:v>
      </x:c>
      <x:c r="F1107" s="181" t="n">
        <x:v>0.5</x:v>
      </x:c>
      <x:c r="G1107" s="67" t="n">
        <x:v>-0.25</x:v>
      </x:c>
      <x:c r="H1107"/>
      <x:c r="I1107" s="65" t="n">
        <x:v>938</x:v>
      </x:c>
      <x:c r="J1107" s="65" t="str">
        <x:v>桑德兰</x:v>
      </x:c>
      <x:c r="K1107" s="82" t="n">
        <x:v>1</x:v>
      </x:c>
      <x:c r="L1107" s="82" t="n">
        <x:v>1</x:v>
      </x:c>
      <x:c r="M1107" s="67" t="n">
        <x:v>0</x:v>
      </x:c>
      <x:c r="N1107" s="181" t="n">
        <x:v>0</x:v>
      </x:c>
      <x:c r="O1107" s="67" t="n">
        <x:v>0</x:v>
      </x:c>
    </x:row>
    <x:row r="1108" ht="24" customHeight="1">
      <x:c r="A1108" s="65" t="n">
        <x:v>939</x:v>
      </x:c>
      <x:c r="B1108" s="65" t="str">
        <x:v>纽伦堡（1. FC Nürnberg）</x:v>
      </x:c>
      <x:c r="C1108" s="82" t="n">
        <x:v>2</x:v>
      </x:c>
      <x:c r="D1108" s="82" t="n">
        <x:v>2</x:v>
      </x:c>
      <x:c r="E1108" s="67" t="n">
        <x:v>-0.5</x:v>
      </x:c>
      <x:c r="F1108" s="181" t="n">
        <x:v>0.5</x:v>
      </x:c>
      <x:c r="G1108" s="67" t="n">
        <x:v>-0.25</x:v>
      </x:c>
      <x:c r="H1108"/>
      <x:c r="I1108" s="65" t="n">
        <x:v>939</x:v>
      </x:c>
      <x:c r="J1108" s="65" t="str">
        <x:v>波哥大体育（Internacional de Bogotá）</x:v>
      </x:c>
      <x:c r="K1108" s="82" t="n">
        <x:v>1</x:v>
      </x:c>
      <x:c r="L1108" s="82" t="n">
        <x:v>1</x:v>
      </x:c>
      <x:c r="M1108" s="67" t="n">
        <x:v>0</x:v>
      </x:c>
      <x:c r="N1108" s="181" t="n">
        <x:v>0</x:v>
      </x:c>
      <x:c r="O1108" s="67" t="n">
        <x:v>0</x:v>
      </x:c>
    </x:row>
    <x:row r="1109" ht="24" customHeight="1">
      <x:c r="A1109" s="65" t="n">
        <x:v>940</x:v>
      </x:c>
      <x:c r="B1109" s="65" t="str">
        <x:v>纽维尔老男孩</x:v>
      </x:c>
      <x:c r="C1109" s="82" t="n">
        <x:v>4</x:v>
      </x:c>
      <x:c r="D1109" s="82" t="n">
        <x:v>4</x:v>
      </x:c>
      <x:c r="E1109" s="67" t="n">
        <x:v>-0.5</x:v>
      </x:c>
      <x:c r="F1109" s="181" t="n">
        <x:v>0.5</x:v>
      </x:c>
      <x:c r="G1109" s="67" t="n">
        <x:v>-0.125</x:v>
      </x:c>
      <x:c r="H1109"/>
      <x:c r="I1109" s="65" t="n">
        <x:v>940</x:v>
      </x:c>
      <x:c r="J1109" s="65" t="str">
        <x:v>湾水市（Bayswater City）</x:v>
      </x:c>
      <x:c r="K1109" s="82" t="n">
        <x:v>1</x:v>
      </x:c>
      <x:c r="L1109" s="82" t="n">
        <x:v>1</x:v>
      </x:c>
      <x:c r="M1109" s="67" t="n">
        <x:v>0</x:v>
      </x:c>
      <x:c r="N1109" s="181" t="n">
        <x:v>0</x:v>
      </x:c>
      <x:c r="O1109" s="67" t="n">
        <x:v>0</x:v>
      </x:c>
    </x:row>
    <x:row r="1110" ht="24" customHeight="1">
      <x:c r="A1110" s="65" t="n">
        <x:v>941</x:v>
      </x:c>
      <x:c r="B1110" s="65" t="str">
        <x:v>艾云达尔</x:v>
      </x:c>
      <x:c r="C1110" s="82" t="n">
        <x:v>4</x:v>
      </x:c>
      <x:c r="D1110" s="82" t="n">
        <x:v>4</x:v>
      </x:c>
      <x:c r="E1110" s="67" t="n">
        <x:v>-0.5</x:v>
      </x:c>
      <x:c r="F1110" s="181" t="n">
        <x:v>0.5</x:v>
      </x:c>
      <x:c r="G1110" s="67" t="n">
        <x:v>-0.125</x:v>
      </x:c>
      <x:c r="H1110"/>
      <x:c r="I1110" s="65" t="n">
        <x:v>941</x:v>
      </x:c>
      <x:c r="J1110" s="65" t="str">
        <x:v>班菲尔德（CA Banfield）</x:v>
      </x:c>
      <x:c r="K1110" s="82" t="n">
        <x:v>1</x:v>
      </x:c>
      <x:c r="L1110" s="82" t="n">
        <x:v>1</x:v>
      </x:c>
      <x:c r="M1110" s="67" t="n">
        <x:v>0</x:v>
      </x:c>
      <x:c r="N1110" s="181" t="n">
        <x:v>0</x:v>
      </x:c>
      <x:c r="O1110" s="67" t="n">
        <x:v>0</x:v>
      </x:c>
    </x:row>
    <x:row r="1111" ht="24" customHeight="1">
      <x:c r="A1111" s="65" t="n">
        <x:v>942</x:v>
      </x:c>
      <x:c r="B1111" s="65" t="str">
        <x:v>阿利安萨</x:v>
      </x:c>
      <x:c r="C1111" s="82" t="n">
        <x:v>2</x:v>
      </x:c>
      <x:c r="D1111" s="82" t="n">
        <x:v>2</x:v>
      </x:c>
      <x:c r="E1111" s="67" t="n">
        <x:v>-0.5</x:v>
      </x:c>
      <x:c r="F1111" s="181" t="n">
        <x:v>0.5</x:v>
      </x:c>
      <x:c r="G1111" s="67" t="n">
        <x:v>-0.25</x:v>
      </x:c>
      <x:c r="H1111"/>
      <x:c r="I1111" s="65" t="n">
        <x:v>942</x:v>
      </x:c>
      <x:c r="J1111" s="65" t="str">
        <x:v>科珀斯克里斯蒂FC（Corpus Christi FC）</x:v>
      </x:c>
      <x:c r="K1111" s="82" t="n">
        <x:v>1</x:v>
      </x:c>
      <x:c r="L1111" s="82" t="n">
        <x:v>1</x:v>
      </x:c>
      <x:c r="M1111" s="67" t="n">
        <x:v>0</x:v>
      </x:c>
      <x:c r="N1111" s="181" t="n">
        <x:v>0</x:v>
      </x:c>
      <x:c r="O1111" s="67" t="n">
        <x:v>0</x:v>
      </x:c>
    </x:row>
    <x:row r="1112" ht="24" customHeight="1">
      <x:c r="A1112" s="65" t="n">
        <x:v>943</x:v>
      </x:c>
      <x:c r="B1112" s="65" t="str">
        <x:v>阿德莱德联</x:v>
      </x:c>
      <x:c r="C1112" s="82" t="n">
        <x:v>6</x:v>
      </x:c>
      <x:c r="D1112" s="82" t="n">
        <x:v>6</x:v>
      </x:c>
      <x:c r="E1112" s="67" t="n">
        <x:v>-0.5</x:v>
      </x:c>
      <x:c r="F1112" s="181" t="n">
        <x:v>0.5</x:v>
      </x:c>
      <x:c r="G1112" s="67" t="n">
        <x:v>-0.08333333333333333</x:v>
      </x:c>
      <x:c r="H1112"/>
      <x:c r="I1112" s="65" t="n">
        <x:v>943</x:v>
      </x:c>
      <x:c r="J1112" s="65" t="str">
        <x:v>科罗拉多急流</x:v>
      </x:c>
      <x:c r="K1112" s="82" t="n">
        <x:v>1</x:v>
      </x:c>
      <x:c r="L1112" s="82" t="n">
        <x:v>1</x:v>
      </x:c>
      <x:c r="M1112" s="67" t="n">
        <x:v>0</x:v>
      </x:c>
      <x:c r="N1112" s="181" t="n">
        <x:v>0</x:v>
      </x:c>
      <x:c r="O1112" s="67" t="n">
        <x:v>0</x:v>
      </x:c>
    </x:row>
    <x:row r="1113" ht="24" customHeight="1">
      <x:c r="A1113" s="65" t="n">
        <x:v>944</x:v>
      </x:c>
      <x:c r="B1113" s="65" t="str">
        <x:v>阿根廷青年人</x:v>
      </x:c>
      <x:c r="C1113" s="82" t="n">
        <x:v>4</x:v>
      </x:c>
      <x:c r="D1113" s="82" t="n">
        <x:v>4</x:v>
      </x:c>
      <x:c r="E1113" s="67" t="n">
        <x:v>-0.5</x:v>
      </x:c>
      <x:c r="F1113" s="181" t="n">
        <x:v>0.5</x:v>
      </x:c>
      <x:c r="G1113" s="67" t="n">
        <x:v>-0.125</x:v>
      </x:c>
      <x:c r="H1113"/>
      <x:c r="I1113" s="65" t="n">
        <x:v>944</x:v>
      </x:c>
      <x:c r="J1113" s="65" t="str">
        <x:v>科罗拉多涌泉（Colorado Springs Switchbacks）</x:v>
      </x:c>
      <x:c r="K1113" s="82" t="n">
        <x:v>1</x:v>
      </x:c>
      <x:c r="L1113" s="82" t="n">
        <x:v>1</x:v>
      </x:c>
      <x:c r="M1113" s="67" t="n">
        <x:v>0</x:v>
      </x:c>
      <x:c r="N1113" s="181" t="n">
        <x:v>0</x:v>
      </x:c>
      <x:c r="O1113" s="67" t="n">
        <x:v>0</x:v>
      </x:c>
    </x:row>
    <x:row r="1114" ht="24" customHeight="1">
      <x:c r="A1114" s="65" t="n">
        <x:v>945</x:v>
      </x:c>
      <x:c r="B1114" s="65" t="str">
        <x:v>霍芬海姆（TSG Hoffenheim）</x:v>
      </x:c>
      <x:c r="C1114" s="82" t="n">
        <x:v>2</x:v>
      </x:c>
      <x:c r="D1114" s="82" t="n">
        <x:v>2</x:v>
      </x:c>
      <x:c r="E1114" s="67" t="n">
        <x:v>-0.5</x:v>
      </x:c>
      <x:c r="F1114" s="181" t="n">
        <x:v>0.5</x:v>
      </x:c>
      <x:c r="G1114" s="67" t="n">
        <x:v>-0.25</x:v>
      </x:c>
      <x:c r="H1114"/>
      <x:c r="I1114" s="65" t="n">
        <x:v>945</x:v>
      </x:c>
      <x:c r="J1114" s="65" t="str">
        <x:v>索伦托FC（Sorrento FC）</x:v>
      </x:c>
      <x:c r="K1114" s="82" t="n">
        <x:v>1</x:v>
      </x:c>
      <x:c r="L1114" s="82" t="n">
        <x:v>1</x:v>
      </x:c>
      <x:c r="M1114" s="67" t="n">
        <x:v>0</x:v>
      </x:c>
      <x:c r="N1114" s="181" t="n">
        <x:v>0</x:v>
      </x:c>
      <x:c r="O1114" s="67" t="n">
        <x:v>0</x:v>
      </x:c>
    </x:row>
    <x:row r="1115" ht="24" customHeight="1">
      <x:c r="A1115" s="65" t="n">
        <x:v>946</x:v>
      </x:c>
      <x:c r="B1115" s="65" t="str">
        <x:v>飓风</x:v>
      </x:c>
      <x:c r="C1115" s="82" t="n">
        <x:v>2</x:v>
      </x:c>
      <x:c r="D1115" s="82" t="n">
        <x:v>2</x:v>
      </x:c>
      <x:c r="E1115" s="67" t="n">
        <x:v>-0.5</x:v>
      </x:c>
      <x:c r="F1115" s="181" t="n">
        <x:v>0.5</x:v>
      </x:c>
      <x:c r="G1115" s="67" t="n">
        <x:v>-0.25</x:v>
      </x:c>
      <x:c r="H1115"/>
      <x:c r="I1115" s="65" t="n">
        <x:v>946</x:v>
      </x:c>
      <x:c r="J1115" s="65" t="str">
        <x:v>纽约城（New York City FC）</x:v>
      </x:c>
      <x:c r="K1115" s="82" t="n">
        <x:v>1</x:v>
      </x:c>
      <x:c r="L1115" s="82" t="n">
        <x:v>1</x:v>
      </x:c>
      <x:c r="M1115" s="67" t="n">
        <x:v>0</x:v>
      </x:c>
      <x:c r="N1115" s="181" t="n">
        <x:v>0</x:v>
      </x:c>
      <x:c r="O1115" s="67" t="n">
        <x:v>0</x:v>
      </x:c>
    </x:row>
    <x:row r="1116" ht="24" customHeight="1">
      <x:c r="A1116" s="65" t="n">
        <x:v>947</x:v>
      </x:c>
      <x:c r="B1116" s="65" t="str">
        <x:v>马德格堡（1. FC Magdeburg）</x:v>
      </x:c>
      <x:c r="C1116" s="82" t="n">
        <x:v>2</x:v>
      </x:c>
      <x:c r="D1116" s="82" t="n">
        <x:v>2</x:v>
      </x:c>
      <x:c r="E1116" s="67" t="n">
        <x:v>-0.5</x:v>
      </x:c>
      <x:c r="F1116" s="181" t="n">
        <x:v>0.5</x:v>
      </x:c>
      <x:c r="G1116" s="67" t="n">
        <x:v>-0.25</x:v>
      </x:c>
      <x:c r="H1116"/>
      <x:c r="I1116" s="65" t="n">
        <x:v>947</x:v>
      </x:c>
      <x:c r="J1116" s="65" t="str">
        <x:v>联合防卫队（Defensores Unidos）</x:v>
      </x:c>
      <x:c r="K1116" s="82" t="n">
        <x:v>1</x:v>
      </x:c>
      <x:c r="L1116" s="82" t="n">
        <x:v>1</x:v>
      </x:c>
      <x:c r="M1116" s="67" t="n">
        <x:v>0</x:v>
      </x:c>
      <x:c r="N1116" s="181" t="n">
        <x:v>0</x:v>
      </x:c>
      <x:c r="O1116" s="67" t="n">
        <x:v>0</x:v>
      </x:c>
    </x:row>
    <x:row r="1117" ht="24" customHeight="1">
      <x:c r="A1117" s="65" t="n">
        <x:v>948</x:v>
      </x:c>
      <x:c r="B1117" s="65" t="str">
        <x:v>帕尔斯巴亚（Persebaya Surabaya）</x:v>
      </x:c>
      <x:c r="C1117" s="82" t="n">
        <x:v>9</x:v>
      </x:c>
      <x:c r="D1117" s="82" t="n">
        <x:v>9</x:v>
      </x:c>
      <x:c r="E1117" s="67" t="n">
        <x:v>-0.5</x:v>
      </x:c>
      <x:c r="F1117" s="181" t="n">
        <x:v>0.4444444444444444</x:v>
      </x:c>
      <x:c r="G1117" s="67" t="n">
        <x:v>-0.05555555555555555</x:v>
      </x:c>
      <x:c r="H1117"/>
      <x:c r="I1117" s="65" t="n">
        <x:v>948</x:v>
      </x:c>
      <x:c r="J1117" s="65" t="str">
        <x:v>艾华卡（FC Alverca）</x:v>
      </x:c>
      <x:c r="K1117" s="82" t="n">
        <x:v>1</x:v>
      </x:c>
      <x:c r="L1117" s="82" t="n">
        <x:v>1</x:v>
      </x:c>
      <x:c r="M1117" s="67" t="n">
        <x:v>0</x:v>
      </x:c>
      <x:c r="N1117" s="181" t="n">
        <x:v>0</x:v>
      </x:c>
      <x:c r="O1117" s="67" t="n">
        <x:v>0</x:v>
      </x:c>
    </x:row>
    <x:row r="1118" ht="24" customHeight="1">
      <x:c r="A1118" s="65" t="n">
        <x:v>949</x:v>
      </x:c>
      <x:c r="B1118" s="65" t="str">
        <x:v>拉努斯（Lanús）</x:v>
      </x:c>
      <x:c r="C1118" s="82" t="n">
        <x:v>9</x:v>
      </x:c>
      <x:c r="D1118" s="82" t="n">
        <x:v>9</x:v>
      </x:c>
      <x:c r="E1118" s="67" t="n">
        <x:v>-0.5</x:v>
      </x:c>
      <x:c r="F1118" s="181" t="n">
        <x:v>0.4444444444444444</x:v>
      </x:c>
      <x:c r="G1118" s="67" t="n">
        <x:v>-0.05555555555555555</x:v>
      </x:c>
      <x:c r="H1118"/>
      <x:c r="I1118" s="65" t="n">
        <x:v>949</x:v>
      </x:c>
      <x:c r="J1118" s="65" t="str">
        <x:v>苏捷斯卡尼克希奇（FK Sutjeska Nikšić）</x:v>
      </x:c>
      <x:c r="K1118" s="82" t="n">
        <x:v>1</x:v>
      </x:c>
      <x:c r="L1118" s="82" t="n">
        <x:v>1</x:v>
      </x:c>
      <x:c r="M1118" s="67" t="n">
        <x:v>0</x:v>
      </x:c>
      <x:c r="N1118" s="181" t="n">
        <x:v>0</x:v>
      </x:c>
      <x:c r="O1118" s="67" t="n">
        <x:v>0</x:v>
      </x:c>
    </x:row>
    <x:row r="1119" ht="24" customHeight="1">
      <x:c r="A1119" s="65" t="n">
        <x:v>950</x:v>
      </x:c>
      <x:c r="B1119" s="65" t="str">
        <x:v>冈山绿雉（Fagiano Okayama）</x:v>
      </x:c>
      <x:c r="C1119" s="82" t="n">
        <x:v>5</x:v>
      </x:c>
      <x:c r="D1119" s="82" t="n">
        <x:v>5</x:v>
      </x:c>
      <x:c r="E1119" s="67" t="n">
        <x:v>-0.5</x:v>
      </x:c>
      <x:c r="F1119" s="181" t="n">
        <x:v>0.4</x:v>
      </x:c>
      <x:c r="G1119" s="67" t="n">
        <x:v>-0.1</x:v>
      </x:c>
      <x:c r="H1119"/>
      <x:c r="I1119" s="65" t="n">
        <x:v>950</x:v>
      </x:c>
      <x:c r="J1119" s="65" t="str">
        <x:v>莱卡特老虎（APIA Leichhardt FC）</x:v>
      </x:c>
      <x:c r="K1119" s="82" t="n">
        <x:v>1</x:v>
      </x:c>
      <x:c r="L1119" s="82" t="n">
        <x:v>1</x:v>
      </x:c>
      <x:c r="M1119" s="67" t="n">
        <x:v>0</x:v>
      </x:c>
      <x:c r="N1119" s="181" t="n">
        <x:v>0</x:v>
      </x:c>
      <x:c r="O1119" s="67" t="n">
        <x:v>0</x:v>
      </x:c>
    </x:row>
    <x:row r="1120" ht="24" customHeight="1">
      <x:c r="A1120" s="65" t="n">
        <x:v>951</x:v>
      </x:c>
      <x:c r="B1120" s="65" t="str">
        <x:v>天狼星（IK Sirius）</x:v>
      </x:c>
      <x:c r="C1120" s="82" t="n">
        <x:v>5</x:v>
      </x:c>
      <x:c r="D1120" s="82" t="n">
        <x:v>5</x:v>
      </x:c>
      <x:c r="E1120" s="67" t="n">
        <x:v>-0.5</x:v>
      </x:c>
      <x:c r="F1120" s="181" t="n">
        <x:v>0.4</x:v>
      </x:c>
      <x:c r="G1120" s="67" t="n">
        <x:v>-0.1</x:v>
      </x:c>
      <x:c r="H1120"/>
      <x:c r="I1120" s="65" t="n">
        <x:v>951</x:v>
      </x:c>
      <x:c r="J1120" s="65" t="str">
        <x:v>萨米恩托</x:v>
      </x:c>
      <x:c r="K1120" s="82" t="n">
        <x:v>1</x:v>
      </x:c>
      <x:c r="L1120" s="82" t="n">
        <x:v>1</x:v>
      </x:c>
      <x:c r="M1120" s="67" t="n">
        <x:v>0</x:v>
      </x:c>
      <x:c r="N1120" s="181" t="n">
        <x:v>0</x:v>
      </x:c>
      <x:c r="O1120" s="67" t="n">
        <x:v>0</x:v>
      </x:c>
    </x:row>
    <x:row r="1121" ht="24" customHeight="1">
      <x:c r="A1121" s="65" t="n">
        <x:v>952</x:v>
      </x:c>
      <x:c r="B1121" s="65" t="str">
        <x:v>马萨特兰</x:v>
      </x:c>
      <x:c r="C1121" s="82" t="n">
        <x:v>5</x:v>
      </x:c>
      <x:c r="D1121" s="82" t="n">
        <x:v>5</x:v>
      </x:c>
      <x:c r="E1121" s="67" t="n">
        <x:v>-0.5</x:v>
      </x:c>
      <x:c r="F1121" s="181" t="n">
        <x:v>0.4</x:v>
      </x:c>
      <x:c r="G1121" s="67" t="n">
        <x:v>-0.1</x:v>
      </x:c>
      <x:c r="H1121"/>
      <x:c r="I1121" s="65" t="n">
        <x:v>952</x:v>
      </x:c>
      <x:c r="J1121" s="65" t="str">
        <x:v>达拉斯FC</x:v>
      </x:c>
      <x:c r="K1121" s="82" t="n">
        <x:v>1</x:v>
      </x:c>
      <x:c r="L1121" s="82" t="n">
        <x:v>1</x:v>
      </x:c>
      <x:c r="M1121" s="67" t="n">
        <x:v>0</x:v>
      </x:c>
      <x:c r="N1121" s="181" t="n">
        <x:v>0</x:v>
      </x:c>
      <x:c r="O1121" s="67" t="n">
        <x:v>0</x:v>
      </x:c>
    </x:row>
    <x:row r="1122" ht="24" customHeight="1">
      <x:c r="A1122" s="65" t="n">
        <x:v>953</x:v>
      </x:c>
      <x:c r="B1122" s="65" t="str">
        <x:v>马鲁特联</x:v>
      </x:c>
      <x:c r="C1122" s="82" t="n">
        <x:v>5</x:v>
      </x:c>
      <x:c r="D1122" s="82" t="n">
        <x:v>5</x:v>
      </x:c>
      <x:c r="E1122" s="67" t="n">
        <x:v>-0.5</x:v>
      </x:c>
      <x:c r="F1122" s="181" t="n">
        <x:v>0.4</x:v>
      </x:c>
      <x:c r="G1122" s="67" t="n">
        <x:v>-0.1</x:v>
      </x:c>
      <x:c r="H1122"/>
      <x:c r="I1122" s="65" t="n">
        <x:v>953</x:v>
      </x:c>
      <x:c r="J1122" s="65" t="str">
        <x:v>迈阿密国际（Inter Miami）</x:v>
      </x:c>
      <x:c r="K1122" s="82" t="n">
        <x:v>1</x:v>
      </x:c>
      <x:c r="L1122" s="82" t="n">
        <x:v>1</x:v>
      </x:c>
      <x:c r="M1122" s="67" t="n">
        <x:v>0</x:v>
      </x:c>
      <x:c r="N1122" s="181" t="n">
        <x:v>0</x:v>
      </x:c>
      <x:c r="O1122" s="67" t="n">
        <x:v>0</x:v>
      </x:c>
    </x:row>
    <x:row r="1123" ht="24" customHeight="1">
      <x:c r="A1123" s="65" t="n">
        <x:v>954</x:v>
      </x:c>
      <x:c r="B1123" s="65" t="str">
        <x:v>万隆（Persib Bandung）</x:v>
      </x:c>
      <x:c r="C1123" s="82" t="n">
        <x:v>9</x:v>
      </x:c>
      <x:c r="D1123" s="82" t="n">
        <x:v>9</x:v>
      </x:c>
      <x:c r="E1123" s="67" t="n">
        <x:v>-0.5</x:v>
      </x:c>
      <x:c r="F1123" s="181" t="n">
        <x:v>0.3333333333333333</x:v>
      </x:c>
      <x:c r="G1123" s="67" t="n">
        <x:v>-0.05555555555555555</x:v>
      </x:c>
      <x:c r="H1123"/>
      <x:c r="I1123" s="65" t="n">
        <x:v>954</x:v>
      </x:c>
      <x:c r="J1123" s="65" t="str">
        <x:v>远足者（Excursionistas）</x:v>
      </x:c>
      <x:c r="K1123" s="82" t="n">
        <x:v>1</x:v>
      </x:c>
      <x:c r="L1123" s="82" t="n">
        <x:v>1</x:v>
      </x:c>
      <x:c r="M1123" s="67" t="n">
        <x:v>0</x:v>
      </x:c>
      <x:c r="N1123" s="181" t="n">
        <x:v>0</x:v>
      </x:c>
      <x:c r="O1123" s="67" t="n">
        <x:v>0</x:v>
      </x:c>
    </x:row>
    <x:row r="1124" ht="24" customHeight="1">
      <x:c r="A1124" s="65" t="n">
        <x:v>955</x:v>
      </x:c>
      <x:c r="B1124" s="65" t="str">
        <x:v>云斯卡尔达斯</x:v>
      </x:c>
      <x:c r="C1124" s="82" t="n">
        <x:v>3</x:v>
      </x:c>
      <x:c r="D1124" s="82" t="n">
        <x:v>3</x:v>
      </x:c>
      <x:c r="E1124" s="67" t="n">
        <x:v>-0.5</x:v>
      </x:c>
      <x:c r="F1124" s="181" t="n">
        <x:v>0.3333333333333333</x:v>
      </x:c>
      <x:c r="G1124" s="67" t="n">
        <x:v>-0.16666666666666666</x:v>
      </x:c>
      <x:c r="H1124"/>
      <x:c r="I1124" s="65" t="n">
        <x:v>955</x:v>
      </x:c>
      <x:c r="J1124" s="65" t="str">
        <x:v>门多萨甘拿斯亚（Gimnasia y Esgrima Mendoza）</x:v>
      </x:c>
      <x:c r="K1124" s="82" t="n">
        <x:v>1</x:v>
      </x:c>
      <x:c r="L1124" s="82" t="n">
        <x:v>1</x:v>
      </x:c>
      <x:c r="M1124" s="67" t="n">
        <x:v>0</x:v>
      </x:c>
      <x:c r="N1124" s="181" t="n">
        <x:v>0</x:v>
      </x:c>
      <x:c r="O1124" s="67" t="n">
        <x:v>0</x:v>
      </x:c>
    </x:row>
    <x:row r="1125" ht="24" customHeight="1">
      <x:c r="A1125" s="65" t="n">
        <x:v>956</x:v>
      </x:c>
      <x:c r="B1125" s="65" t="str">
        <x:v>佛罗伦萨（Fiorentina）</x:v>
      </x:c>
      <x:c r="C1125" s="82" t="n">
        <x:v>3</x:v>
      </x:c>
      <x:c r="D1125" s="82" t="n">
        <x:v>3</x:v>
      </x:c>
      <x:c r="E1125" s="67" t="n">
        <x:v>-0.5</x:v>
      </x:c>
      <x:c r="F1125" s="181" t="n">
        <x:v>0.3333333333333333</x:v>
      </x:c>
      <x:c r="G1125" s="67" t="n">
        <x:v>-0.16666666666666666</x:v>
      </x:c>
      <x:c r="H1125"/>
      <x:c r="I1125" s="65" t="n">
        <x:v>956</x:v>
      </x:c>
      <x:c r="J1125" s="65" t="str">
        <x:v>防卫与正义（Defensa y Justicia）</x:v>
      </x:c>
      <x:c r="K1125" s="82" t="n">
        <x:v>1</x:v>
      </x:c>
      <x:c r="L1125" s="82" t="n">
        <x:v>1</x:v>
      </x:c>
      <x:c r="M1125" s="67" t="n">
        <x:v>0</x:v>
      </x:c>
      <x:c r="N1125" s="181" t="n">
        <x:v>0</x:v>
      </x:c>
      <x:c r="O1125" s="67" t="n">
        <x:v>0</x:v>
      </x:c>
    </x:row>
    <x:row r="1126" ht="24" customHeight="1">
      <x:c r="A1126" s="65" t="n">
        <x:v>957</x:v>
      </x:c>
      <x:c r="B1126" s="65" t="str">
        <x:v>切尔西（Chelsea）</x:v>
      </x:c>
      <x:c r="C1126" s="82" t="n">
        <x:v>6</x:v>
      </x:c>
      <x:c r="D1126" s="82" t="n">
        <x:v>6</x:v>
      </x:c>
      <x:c r="E1126" s="67" t="n">
        <x:v>-0.5</x:v>
      </x:c>
      <x:c r="F1126" s="181" t="n">
        <x:v>0.3333333333333333</x:v>
      </x:c>
      <x:c r="G1126" s="67" t="n">
        <x:v>-0.08333333333333333</x:v>
      </x:c>
      <x:c r="H1126"/>
      <x:c r="I1126" s="65" t="n">
        <x:v>957</x:v>
      </x:c>
      <x:c r="J1126" s="65" t="str">
        <x:v>防卫者</x:v>
      </x:c>
      <x:c r="K1126" s="82" t="n">
        <x:v>1</x:v>
      </x:c>
      <x:c r="L1126" s="82" t="n">
        <x:v>1</x:v>
      </x:c>
      <x:c r="M1126" s="67" t="n">
        <x:v>0</x:v>
      </x:c>
      <x:c r="N1126" s="181" t="n">
        <x:v>0</x:v>
      </x:c>
      <x:c r="O1126" s="67" t="n">
        <x:v>0</x:v>
      </x:c>
    </x:row>
    <x:row r="1127" ht="24" customHeight="1">
      <x:c r="A1127" s="65" t="n">
        <x:v>958</x:v>
      </x:c>
      <x:c r="B1127" s="65" t="str">
        <x:v>利斯特雷（Deportivo Riestra）</x:v>
      </x:c>
      <x:c r="C1127" s="82" t="n">
        <x:v>3</x:v>
      </x:c>
      <x:c r="D1127" s="82" t="n">
        <x:v>3</x:v>
      </x:c>
      <x:c r="E1127" s="67" t="n">
        <x:v>-0.5</x:v>
      </x:c>
      <x:c r="F1127" s="181" t="n">
        <x:v>0.3333333333333333</x:v>
      </x:c>
      <x:c r="G1127" s="67" t="n">
        <x:v>-0.16666666666666666</x:v>
      </x:c>
      <x:c r="H1127"/>
      <x:c r="I1127" s="65" t="n">
        <x:v>958</x:v>
      </x:c>
      <x:c r="J1127" s="65" t="str">
        <x:v>防卫者与正义（Defensa y Justicia）</x:v>
      </x:c>
      <x:c r="K1127" s="82" t="n">
        <x:v>1</x:v>
      </x:c>
      <x:c r="L1127" s="82" t="n">
        <x:v>1</x:v>
      </x:c>
      <x:c r="M1127" s="67" t="n">
        <x:v>0</x:v>
      </x:c>
      <x:c r="N1127" s="181" t="n">
        <x:v>0</x:v>
      </x:c>
      <x:c r="O1127" s="67" t="n">
        <x:v>0</x:v>
      </x:c>
    </x:row>
    <x:row r="1128" ht="24" customHeight="1">
      <x:c r="A1128" s="65" t="n">
        <x:v>959</x:v>
      </x:c>
      <x:c r="B1128" s="65" t="str">
        <x:v>名古屋鲸鱼（Nagoya Grampus）</x:v>
      </x:c>
      <x:c r="C1128" s="82" t="n">
        <x:v>3</x:v>
      </x:c>
      <x:c r="D1128" s="82" t="n">
        <x:v>3</x:v>
      </x:c>
      <x:c r="E1128" s="67" t="n">
        <x:v>-0.5</x:v>
      </x:c>
      <x:c r="F1128" s="181" t="n">
        <x:v>0.3333333333333333</x:v>
      </x:c>
      <x:c r="G1128" s="67" t="n">
        <x:v>-0.16666666666666666</x:v>
      </x:c>
      <x:c r="H1128"/>
      <x:c r="I1128" s="65" t="n">
        <x:v>959</x:v>
      </x:c>
      <x:c r="J1128" s="65" t="str">
        <x:v>阿利亚加竞技（Alianza Atlético de Sullana）</x:v>
      </x:c>
      <x:c r="K1128" s="82" t="n">
        <x:v>1</x:v>
      </x:c>
      <x:c r="L1128" s="82" t="n">
        <x:v>1</x:v>
      </x:c>
      <x:c r="M1128" s="67" t="n">
        <x:v>0</x:v>
      </x:c>
      <x:c r="N1128" s="181" t="n">
        <x:v>0</x:v>
      </x:c>
      <x:c r="O1128" s="67" t="n">
        <x:v>0</x:v>
      </x:c>
    </x:row>
    <x:row r="1129" ht="24" customHeight="1">
      <x:c r="A1129" s="65" t="n">
        <x:v>960</x:v>
      </x:c>
      <x:c r="B1129" s="65" t="str">
        <x:v>坎昆FC</x:v>
      </x:c>
      <x:c r="C1129" s="82" t="n">
        <x:v>3</x:v>
      </x:c>
      <x:c r="D1129" s="82" t="n">
        <x:v>3</x:v>
      </x:c>
      <x:c r="E1129" s="67" t="n">
        <x:v>-0.5</x:v>
      </x:c>
      <x:c r="F1129" s="181" t="n">
        <x:v>0.3333333333333333</x:v>
      </x:c>
      <x:c r="G1129" s="67" t="n">
        <x:v>-0.16666666666666666</x:v>
      </x:c>
      <x:c r="H1129"/>
      <x:c r="I1129" s="65" t="n">
        <x:v>960</x:v>
      </x:c>
      <x:c r="J1129" s="65" t="str">
        <x:v>阿利安萨FC（Alianza FC）</x:v>
      </x:c>
      <x:c r="K1129" s="82" t="n">
        <x:v>1</x:v>
      </x:c>
      <x:c r="L1129" s="82" t="n">
        <x:v>1</x:v>
      </x:c>
      <x:c r="M1129" s="67" t="n">
        <x:v>0</x:v>
      </x:c>
      <x:c r="N1129" s="181" t="n">
        <x:v>0</x:v>
      </x:c>
      <x:c r="O1129" s="67" t="n">
        <x:v>0</x:v>
      </x:c>
    </x:row>
    <x:row r="1130" ht="24" customHeight="1">
      <x:c r="A1130" s="65" t="n">
        <x:v>961</x:v>
      </x:c>
      <x:c r="B1130" s="65" t="str">
        <x:v>弗拉门戈</x:v>
      </x:c>
      <x:c r="C1130" s="82" t="n">
        <x:v>3</x:v>
      </x:c>
      <x:c r="D1130" s="82" t="n">
        <x:v>3</x:v>
      </x:c>
      <x:c r="E1130" s="67" t="n">
        <x:v>-0.5</x:v>
      </x:c>
      <x:c r="F1130" s="181" t="n">
        <x:v>0.3333333333333333</x:v>
      </x:c>
      <x:c r="G1130" s="67" t="n">
        <x:v>-0.16666666666666666</x:v>
      </x:c>
      <x:c r="H1130"/>
      <x:c r="I1130" s="65" t="n">
        <x:v>961</x:v>
      </x:c>
      <x:c r="J1130" s="65" t="str">
        <x:v>阿尔多斯维（Aldosivi）</x:v>
      </x:c>
      <x:c r="K1130" s="82" t="n">
        <x:v>1</x:v>
      </x:c>
      <x:c r="L1130" s="82" t="n">
        <x:v>1</x:v>
      </x:c>
      <x:c r="M1130" s="67" t="n">
        <x:v>0</x:v>
      </x:c>
      <x:c r="N1130" s="181" t="n">
        <x:v>0</x:v>
      </x:c>
      <x:c r="O1130" s="67" t="n">
        <x:v>0</x:v>
      </x:c>
    </x:row>
    <x:row r="1131" ht="24" customHeight="1">
      <x:c r="A1131" s="65" t="n">
        <x:v>962</x:v>
      </x:c>
      <x:c r="B1131" s="65" t="str">
        <x:v>浦项制铁（Pohang Steelers）</x:v>
      </x:c>
      <x:c r="C1131" s="82" t="n">
        <x:v>3</x:v>
      </x:c>
      <x:c r="D1131" s="82" t="n">
        <x:v>3</x:v>
      </x:c>
      <x:c r="E1131" s="67" t="n">
        <x:v>-0.5</x:v>
      </x:c>
      <x:c r="F1131" s="181" t="n">
        <x:v>0.3333333333333333</x:v>
      </x:c>
      <x:c r="G1131" s="67" t="n">
        <x:v>-0.16666666666666666</x:v>
      </x:c>
      <x:c r="H1131"/>
      <x:c r="I1131" s="65" t="n">
        <x:v>962</x:v>
      </x:c>
      <x:c r="J1131" s="65" t="str">
        <x:v>阿拉木图凯拉特（Kairat Almaty）</x:v>
      </x:c>
      <x:c r="K1131" s="82" t="n">
        <x:v>2</x:v>
      </x:c>
      <x:c r="L1131" s="82" t="n">
        <x:v>1</x:v>
      </x:c>
      <x:c r="M1131" s="67" t="n">
        <x:v>0</x:v>
      </x:c>
      <x:c r="N1131" s="181" t="n">
        <x:v>0</x:v>
      </x:c>
      <x:c r="O1131" s="67" t="n">
        <x:v>0</x:v>
      </x:c>
    </x:row>
    <x:row r="1132" ht="24" customHeight="1">
      <x:c r="A1132" s="65" t="n">
        <x:v>963</x:v>
      </x:c>
      <x:c r="B1132" s="65" t="str">
        <x:v>热那亚（Genoa）</x:v>
      </x:c>
      <x:c r="C1132" s="82" t="n">
        <x:v>3</x:v>
      </x:c>
      <x:c r="D1132" s="82" t="n">
        <x:v>3</x:v>
      </x:c>
      <x:c r="E1132" s="67" t="n">
        <x:v>-0.5</x:v>
      </x:c>
      <x:c r="F1132" s="181" t="n">
        <x:v>0.3333333333333333</x:v>
      </x:c>
      <x:c r="G1132" s="67" t="n">
        <x:v>-0.16666666666666666</x:v>
      </x:c>
      <x:c r="H1132"/>
      <x:c r="I1132" s="65" t="n">
        <x:v>963</x:v>
      </x:c>
      <x:c r="J1132" s="65" t="str">
        <x:v>阿拉胡伦斯（Alajuelense）</x:v>
      </x:c>
      <x:c r="K1132" s="82" t="n">
        <x:v>1</x:v>
      </x:c>
      <x:c r="L1132" s="82" t="n">
        <x:v>1</x:v>
      </x:c>
      <x:c r="M1132" s="67" t="n">
        <x:v>0</x:v>
      </x:c>
      <x:c r="N1132" s="181" t="n">
        <x:v>0</x:v>
      </x:c>
      <x:c r="O1132" s="67" t="n">
        <x:v>0</x:v>
      </x:c>
    </x:row>
    <x:row r="1133" ht="24" customHeight="1">
      <x:c r="A1133" s="65" t="n">
        <x:v>964</x:v>
      </x:c>
      <x:c r="B1133" s="65" t="str">
        <x:v>纳什维尔SC</x:v>
      </x:c>
      <x:c r="C1133" s="82" t="n">
        <x:v>3</x:v>
      </x:c>
      <x:c r="D1133" s="82" t="n">
        <x:v>3</x:v>
      </x:c>
      <x:c r="E1133" s="67" t="n">
        <x:v>-0.5</x:v>
      </x:c>
      <x:c r="F1133" s="181" t="n">
        <x:v>0.3333333333333333</x:v>
      </x:c>
      <x:c r="G1133" s="67" t="n">
        <x:v>-0.16666666666666666</x:v>
      </x:c>
      <x:c r="H1133"/>
      <x:c r="I1133" s="65" t="n">
        <x:v>964</x:v>
      </x:c>
      <x:c r="J1133" s="65" t="str">
        <x:v>阿根廷青年</x:v>
      </x:c>
      <x:c r="K1133" s="82" t="n">
        <x:v>1</x:v>
      </x:c>
      <x:c r="L1133" s="82" t="n">
        <x:v>1</x:v>
      </x:c>
      <x:c r="M1133" s="67" t="n">
        <x:v>0</x:v>
      </x:c>
      <x:c r="N1133" s="181" t="n">
        <x:v>0</x:v>
      </x:c>
      <x:c r="O1133" s="67" t="n">
        <x:v>0</x:v>
      </x:c>
    </x:row>
    <x:row r="1134" ht="24" customHeight="1">
      <x:c r="A1134" s="65" t="n">
        <x:v>965</x:v>
      </x:c>
      <x:c r="B1134" s="65" t="str">
        <x:v>纽卡斯尔联（Newcastle United）</x:v>
      </x:c>
      <x:c r="C1134" s="82" t="n">
        <x:v>3</x:v>
      </x:c>
      <x:c r="D1134" s="82" t="n">
        <x:v>3</x:v>
      </x:c>
      <x:c r="E1134" s="67" t="n">
        <x:v>-0.5</x:v>
      </x:c>
      <x:c r="F1134" s="181" t="n">
        <x:v>0.3333333333333333</x:v>
      </x:c>
      <x:c r="G1134" s="67" t="n">
        <x:v>-0.16666666666666666</x:v>
      </x:c>
      <x:c r="H1134"/>
      <x:c r="I1134" s="65" t="n">
        <x:v>965</x:v>
      </x:c>
      <x:c r="J1134" s="65" t="str">
        <x:v>黑德堡（Heidelberg United）</x:v>
      </x:c>
      <x:c r="K1134" s="82" t="n">
        <x:v>1</x:v>
      </x:c>
      <x:c r="L1134" s="82" t="n">
        <x:v>1</x:v>
      </x:c>
      <x:c r="M1134" s="67" t="n">
        <x:v>0</x:v>
      </x:c>
      <x:c r="N1134" s="181" t="n">
        <x:v>0</x:v>
      </x:c>
      <x:c r="O1134" s="67" t="n">
        <x:v>0</x:v>
      </x:c>
    </x:row>
    <x:row r="1135" ht="24" customHeight="1">
      <x:c r="A1135" s="65" t="n">
        <x:v>966</x:v>
      </x:c>
      <x:c r="B1135" s="65" t="str">
        <x:v>罗萨里奥中央（Rosario Central）</x:v>
      </x:c>
      <x:c r="C1135" s="82" t="n">
        <x:v>3</x:v>
      </x:c>
      <x:c r="D1135" s="82" t="n">
        <x:v>3</x:v>
      </x:c>
      <x:c r="E1135" s="67" t="n">
        <x:v>-0.5</x:v>
      </x:c>
      <x:c r="F1135" s="181" t="n">
        <x:v>0.3333333333333333</x:v>
      </x:c>
      <x:c r="G1135" s="67" t="n">
        <x:v>-0.16666666666666666</x:v>
      </x:c>
      <x:c r="H1135"/>
      <x:c r="I1135" s="65" t="n">
        <x:v>966</x:v>
      </x:c>
      <x:c r="J1135" s="65" t="str">
        <x:v>FC安养</x:v>
      </x:c>
      <x:c r="K1135" s="82" t="n">
        <x:v>2</x:v>
      </x:c>
      <x:c r="L1135" s="82" t="n">
        <x:v>2</x:v>
      </x:c>
      <x:c r="M1135" s="67" t="n">
        <x:v>-0.5</x:v>
      </x:c>
      <x:c r="N1135" s="181" t="n">
        <x:v>0.5</x:v>
      </x:c>
      <x:c r="O1135" s="67" t="n">
        <x:v>-0.25</x:v>
      </x:c>
    </x:row>
    <x:row r="1136" ht="24" customHeight="1">
      <x:c r="A1136" s="65" t="n">
        <x:v>967</x:v>
      </x:c>
      <x:c r="B1136" s="65" t="str">
        <x:v>萨瑟兰鲨鱼</x:v>
      </x:c>
      <x:c r="C1136" s="82" t="n">
        <x:v>3</x:v>
      </x:c>
      <x:c r="D1136" s="82" t="n">
        <x:v>3</x:v>
      </x:c>
      <x:c r="E1136" s="67" t="n">
        <x:v>-0.5</x:v>
      </x:c>
      <x:c r="F1136" s="181" t="n">
        <x:v>0.3333333333333333</x:v>
      </x:c>
      <x:c r="G1136" s="67" t="n">
        <x:v>-0.16666666666666666</x:v>
      </x:c>
      <x:c r="H1136"/>
      <x:c r="I1136" s="65" t="n">
        <x:v>967</x:v>
      </x:c>
      <x:c r="J1136" s="65" t="str">
        <x:v>光州FC</x:v>
      </x:c>
      <x:c r="K1136" s="82" t="n">
        <x:v>2</x:v>
      </x:c>
      <x:c r="L1136" s="82" t="n">
        <x:v>2</x:v>
      </x:c>
      <x:c r="M1136" s="67" t="n">
        <x:v>-0.5</x:v>
      </x:c>
      <x:c r="N1136" s="181" t="n">
        <x:v>0.5</x:v>
      </x:c>
      <x:c r="O1136" s="67" t="n">
        <x:v>-0.25</x:v>
      </x:c>
    </x:row>
    <x:row r="1137" ht="24" customHeight="1">
      <x:c r="A1137" s="65" t="n">
        <x:v>968</x:v>
      </x:c>
      <x:c r="B1137" s="65" t="str">
        <x:v>里奥内格罗老鹰</x:v>
      </x:c>
      <x:c r="C1137" s="82" t="n">
        <x:v>3</x:v>
      </x:c>
      <x:c r="D1137" s="82" t="n">
        <x:v>3</x:v>
      </x:c>
      <x:c r="E1137" s="67" t="n">
        <x:v>-0.5</x:v>
      </x:c>
      <x:c r="F1137" s="181" t="n">
        <x:v>0.3333333333333333</x:v>
      </x:c>
      <x:c r="G1137" s="67" t="n">
        <x:v>-0.16666666666666666</x:v>
      </x:c>
      <x:c r="H1137"/>
      <x:c r="I1137" s="65" t="n">
        <x:v>968</x:v>
      </x:c>
      <x:c r="J1137" s="65" t="str">
        <x:v>全北现代（Jeonbuk Hyundai Motors）</x:v>
      </x:c>
      <x:c r="K1137" s="82" t="n">
        <x:v>2</x:v>
      </x:c>
      <x:c r="L1137" s="82" t="n">
        <x:v>2</x:v>
      </x:c>
      <x:c r="M1137" s="67" t="n">
        <x:v>-0.5</x:v>
      </x:c>
      <x:c r="N1137" s="181" t="n">
        <x:v>0.5</x:v>
      </x:c>
      <x:c r="O1137" s="67" t="n">
        <x:v>-0.25</x:v>
      </x:c>
    </x:row>
    <x:row r="1138" ht="24" customHeight="1">
      <x:c r="A1138" s="65" t="n">
        <x:v>969</x:v>
      </x:c>
      <x:c r="B1138" s="65" t="str">
        <x:v>首尔FC（FC Seoul）</x:v>
      </x:c>
      <x:c r="C1138" s="82" t="n">
        <x:v>3</x:v>
      </x:c>
      <x:c r="D1138" s="82" t="n">
        <x:v>3</x:v>
      </x:c>
      <x:c r="E1138" s="67" t="n">
        <x:v>-0.5</x:v>
      </x:c>
      <x:c r="F1138" s="181" t="n">
        <x:v>0.3333333333333333</x:v>
      </x:c>
      <x:c r="G1138" s="67" t="n">
        <x:v>-0.16666666666666666</x:v>
      </x:c>
      <x:c r="H1138"/>
      <x:c r="I1138" s="65" t="n">
        <x:v>969</x:v>
      </x:c>
      <x:c r="J1138" s="65" t="str">
        <x:v>加拿大U20</x:v>
      </x:c>
      <x:c r="K1138" s="82" t="n">
        <x:v>2</x:v>
      </x:c>
      <x:c r="L1138" s="82" t="n">
        <x:v>2</x:v>
      </x:c>
      <x:c r="M1138" s="67" t="n">
        <x:v>-0.5</x:v>
      </x:c>
      <x:c r="N1138" s="181" t="n">
        <x:v>0.5</x:v>
      </x:c>
      <x:c r="O1138" s="67" t="n">
        <x:v>-0.25</x:v>
      </x:c>
    </x:row>
    <x:row r="1139" ht="24" customHeight="1">
      <x:c r="A1139" s="65" t="n">
        <x:v>970</x:v>
      </x:c>
      <x:c r="B1139" s="65" t="str">
        <x:v>麦克阿瑟FC（Macarthur FC）</x:v>
      </x:c>
      <x:c r="C1139" s="82" t="n">
        <x:v>3</x:v>
      </x:c>
      <x:c r="D1139" s="82" t="n">
        <x:v>3</x:v>
      </x:c>
      <x:c r="E1139" s="67" t="n">
        <x:v>-0.5</x:v>
      </x:c>
      <x:c r="F1139" s="181" t="n">
        <x:v>0.3333333333333333</x:v>
      </x:c>
      <x:c r="G1139" s="67" t="n">
        <x:v>-0.16666666666666666</x:v>
      </x:c>
      <x:c r="H1139"/>
      <x:c r="I1139" s="65" t="n">
        <x:v>970</x:v>
      </x:c>
      <x:c r="J1139" s="65" t="str">
        <x:v>南非</x:v>
      </x:c>
      <x:c r="K1139" s="82" t="n">
        <x:v>2</x:v>
      </x:c>
      <x:c r="L1139" s="82" t="n">
        <x:v>2</x:v>
      </x:c>
      <x:c r="M1139" s="67" t="n">
        <x:v>-0.5</x:v>
      </x:c>
      <x:c r="N1139" s="181" t="n">
        <x:v>0.5</x:v>
      </x:c>
      <x:c r="O1139" s="67" t="n">
        <x:v>-0.25</x:v>
      </x:c>
    </x:row>
    <x:row r="1140" ht="24" customHeight="1">
      <x:c r="A1140" s="65" t="n">
        <x:v>971</x:v>
      </x:c>
      <x:c r="B1140" s="65" t="str">
        <x:v>布里斯班狮吼</x:v>
      </x:c>
      <x:c r="C1140" s="82" t="n">
        <x:v>4</x:v>
      </x:c>
      <x:c r="D1140" s="82" t="n">
        <x:v>4</x:v>
      </x:c>
      <x:c r="E1140" s="67" t="n">
        <x:v>-0.5</x:v>
      </x:c>
      <x:c r="F1140" s="181" t="n">
        <x:v>0.25</x:v>
      </x:c>
      <x:c r="G1140" s="67" t="n">
        <x:v>-0.125</x:v>
      </x:c>
      <x:c r="H1140"/>
      <x:c r="I1140" s="65" t="n">
        <x:v>971</x:v>
      </x:c>
      <x:c r="J1140" s="65" t="str">
        <x:v>布伦瑞克尤文图斯</x:v>
      </x:c>
      <x:c r="K1140" s="82" t="n">
        <x:v>2</x:v>
      </x:c>
      <x:c r="L1140" s="82" t="n">
        <x:v>2</x:v>
      </x:c>
      <x:c r="M1140" s="67" t="n">
        <x:v>-0.5</x:v>
      </x:c>
      <x:c r="N1140" s="181" t="n">
        <x:v>0.5</x:v>
      </x:c>
      <x:c r="O1140" s="67" t="n">
        <x:v>-0.25</x:v>
      </x:c>
    </x:row>
    <x:row r="1141" ht="24" customHeight="1">
      <x:c r="A1141" s="65" t="n">
        <x:v>972</x:v>
      </x:c>
      <x:c r="B1141" s="65" t="str">
        <x:v>帕德博恩</x:v>
      </x:c>
      <x:c r="C1141" s="82" t="n">
        <x:v>4</x:v>
      </x:c>
      <x:c r="D1141" s="82" t="n">
        <x:v>4</x:v>
      </x:c>
      <x:c r="E1141" s="67" t="n">
        <x:v>-0.5</x:v>
      </x:c>
      <x:c r="F1141" s="181" t="n">
        <x:v>0.25</x:v>
      </x:c>
      <x:c r="G1141" s="67" t="n">
        <x:v>-0.125</x:v>
      </x:c>
      <x:c r="H1141"/>
      <x:c r="I1141" s="65" t="n">
        <x:v>972</x:v>
      </x:c>
      <x:c r="J1141" s="65" t="str">
        <x:v>布卡拉曼加竞技</x:v>
      </x:c>
      <x:c r="K1141" s="82" t="n">
        <x:v>4</x:v>
      </x:c>
      <x:c r="L1141" s="82" t="n">
        <x:v>4</x:v>
      </x:c>
      <x:c r="M1141" s="67" t="n">
        <x:v>-0.5</x:v>
      </x:c>
      <x:c r="N1141" s="181" t="n">
        <x:v>0.5</x:v>
      </x:c>
      <x:c r="O1141" s="67" t="n">
        <x:v>-0.125</x:v>
      </x:c>
    </x:row>
    <x:row r="1142" ht="24" customHeight="1">
      <x:c r="A1142" s="65" t="n">
        <x:v>973</x:v>
      </x:c>
      <x:c r="B1142" s="65" t="str">
        <x:v>罗马（AS Roma）</x:v>
      </x:c>
      <x:c r="C1142" s="82" t="n">
        <x:v>4</x:v>
      </x:c>
      <x:c r="D1142" s="82" t="n">
        <x:v>4</x:v>
      </x:c>
      <x:c r="E1142" s="67" t="n">
        <x:v>-0.5</x:v>
      </x:c>
      <x:c r="F1142" s="181" t="n">
        <x:v>0.25</x:v>
      </x:c>
      <x:c r="G1142" s="67" t="n">
        <x:v>-0.125</x:v>
      </x:c>
      <x:c r="H1142"/>
      <x:c r="I1142" s="65" t="n">
        <x:v>973</x:v>
      </x:c>
      <x:c r="J1142" s="65" t="str">
        <x:v>新南威尔士精神（NWS Spirit FC）</x:v>
      </x:c>
      <x:c r="K1142" s="82" t="n">
        <x:v>2</x:v>
      </x:c>
      <x:c r="L1142" s="82" t="n">
        <x:v>2</x:v>
      </x:c>
      <x:c r="M1142" s="67" t="n">
        <x:v>-0.5</x:v>
      </x:c>
      <x:c r="N1142" s="181" t="n">
        <x:v>0.5</x:v>
      </x:c>
      <x:c r="O1142" s="67" t="n">
        <x:v>-0.25</x:v>
      </x:c>
    </x:row>
    <x:row r="1143" ht="24" customHeight="1">
      <x:c r="A1143" s="65" t="n">
        <x:v>974</x:v>
      </x:c>
      <x:c r="B1143" s="65" t="str">
        <x:v>萨斯菲尔德</x:v>
      </x:c>
      <x:c r="C1143" s="82" t="n">
        <x:v>4</x:v>
      </x:c>
      <x:c r="D1143" s="82" t="n">
        <x:v>4</x:v>
      </x:c>
      <x:c r="E1143" s="67" t="n">
        <x:v>-0.5</x:v>
      </x:c>
      <x:c r="F1143" s="181" t="n">
        <x:v>0.25</x:v>
      </x:c>
      <x:c r="G1143" s="67" t="n">
        <x:v>-0.125</x:v>
      </x:c>
      <x:c r="H1143"/>
      <x:c r="I1143" s="65" t="n">
        <x:v>974</x:v>
      </x:c>
      <x:c r="J1143" s="65" t="str">
        <x:v>曼彻斯特城（Manchester City）</x:v>
      </x:c>
      <x:c r="K1143" s="82" t="n">
        <x:v>2</x:v>
      </x:c>
      <x:c r="L1143" s="82" t="n">
        <x:v>2</x:v>
      </x:c>
      <x:c r="M1143" s="67" t="n">
        <x:v>-0.5</x:v>
      </x:c>
      <x:c r="N1143" s="181" t="n">
        <x:v>0.5</x:v>
      </x:c>
      <x:c r="O1143" s="67" t="n">
        <x:v>-0.25</x:v>
      </x:c>
    </x:row>
    <x:row r="1144" ht="24" customHeight="1">
      <x:c r="A1144" s="65" t="n">
        <x:v>975</x:v>
      </x:c>
      <x:c r="B1144" s="65" t="str">
        <x:v>哥伦比亚</x:v>
      </x:c>
      <x:c r="C1144" s="82" t="n">
        <x:v>5</x:v>
      </x:c>
      <x:c r="D1144" s="82" t="n">
        <x:v>5</x:v>
      </x:c>
      <x:c r="E1144" s="67" t="n">
        <x:v>-0.5</x:v>
      </x:c>
      <x:c r="F1144" s="181" t="n">
        <x:v>0.2</x:v>
      </x:c>
      <x:c r="G1144" s="67" t="n">
        <x:v>-0.1</x:v>
      </x:c>
      <x:c r="H1144"/>
      <x:c r="I1144" s="65" t="n">
        <x:v>975</x:v>
      </x:c>
      <x:c r="J1144" s="65" t="str">
        <x:v>格雷米奥（Grêmio）</x:v>
      </x:c>
      <x:c r="K1144" s="82" t="n">
        <x:v>2</x:v>
      </x:c>
      <x:c r="L1144" s="82" t="n">
        <x:v>2</x:v>
      </x:c>
      <x:c r="M1144" s="67" t="n">
        <x:v>-0.5</x:v>
      </x:c>
      <x:c r="N1144" s="181" t="n">
        <x:v>0.5</x:v>
      </x:c>
      <x:c r="O1144" s="67" t="n">
        <x:v>-0.25</x:v>
      </x:c>
    </x:row>
    <x:row r="1145" ht="24" customHeight="1">
      <x:c r="A1145" s="65" t="n">
        <x:v>976</x:v>
      </x:c>
      <x:c r="B1145" s="65" t="str">
        <x:v>GV圣何塞（GV San José）</x:v>
      </x:c>
      <x:c r="C1145" s="82" t="n">
        <x:v>1</x:v>
      </x:c>
      <x:c r="D1145" s="82" t="n">
        <x:v>1</x:v>
      </x:c>
      <x:c r="E1145" s="67" t="n">
        <x:v>-0.5</x:v>
      </x:c>
      <x:c r="F1145" s="181" t="n">
        <x:v>0</x:v>
      </x:c>
      <x:c r="G1145" s="67" t="n">
        <x:v>-0.5</x:v>
      </x:c>
      <x:c r="H1145"/>
      <x:c r="I1145" s="65" t="n">
        <x:v>976</x:v>
      </x:c>
      <x:c r="J1145" s="65" t="str">
        <x:v>水户蜀葵</x:v>
      </x:c>
      <x:c r="K1145" s="82" t="n">
        <x:v>2</x:v>
      </x:c>
      <x:c r="L1145" s="82" t="n">
        <x:v>2</x:v>
      </x:c>
      <x:c r="M1145" s="67" t="n">
        <x:v>-0.5</x:v>
      </x:c>
      <x:c r="N1145" s="181" t="n">
        <x:v>0.5</x:v>
      </x:c>
      <x:c r="O1145" s="67" t="n">
        <x:v>-0.25</x:v>
      </x:c>
    </x:row>
    <x:row r="1146" ht="24" customHeight="1">
      <x:c r="A1146" s="65" t="n">
        <x:v>977</x:v>
      </x:c>
      <x:c r="B1146" s="65" t="str">
        <x:v>伯恩利</x:v>
      </x:c>
      <x:c r="C1146" s="82" t="n">
        <x:v>1</x:v>
      </x:c>
      <x:c r="D1146" s="82" t="n">
        <x:v>1</x:v>
      </x:c>
      <x:c r="E1146" s="67" t="n">
        <x:v>-0.5</x:v>
      </x:c>
      <x:c r="F1146" s="181" t="n">
        <x:v>0</x:v>
      </x:c>
      <x:c r="G1146" s="67" t="n">
        <x:v>-0.5</x:v>
      </x:c>
      <x:c r="H1146"/>
      <x:c r="I1146" s="65" t="n">
        <x:v>977</x:v>
      </x:c>
      <x:c r="J1146" s="65" t="str">
        <x:v>热那亚</x:v>
      </x:c>
      <x:c r="K1146" s="82" t="n">
        <x:v>6</x:v>
      </x:c>
      <x:c r="L1146" s="82" t="n">
        <x:v>6</x:v>
      </x:c>
      <x:c r="M1146" s="67" t="n">
        <x:v>-0.5</x:v>
      </x:c>
      <x:c r="N1146" s="181" t="n">
        <x:v>0.5</x:v>
      </x:c>
      <x:c r="O1146" s="67" t="n">
        <x:v>-0.08333333333333333</x:v>
      </x:c>
    </x:row>
    <x:row r="1147" ht="24" customHeight="1">
      <x:c r="A1147" s="65" t="n">
        <x:v>978</x:v>
      </x:c>
      <x:c r="B1147" s="65" t="str">
        <x:v>佩斯克谏义里(Persik Kediri)</x:v>
      </x:c>
      <x:c r="C1147" s="82" t="n">
        <x:v>1</x:v>
      </x:c>
      <x:c r="D1147" s="82" t="n">
        <x:v>1</x:v>
      </x:c>
      <x:c r="E1147" s="67" t="n">
        <x:v>-0.5</x:v>
      </x:c>
      <x:c r="F1147" s="181" t="n">
        <x:v>0</x:v>
      </x:c>
      <x:c r="G1147" s="67" t="n">
        <x:v>-0.5</x:v>
      </x:c>
      <x:c r="H1147"/>
      <x:c r="I1147" s="65" t="n">
        <x:v>978</x:v>
      </x:c>
      <x:c r="J1147" s="65" t="str">
        <x:v>珀斯光荣（Perth Glory）</x:v>
      </x:c>
      <x:c r="K1147" s="82" t="n">
        <x:v>4</x:v>
      </x:c>
      <x:c r="L1147" s="82" t="n">
        <x:v>4</x:v>
      </x:c>
      <x:c r="M1147" s="67" t="n">
        <x:v>-0.5</x:v>
      </x:c>
      <x:c r="N1147" s="181" t="n">
        <x:v>0.5</x:v>
      </x:c>
      <x:c r="O1147" s="67" t="n">
        <x:v>-0.125</x:v>
      </x:c>
    </x:row>
    <x:row r="1148" ht="24" customHeight="1">
      <x:c r="A1148" s="65" t="n">
        <x:v>979</x:v>
      </x:c>
      <x:c r="B1148" s="65" t="str">
        <x:v>光州FC（Gwangju FC）</x:v>
      </x:c>
      <x:c r="C1148" s="82" t="n">
        <x:v>1</x:v>
      </x:c>
      <x:c r="D1148" s="82" t="n">
        <x:v>1</x:v>
      </x:c>
      <x:c r="E1148" s="67" t="n">
        <x:v>-0.5</x:v>
      </x:c>
      <x:c r="F1148" s="181" t="n">
        <x:v>0</x:v>
      </x:c>
      <x:c r="G1148" s="67" t="n">
        <x:v>-0.5</x:v>
      </x:c>
      <x:c r="H1148"/>
      <x:c r="I1148" s="65" t="n">
        <x:v>979</x:v>
      </x:c>
      <x:c r="J1148" s="65" t="str">
        <x:v>科里蒂巴（Coritiba）</x:v>
      </x:c>
      <x:c r="K1148" s="82" t="n">
        <x:v>2</x:v>
      </x:c>
      <x:c r="L1148" s="82" t="n">
        <x:v>2</x:v>
      </x:c>
      <x:c r="M1148" s="67" t="n">
        <x:v>-0.5</x:v>
      </x:c>
      <x:c r="N1148" s="181" t="n">
        <x:v>0.5</x:v>
      </x:c>
      <x:c r="O1148" s="67" t="n">
        <x:v>-0.25</x:v>
      </x:c>
    </x:row>
    <x:row r="1149" ht="24" customHeight="1">
      <x:c r="A1149" s="65" t="n">
        <x:v>980</x:v>
      </x:c>
      <x:c r="B1149" s="65" t="str">
        <x:v>兰沃里林（Langwarrin）</x:v>
      </x:c>
      <x:c r="C1149" s="82" t="n">
        <x:v>1</x:v>
      </x:c>
      <x:c r="D1149" s="82" t="n">
        <x:v>1</x:v>
      </x:c>
      <x:c r="E1149" s="67" t="n">
        <x:v>-0.5</x:v>
      </x:c>
      <x:c r="F1149" s="181" t="n">
        <x:v>0</x:v>
      </x:c>
      <x:c r="G1149" s="67" t="n">
        <x:v>-0.5</x:v>
      </x:c>
      <x:c r="H1149"/>
      <x:c r="I1149" s="65" t="n">
        <x:v>980</x:v>
      </x:c>
      <x:c r="J1149" s="65" t="str">
        <x:v>竞技俱乐部</x:v>
      </x:c>
      <x:c r="K1149" s="82" t="n">
        <x:v>2</x:v>
      </x:c>
      <x:c r="L1149" s="82" t="n">
        <x:v>2</x:v>
      </x:c>
      <x:c r="M1149" s="67" t="n">
        <x:v>-0.5</x:v>
      </x:c>
      <x:c r="N1149" s="181" t="n">
        <x:v>0.5</x:v>
      </x:c>
      <x:c r="O1149" s="67" t="n">
        <x:v>-0.25</x:v>
      </x:c>
    </x:row>
    <x:row r="1150" ht="24" customHeight="1">
      <x:c r="A1150" s="65" t="n">
        <x:v>981</x:v>
      </x:c>
      <x:c r="B1150" s="65" t="str">
        <x:v>切洛（Cerro）</x:v>
      </x:c>
      <x:c r="C1150" s="82" t="n">
        <x:v>1</x:v>
      </x:c>
      <x:c r="D1150" s="82" t="n">
        <x:v>1</x:v>
      </x:c>
      <x:c r="E1150" s="67" t="n">
        <x:v>-0.5</x:v>
      </x:c>
      <x:c r="F1150" s="181" t="n">
        <x:v>0</x:v>
      </x:c>
      <x:c r="G1150" s="67" t="n">
        <x:v>-0.5</x:v>
      </x:c>
      <x:c r="H1150"/>
      <x:c r="I1150" s="65" t="n">
        <x:v>981</x:v>
      </x:c>
      <x:c r="J1150" s="65" t="str">
        <x:v>长崎成功丸（V-Varen Nagasaki）</x:v>
      </x:c>
      <x:c r="K1150" s="82" t="n">
        <x:v>6</x:v>
      </x:c>
      <x:c r="L1150" s="82" t="n">
        <x:v>6</x:v>
      </x:c>
      <x:c r="M1150" s="67" t="n">
        <x:v>-0.5</x:v>
      </x:c>
      <x:c r="N1150" s="181" t="n">
        <x:v>0.5</x:v>
      </x:c>
      <x:c r="O1150" s="67" t="n">
        <x:v>-0.08333333333333333</x:v>
      </x:c>
    </x:row>
    <x:row r="1151" ht="24" customHeight="1">
      <x:c r="A1151" s="65" t="n">
        <x:v>982</x:v>
      </x:c>
      <x:c r="B1151" s="65" t="str">
        <x:v>前进之鹰（Go Ahead Eagles）</x:v>
      </x:c>
      <x:c r="C1151" s="82" t="n">
        <x:v>1</x:v>
      </x:c>
      <x:c r="D1151" s="82" t="n">
        <x:v>1</x:v>
      </x:c>
      <x:c r="E1151" s="67" t="n">
        <x:v>-0.5</x:v>
      </x:c>
      <x:c r="F1151" s="181" t="n">
        <x:v>0</x:v>
      </x:c>
      <x:c r="G1151" s="67" t="n">
        <x:v>-0.5</x:v>
      </x:c>
      <x:c r="H1151"/>
      <x:c r="I1151" s="65" t="n">
        <x:v>982</x:v>
      </x:c>
      <x:c r="J1151" s="65" t="str">
        <x:v>阿雷马</x:v>
      </x:c>
      <x:c r="K1151" s="82" t="n">
        <x:v>6</x:v>
      </x:c>
      <x:c r="L1151" s="82" t="n">
        <x:v>6</x:v>
      </x:c>
      <x:c r="M1151" s="67" t="n">
        <x:v>-0.5</x:v>
      </x:c>
      <x:c r="N1151" s="181" t="n">
        <x:v>0.5</x:v>
      </x:c>
      <x:c r="O1151" s="67" t="n">
        <x:v>-0.08333333333333333</x:v>
      </x:c>
    </x:row>
    <x:row r="1152" ht="24" customHeight="1">
      <x:c r="A1152" s="65" t="n">
        <x:v>983</x:v>
      </x:c>
      <x:c r="B1152" s="65" t="str">
        <x:v>勒内森斯贝尔卡内（RS Berkane）</x:v>
      </x:c>
      <x:c r="C1152" s="82" t="n">
        <x:v>1</x:v>
      </x:c>
      <x:c r="D1152" s="82" t="n">
        <x:v>1</x:v>
      </x:c>
      <x:c r="E1152" s="67" t="n">
        <x:v>-0.5</x:v>
      </x:c>
      <x:c r="F1152" s="181" t="n">
        <x:v>0</x:v>
      </x:c>
      <x:c r="G1152" s="67" t="n">
        <x:v>-0.5</x:v>
      </x:c>
      <x:c r="H1152"/>
      <x:c r="I1152" s="65" t="n">
        <x:v>983</x:v>
      </x:c>
      <x:c r="J1152" s="65" t="str">
        <x:v>永亚卡达（PSIM Yogyakarta）</x:v>
      </x:c>
      <x:c r="K1152" s="82" t="n">
        <x:v>9</x:v>
      </x:c>
      <x:c r="L1152" s="82" t="n">
        <x:v>9</x:v>
      </x:c>
      <x:c r="M1152" s="67" t="n">
        <x:v>-0.5</x:v>
      </x:c>
      <x:c r="N1152" s="181" t="n">
        <x:v>0.4444444444444444</x:v>
      </x:c>
      <x:c r="O1152" s="67" t="n">
        <x:v>-0.05555555555555555</x:v>
      </x:c>
    </x:row>
    <x:row r="1153" ht="24" customHeight="1">
      <x:c r="A1153" s="65" t="n">
        <x:v>984</x:v>
      </x:c>
      <x:c r="B1153" s="65" t="str">
        <x:v>博亚卡茨高（Boyacá Chicó）</x:v>
      </x:c>
      <x:c r="C1153" s="82" t="n">
        <x:v>1</x:v>
      </x:c>
      <x:c r="D1153" s="82" t="n">
        <x:v>1</x:v>
      </x:c>
      <x:c r="E1153" s="67" t="n">
        <x:v>-0.5</x:v>
      </x:c>
      <x:c r="F1153" s="181" t="n">
        <x:v>0</x:v>
      </x:c>
      <x:c r="G1153" s="67" t="n">
        <x:v>-0.5</x:v>
      </x:c>
      <x:c r="H1153"/>
      <x:c r="I1153" s="65" t="n">
        <x:v>984</x:v>
      </x:c>
      <x:c r="J1153" s="65" t="str">
        <x:v>克雷卡米诺斯（Correcaminos UAT）</x:v>
      </x:c>
      <x:c r="K1153" s="82" t="n">
        <x:v>5</x:v>
      </x:c>
      <x:c r="L1153" s="82" t="n">
        <x:v>5</x:v>
      </x:c>
      <x:c r="M1153" s="67" t="n">
        <x:v>-0.5</x:v>
      </x:c>
      <x:c r="N1153" s="181" t="n">
        <x:v>0.4</x:v>
      </x:c>
      <x:c r="O1153" s="67" t="n">
        <x:v>-0.1</x:v>
      </x:c>
    </x:row>
    <x:row r="1154" ht="24" customHeight="1">
      <x:c r="A1154" s="65" t="n">
        <x:v>985</x:v>
      </x:c>
      <x:c r="B1154" s="65" t="str">
        <x:v>卡利体育会</x:v>
      </x:c>
      <x:c r="C1154" s="82" t="n">
        <x:v>1</x:v>
      </x:c>
      <x:c r="D1154" s="82" t="n">
        <x:v>1</x:v>
      </x:c>
      <x:c r="E1154" s="67" t="n">
        <x:v>-0.5</x:v>
      </x:c>
      <x:c r="F1154" s="181" t="n">
        <x:v>0</x:v>
      </x:c>
      <x:c r="G1154" s="67" t="n">
        <x:v>-0.5</x:v>
      </x:c>
      <x:c r="H1154"/>
      <x:c r="I1154" s="65" t="n">
        <x:v>985</x:v>
      </x:c>
      <x:c r="J1154" s="65" t="str">
        <x:v>富勒姆（Fulham）</x:v>
      </x:c>
      <x:c r="K1154" s="82" t="n">
        <x:v>3</x:v>
      </x:c>
      <x:c r="L1154" s="82" t="n">
        <x:v>3</x:v>
      </x:c>
      <x:c r="M1154" s="67" t="n">
        <x:v>-0.5</x:v>
      </x:c>
      <x:c r="N1154" s="181" t="n">
        <x:v>0.3333333333333333</x:v>
      </x:c>
      <x:c r="O1154" s="67" t="n">
        <x:v>-0.16666666666666666</x:v>
      </x:c>
    </x:row>
    <x:row r="1155" ht="24" customHeight="1">
      <x:c r="A1155" s="65" t="n">
        <x:v>986</x:v>
      </x:c>
      <x:c r="B1155" s="65" t="str">
        <x:v>卡尔马（Kalmar FF）</x:v>
      </x:c>
      <x:c r="C1155" s="82" t="n">
        <x:v>1</x:v>
      </x:c>
      <x:c r="D1155" s="82" t="n">
        <x:v>1</x:v>
      </x:c>
      <x:c r="E1155" s="67" t="n">
        <x:v>-0.5</x:v>
      </x:c>
      <x:c r="F1155" s="181" t="n">
        <x:v>0</x:v>
      </x:c>
      <x:c r="G1155" s="67" t="n">
        <x:v>-0.5</x:v>
      </x:c>
      <x:c r="H1155"/>
      <x:c r="I1155" s="65" t="n">
        <x:v>986</x:v>
      </x:c>
      <x:c r="J1155" s="65" t="str">
        <x:v>马萨特兰（Mazatlán FC）</x:v>
      </x:c>
      <x:c r="K1155" s="82" t="n">
        <x:v>3</x:v>
      </x:c>
      <x:c r="L1155" s="82" t="n">
        <x:v>3</x:v>
      </x:c>
      <x:c r="M1155" s="67" t="n">
        <x:v>-0.5</x:v>
      </x:c>
      <x:c r="N1155" s="181" t="n">
        <x:v>0.3333333333333333</x:v>
      </x:c>
      <x:c r="O1155" s="67" t="n">
        <x:v>-0.16666666666666666</x:v>
      </x:c>
    </x:row>
    <x:row r="1156" ht="24" customHeight="1">
      <x:c r="A1156" s="65" t="n">
        <x:v>987</x:v>
      </x:c>
      <x:c r="B1156" s="65" t="str">
        <x:v>卢森堡</x:v>
      </x:c>
      <x:c r="C1156" s="82" t="n">
        <x:v>1</x:v>
      </x:c>
      <x:c r="D1156" s="82" t="n">
        <x:v>1</x:v>
      </x:c>
      <x:c r="E1156" s="67" t="n">
        <x:v>-0.5</x:v>
      </x:c>
      <x:c r="F1156" s="181" t="n">
        <x:v>0</x:v>
      </x:c>
      <x:c r="G1156" s="67" t="n">
        <x:v>-0.5</x:v>
      </x:c>
      <x:c r="H1156"/>
      <x:c r="I1156" s="65" t="n">
        <x:v>987</x:v>
      </x:c>
      <x:c r="J1156" s="65" t="str">
        <x:v>中日德兰（FC Midtjylland）</x:v>
      </x:c>
      <x:c r="K1156" s="82" t="n">
        <x:v>1</x:v>
      </x:c>
      <x:c r="L1156" s="82" t="n">
        <x:v>1</x:v>
      </x:c>
      <x:c r="M1156" s="67" t="n">
        <x:v>-0.5</x:v>
      </x:c>
      <x:c r="N1156" s="181" t="n">
        <x:v>0</x:v>
      </x:c>
      <x:c r="O1156" s="67" t="n">
        <x:v>-0.5</x:v>
      </x:c>
    </x:row>
    <x:row r="1157" ht="24" customHeight="1">
      <x:c r="A1157" s="65" t="n">
        <x:v>988</x:v>
      </x:c>
      <x:c r="B1157" s="65" t="str">
        <x:v>卢比奥纽（Rubio Ñu）</x:v>
      </x:c>
      <x:c r="C1157" s="82" t="n">
        <x:v>1</x:v>
      </x:c>
      <x:c r="D1157" s="82" t="n">
        <x:v>1</x:v>
      </x:c>
      <x:c r="E1157" s="67" t="n">
        <x:v>-0.5</x:v>
      </x:c>
      <x:c r="F1157" s="181" t="n">
        <x:v>0</x:v>
      </x:c>
      <x:c r="G1157" s="67" t="n">
        <x:v>-0.5</x:v>
      </x:c>
      <x:c r="H1157"/>
      <x:c r="I1157" s="65" t="n">
        <x:v>988</x:v>
      </x:c>
      <x:c r="J1157" s="65" t="str">
        <x:v>伊蒂哈德（Al-Ittihad）</x:v>
      </x:c>
      <x:c r="K1157" s="82" t="n">
        <x:v>1</x:v>
      </x:c>
      <x:c r="L1157" s="82" t="n">
        <x:v>1</x:v>
      </x:c>
      <x:c r="M1157" s="67" t="n">
        <x:v>-0.5</x:v>
      </x:c>
      <x:c r="N1157" s="181" t="n">
        <x:v>0</x:v>
      </x:c>
      <x:c r="O1157" s="67" t="n">
        <x:v>-0.5</x:v>
      </x:c>
    </x:row>
    <x:row r="1158" ht="24" customHeight="1">
      <x:c r="A1158" s="65" t="n">
        <x:v>989</x:v>
      </x:c>
      <x:c r="B1158" s="65" t="str">
        <x:v>吉尔吉斯斯坦</x:v>
      </x:c>
      <x:c r="C1158" s="82" t="n">
        <x:v>1</x:v>
      </x:c>
      <x:c r="D1158" s="82" t="n">
        <x:v>1</x:v>
      </x:c>
      <x:c r="E1158" s="67" t="n">
        <x:v>-0.5</x:v>
      </x:c>
      <x:c r="F1158" s="181" t="n">
        <x:v>0</x:v>
      </x:c>
      <x:c r="G1158" s="67" t="n">
        <x:v>-0.5</x:v>
      </x:c>
      <x:c r="H1158"/>
      <x:c r="I1158" s="65" t="n">
        <x:v>989</x:v>
      </x:c>
      <x:c r="J1158" s="65" t="str">
        <x:v>加拉加斯FC</x:v>
      </x:c>
      <x:c r="K1158" s="82" t="n">
        <x:v>1</x:v>
      </x:c>
      <x:c r="L1158" s="82" t="n">
        <x:v>1</x:v>
      </x:c>
      <x:c r="M1158" s="67" t="n">
        <x:v>-0.5</x:v>
      </x:c>
      <x:c r="N1158" s="181" t="n">
        <x:v>0</x:v>
      </x:c>
      <x:c r="O1158" s="67" t="n">
        <x:v>-0.5</x:v>
      </x:c>
    </x:row>
    <x:row r="1159" ht="24" customHeight="1">
      <x:c r="A1159" s="65" t="n">
        <x:v>990</x:v>
      </x:c>
      <x:c r="B1159" s="65" t="str">
        <x:v>吉达国民</x:v>
      </x:c>
      <x:c r="C1159" s="82" t="n">
        <x:v>1</x:v>
      </x:c>
      <x:c r="D1159" s="82" t="n">
        <x:v>1</x:v>
      </x:c>
      <x:c r="E1159" s="67" t="n">
        <x:v>-0.5</x:v>
      </x:c>
      <x:c r="F1159" s="181" t="n">
        <x:v>0</x:v>
      </x:c>
      <x:c r="G1159" s="67" t="n">
        <x:v>-0.5</x:v>
      </x:c>
      <x:c r="H1159"/>
      <x:c r="I1159" s="65" t="n">
        <x:v>990</x:v>
      </x:c>
      <x:c r="J1159" s="65" t="str">
        <x:v>勒沃库森（Bayer Leverkusen）</x:v>
      </x:c>
      <x:c r="K1159" s="82" t="n">
        <x:v>1</x:v>
      </x:c>
      <x:c r="L1159" s="82" t="n">
        <x:v>1</x:v>
      </x:c>
      <x:c r="M1159" s="67" t="n">
        <x:v>-0.5</x:v>
      </x:c>
      <x:c r="N1159" s="181" t="n">
        <x:v>0</x:v>
      </x:c>
      <x:c r="O1159" s="67" t="n">
        <x:v>-0.5</x:v>
      </x:c>
    </x:row>
    <x:row r="1160" ht="24" customHeight="1">
      <x:c r="A1160" s="65" t="n">
        <x:v>991</x:v>
      </x:c>
      <x:c r="B1160" s="65" t="str">
        <x:v>名古屋鲸八（Nagoya Grampus）</x:v>
      </x:c>
      <x:c r="C1160" s="82" t="n">
        <x:v>1</x:v>
      </x:c>
      <x:c r="D1160" s="82" t="n">
        <x:v>1</x:v>
      </x:c>
      <x:c r="E1160" s="67" t="n">
        <x:v>-0.5</x:v>
      </x:c>
      <x:c r="F1160" s="181" t="n">
        <x:v>0</x:v>
      </x:c>
      <x:c r="G1160" s="67" t="n">
        <x:v>-0.5</x:v>
      </x:c>
      <x:c r="H1160"/>
      <x:c r="I1160" s="65" t="n">
        <x:v>991</x:v>
      </x:c>
      <x:c r="J1160" s="65" t="str">
        <x:v>博亚卡奇科（茨高）</x:v>
      </x:c>
      <x:c r="K1160" s="82" t="n">
        <x:v>1</x:v>
      </x:c>
      <x:c r="L1160" s="82" t="n">
        <x:v>1</x:v>
      </x:c>
      <x:c r="M1160" s="67" t="n">
        <x:v>-0.5</x:v>
      </x:c>
      <x:c r="N1160" s="181" t="n">
        <x:v>0</x:v>
      </x:c>
      <x:c r="O1160" s="67" t="n">
        <x:v>-0.5</x:v>
      </x:c>
    </x:row>
    <x:row r="1161" ht="24" customHeight="1">
      <x:c r="A1161" s="65" t="n">
        <x:v>992</x:v>
      </x:c>
      <x:c r="B1161" s="65" t="str">
        <x:v>哈瓦达尔</x:v>
      </x:c>
      <x:c r="C1161" s="82" t="n">
        <x:v>1</x:v>
      </x:c>
      <x:c r="D1161" s="82" t="n">
        <x:v>1</x:v>
      </x:c>
      <x:c r="E1161" s="67" t="n">
        <x:v>-0.5</x:v>
      </x:c>
      <x:c r="F1161" s="181" t="n">
        <x:v>0</x:v>
      </x:c>
      <x:c r="G1161" s="67" t="n">
        <x:v>-0.5</x:v>
      </x:c>
      <x:c r="H1161"/>
      <x:c r="I1161" s="65" t="n">
        <x:v>992</x:v>
      </x:c>
      <x:c r="J1161" s="65" t="str">
        <x:v>卡罗琳FC（Caroline Springs George Cross）</x:v>
      </x:c>
      <x:c r="K1161" s="82" t="n">
        <x:v>1</x:v>
      </x:c>
      <x:c r="L1161" s="82" t="n">
        <x:v>1</x:v>
      </x:c>
      <x:c r="M1161" s="67" t="n">
        <x:v>-0.5</x:v>
      </x:c>
      <x:c r="N1161" s="181" t="n">
        <x:v>0</x:v>
      </x:c>
      <x:c r="O1161" s="67" t="n">
        <x:v>-0.5</x:v>
      </x:c>
    </x:row>
    <x:row r="1162" ht="24" customHeight="1">
      <x:c r="A1162" s="65" t="n">
        <x:v>993</x:v>
      </x:c>
      <x:c r="B1162" s="65" t="str">
        <x:v>哈茨（Hearts）</x:v>
      </x:c>
      <x:c r="C1162" s="82" t="n">
        <x:v>1</x:v>
      </x:c>
      <x:c r="D1162" s="82" t="n">
        <x:v>1</x:v>
      </x:c>
      <x:c r="E1162" s="67" t="n">
        <x:v>-0.5</x:v>
      </x:c>
      <x:c r="F1162" s="181" t="n">
        <x:v>0</x:v>
      </x:c>
      <x:c r="G1162" s="67" t="n">
        <x:v>-0.5</x:v>
      </x:c>
      <x:c r="H1162"/>
      <x:c r="I1162" s="65" t="n">
        <x:v>993</x:v>
      </x:c>
      <x:c r="J1162" s="65" t="str">
        <x:v>叶士域治城（Ipswich City）</x:v>
      </x:c>
      <x:c r="K1162" s="82" t="n">
        <x:v>1</x:v>
      </x:c>
      <x:c r="L1162" s="82" t="n">
        <x:v>1</x:v>
      </x:c>
      <x:c r="M1162" s="67" t="n">
        <x:v>-0.5</x:v>
      </x:c>
      <x:c r="N1162" s="181" t="n">
        <x:v>0</x:v>
      </x:c>
      <x:c r="O1162" s="67" t="n">
        <x:v>-0.5</x:v>
      </x:c>
    </x:row>
    <x:row r="1163" ht="24" customHeight="1">
      <x:c r="A1163" s="65" t="n">
        <x:v>994</x:v>
      </x:c>
      <x:c r="B1163" s="65" t="str">
        <x:v>国际圣卡洛斯（Inter San Carlos）</x:v>
      </x:c>
      <x:c r="C1163" s="82" t="n">
        <x:v>1</x:v>
      </x:c>
      <x:c r="D1163" s="82" t="n">
        <x:v>1</x:v>
      </x:c>
      <x:c r="E1163" s="67" t="n">
        <x:v>-0.5</x:v>
      </x:c>
      <x:c r="F1163" s="181" t="n">
        <x:v>0</x:v>
      </x:c>
      <x:c r="G1163" s="67" t="n">
        <x:v>-0.5</x:v>
      </x:c>
      <x:c r="H1163"/>
      <x:c r="I1163" s="65" t="n">
        <x:v>994</x:v>
      </x:c>
      <x:c r="J1163" s="65" t="str">
        <x:v>哈依布拉瓦（Jaiba Brava/坦皮科马德罗）</x:v>
      </x:c>
      <x:c r="K1163" s="82" t="n">
        <x:v>1</x:v>
      </x:c>
      <x:c r="L1163" s="82" t="n">
        <x:v>1</x:v>
      </x:c>
      <x:c r="M1163" s="67" t="n">
        <x:v>-0.5</x:v>
      </x:c>
      <x:c r="N1163" s="181" t="n">
        <x:v>0</x:v>
      </x:c>
      <x:c r="O1163" s="67" t="n">
        <x:v>-0.5</x:v>
      </x:c>
    </x:row>
    <x:row r="1164" ht="24" customHeight="1">
      <x:c r="A1164" s="65" t="n">
        <x:v>995</x:v>
      </x:c>
      <x:c r="B1164" s="65" t="str">
        <x:v>图尔库国际（FC Inter Turku）</x:v>
      </x:c>
      <x:c r="C1164" s="82" t="n">
        <x:v>1</x:v>
      </x:c>
      <x:c r="D1164" s="82" t="n">
        <x:v>1</x:v>
      </x:c>
      <x:c r="E1164" s="67" t="n">
        <x:v>-0.5</x:v>
      </x:c>
      <x:c r="F1164" s="181" t="n">
        <x:v>0</x:v>
      </x:c>
      <x:c r="G1164" s="67" t="n">
        <x:v>-0.5</x:v>
      </x:c>
      <x:c r="H1164"/>
      <x:c r="I1164" s="65" t="n">
        <x:v>995</x:v>
      </x:c>
      <x:c r="J1164" s="65" t="str">
        <x:v>哈依布拉瓦（坦皮科马德罗/Jaiba Brava）</x:v>
      </x:c>
      <x:c r="K1164" s="82" t="n">
        <x:v>1</x:v>
      </x:c>
      <x:c r="L1164" s="82" t="n">
        <x:v>1</x:v>
      </x:c>
      <x:c r="M1164" s="67" t="n">
        <x:v>-0.5</x:v>
      </x:c>
      <x:c r="N1164" s="181" t="n">
        <x:v>0</x:v>
      </x:c>
      <x:c r="O1164" s="67" t="n">
        <x:v>-0.5</x:v>
      </x:c>
    </x:row>
    <x:row r="1165" ht="24" customHeight="1">
      <x:c r="A1165" s="65" t="n">
        <x:v>996</x:v>
      </x:c>
      <x:c r="B1165" s="65" t="str">
        <x:v>坦皮科马德罗（哈依布拉瓦）</x:v>
      </x:c>
      <x:c r="C1165" s="82" t="n">
        <x:v>1</x:v>
      </x:c>
      <x:c r="D1165" s="82" t="n">
        <x:v>1</x:v>
      </x:c>
      <x:c r="E1165" s="67" t="n">
        <x:v>-0.5</x:v>
      </x:c>
      <x:c r="F1165" s="181" t="n">
        <x:v>0</x:v>
      </x:c>
      <x:c r="G1165" s="67" t="n">
        <x:v>-0.5</x:v>
      </x:c>
      <x:c r="H1165"/>
      <x:c r="I1165" s="65" t="n">
        <x:v>996</x:v>
      </x:c>
      <x:c r="J1165" s="65" t="str">
        <x:v>哥本哈根（FC Copenhagen）</x:v>
      </x:c>
      <x:c r="K1165" s="82" t="n">
        <x:v>1</x:v>
      </x:c>
      <x:c r="L1165" s="82" t="n">
        <x:v>1</x:v>
      </x:c>
      <x:c r="M1165" s="67" t="n">
        <x:v>-0.5</x:v>
      </x:c>
      <x:c r="N1165" s="181" t="n">
        <x:v>0</x:v>
      </x:c>
      <x:c r="O1165" s="67" t="n">
        <x:v>-0.5</x:v>
      </x:c>
    </x:row>
    <x:row r="1166" ht="24" customHeight="1">
      <x:c r="A1166" s="65" t="n">
        <x:v>997</x:v>
      </x:c>
      <x:c r="B1166" s="65" t="str">
        <x:v>埃尔特姆红背U23（Eltham Redbacks）</x:v>
      </x:c>
      <x:c r="C1166" s="82" t="n">
        <x:v>1</x:v>
      </x:c>
      <x:c r="D1166" s="82" t="n">
        <x:v>1</x:v>
      </x:c>
      <x:c r="E1166" s="67" t="n">
        <x:v>-0.5</x:v>
      </x:c>
      <x:c r="F1166" s="181" t="n">
        <x:v>0</x:v>
      </x:c>
      <x:c r="G1166" s="67" t="n">
        <x:v>-0.5</x:v>
      </x:c>
      <x:c r="H1166"/>
      <x:c r="I1166" s="65" t="n">
        <x:v>997</x:v>
      </x:c>
      <x:c r="J1166" s="65" t="str">
        <x:v>圣吉罗斯（Union SG）</x:v>
      </x:c>
      <x:c r="K1166" s="82" t="n">
        <x:v>1</x:v>
      </x:c>
      <x:c r="L1166" s="82" t="n">
        <x:v>1</x:v>
      </x:c>
      <x:c r="M1166" s="67" t="n">
        <x:v>-0.5</x:v>
      </x:c>
      <x:c r="N1166" s="181" t="n">
        <x:v>0</x:v>
      </x:c>
      <x:c r="O1166" s="67" t="n">
        <x:v>-0.5</x:v>
      </x:c>
    </x:row>
    <x:row r="1167" ht="24" customHeight="1">
      <x:c r="A1167" s="65" t="n">
        <x:v>998</x:v>
      </x:c>
      <x:c r="B1167" s="65" t="str">
        <x:v>塞帕</x:v>
      </x:c>
      <x:c r="C1167" s="82" t="n">
        <x:v>1</x:v>
      </x:c>
      <x:c r="D1167" s="82" t="n">
        <x:v>1</x:v>
      </x:c>
      <x:c r="E1167" s="67" t="n">
        <x:v>-0.5</x:v>
      </x:c>
      <x:c r="F1167" s="181" t="n">
        <x:v>0</x:v>
      </x:c>
      <x:c r="G1167" s="67" t="n">
        <x:v>-0.5</x:v>
      </x:c>
      <x:c r="H1167"/>
      <x:c r="I1167" s="65" t="n">
        <x:v>998</x:v>
      </x:c>
      <x:c r="J1167" s="65" t="str">
        <x:v>城南FC（Seongnam FC）</x:v>
      </x:c>
      <x:c r="K1167" s="82" t="n">
        <x:v>1</x:v>
      </x:c>
      <x:c r="L1167" s="82" t="n">
        <x:v>1</x:v>
      </x:c>
      <x:c r="M1167" s="67" t="n">
        <x:v>-0.5</x:v>
      </x:c>
      <x:c r="N1167" s="181" t="n">
        <x:v>0</x:v>
      </x:c>
      <x:c r="O1167" s="67" t="n">
        <x:v>-0.5</x:v>
      </x:c>
    </x:row>
    <x:row r="1168" ht="24" customHeight="1">
      <x:c r="A1168" s="65" t="n">
        <x:v>999</x:v>
      </x:c>
      <x:c r="B1168" s="65" t="str">
        <x:v>奥卡斯（SD Aucas）</x:v>
      </x:c>
      <x:c r="C1168" s="82" t="n">
        <x:v>1</x:v>
      </x:c>
      <x:c r="D1168" s="82" t="n">
        <x:v>1</x:v>
      </x:c>
      <x:c r="E1168" s="67" t="n">
        <x:v>-0.5</x:v>
      </x:c>
      <x:c r="F1168" s="181" t="n">
        <x:v>0</x:v>
      </x:c>
      <x:c r="G1168" s="67" t="n">
        <x:v>-0.5</x:v>
      </x:c>
      <x:c r="H1168"/>
      <x:c r="I1168" s="65" t="n">
        <x:v>999</x:v>
      </x:c>
      <x:c r="J1168" s="65" t="str">
        <x:v>安德莱赫特</x:v>
      </x:c>
      <x:c r="K1168" s="82" t="n">
        <x:v>1</x:v>
      </x:c>
      <x:c r="L1168" s="82" t="n">
        <x:v>1</x:v>
      </x:c>
      <x:c r="M1168" s="67" t="n">
        <x:v>-0.5</x:v>
      </x:c>
      <x:c r="N1168" s="181" t="n">
        <x:v>0</x:v>
      </x:c>
      <x:c r="O1168" s="67" t="n">
        <x:v>-0.5</x:v>
      </x:c>
    </x:row>
    <x:row r="1169" ht="24" customHeight="1">
      <x:c r="A1169" s="65" t="n">
        <x:v>1000</x:v>
      </x:c>
      <x:c r="B1169" s="65" t="str">
        <x:v>奥尔索马尔索（Orsomarso SC）</x:v>
      </x:c>
      <x:c r="C1169" s="82" t="n">
        <x:v>1</x:v>
      </x:c>
      <x:c r="D1169" s="82" t="n">
        <x:v>1</x:v>
      </x:c>
      <x:c r="E1169" s="67" t="n">
        <x:v>-0.5</x:v>
      </x:c>
      <x:c r="F1169" s="181" t="n">
        <x:v>0</x:v>
      </x:c>
      <x:c r="G1169" s="67" t="n">
        <x:v>-0.5</x:v>
      </x:c>
      <x:c r="H1169"/>
      <x:c r="I1169" s="65" t="n">
        <x:v>1000</x:v>
      </x:c>
      <x:c r="J1169" s="65" t="str">
        <x:v>布里斯班东郊</x:v>
      </x:c>
      <x:c r="K1169" s="82" t="n">
        <x:v>1</x:v>
      </x:c>
      <x:c r="L1169" s="82" t="n">
        <x:v>1</x:v>
      </x:c>
      <x:c r="M1169" s="67" t="n">
        <x:v>-0.5</x:v>
      </x:c>
      <x:c r="N1169" s="181" t="n">
        <x:v>0</x:v>
      </x:c>
      <x:c r="O1169" s="67" t="n">
        <x:v>-0.5</x:v>
      </x:c>
    </x:row>
    <x:row r="1170" ht="24" customHeight="1">
      <x:c r="A1170" s="65" t="n">
        <x:v>1001</x:v>
      </x:c>
      <x:c r="B1170" s="65" t="str">
        <x:v>奥林匹克萨菲</x:v>
      </x:c>
      <x:c r="C1170" s="82" t="n">
        <x:v>1</x:v>
      </x:c>
      <x:c r="D1170" s="82" t="n">
        <x:v>1</x:v>
      </x:c>
      <x:c r="E1170" s="67" t="n">
        <x:v>-0.5</x:v>
      </x:c>
      <x:c r="F1170" s="181" t="n">
        <x:v>0</x:v>
      </x:c>
      <x:c r="G1170" s="67" t="n">
        <x:v>-0.5</x:v>
      </x:c>
      <x:c r="H1170"/>
      <x:c r="I1170" s="65" t="n">
        <x:v>1001</x:v>
      </x:c>
      <x:c r="J1170" s="65" t="str">
        <x:v>布里斯班狼队</x:v>
      </x:c>
      <x:c r="K1170" s="82" t="n">
        <x:v>1</x:v>
      </x:c>
      <x:c r="L1170" s="82" t="n">
        <x:v>1</x:v>
      </x:c>
      <x:c r="M1170" s="67" t="n">
        <x:v>-0.5</x:v>
      </x:c>
      <x:c r="N1170" s="181" t="n">
        <x:v>0</x:v>
      </x:c>
      <x:c r="O1170" s="67" t="n">
        <x:v>-0.5</x:v>
      </x:c>
    </x:row>
    <x:row r="1171" ht="24" customHeight="1">
      <x:c r="A1171" s="65" t="n">
        <x:v>1002</x:v>
      </x:c>
      <x:c r="B1171" s="65" t="str">
        <x:v>奥罗拉（Aurora）</x:v>
      </x:c>
      <x:c r="C1171" s="82" t="n">
        <x:v>1</x:v>
      </x:c>
      <x:c r="D1171" s="82" t="n">
        <x:v>1</x:v>
      </x:c>
      <x:c r="E1171" s="67" t="n">
        <x:v>-0.5</x:v>
      </x:c>
      <x:c r="F1171" s="181" t="n">
        <x:v>0</x:v>
      </x:c>
      <x:c r="G1171" s="67" t="n">
        <x:v>-0.5</x:v>
      </x:c>
      <x:c r="H1171"/>
      <x:c r="I1171" s="65" t="n">
        <x:v>1002</x:v>
      </x:c>
      <x:c r="J1171" s="65" t="str">
        <x:v>弗赖堡（SC Freiburg）</x:v>
      </x:c>
      <x:c r="K1171" s="82" t="n">
        <x:v>1</x:v>
      </x:c>
      <x:c r="L1171" s="82" t="n">
        <x:v>1</x:v>
      </x:c>
      <x:c r="M1171" s="67" t="n">
        <x:v>-0.5</x:v>
      </x:c>
      <x:c r="N1171" s="181" t="n">
        <x:v>0</x:v>
      </x:c>
      <x:c r="O1171" s="67" t="n">
        <x:v>-0.5</x:v>
      </x:c>
    </x:row>
    <x:row r="1172" ht="24" customHeight="1">
      <x:c r="A1172" s="65" t="n">
        <x:v>1003</x:v>
      </x:c>
      <x:c r="B1172" s="65" t="str">
        <x:v>山谷独立（Independiente del Valle）</x:v>
      </x:c>
      <x:c r="C1172" s="82" t="n">
        <x:v>1</x:v>
      </x:c>
      <x:c r="D1172" s="82" t="n">
        <x:v>1</x:v>
      </x:c>
      <x:c r="E1172" s="67" t="n">
        <x:v>-0.5</x:v>
      </x:c>
      <x:c r="F1172" s="181" t="n">
        <x:v>0</x:v>
      </x:c>
      <x:c r="G1172" s="67" t="n">
        <x:v>-0.5</x:v>
      </x:c>
      <x:c r="H1172"/>
      <x:c r="I1172" s="65" t="n">
        <x:v>1003</x:v>
      </x:c>
      <x:c r="J1172" s="65" t="str">
        <x:v>德仁FC（Deren FC）</x:v>
      </x:c>
      <x:c r="K1172" s="82" t="n">
        <x:v>1</x:v>
      </x:c>
      <x:c r="L1172" s="82" t="n">
        <x:v>1</x:v>
      </x:c>
      <x:c r="M1172" s="67" t="n">
        <x:v>-0.5</x:v>
      </x:c>
      <x:c r="N1172" s="181" t="n">
        <x:v>0</x:v>
      </x:c>
      <x:c r="O1172" s="67" t="n">
        <x:v>-0.5</x:v>
      </x:c>
    </x:row>
    <x:row r="1173" ht="24" customHeight="1">
      <x:c r="A1173" s="65" t="n">
        <x:v>1004</x:v>
      </x:c>
      <x:c r="B1173" s="65" t="str">
        <x:v>巴勒斯坦</x:v>
      </x:c>
      <x:c r="C1173" s="82" t="n">
        <x:v>1</x:v>
      </x:c>
      <x:c r="D1173" s="82" t="n">
        <x:v>1</x:v>
      </x:c>
      <x:c r="E1173" s="67" t="n">
        <x:v>-0.5</x:v>
      </x:c>
      <x:c r="F1173" s="181" t="n">
        <x:v>0</x:v>
      </x:c>
      <x:c r="G1173" s="67" t="n">
        <x:v>-0.5</x:v>
      </x:c>
      <x:c r="H1173"/>
      <x:c r="I1173" s="65" t="n">
        <x:v>1004</x:v>
      </x:c>
      <x:c r="J1173" s="65" t="str">
        <x:v>拉斯维加斯光（Las Vegas Lights FC）</x:v>
      </x:c>
      <x:c r="K1173" s="82" t="n">
        <x:v>1</x:v>
      </x:c>
      <x:c r="L1173" s="82" t="n">
        <x:v>1</x:v>
      </x:c>
      <x:c r="M1173" s="67" t="n">
        <x:v>-0.5</x:v>
      </x:c>
      <x:c r="N1173" s="181" t="n">
        <x:v>0</x:v>
      </x:c>
      <x:c r="O1173" s="67" t="n">
        <x:v>-0.5</x:v>
      </x:c>
    </x:row>
    <x:row r="1174" ht="24" customHeight="1">
      <x:c r="A1174" s="65" t="n">
        <x:v>1005</x:v>
      </x:c>
      <x:c r="B1174" s="65" t="str">
        <x:v>巴拉圭国民（Nacional Asunción）</x:v>
      </x:c>
      <x:c r="C1174" s="82" t="n">
        <x:v>1</x:v>
      </x:c>
      <x:c r="D1174" s="82" t="n">
        <x:v>1</x:v>
      </x:c>
      <x:c r="E1174" s="67" t="n">
        <x:v>-0.5</x:v>
      </x:c>
      <x:c r="F1174" s="181" t="n">
        <x:v>0</x:v>
      </x:c>
      <x:c r="G1174" s="67" t="n">
        <x:v>-0.5</x:v>
      </x:c>
      <x:c r="H1174"/>
      <x:c r="I1174" s="65" t="n">
        <x:v>1005</x:v>
      </x:c>
      <x:c r="J1174" s="65" t="str">
        <x:v>未来FC（Modern Sport）</x:v>
      </x:c>
      <x:c r="K1174" s="82" t="n">
        <x:v>1</x:v>
      </x:c>
      <x:c r="L1174" s="82" t="n">
        <x:v>1</x:v>
      </x:c>
      <x:c r="M1174" s="67" t="n">
        <x:v>-0.5</x:v>
      </x:c>
      <x:c r="N1174" s="181" t="n">
        <x:v>0</x:v>
      </x:c>
      <x:c r="O1174" s="67" t="n">
        <x:v>-0.5</x:v>
      </x:c>
    </x:row>
    <x:row r="1175" ht="24" customHeight="1">
      <x:c r="A1175" s="65" t="n">
        <x:v>1006</x:v>
      </x:c>
      <x:c r="B1175" s="65" t="str">
        <x:v>布林狮子（FC Bulleen Lions）</x:v>
      </x:c>
      <x:c r="C1175" s="82" t="n">
        <x:v>2</x:v>
      </x:c>
      <x:c r="D1175" s="82" t="n">
        <x:v>2</x:v>
      </x:c>
      <x:c r="E1175" s="67" t="n">
        <x:v>-0.5</x:v>
      </x:c>
      <x:c r="F1175" s="181" t="n">
        <x:v>0</x:v>
      </x:c>
      <x:c r="G1175" s="67" t="n">
        <x:v>-0.25</x:v>
      </x:c>
      <x:c r="H1175"/>
      <x:c r="I1175" s="65" t="n">
        <x:v>1006</x:v>
      </x:c>
      <x:c r="J1175" s="65" t="str">
        <x:v>本菲卡</x:v>
      </x:c>
      <x:c r="K1175" s="82" t="n">
        <x:v>1</x:v>
      </x:c>
      <x:c r="L1175" s="82" t="n">
        <x:v>1</x:v>
      </x:c>
      <x:c r="M1175" s="67" t="n">
        <x:v>-0.5</x:v>
      </x:c>
      <x:c r="N1175" s="181" t="n">
        <x:v>0</x:v>
      </x:c>
      <x:c r="O1175" s="67" t="n">
        <x:v>-0.5</x:v>
      </x:c>
    </x:row>
    <x:row r="1176" ht="24" customHeight="1">
      <x:c r="A1176" s="65" t="n">
        <x:v>1007</x:v>
      </x:c>
      <x:c r="B1176" s="65" t="str">
        <x:v>布琳狮子U23（Bulleen Lions）</x:v>
      </x:c>
      <x:c r="C1176" s="82" t="n">
        <x:v>1</x:v>
      </x:c>
      <x:c r="D1176" s="82" t="n">
        <x:v>1</x:v>
      </x:c>
      <x:c r="E1176" s="67" t="n">
        <x:v>-0.5</x:v>
      </x:c>
      <x:c r="F1176" s="181" t="n">
        <x:v>0</x:v>
      </x:c>
      <x:c r="G1176" s="67" t="n">
        <x:v>-0.5</x:v>
      </x:c>
      <x:c r="H1176"/>
      <x:c r="I1176" s="65" t="n">
        <x:v>1007</x:v>
      </x:c>
      <x:c r="J1176" s="65" t="str">
        <x:v>札幌冈萨多（Hokkaido Consadole Sapporo）</x:v>
      </x:c>
      <x:c r="K1176" s="82" t="n">
        <x:v>1</x:v>
      </x:c>
      <x:c r="L1176" s="82" t="n">
        <x:v>1</x:v>
      </x:c>
      <x:c r="M1176" s="67" t="n">
        <x:v>-0.5</x:v>
      </x:c>
      <x:c r="N1176" s="181" t="n">
        <x:v>0</x:v>
      </x:c>
      <x:c r="O1176" s="67" t="n">
        <x:v>-0.5</x:v>
      </x:c>
    </x:row>
    <x:row r="1177" ht="24" customHeight="1">
      <x:c r="A1177" s="65" t="n">
        <x:v>1008</x:v>
      </x:c>
      <x:c r="B1177" s="65" t="str">
        <x:v>布莱顿（Brighton）</x:v>
      </x:c>
      <x:c r="C1177" s="82" t="n">
        <x:v>1</x:v>
      </x:c>
      <x:c r="D1177" s="82" t="n">
        <x:v>1</x:v>
      </x:c>
      <x:c r="E1177" s="67" t="n">
        <x:v>-0.5</x:v>
      </x:c>
      <x:c r="F1177" s="181" t="n">
        <x:v>0</x:v>
      </x:c>
      <x:c r="G1177" s="67" t="n">
        <x:v>-0.5</x:v>
      </x:c>
      <x:c r="H1177"/>
      <x:c r="I1177" s="65" t="n">
        <x:v>1008</x:v>
      </x:c>
      <x:c r="J1177" s="65" t="str">
        <x:v>汗加里德（Khangarid）</x:v>
      </x:c>
      <x:c r="K1177" s="82" t="n">
        <x:v>1</x:v>
      </x:c>
      <x:c r="L1177" s="82" t="n">
        <x:v>1</x:v>
      </x:c>
      <x:c r="M1177" s="67" t="n">
        <x:v>-0.5</x:v>
      </x:c>
      <x:c r="N1177" s="181" t="n">
        <x:v>0</x:v>
      </x:c>
      <x:c r="O1177" s="67" t="n">
        <x:v>-0.5</x:v>
      </x:c>
    </x:row>
    <x:row r="1178" ht="24" customHeight="1">
      <x:c r="A1178" s="65" t="n">
        <x:v>1009</x:v>
      </x:c>
      <x:c r="B1178" s="65" t="str">
        <x:v>帕特里奥塔斯博亚卡（Patriotas Boyacá）</x:v>
      </x:c>
      <x:c r="C1178" s="82" t="n">
        <x:v>1</x:v>
      </x:c>
      <x:c r="D1178" s="82" t="n">
        <x:v>1</x:v>
      </x:c>
      <x:c r="E1178" s="67" t="n">
        <x:v>-0.5</x:v>
      </x:c>
      <x:c r="F1178" s="181" t="n">
        <x:v>0</x:v>
      </x:c>
      <x:c r="G1178" s="67" t="n">
        <x:v>-0.5</x:v>
      </x:c>
      <x:c r="H1178"/>
      <x:c r="I1178" s="65" t="n">
        <x:v>1009</x:v>
      </x:c>
      <x:c r="J1178" s="65" t="str">
        <x:v>温纳姆狼队（Wynnum Wolves）</x:v>
      </x:c>
      <x:c r="K1178" s="82" t="n">
        <x:v>1</x:v>
      </x:c>
      <x:c r="L1178" s="82" t="n">
        <x:v>1</x:v>
      </x:c>
      <x:c r="M1178" s="67" t="n">
        <x:v>-0.5</x:v>
      </x:c>
      <x:c r="N1178" s="181" t="n">
        <x:v>0</x:v>
      </x:c>
      <x:c r="O1178" s="67" t="n">
        <x:v>-0.5</x:v>
      </x:c>
    </x:row>
    <x:row r="1179" ht="24" customHeight="1">
      <x:c r="A1179" s="65" t="n">
        <x:v>1010</x:v>
      </x:c>
      <x:c r="B1179" s="65" t="str">
        <x:v>弗拉门戈（CR Flamengo）</x:v>
      </x:c>
      <x:c r="C1179" s="82" t="n">
        <x:v>1</x:v>
      </x:c>
      <x:c r="D1179" s="82" t="n">
        <x:v>1</x:v>
      </x:c>
      <x:c r="E1179" s="67" t="n">
        <x:v>-0.5</x:v>
      </x:c>
      <x:c r="F1179" s="181" t="n">
        <x:v>0</x:v>
      </x:c>
      <x:c r="G1179" s="67" t="n">
        <x:v>-0.5</x:v>
      </x:c>
      <x:c r="H1179"/>
      <x:c r="I1179" s="65" t="n">
        <x:v>1010</x:v>
      </x:c>
      <x:c r="J1179" s="65" t="str">
        <x:v>玻利瓦尔（Club Bolívar）</x:v>
      </x:c>
      <x:c r="K1179" s="82" t="n">
        <x:v>1</x:v>
      </x:c>
      <x:c r="L1179" s="82" t="n">
        <x:v>1</x:v>
      </x:c>
      <x:c r="M1179" s="67" t="n">
        <x:v>-0.5</x:v>
      </x:c>
      <x:c r="N1179" s="181" t="n">
        <x:v>0</x:v>
      </x:c>
      <x:c r="O1179" s="67" t="n">
        <x:v>-0.5</x:v>
      </x:c>
    </x:row>
    <x:row r="1180" ht="24" customHeight="1">
      <x:c r="A1180" s="65" t="n">
        <x:v>1011</x:v>
      </x:c>
      <x:c r="B1180" s="65" t="str">
        <x:v>德瓦联（Dewa United FC）</x:v>
      </x:c>
      <x:c r="C1180" s="82" t="n">
        <x:v>1</x:v>
      </x:c>
      <x:c r="D1180" s="82" t="n">
        <x:v>1</x:v>
      </x:c>
      <x:c r="E1180" s="67" t="n">
        <x:v>-0.5</x:v>
      </x:c>
      <x:c r="F1180" s="181" t="n">
        <x:v>0</x:v>
      </x:c>
      <x:c r="G1180" s="67" t="n">
        <x:v>-0.5</x:v>
      </x:c>
      <x:c r="H1180"/>
      <x:c r="I1180" s="65" t="n">
        <x:v>1011</x:v>
      </x:c>
      <x:c r="J1180" s="65" t="str">
        <x:v>瓜达拉哈拉大学（UdeG/Leones Negros）</x:v>
      </x:c>
      <x:c r="K1180" s="82" t="n">
        <x:v>1</x:v>
      </x:c>
      <x:c r="L1180" s="82" t="n">
        <x:v>1</x:v>
      </x:c>
      <x:c r="M1180" s="67" t="n">
        <x:v>-0.5</x:v>
      </x:c>
      <x:c r="N1180" s="181" t="n">
        <x:v>0</x:v>
      </x:c>
      <x:c r="O1180" s="67" t="n">
        <x:v>-0.5</x:v>
      </x:c>
    </x:row>
    <x:row r="1181" ht="24" customHeight="1">
      <x:c r="A1181" s="65" t="n">
        <x:v>1012</x:v>
      </x:c>
      <x:c r="B1181" s="65" t="str">
        <x:v>德芬索竞技（Defensor Sporting）</x:v>
      </x:c>
      <x:c r="C1181" s="82" t="n">
        <x:v>1</x:v>
      </x:c>
      <x:c r="D1181" s="82" t="n">
        <x:v>1</x:v>
      </x:c>
      <x:c r="E1181" s="67" t="n">
        <x:v>-0.5</x:v>
      </x:c>
      <x:c r="F1181" s="181" t="n">
        <x:v>0</x:v>
      </x:c>
      <x:c r="G1181" s="67" t="n">
        <x:v>-0.5</x:v>
      </x:c>
      <x:c r="H1181"/>
      <x:c r="I1181" s="65" t="n">
        <x:v>1012</x:v>
      </x:c>
      <x:c r="J1181" s="65" t="str">
        <x:v>科特卡（KTP Kotka）</x:v>
      </x:c>
      <x:c r="K1181" s="82" t="n">
        <x:v>1</x:v>
      </x:c>
      <x:c r="L1181" s="82" t="n">
        <x:v>1</x:v>
      </x:c>
      <x:c r="M1181" s="67" t="n">
        <x:v>-0.5</x:v>
      </x:c>
      <x:c r="N1181" s="181" t="n">
        <x:v>0</x:v>
      </x:c>
      <x:c r="O1181" s="67" t="n">
        <x:v>-0.5</x:v>
      </x:c>
    </x:row>
    <x:row r="1182" ht="24" customHeight="1">
      <x:c r="A1182" s="65" t="n">
        <x:v>1013</x:v>
      </x:c>
      <x:c r="B1182" s="65" t="str">
        <x:v>德里体育俱乐部（SC Delhi/Sporting Club Delhi）</x:v>
      </x:c>
      <x:c r="C1182" s="82" t="n">
        <x:v>1</x:v>
      </x:c>
      <x:c r="D1182" s="82" t="n">
        <x:v>1</x:v>
      </x:c>
      <x:c r="E1182" s="67" t="n">
        <x:v>-0.5</x:v>
      </x:c>
      <x:c r="F1182" s="181" t="n">
        <x:v>0</x:v>
      </x:c>
      <x:c r="G1182" s="67" t="n">
        <x:v>-0.5</x:v>
      </x:c>
      <x:c r="H1182"/>
      <x:c r="I1182" s="65" t="n">
        <x:v>1013</x:v>
      </x:c>
      <x:c r="J1182" s="65" t="str">
        <x:v>竞技俱乐部（阿根廷）</x:v>
      </x:c>
      <x:c r="K1182" s="82" t="n">
        <x:v>1</x:v>
      </x:c>
      <x:c r="L1182" s="82" t="n">
        <x:v>1</x:v>
      </x:c>
      <x:c r="M1182" s="67" t="n">
        <x:v>-0.5</x:v>
      </x:c>
      <x:c r="N1182" s="181" t="n">
        <x:v>0</x:v>
      </x:c>
      <x:c r="O1182" s="67" t="n">
        <x:v>-0.5</x:v>
      </x:c>
    </x:row>
    <x:row r="1183" ht="24" customHeight="1">
      <x:c r="A1183" s="65" t="n">
        <x:v>1014</x:v>
      </x:c>
      <x:c r="B1183" s="65" t="str">
        <x:v>惠灵顿凤凰女足</x:v>
      </x:c>
      <x:c r="C1183" s="82" t="n">
        <x:v>1</x:v>
      </x:c>
      <x:c r="D1183" s="82" t="n">
        <x:v>1</x:v>
      </x:c>
      <x:c r="E1183" s="67" t="n">
        <x:v>-0.5</x:v>
      </x:c>
      <x:c r="F1183" s="181" t="n">
        <x:v>0</x:v>
      </x:c>
      <x:c r="G1183" s="67" t="n">
        <x:v>-0.5</x:v>
      </x:c>
      <x:c r="H1183"/>
      <x:c r="I1183" s="65" t="n">
        <x:v>1014</x:v>
      </x:c>
      <x:c r="J1183" s="65" t="str">
        <x:v>考文垂(Coventry)</x:v>
      </x:c>
      <x:c r="K1183" s="82" t="n">
        <x:v>1</x:v>
      </x:c>
      <x:c r="L1183" s="82" t="n">
        <x:v>1</x:v>
      </x:c>
      <x:c r="M1183" s="67" t="n">
        <x:v>-0.5</x:v>
      </x:c>
      <x:c r="N1183" s="181" t="n">
        <x:v>0</x:v>
      </x:c>
      <x:c r="O1183" s="67" t="n">
        <x:v>-0.5</x:v>
      </x:c>
    </x:row>
    <x:row r="1184" ht="24" customHeight="1">
      <x:c r="A1184" s="65" t="n">
        <x:v>1015</x:v>
      </x:c>
      <x:c r="B1184" s="65" t="str">
        <x:v>日本U19</x:v>
      </x:c>
      <x:c r="C1184" s="82" t="n">
        <x:v>1</x:v>
      </x:c>
      <x:c r="D1184" s="82" t="n">
        <x:v>1</x:v>
      </x:c>
      <x:c r="E1184" s="67" t="n">
        <x:v>-0.5</x:v>
      </x:c>
      <x:c r="F1184" s="181" t="n">
        <x:v>0</x:v>
      </x:c>
      <x:c r="G1184" s="67" t="n">
        <x:v>-0.5</x:v>
      </x:c>
      <x:c r="H1184"/>
      <x:c r="I1184" s="65" t="n">
        <x:v>1015</x:v>
      </x:c>
      <x:c r="J1184" s="65" t="str">
        <x:v>艾尔格纳（El Gounah）</x:v>
      </x:c>
      <x:c r="K1184" s="82" t="n">
        <x:v>1</x:v>
      </x:c>
      <x:c r="L1184" s="82" t="n">
        <x:v>1</x:v>
      </x:c>
      <x:c r="M1184" s="67" t="n">
        <x:v>-0.5</x:v>
      </x:c>
      <x:c r="N1184" s="181" t="n">
        <x:v>0</x:v>
      </x:c>
      <x:c r="O1184" s="67" t="n">
        <x:v>-0.5</x:v>
      </x:c>
    </x:row>
    <x:row r="1185" ht="24" customHeight="1">
      <x:c r="A1185" s="65" t="n">
        <x:v>1016</x:v>
      </x:c>
      <x:c r="B1185" s="65" t="str">
        <x:v>普罗斯佩联（Prospect United）</x:v>
      </x:c>
      <x:c r="C1185" s="82" t="n">
        <x:v>1</x:v>
      </x:c>
      <x:c r="D1185" s="82" t="n">
        <x:v>1</x:v>
      </x:c>
      <x:c r="E1185" s="67" t="n">
        <x:v>-0.5</x:v>
      </x:c>
      <x:c r="F1185" s="181" t="n">
        <x:v>0</x:v>
      </x:c>
      <x:c r="G1185" s="67" t="n">
        <x:v>-0.5</x:v>
      </x:c>
      <x:c r="H1185"/>
      <x:c r="I1185" s="65" t="n">
        <x:v>1016</x:v>
      </x:c>
      <x:c r="J1185" s="65" t="str">
        <x:v>谢菲尔德星期三（Sheffield Wednesday）</x:v>
      </x:c>
      <x:c r="K1185" s="82" t="n">
        <x:v>1</x:v>
      </x:c>
      <x:c r="L1185" s="82" t="n">
        <x:v>1</x:v>
      </x:c>
      <x:c r="M1185" s="67" t="n">
        <x:v>-0.5</x:v>
      </x:c>
      <x:c r="N1185" s="181" t="n">
        <x:v>0</x:v>
      </x:c>
      <x:c r="O1185" s="67" t="n">
        <x:v>-0.5</x:v>
      </x:c>
    </x:row>
    <x:row r="1186" ht="24" customHeight="1">
      <x:c r="A1186" s="65" t="n">
        <x:v>1017</x:v>
      </x:c>
      <x:c r="B1186" s="65" t="str">
        <x:v>未来FC（Modern Sport）</x:v>
      </x:c>
      <x:c r="C1186" s="82" t="n">
        <x:v>1</x:v>
      </x:c>
      <x:c r="D1186" s="82" t="n">
        <x:v>1</x:v>
      </x:c>
      <x:c r="E1186" s="67" t="n">
        <x:v>-0.5</x:v>
      </x:c>
      <x:c r="F1186" s="181" t="n">
        <x:v>0</x:v>
      </x:c>
      <x:c r="G1186" s="67" t="n">
        <x:v>-0.5</x:v>
      </x:c>
      <x:c r="H1186"/>
      <x:c r="I1186" s="65" t="n">
        <x:v>1017</x:v>
      </x:c>
      <x:c r="J1186" s="65" t="str">
        <x:v>谢菲尔德联(谢菲联)</x:v>
      </x:c>
      <x:c r="K1186" s="82" t="n">
        <x:v>1</x:v>
      </x:c>
      <x:c r="L1186" s="82" t="n">
        <x:v>1</x:v>
      </x:c>
      <x:c r="M1186" s="67" t="n">
        <x:v>-0.5</x:v>
      </x:c>
      <x:c r="N1186" s="181" t="n">
        <x:v>0</x:v>
      </x:c>
      <x:c r="O1186" s="67" t="n">
        <x:v>-0.5</x:v>
      </x:c>
    </x:row>
    <x:row r="1187" ht="24" customHeight="1">
      <x:c r="A1187" s="65" t="n">
        <x:v>1018</x:v>
      </x:c>
      <x:c r="B1187" s="65" t="str">
        <x:v>札幌冈萨多（Hokkaido Consadole Sapporo）</x:v>
      </x:c>
      <x:c r="C1187" s="82" t="n">
        <x:v>1</x:v>
      </x:c>
      <x:c r="D1187" s="82" t="n">
        <x:v>1</x:v>
      </x:c>
      <x:c r="E1187" s="67" t="n">
        <x:v>-0.5</x:v>
      </x:c>
      <x:c r="F1187" s="181" t="n">
        <x:v>0</x:v>
      </x:c>
      <x:c r="G1187" s="67" t="n">
        <x:v>-0.5</x:v>
      </x:c>
      <x:c r="H1187"/>
      <x:c r="I1187" s="65" t="n">
        <x:v>1018</x:v>
      </x:c>
      <x:c r="J1187" s="65" t="str">
        <x:v>费哈（Al-Fayha）</x:v>
      </x:c>
      <x:c r="K1187" s="82" t="n">
        <x:v>1</x:v>
      </x:c>
      <x:c r="L1187" s="82" t="n">
        <x:v>1</x:v>
      </x:c>
      <x:c r="M1187" s="67" t="n">
        <x:v>-0.5</x:v>
      </x:c>
      <x:c r="N1187" s="181" t="n">
        <x:v>0</x:v>
      </x:c>
      <x:c r="O1187" s="67" t="n">
        <x:v>-0.5</x:v>
      </x:c>
    </x:row>
    <x:row r="1188" ht="24" customHeight="1">
      <x:c r="A1188" s="65" t="n">
        <x:v>1019</x:v>
      </x:c>
      <x:c r="B1188" s="65" t="str">
        <x:v>杰帕拉</x:v>
      </x:c>
      <x:c r="C1188" s="82" t="n">
        <x:v>1</x:v>
      </x:c>
      <x:c r="D1188" s="82" t="n">
        <x:v>1</x:v>
      </x:c>
      <x:c r="E1188" s="67" t="n">
        <x:v>-0.5</x:v>
      </x:c>
      <x:c r="F1188" s="181" t="n">
        <x:v>0</x:v>
      </x:c>
      <x:c r="G1188" s="67" t="n">
        <x:v>-0.5</x:v>
      </x:c>
      <x:c r="H1188"/>
      <x:c r="I1188" s="65" t="n">
        <x:v>1019</x:v>
      </x:c>
      <x:c r="J1188" s="65" t="str">
        <x:v>釜山偶像（Busan I Park）</x:v>
      </x:c>
      <x:c r="K1188" s="82" t="n">
        <x:v>1</x:v>
      </x:c>
      <x:c r="L1188" s="82" t="n">
        <x:v>1</x:v>
      </x:c>
      <x:c r="M1188" s="67" t="n">
        <x:v>-0.5</x:v>
      </x:c>
      <x:c r="N1188" s="181" t="n">
        <x:v>0</x:v>
      </x:c>
      <x:c r="O1188" s="67" t="n">
        <x:v>-0.5</x:v>
      </x:c>
    </x:row>
    <x:row r="1189" ht="24" customHeight="1">
      <x:c r="A1189" s="65" t="n">
        <x:v>1020</x:v>
      </x:c>
      <x:c r="B1189" s="65" t="str">
        <x:v>永亚卡达(PSIM Yogyakarta)</x:v>
      </x:c>
      <x:c r="C1189" s="82" t="n">
        <x:v>1</x:v>
      </x:c>
      <x:c r="D1189" s="82" t="n">
        <x:v>1</x:v>
      </x:c>
      <x:c r="E1189" s="67" t="n">
        <x:v>-0.5</x:v>
      </x:c>
      <x:c r="F1189" s="181" t="n">
        <x:v>0</x:v>
      </x:c>
      <x:c r="G1189" s="67" t="n">
        <x:v>-0.5</x:v>
      </x:c>
      <x:c r="H1189"/>
      <x:c r="I1189" s="65" t="n">
        <x:v>1020</x:v>
      </x:c>
      <x:c r="J1189" s="65" t="str">
        <x:v>帕尔斯巴亚（Persebaya Surabaya）</x:v>
      </x:c>
      <x:c r="K1189" s="82" t="n">
        <x:v>9</x:v>
      </x:c>
      <x:c r="L1189" s="82" t="n">
        <x:v>9</x:v>
      </x:c>
      <x:c r="M1189" s="67" t="n">
        <x:v>-1</x:v>
      </x:c>
      <x:c r="N1189" s="181" t="n">
        <x:v>0.4444444444444444</x:v>
      </x:c>
      <x:c r="O1189" s="67" t="n">
        <x:v>-0.1111111111111111</x:v>
      </x:c>
    </x:row>
    <x:row r="1190" ht="24" customHeight="1">
      <x:c r="A1190" s="65" t="n">
        <x:v>1021</x:v>
      </x:c>
      <x:c r="B1190" s="65" t="str">
        <x:v>特温特（FC Twente）</x:v>
      </x:c>
      <x:c r="C1190" s="82" t="n">
        <x:v>1</x:v>
      </x:c>
      <x:c r="D1190" s="82" t="n">
        <x:v>1</x:v>
      </x:c>
      <x:c r="E1190" s="67" t="n">
        <x:v>-0.5</x:v>
      </x:c>
      <x:c r="F1190" s="181" t="n">
        <x:v>0</x:v>
      </x:c>
      <x:c r="G1190" s="67" t="n">
        <x:v>-0.5</x:v>
      </x:c>
      <x:c r="H1190"/>
      <x:c r="I1190" s="65" t="n">
        <x:v>1021</x:v>
      </x:c>
      <x:c r="J1190" s="65" t="str">
        <x:v>杰帕拉（Persijap Jepara）</x:v>
      </x:c>
      <x:c r="K1190" s="82" t="n">
        <x:v>9</x:v>
      </x:c>
      <x:c r="L1190" s="82" t="n">
        <x:v>9</x:v>
      </x:c>
      <x:c r="M1190" s="67" t="n">
        <x:v>-1</x:v>
      </x:c>
      <x:c r="N1190" s="181" t="n">
        <x:v>0.4444444444444444</x:v>
      </x:c>
      <x:c r="O1190" s="67" t="n">
        <x:v>-0.1111111111111111</x:v>
      </x:c>
    </x:row>
    <x:row r="1191" ht="24" customHeight="1">
      <x:c r="A1191" s="65" t="n">
        <x:v>1022</x:v>
      </x:c>
      <x:c r="B1191" s="65" t="str">
        <x:v>独立圣塔菲</x:v>
      </x:c>
      <x:c r="C1191" s="82" t="n">
        <x:v>1</x:v>
      </x:c>
      <x:c r="D1191" s="82" t="n">
        <x:v>1</x:v>
      </x:c>
      <x:c r="E1191" s="67" t="n">
        <x:v>-0.5</x:v>
      </x:c>
      <x:c r="F1191" s="181" t="n">
        <x:v>0</x:v>
      </x:c>
      <x:c r="G1191" s="67" t="n">
        <x:v>-0.5</x:v>
      </x:c>
      <x:c r="H1191"/>
      <x:c r="I1191" s="65" t="n">
        <x:v>1022</x:v>
      </x:c>
      <x:c r="J1191" s="65" t="str">
        <x:v>百万富翁（Millonarios）</x:v>
      </x:c>
      <x:c r="K1191" s="82" t="n">
        <x:v>9</x:v>
      </x:c>
      <x:c r="L1191" s="82" t="n">
        <x:v>9</x:v>
      </x:c>
      <x:c r="M1191" s="67" t="n">
        <x:v>-1</x:v>
      </x:c>
      <x:c r="N1191" s="181" t="n">
        <x:v>0.4444444444444444</x:v>
      </x:c>
      <x:c r="O1191" s="67" t="n">
        <x:v>-0.1111111111111111</x:v>
      </x:c>
    </x:row>
    <x:row r="1192" ht="24" customHeight="1">
      <x:c r="A1192" s="65" t="n">
        <x:v>1023</x:v>
      </x:c>
      <x:c r="B1192" s="65" t="str">
        <x:v>狼队</x:v>
      </x:c>
      <x:c r="C1192" s="82" t="n">
        <x:v>1</x:v>
      </x:c>
      <x:c r="D1192" s="82" t="n">
        <x:v>1</x:v>
      </x:c>
      <x:c r="E1192" s="67" t="n">
        <x:v>-0.5</x:v>
      </x:c>
      <x:c r="F1192" s="181" t="n">
        <x:v>0</x:v>
      </x:c>
      <x:c r="G1192" s="67" t="n">
        <x:v>-0.5</x:v>
      </x:c>
      <x:c r="H1192"/>
      <x:c r="I1192" s="65" t="n">
        <x:v>1023</x:v>
      </x:c>
      <x:c r="J1192" s="65" t="str">
        <x:v>奥克兰FC（Auckland FC）</x:v>
      </x:c>
      <x:c r="K1192" s="82" t="n">
        <x:v>7</x:v>
      </x:c>
      <x:c r="L1192" s="82" t="n">
        <x:v>7</x:v>
      </x:c>
      <x:c r="M1192" s="67" t="n">
        <x:v>-1</x:v>
      </x:c>
      <x:c r="N1192" s="181" t="n">
        <x:v>0.42857142857142855</x:v>
      </x:c>
      <x:c r="O1192" s="67" t="n">
        <x:v>-0.14285714285714285</x:v>
      </x:c>
    </x:row>
    <x:row r="1193" ht="24" customHeight="1">
      <x:c r="A1193" s="65" t="n">
        <x:v>1024</x:v>
      </x:c>
      <x:c r="B1193" s="65" t="str">
        <x:v>珀斯光荣女足</x:v>
      </x:c>
      <x:c r="C1193" s="82" t="n">
        <x:v>1</x:v>
      </x:c>
      <x:c r="D1193" s="82" t="n">
        <x:v>1</x:v>
      </x:c>
      <x:c r="E1193" s="67" t="n">
        <x:v>-0.5</x:v>
      </x:c>
      <x:c r="F1193" s="181" t="n">
        <x:v>0</x:v>
      </x:c>
      <x:c r="G1193" s="67" t="n">
        <x:v>-0.5</x:v>
      </x:c>
      <x:c r="H1193"/>
      <x:c r="I1193" s="65" t="n">
        <x:v>1024</x:v>
      </x:c>
      <x:c r="J1193" s="65" t="str">
        <x:v>米德尔斯堡</x:v>
      </x:c>
      <x:c r="K1193" s="82" t="n">
        <x:v>7</x:v>
      </x:c>
      <x:c r="L1193" s="82" t="n">
        <x:v>7</x:v>
      </x:c>
      <x:c r="M1193" s="67" t="n">
        <x:v>-1</x:v>
      </x:c>
      <x:c r="N1193" s="181" t="n">
        <x:v>0.42857142857142855</x:v>
      </x:c>
      <x:c r="O1193" s="67" t="n">
        <x:v>-0.14285714285714285</x:v>
      </x:c>
    </x:row>
    <x:row r="1194" ht="24" customHeight="1">
      <x:c r="A1194" s="65" t="n">
        <x:v>1025</x:v>
      </x:c>
      <x:c r="B1194" s="65" t="str">
        <x:v>瓜亚基尔城（Guayaquil City）</x:v>
      </x:c>
      <x:c r="C1194" s="82" t="n">
        <x:v>2</x:v>
      </x:c>
      <x:c r="D1194" s="82" t="n">
        <x:v>1</x:v>
      </x:c>
      <x:c r="E1194" s="67" t="n">
        <x:v>-0.5</x:v>
      </x:c>
      <x:c r="F1194" s="181" t="n">
        <x:v>0</x:v>
      </x:c>
      <x:c r="G1194" s="67" t="n">
        <x:v>-0.5</x:v>
      </x:c>
      <x:c r="H1194"/>
      <x:c r="I1194" s="65" t="n">
        <x:v>1025</x:v>
      </x:c>
      <x:c r="J1194" s="65" t="str">
        <x:v>SD公鹿（SD Raiders FC）</x:v>
      </x:c>
      <x:c r="K1194" s="82" t="n">
        <x:v>5</x:v>
      </x:c>
      <x:c r="L1194" s="82" t="n">
        <x:v>5</x:v>
      </x:c>
      <x:c r="M1194" s="67" t="n">
        <x:v>-1</x:v>
      </x:c>
      <x:c r="N1194" s="181" t="n">
        <x:v>0.4</x:v>
      </x:c>
      <x:c r="O1194" s="67" t="n">
        <x:v>-0.2</x:v>
      </x:c>
    </x:row>
    <x:row r="1195" ht="24" customHeight="1">
      <x:c r="A1195" s="65" t="n">
        <x:v>1026</x:v>
      </x:c>
      <x:c r="B1195" s="65" t="str">
        <x:v>瓦萨VPS（Vaasan Palloseura）</x:v>
      </x:c>
      <x:c r="C1195" s="82" t="n">
        <x:v>1</x:v>
      </x:c>
      <x:c r="D1195" s="82" t="n">
        <x:v>1</x:v>
      </x:c>
      <x:c r="E1195" s="67" t="n">
        <x:v>-0.5</x:v>
      </x:c>
      <x:c r="F1195" s="181" t="n">
        <x:v>0</x:v>
      </x:c>
      <x:c r="G1195" s="67" t="n">
        <x:v>-0.5</x:v>
      </x:c>
      <x:c r="H1195"/>
      <x:c r="I1195" s="65" t="n">
        <x:v>1026</x:v>
      </x:c>
      <x:c r="J1195" s="65" t="str">
        <x:v>乌迪内斯</x:v>
      </x:c>
      <x:c r="K1195" s="82" t="n">
        <x:v>5</x:v>
      </x:c>
      <x:c r="L1195" s="82" t="n">
        <x:v>5</x:v>
      </x:c>
      <x:c r="M1195" s="67" t="n">
        <x:v>-1</x:v>
      </x:c>
      <x:c r="N1195" s="181" t="n">
        <x:v>0.4</x:v>
      </x:c>
      <x:c r="O1195" s="67" t="n">
        <x:v>-0.2</x:v>
      </x:c>
    </x:row>
    <x:row r="1196" ht="24" customHeight="1">
      <x:c r="A1196" s="65" t="n">
        <x:v>1027</x:v>
      </x:c>
      <x:c r="B1196" s="65" t="str">
        <x:v>皇家奥维耶多</x:v>
      </x:c>
      <x:c r="C1196" s="82" t="n">
        <x:v>1</x:v>
      </x:c>
      <x:c r="D1196" s="82" t="n">
        <x:v>1</x:v>
      </x:c>
      <x:c r="E1196" s="67" t="n">
        <x:v>-0.5</x:v>
      </x:c>
      <x:c r="F1196" s="181" t="n">
        <x:v>0</x:v>
      </x:c>
      <x:c r="G1196" s="67" t="n">
        <x:v>-0.5</x:v>
      </x:c>
      <x:c r="H1196"/>
      <x:c r="I1196" s="65" t="n">
        <x:v>1027</x:v>
      </x:c>
      <x:c r="J1196" s="65" t="str">
        <x:v>哥伦比亚</x:v>
      </x:c>
      <x:c r="K1196" s="82" t="n">
        <x:v>5</x:v>
      </x:c>
      <x:c r="L1196" s="82" t="n">
        <x:v>5</x:v>
      </x:c>
      <x:c r="M1196" s="67" t="n">
        <x:v>-1</x:v>
      </x:c>
      <x:c r="N1196" s="181" t="n">
        <x:v>0.4</x:v>
      </x:c>
      <x:c r="O1196" s="67" t="n">
        <x:v>-0.2</x:v>
      </x:c>
    </x:row>
    <x:row r="1197" ht="24" customHeight="1">
      <x:c r="A1197" s="65" t="n">
        <x:v>1028</x:v>
      </x:c>
      <x:c r="B1197" s="65" t="str">
        <x:v>皇家西班牙（Real España/Real CD España）</x:v>
      </x:c>
      <x:c r="C1197" s="82" t="n">
        <x:v>1</x:v>
      </x:c>
      <x:c r="D1197" s="82" t="n">
        <x:v>1</x:v>
      </x:c>
      <x:c r="E1197" s="67" t="n">
        <x:v>-0.5</x:v>
      </x:c>
      <x:c r="F1197" s="181" t="n">
        <x:v>0</x:v>
      </x:c>
      <x:c r="G1197" s="67" t="n">
        <x:v>-0.5</x:v>
      </x:c>
      <x:c r="H1197"/>
      <x:c r="I1197" s="65" t="n">
        <x:v>1028</x:v>
      </x:c>
      <x:c r="J1197" s="65" t="str">
        <x:v>多拉多斯（Dorados de Sinaloa）</x:v>
      </x:c>
      <x:c r="K1197" s="82" t="n">
        <x:v>5</x:v>
      </x:c>
      <x:c r="L1197" s="82" t="n">
        <x:v>5</x:v>
      </x:c>
      <x:c r="M1197" s="67" t="n">
        <x:v>-1</x:v>
      </x:c>
      <x:c r="N1197" s="181" t="n">
        <x:v>0.4</x:v>
      </x:c>
      <x:c r="O1197" s="67" t="n">
        <x:v>-0.2</x:v>
      </x:c>
    </x:row>
    <x:row r="1198" ht="24" customHeight="1">
      <x:c r="A1198" s="65" t="n">
        <x:v>1029</x:v>
      </x:c>
      <x:c r="B1198" s="65" t="str">
        <x:v>皇家马德里</x:v>
      </x:c>
      <x:c r="C1198" s="82" t="n">
        <x:v>1</x:v>
      </x:c>
      <x:c r="D1198" s="82" t="n">
        <x:v>1</x:v>
      </x:c>
      <x:c r="E1198" s="67" t="n">
        <x:v>-0.5</x:v>
      </x:c>
      <x:c r="F1198" s="181" t="n">
        <x:v>0</x:v>
      </x:c>
      <x:c r="G1198" s="67" t="n">
        <x:v>-0.5</x:v>
      </x:c>
      <x:c r="H1198"/>
      <x:c r="I1198" s="65" t="n">
        <x:v>1029</x:v>
      </x:c>
      <x:c r="J1198" s="65" t="str">
        <x:v>大阪钢巴</x:v>
      </x:c>
      <x:c r="K1198" s="82" t="n">
        <x:v>5</x:v>
      </x:c>
      <x:c r="L1198" s="82" t="n">
        <x:v>5</x:v>
      </x:c>
      <x:c r="M1198" s="67" t="n">
        <x:v>-1</x:v>
      </x:c>
      <x:c r="N1198" s="181" t="n">
        <x:v>0.4</x:v>
      </x:c>
      <x:c r="O1198" s="67" t="n">
        <x:v>-0.2</x:v>
      </x:c>
    </x:row>
    <x:row r="1199" ht="24" customHeight="1">
      <x:c r="A1199" s="65" t="n">
        <x:v>1030</x:v>
      </x:c>
      <x:c r="B1199" s="65" t="str">
        <x:v>福塔雷萨（Fortaleza CEIF）</x:v>
      </x:c>
      <x:c r="C1199" s="82" t="n">
        <x:v>1</x:v>
      </x:c>
      <x:c r="D1199" s="82" t="n">
        <x:v>1</x:v>
      </x:c>
      <x:c r="E1199" s="67" t="n">
        <x:v>-0.5</x:v>
      </x:c>
      <x:c r="F1199" s="181" t="n">
        <x:v>0</x:v>
      </x:c>
      <x:c r="G1199" s="67" t="n">
        <x:v>-0.5</x:v>
      </x:c>
      <x:c r="H1199"/>
      <x:c r="I1199" s="65" t="n">
        <x:v>1030</x:v>
      </x:c>
      <x:c r="J1199" s="65" t="str">
        <x:v>奥罗拉（Club Aurora）</x:v>
      </x:c>
      <x:c r="K1199" s="82" t="n">
        <x:v>5</x:v>
      </x:c>
      <x:c r="L1199" s="82" t="n">
        <x:v>5</x:v>
      </x:c>
      <x:c r="M1199" s="67" t="n">
        <x:v>-1</x:v>
      </x:c>
      <x:c r="N1199" s="181" t="n">
        <x:v>0.4</x:v>
      </x:c>
      <x:c r="O1199" s="67" t="n">
        <x:v>-0.2</x:v>
      </x:c>
    </x:row>
    <x:row r="1200" ht="24" customHeight="1">
      <x:c r="A1200" s="65" t="n">
        <x:v>1031</x:v>
      </x:c>
      <x:c r="B1200" s="65" t="str">
        <x:v>科尔多瓦中央（圣地亚哥）</x:v>
      </x:c>
      <x:c r="C1200" s="82" t="n">
        <x:v>1</x:v>
      </x:c>
      <x:c r="D1200" s="82" t="n">
        <x:v>1</x:v>
      </x:c>
      <x:c r="E1200" s="67" t="n">
        <x:v>-0.5</x:v>
      </x:c>
      <x:c r="F1200" s="181" t="n">
        <x:v>0</x:v>
      </x:c>
      <x:c r="G1200" s="67" t="n">
        <x:v>-0.5</x:v>
      </x:c>
      <x:c r="H1200"/>
      <x:c r="I1200" s="65" t="n">
        <x:v>1031</x:v>
      </x:c>
      <x:c r="J1200" s="65" t="str">
        <x:v>德瓦联（Dewa United）</x:v>
      </x:c>
      <x:c r="K1200" s="82" t="n">
        <x:v>5</x:v>
      </x:c>
      <x:c r="L1200" s="82" t="n">
        <x:v>5</x:v>
      </x:c>
      <x:c r="M1200" s="67" t="n">
        <x:v>-1</x:v>
      </x:c>
      <x:c r="N1200" s="181" t="n">
        <x:v>0.4</x:v>
      </x:c>
      <x:c r="O1200" s="67" t="n">
        <x:v>-0.2</x:v>
      </x:c>
    </x:row>
    <x:row r="1201" ht="24" customHeight="1">
      <x:c r="A1201" s="65" t="n">
        <x:v>1032</x:v>
      </x:c>
      <x:c r="B1201" s="65" t="str">
        <x:v>科隆（1. FC 科隆/FC Köln）</x:v>
      </x:c>
      <x:c r="C1201" s="82" t="n">
        <x:v>1</x:v>
      </x:c>
      <x:c r="D1201" s="82" t="n">
        <x:v>1</x:v>
      </x:c>
      <x:c r="E1201" s="67" t="n">
        <x:v>-0.5</x:v>
      </x:c>
      <x:c r="F1201" s="181" t="n">
        <x:v>0</x:v>
      </x:c>
      <x:c r="G1201" s="67" t="n">
        <x:v>-0.5</x:v>
      </x:c>
      <x:c r="H1201"/>
      <x:c r="I1201" s="65" t="n">
        <x:v>1032</x:v>
      </x:c>
      <x:c r="J1201" s="65" t="str">
        <x:v>德累斯顿迪纳摩（Dynamo Dresden）</x:v>
      </x:c>
      <x:c r="K1201" s="82" t="n">
        <x:v>5</x:v>
      </x:c>
      <x:c r="L1201" s="82" t="n">
        <x:v>5</x:v>
      </x:c>
      <x:c r="M1201" s="67" t="n">
        <x:v>-1</x:v>
      </x:c>
      <x:c r="N1201" s="181" t="n">
        <x:v>0.4</x:v>
      </x:c>
      <x:c r="O1201" s="67" t="n">
        <x:v>-0.2</x:v>
      </x:c>
    </x:row>
    <x:row r="1202" ht="24" customHeight="1">
      <x:c r="A1202" s="65" t="n">
        <x:v>1033</x:v>
      </x:c>
      <x:c r="B1202" s="65" t="str">
        <x:v>米亚尔比</x:v>
      </x:c>
      <x:c r="C1202" s="82" t="n">
        <x:v>1</x:v>
      </x:c>
      <x:c r="D1202" s="82" t="n">
        <x:v>1</x:v>
      </x:c>
      <x:c r="E1202" s="67" t="n">
        <x:v>-0.5</x:v>
      </x:c>
      <x:c r="F1202" s="181" t="n">
        <x:v>0</x:v>
      </x:c>
      <x:c r="G1202" s="67" t="n">
        <x:v>-0.5</x:v>
      </x:c>
      <x:c r="H1202"/>
      <x:c r="I1202" s="65" t="n">
        <x:v>1033</x:v>
      </x:c>
      <x:c r="J1202" s="65" t="str">
        <x:v>杜塞尔多夫</x:v>
      </x:c>
      <x:c r="K1202" s="82" t="n">
        <x:v>5</x:v>
      </x:c>
      <x:c r="L1202" s="82" t="n">
        <x:v>5</x:v>
      </x:c>
      <x:c r="M1202" s="67" t="n">
        <x:v>-1</x:v>
      </x:c>
      <x:c r="N1202" s="181" t="n">
        <x:v>0.4</x:v>
      </x:c>
      <x:c r="O1202" s="67" t="n">
        <x:v>-0.2</x:v>
      </x:c>
    </x:row>
    <x:row r="1203" ht="24" customHeight="1">
      <x:c r="A1203" s="65" t="n">
        <x:v>1034</x:v>
      </x:c>
      <x:c r="B1203" s="65" t="str">
        <x:v>米内罗竞技（Atlético Mineiro）</x:v>
      </x:c>
      <x:c r="C1203" s="82" t="n">
        <x:v>1</x:v>
      </x:c>
      <x:c r="D1203" s="82" t="n">
        <x:v>1</x:v>
      </x:c>
      <x:c r="E1203" s="67" t="n">
        <x:v>-0.5</x:v>
      </x:c>
      <x:c r="F1203" s="181" t="n">
        <x:v>0</x:v>
      </x:c>
      <x:c r="G1203" s="67" t="n">
        <x:v>-0.5</x:v>
      </x:c>
      <x:c r="H1203"/>
      <x:c r="I1203" s="65" t="n">
        <x:v>1034</x:v>
      </x:c>
      <x:c r="J1203" s="65" t="str">
        <x:v>米德尔斯堡（Middlesbrough）</x:v>
      </x:c>
      <x:c r="K1203" s="82" t="n">
        <x:v>5</x:v>
      </x:c>
      <x:c r="L1203" s="82" t="n">
        <x:v>5</x:v>
      </x:c>
      <x:c r="M1203" s="67" t="n">
        <x:v>-1</x:v>
      </x:c>
      <x:c r="N1203" s="181" t="n">
        <x:v>0.4</x:v>
      </x:c>
      <x:c r="O1203" s="67" t="n">
        <x:v>-0.2</x:v>
      </x:c>
    </x:row>
    <x:row r="1204" ht="24" customHeight="1">
      <x:c r="A1204" s="65" t="n">
        <x:v>1035</x:v>
      </x:c>
      <x:c r="B1204" s="65" t="str">
        <x:v>维多利亚（EC Vitória）</x:v>
      </x:c>
      <x:c r="C1204" s="82" t="n">
        <x:v>1</x:v>
      </x:c>
      <x:c r="D1204" s="82" t="n">
        <x:v>1</x:v>
      </x:c>
      <x:c r="E1204" s="67" t="n">
        <x:v>-0.5</x:v>
      </x:c>
      <x:c r="F1204" s="181" t="n">
        <x:v>0</x:v>
      </x:c>
      <x:c r="G1204" s="67" t="n">
        <x:v>-0.5</x:v>
      </x:c>
      <x:c r="H1204"/>
      <x:c r="I1204" s="65" t="n">
        <x:v>1035</x:v>
      </x:c>
      <x:c r="J1204" s="65" t="str">
        <x:v>莱卡特老虎（APIA Leichhardt Tigers）</x:v>
      </x:c>
      <x:c r="K1204" s="82" t="n">
        <x:v>5</x:v>
      </x:c>
      <x:c r="L1204" s="82" t="n">
        <x:v>5</x:v>
      </x:c>
      <x:c r="M1204" s="67" t="n">
        <x:v>-1</x:v>
      </x:c>
      <x:c r="N1204" s="181" t="n">
        <x:v>0.4</x:v>
      </x:c>
      <x:c r="O1204" s="67" t="n">
        <x:v>-0.2</x:v>
      </x:c>
    </x:row>
    <x:row r="1205" ht="24" customHeight="1">
      <x:c r="A1205" s="65" t="n">
        <x:v>1036</x:v>
      </x:c>
      <x:c r="B1205" s="65" t="str">
        <x:v>艾云达尔FC</x:v>
      </x:c>
      <x:c r="C1205" s="82" t="n">
        <x:v>1</x:v>
      </x:c>
      <x:c r="D1205" s="82" t="n">
        <x:v>1</x:v>
      </x:c>
      <x:c r="E1205" s="67" t="n">
        <x:v>-0.5</x:v>
      </x:c>
      <x:c r="F1205" s="181" t="n">
        <x:v>0</x:v>
      </x:c>
      <x:c r="G1205" s="67" t="n">
        <x:v>-0.5</x:v>
      </x:c>
      <x:c r="H1205"/>
      <x:c r="I1205" s="65" t="n">
        <x:v>1036</x:v>
      </x:c>
      <x:c r="J1205" s="65" t="str">
        <x:v>乌迪内斯（Udinese）</x:v>
      </x:c>
      <x:c r="K1205" s="82" t="n">
        <x:v>3</x:v>
      </x:c>
      <x:c r="L1205" s="82" t="n">
        <x:v>3</x:v>
      </x:c>
      <x:c r="M1205" s="67" t="n">
        <x:v>-1</x:v>
      </x:c>
      <x:c r="N1205" s="181" t="n">
        <x:v>0.3333333333333333</x:v>
      </x:c>
      <x:c r="O1205" s="67" t="n">
        <x:v>-0.3333333333333333</x:v>
      </x:c>
    </x:row>
    <x:row r="1206" ht="24" customHeight="1">
      <x:c r="A1206" s="65" t="n">
        <x:v>1037</x:v>
      </x:c>
      <x:c r="B1206" s="65" t="str">
        <x:v>艾尔格纳（El Gounah）</x:v>
      </x:c>
      <x:c r="C1206" s="82" t="n">
        <x:v>1</x:v>
      </x:c>
      <x:c r="D1206" s="82" t="n">
        <x:v>1</x:v>
      </x:c>
      <x:c r="E1206" s="67" t="n">
        <x:v>-0.5</x:v>
      </x:c>
      <x:c r="F1206" s="181" t="n">
        <x:v>0</x:v>
      </x:c>
      <x:c r="G1206" s="67" t="n">
        <x:v>-0.5</x:v>
      </x:c>
      <x:c r="H1206"/>
      <x:c r="I1206" s="65" t="n">
        <x:v>1037</x:v>
      </x:c>
      <x:c r="J1206" s="65" t="str">
        <x:v>仁川联</x:v>
      </x:c>
      <x:c r="K1206" s="82" t="n">
        <x:v>3</x:v>
      </x:c>
      <x:c r="L1206" s="82" t="n">
        <x:v>3</x:v>
      </x:c>
      <x:c r="M1206" s="67" t="n">
        <x:v>-1</x:v>
      </x:c>
      <x:c r="N1206" s="181" t="n">
        <x:v>0.3333333333333333</x:v>
      </x:c>
      <x:c r="O1206" s="67" t="n">
        <x:v>-0.3333333333333333</x:v>
      </x:c>
    </x:row>
    <x:row r="1207" ht="24" customHeight="1">
      <x:c r="A1207" s="65" t="n">
        <x:v>1038</x:v>
      </x:c>
      <x:c r="B1207" s="65" t="str">
        <x:v>莫尔德（Molde）</x:v>
      </x:c>
      <x:c r="C1207" s="82" t="n">
        <x:v>1</x:v>
      </x:c>
      <x:c r="D1207" s="82" t="n">
        <x:v>1</x:v>
      </x:c>
      <x:c r="E1207" s="67" t="n">
        <x:v>-0.5</x:v>
      </x:c>
      <x:c r="F1207" s="181" t="n">
        <x:v>0</x:v>
      </x:c>
      <x:c r="G1207" s="67" t="n">
        <x:v>-0.5</x:v>
      </x:c>
      <x:c r="H1207"/>
      <x:c r="I1207" s="65" t="n">
        <x:v>1038</x:v>
      </x:c>
      <x:c r="J1207" s="65" t="str">
        <x:v>伯希索罗（Persis Solo）</x:v>
      </x:c>
      <x:c r="K1207" s="82" t="n">
        <x:v>3</x:v>
      </x:c>
      <x:c r="L1207" s="82" t="n">
        <x:v>3</x:v>
      </x:c>
      <x:c r="M1207" s="67" t="n">
        <x:v>-1</x:v>
      </x:c>
      <x:c r="N1207" s="181" t="n">
        <x:v>0.3333333333333333</x:v>
      </x:c>
      <x:c r="O1207" s="67" t="n">
        <x:v>-0.3333333333333333</x:v>
      </x:c>
    </x:row>
    <x:row r="1208" ht="24" customHeight="1">
      <x:c r="A1208" s="65" t="n">
        <x:v>1039</x:v>
      </x:c>
      <x:c r="B1208" s="65" t="str">
        <x:v>莱比锡红牛（RB Leipzig）</x:v>
      </x:c>
      <x:c r="C1208" s="82" t="n">
        <x:v>1</x:v>
      </x:c>
      <x:c r="D1208" s="82" t="n">
        <x:v>1</x:v>
      </x:c>
      <x:c r="E1208" s="67" t="n">
        <x:v>-0.5</x:v>
      </x:c>
      <x:c r="F1208" s="181" t="n">
        <x:v>0</x:v>
      </x:c>
      <x:c r="G1208" s="67" t="n">
        <x:v>-0.5</x:v>
      </x:c>
      <x:c r="H1208"/>
      <x:c r="I1208" s="65" t="n">
        <x:v>1039</x:v>
      </x:c>
      <x:c r="J1208" s="65" t="str">
        <x:v>伯恩利（Burnley）</x:v>
      </x:c>
      <x:c r="K1208" s="82" t="n">
        <x:v>4</x:v>
      </x:c>
      <x:c r="L1208" s="82" t="n">
        <x:v>3</x:v>
      </x:c>
      <x:c r="M1208" s="67" t="n">
        <x:v>-1</x:v>
      </x:c>
      <x:c r="N1208" s="181" t="n">
        <x:v>0.3333333333333333</x:v>
      </x:c>
      <x:c r="O1208" s="67" t="n">
        <x:v>-0.3333333333333333</x:v>
      </x:c>
    </x:row>
    <x:row r="1209" ht="24" customHeight="1">
      <x:c r="A1209" s="65" t="n">
        <x:v>1040</x:v>
      </x:c>
      <x:c r="B1209" s="65" t="str">
        <x:v>西恩夏诺（Cienciano）</x:v>
      </x:c>
      <x:c r="C1209" s="82" t="n">
        <x:v>1</x:v>
      </x:c>
      <x:c r="D1209" s="82" t="n">
        <x:v>1</x:v>
      </x:c>
      <x:c r="E1209" s="67" t="n">
        <x:v>-0.5</x:v>
      </x:c>
      <x:c r="F1209" s="181" t="n">
        <x:v>0</x:v>
      </x:c>
      <x:c r="G1209" s="67" t="n">
        <x:v>-0.5</x:v>
      </x:c>
      <x:c r="H1209"/>
      <x:c r="I1209" s="65" t="n">
        <x:v>1040</x:v>
      </x:c>
      <x:c r="J1209" s="65" t="str">
        <x:v>佛罗伦萨（Fiorentina）</x:v>
      </x:c>
      <x:c r="K1209" s="82" t="n">
        <x:v>3</x:v>
      </x:c>
      <x:c r="L1209" s="82" t="n">
        <x:v>3</x:v>
      </x:c>
      <x:c r="M1209" s="67" t="n">
        <x:v>-1</x:v>
      </x:c>
      <x:c r="N1209" s="181" t="n">
        <x:v>0.3333333333333333</x:v>
      </x:c>
      <x:c r="O1209" s="67" t="n">
        <x:v>-0.3333333333333333</x:v>
      </x:c>
    </x:row>
    <x:row r="1210" ht="24" customHeight="1">
      <x:c r="A1210" s="65" t="n">
        <x:v>1041</x:v>
      </x:c>
      <x:c r="B1210" s="65" t="str">
        <x:v>西悉尼流浪者(Western Sydney Wanderers)</x:v>
      </x:c>
      <x:c r="C1210" s="82" t="n">
        <x:v>1</x:v>
      </x:c>
      <x:c r="D1210" s="82" t="n">
        <x:v>1</x:v>
      </x:c>
      <x:c r="E1210" s="67" t="n">
        <x:v>-0.5</x:v>
      </x:c>
      <x:c r="F1210" s="181" t="n">
        <x:v>0</x:v>
      </x:c>
      <x:c r="G1210" s="67" t="n">
        <x:v>-0.5</x:v>
      </x:c>
      <x:c r="H1210"/>
      <x:c r="I1210" s="65" t="n">
        <x:v>1041</x:v>
      </x:c>
      <x:c r="J1210" s="65" t="str">
        <x:v>佩西塔坦格朗</x:v>
      </x:c>
      <x:c r="K1210" s="82" t="n">
        <x:v>3</x:v>
      </x:c>
      <x:c r="L1210" s="82" t="n">
        <x:v>3</x:v>
      </x:c>
      <x:c r="M1210" s="67" t="n">
        <x:v>-1</x:v>
      </x:c>
      <x:c r="N1210" s="181" t="n">
        <x:v>0.3333333333333333</x:v>
      </x:c>
      <x:c r="O1210" s="67" t="n">
        <x:v>-0.3333333333333333</x:v>
      </x:c>
    </x:row>
    <x:row r="1211" ht="24" customHeight="1">
      <x:c r="A1211" s="65" t="n">
        <x:v>1042</x:v>
      </x:c>
      <x:c r="B1211" s="65" t="str">
        <x:v>贝伦蝎子（Escorpiones Belén）</x:v>
      </x:c>
      <x:c r="C1211" s="82" t="n">
        <x:v>1</x:v>
      </x:c>
      <x:c r="D1211" s="82" t="n">
        <x:v>1</x:v>
      </x:c>
      <x:c r="E1211" s="67" t="n">
        <x:v>-0.5</x:v>
      </x:c>
      <x:c r="F1211" s="181" t="n">
        <x:v>0</x:v>
      </x:c>
      <x:c r="G1211" s="67" t="n">
        <x:v>-0.5</x:v>
      </x:c>
      <x:c r="H1211"/>
      <x:c r="I1211" s="65" t="n">
        <x:v>1042</x:v>
      </x:c>
      <x:c r="J1211" s="65" t="str">
        <x:v>八户云罗里</x:v>
      </x:c>
      <x:c r="K1211" s="82" t="n">
        <x:v>3</x:v>
      </x:c>
      <x:c r="L1211" s="82" t="n">
        <x:v>3</x:v>
      </x:c>
      <x:c r="M1211" s="67" t="n">
        <x:v>-1</x:v>
      </x:c>
      <x:c r="N1211" s="181" t="n">
        <x:v>0.3333333333333333</x:v>
      </x:c>
      <x:c r="O1211" s="67" t="n">
        <x:v>-0.3333333333333333</x:v>
      </x:c>
    </x:row>
    <x:row r="1212" ht="24" customHeight="1">
      <x:c r="A1212" s="65" t="n">
        <x:v>1043</x:v>
      </x:c>
      <x:c r="B1212" s="65" t="str">
        <x:v>费耶诺德（Feyenoord）</x:v>
      </x:c>
      <x:c r="C1212" s="82" t="n">
        <x:v>1</x:v>
      </x:c>
      <x:c r="D1212" s="82" t="n">
        <x:v>1</x:v>
      </x:c>
      <x:c r="E1212" s="67" t="n">
        <x:v>-0.5</x:v>
      </x:c>
      <x:c r="F1212" s="181" t="n">
        <x:v>0</x:v>
      </x:c>
      <x:c r="G1212" s="67" t="n">
        <x:v>-0.5</x:v>
      </x:c>
      <x:c r="H1212"/>
      <x:c r="I1212" s="65" t="n">
        <x:v>1043</x:v>
      </x:c>
      <x:c r="J1212" s="65" t="str">
        <x:v>凤凰重生（Phoenix Rising FC）</x:v>
      </x:c>
      <x:c r="K1212" s="82" t="n">
        <x:v>3</x:v>
      </x:c>
      <x:c r="L1212" s="82" t="n">
        <x:v>3</x:v>
      </x:c>
      <x:c r="M1212" s="67" t="n">
        <x:v>-1</x:v>
      </x:c>
      <x:c r="N1212" s="181" t="n">
        <x:v>0.3333333333333333</x:v>
      </x:c>
      <x:c r="O1212" s="67" t="n">
        <x:v>-0.3333333333333333</x:v>
      </x:c>
    </x:row>
    <x:row r="1213" ht="24" customHeight="1">
      <x:c r="A1213" s="65" t="n">
        <x:v>1044</x:v>
      </x:c>
      <x:c r="B1213" s="65" t="str">
        <x:v>贾奎斯科尔多瓦</x:v>
      </x:c>
      <x:c r="C1213" s="82" t="n">
        <x:v>1</x:v>
      </x:c>
      <x:c r="D1213" s="82" t="n">
        <x:v>1</x:v>
      </x:c>
      <x:c r="E1213" s="67" t="n">
        <x:v>-0.5</x:v>
      </x:c>
      <x:c r="F1213" s="181" t="n">
        <x:v>0</x:v>
      </x:c>
      <x:c r="G1213" s="67" t="n">
        <x:v>-0.5</x:v>
      </x:c>
      <x:c r="H1213"/>
      <x:c r="I1213" s="65" t="n">
        <x:v>1044</x:v>
      </x:c>
      <x:c r="J1213" s="65" t="str">
        <x:v>刚果民主共和国（刚果金）</x:v>
      </x:c>
      <x:c r="K1213" s="82" t="n">
        <x:v>3</x:v>
      </x:c>
      <x:c r="L1213" s="82" t="n">
        <x:v>3</x:v>
      </x:c>
      <x:c r="M1213" s="67" t="n">
        <x:v>-1</x:v>
      </x:c>
      <x:c r="N1213" s="181" t="n">
        <x:v>0.3333333333333333</x:v>
      </x:c>
      <x:c r="O1213" s="67" t="n">
        <x:v>-0.3333333333333333</x:v>
      </x:c>
    </x:row>
    <x:row r="1214" ht="24" customHeight="1">
      <x:c r="A1214" s="65" t="n">
        <x:v>1045</x:v>
      </x:c>
      <x:c r="B1214" s="65" t="str">
        <x:v>达尔维奇希尔（Dulwich Hill）</x:v>
      </x:c>
      <x:c r="C1214" s="82" t="n">
        <x:v>1</x:v>
      </x:c>
      <x:c r="D1214" s="82" t="n">
        <x:v>1</x:v>
      </x:c>
      <x:c r="E1214" s="67" t="n">
        <x:v>-0.5</x:v>
      </x:c>
      <x:c r="F1214" s="181" t="n">
        <x:v>0</x:v>
      </x:c>
      <x:c r="G1214" s="67" t="n">
        <x:v>-0.5</x:v>
      </x:c>
      <x:c r="H1214"/>
      <x:c r="I1214" s="65" t="n">
        <x:v>1045</x:v>
      </x:c>
      <x:c r="J1214" s="65" t="str">
        <x:v>华雷斯（FC Juárez）</x:v>
      </x:c>
      <x:c r="K1214" s="82" t="n">
        <x:v>3</x:v>
      </x:c>
      <x:c r="L1214" s="82" t="n">
        <x:v>3</x:v>
      </x:c>
      <x:c r="M1214" s="67" t="n">
        <x:v>-1</x:v>
      </x:c>
      <x:c r="N1214" s="181" t="n">
        <x:v>0.3333333333333333</x:v>
      </x:c>
      <x:c r="O1214" s="67" t="n">
        <x:v>-0.3333333333333333</x:v>
      </x:c>
    </x:row>
    <x:row r="1215" ht="24" customHeight="1">
      <x:c r="A1215" s="65" t="n">
        <x:v>1046</x:v>
      </x:c>
      <x:c r="B1215" s="65" t="str">
        <x:v>里奥内格罗老鹰（Águilas Doradas Rionegro）</x:v>
      </x:c>
      <x:c r="C1215" s="82" t="n">
        <x:v>1</x:v>
      </x:c>
      <x:c r="D1215" s="82" t="n">
        <x:v>1</x:v>
      </x:c>
      <x:c r="E1215" s="67" t="n">
        <x:v>-0.5</x:v>
      </x:c>
      <x:c r="F1215" s="181" t="n">
        <x:v>0</x:v>
      </x:c>
      <x:c r="G1215" s="67" t="n">
        <x:v>-0.5</x:v>
      </x:c>
      <x:c r="H1215"/>
      <x:c r="I1215" s="65" t="n">
        <x:v>1046</x:v>
      </x:c>
      <x:c r="J1215" s="65" t="str">
        <x:v>名古屋鲸鱼（Nagoya Grampus）</x:v>
      </x:c>
      <x:c r="K1215" s="82" t="n">
        <x:v>3</x:v>
      </x:c>
      <x:c r="L1215" s="82" t="n">
        <x:v>3</x:v>
      </x:c>
      <x:c r="M1215" s="67" t="n">
        <x:v>-1</x:v>
      </x:c>
      <x:c r="N1215" s="181" t="n">
        <x:v>0.3333333333333333</x:v>
      </x:c>
      <x:c r="O1215" s="67" t="n">
        <x:v>-0.3333333333333333</x:v>
      </x:c>
    </x:row>
    <x:row r="1216" ht="24" customHeight="1">
      <x:c r="A1216" s="65" t="n">
        <x:v>1047</x:v>
      </x:c>
      <x:c r="B1216" s="65" t="str">
        <x:v>防卫者与司法（Defensa y Justicia）</x:v>
      </x:c>
      <x:c r="C1216" s="82" t="n">
        <x:v>1</x:v>
      </x:c>
      <x:c r="D1216" s="82" t="n">
        <x:v>1</x:v>
      </x:c>
      <x:c r="E1216" s="67" t="n">
        <x:v>-0.5</x:v>
      </x:c>
      <x:c r="F1216" s="181" t="n">
        <x:v>0</x:v>
      </x:c>
      <x:c r="G1216" s="67" t="n">
        <x:v>-0.5</x:v>
      </x:c>
      <x:c r="H1216"/>
      <x:c r="I1216" s="65" t="n">
        <x:v>1047</x:v>
      </x:c>
      <x:c r="J1216" s="65" t="str">
        <x:v>图库曼竞技</x:v>
      </x:c>
      <x:c r="K1216" s="82" t="n">
        <x:v>3</x:v>
      </x:c>
      <x:c r="L1216" s="82" t="n">
        <x:v>3</x:v>
      </x:c>
      <x:c r="M1216" s="67" t="n">
        <x:v>-1</x:v>
      </x:c>
      <x:c r="N1216" s="181" t="n">
        <x:v>0.3333333333333333</x:v>
      </x:c>
      <x:c r="O1216" s="67" t="n">
        <x:v>-0.3333333333333333</x:v>
      </x:c>
    </x:row>
    <x:row r="1217" ht="24" customHeight="1">
      <x:c r="A1217" s="65" t="n">
        <x:v>1048</x:v>
      </x:c>
      <x:c r="B1217" s="65" t="str">
        <x:v>阿尔克马尔（AZ Alkmaar）</x:v>
      </x:c>
      <x:c r="C1217" s="82" t="n">
        <x:v>1</x:v>
      </x:c>
      <x:c r="D1217" s="82" t="n">
        <x:v>1</x:v>
      </x:c>
      <x:c r="E1217" s="67" t="n">
        <x:v>-0.5</x:v>
      </x:c>
      <x:c r="F1217" s="181" t="n">
        <x:v>0</x:v>
      </x:c>
      <x:c r="G1217" s="67" t="n">
        <x:v>-0.5</x:v>
      </x:c>
      <x:c r="H1217"/>
      <x:c r="I1217" s="65" t="n">
        <x:v>1048</x:v>
      </x:c>
      <x:c r="J1217" s="65" t="str">
        <x:v>土耳其</x:v>
      </x:c>
      <x:c r="K1217" s="82" t="n">
        <x:v>3</x:v>
      </x:c>
      <x:c r="L1217" s="82" t="n">
        <x:v>3</x:v>
      </x:c>
      <x:c r="M1217" s="67" t="n">
        <x:v>-1</x:v>
      </x:c>
      <x:c r="N1217" s="181" t="n">
        <x:v>0.3333333333333333</x:v>
      </x:c>
      <x:c r="O1217" s="67" t="n">
        <x:v>-0.3333333333333333</x:v>
      </x:c>
    </x:row>
    <x:row r="1218" ht="24" customHeight="1">
      <x:c r="A1218" s="65" t="n">
        <x:v>1049</x:v>
      </x:c>
      <x:c r="B1218" s="65" t="str">
        <x:v>阿尔克鲁德（Al-Kholood）</x:v>
      </x:c>
      <x:c r="C1218" s="82" t="n">
        <x:v>1</x:v>
      </x:c>
      <x:c r="D1218" s="82" t="n">
        <x:v>1</x:v>
      </x:c>
      <x:c r="E1218" s="67" t="n">
        <x:v>-0.5</x:v>
      </x:c>
      <x:c r="F1218" s="181" t="n">
        <x:v>0</x:v>
      </x:c>
      <x:c r="G1218" s="67" t="n">
        <x:v>-0.5</x:v>
      </x:c>
      <x:c r="H1218"/>
      <x:c r="I1218" s="65" t="n">
        <x:v>1049</x:v>
      </x:c>
      <x:c r="J1218" s="65" t="str">
        <x:v>坎昆FC</x:v>
      </x:c>
      <x:c r="K1218" s="82" t="n">
        <x:v>3</x:v>
      </x:c>
      <x:c r="L1218" s="82" t="n">
        <x:v>3</x:v>
      </x:c>
      <x:c r="M1218" s="67" t="n">
        <x:v>-1</x:v>
      </x:c>
      <x:c r="N1218" s="181" t="n">
        <x:v>0.3333333333333333</x:v>
      </x:c>
      <x:c r="O1218" s="67" t="n">
        <x:v>-0.3333333333333333</x:v>
      </x:c>
    </x:row>
    <x:row r="1219" ht="24" customHeight="1">
      <x:c r="A1219" s="65" t="n">
        <x:v>1050</x:v>
      </x:c>
      <x:c r="B1219" s="65" t="str">
        <x:v>墨尔本城(Melbourne City)</x:v>
      </x:c>
      <x:c r="C1219" s="82" t="n">
        <x:v>1</x:v>
      </x:c>
      <x:c r="D1219" s="82" t="n">
        <x:v>1</x:v>
      </x:c>
      <x:c r="E1219" s="67" t="n">
        <x:v>-0.5</x:v>
      </x:c>
      <x:c r="F1219" s="181" t="n">
        <x:v>0</x:v>
      </x:c>
      <x:c r="G1219" s="67" t="n">
        <x:v>-0.5</x:v>
      </x:c>
      <x:c r="H1219"/>
      <x:c r="I1219" s="65" t="n">
        <x:v>1050</x:v>
      </x:c>
      <x:c r="J1219" s="65" t="str">
        <x:v>塔巴蒂奥（CD Tapatío）</x:v>
      </x:c>
      <x:c r="K1219" s="82" t="n">
        <x:v>3</x:v>
      </x:c>
      <x:c r="L1219" s="82" t="n">
        <x:v>3</x:v>
      </x:c>
      <x:c r="M1219" s="67" t="n">
        <x:v>-1</x:v>
      </x:c>
      <x:c r="N1219" s="181" t="n">
        <x:v>0.3333333333333333</x:v>
      </x:c>
      <x:c r="O1219" s="67" t="n">
        <x:v>-0.3333333333333333</x:v>
      </x:c>
    </x:row>
    <x:row r="1220" ht="24" customHeight="1">
      <x:c r="A1220" s="65" t="n">
        <x:v>1051</x:v>
      </x:c>
      <x:c r="B1220" s="65" t="str">
        <x:v>东北联</x:v>
      </x:c>
      <x:c r="C1220" s="82" t="n">
        <x:v>6</x:v>
      </x:c>
      <x:c r="D1220" s="82" t="n">
        <x:v>6</x:v>
      </x:c>
      <x:c r="E1220" s="67" t="n">
        <x:v>-1</x:v>
      </x:c>
      <x:c r="F1220" s="181" t="n">
        <x:v>0.5</x:v>
      </x:c>
      <x:c r="G1220" s="67" t="n">
        <x:v>-0.16666666666666666</x:v>
      </x:c>
      <x:c r="H1220"/>
      <x:c r="I1220" s="65" t="n">
        <x:v>1051</x:v>
      </x:c>
      <x:c r="J1220" s="65" t="str">
        <x:v>塞罗拉尔戈（Cerro Largo）</x:v>
      </x:c>
      <x:c r="K1220" s="82" t="n">
        <x:v>3</x:v>
      </x:c>
      <x:c r="L1220" s="82" t="n">
        <x:v>3</x:v>
      </x:c>
      <x:c r="M1220" s="67" t="n">
        <x:v>-1</x:v>
      </x:c>
      <x:c r="N1220" s="181" t="n">
        <x:v>0.3333333333333333</x:v>
      </x:c>
      <x:c r="O1220" s="67" t="n">
        <x:v>-0.3333333333333333</x:v>
      </x:c>
    </x:row>
    <x:row r="1221" ht="24" customHeight="1">
      <x:c r="A1221" s="65" t="n">
        <x:v>1052</x:v>
      </x:c>
      <x:c r="B1221" s="65" t="str">
        <x:v>东孟加拉</x:v>
      </x:c>
      <x:c r="C1221" s="82" t="n">
        <x:v>5</x:v>
      </x:c>
      <x:c r="D1221" s="82" t="n">
        <x:v>5</x:v>
      </x:c>
      <x:c r="E1221" s="67" t="n">
        <x:v>-1</x:v>
      </x:c>
      <x:c r="F1221" s="181" t="n">
        <x:v>0.4</x:v>
      </x:c>
      <x:c r="G1221" s="67" t="n">
        <x:v>-0.2</x:v>
      </x:c>
      <x:c r="H1221"/>
      <x:c r="I1221" s="65" t="n">
        <x:v>1052</x:v>
      </x:c>
      <x:c r="J1221" s="65" t="str">
        <x:v>大阪樱花</x:v>
      </x:c>
      <x:c r="K1221" s="82" t="n">
        <x:v>3</x:v>
      </x:c>
      <x:c r="L1221" s="82" t="n">
        <x:v>3</x:v>
      </x:c>
      <x:c r="M1221" s="67" t="n">
        <x:v>-1</x:v>
      </x:c>
      <x:c r="N1221" s="181" t="n">
        <x:v>0.3333333333333333</x:v>
      </x:c>
      <x:c r="O1221" s="67" t="n">
        <x:v>-0.3333333333333333</x:v>
      </x:c>
    </x:row>
    <x:row r="1222" ht="24" customHeight="1">
      <x:c r="A1222" s="65" t="n">
        <x:v>1053</x:v>
      </x:c>
      <x:c r="B1222" s="65" t="str">
        <x:v>佩斯索罗（Persis Solo）</x:v>
      </x:c>
      <x:c r="C1222" s="82" t="n">
        <x:v>5</x:v>
      </x:c>
      <x:c r="D1222" s="82" t="n">
        <x:v>5</x:v>
      </x:c>
      <x:c r="E1222" s="67" t="n">
        <x:v>-1</x:v>
      </x:c>
      <x:c r="F1222" s="181" t="n">
        <x:v>0.4</x:v>
      </x:c>
      <x:c r="G1222" s="67" t="n">
        <x:v>-0.2</x:v>
      </x:c>
      <x:c r="H1222"/>
      <x:c r="I1222" s="65" t="n">
        <x:v>1053</x:v>
      </x:c>
      <x:c r="J1222" s="65" t="str">
        <x:v>奥兰多城（Orlando City SC）</x:v>
      </x:c>
      <x:c r="K1222" s="82" t="n">
        <x:v>3</x:v>
      </x:c>
      <x:c r="L1222" s="82" t="n">
        <x:v>3</x:v>
      </x:c>
      <x:c r="M1222" s="67" t="n">
        <x:v>-1</x:v>
      </x:c>
      <x:c r="N1222" s="181" t="n">
        <x:v>0.3333333333333333</x:v>
      </x:c>
      <x:c r="O1222" s="67" t="n">
        <x:v>-0.3333333333333333</x:v>
      </x:c>
    </x:row>
    <x:row r="1223" ht="24" customHeight="1">
      <x:c r="A1223" s="65" t="n">
        <x:v>1054</x:v>
      </x:c>
      <x:c r="B1223" s="65" t="str">
        <x:v>冈山绿雉</x:v>
      </x:c>
      <x:c r="C1223" s="82" t="n">
        <x:v>5</x:v>
      </x:c>
      <x:c r="D1223" s="82" t="n">
        <x:v>5</x:v>
      </x:c>
      <x:c r="E1223" s="67" t="n">
        <x:v>-1</x:v>
      </x:c>
      <x:c r="F1223" s="181" t="n">
        <x:v>0.4</x:v>
      </x:c>
      <x:c r="G1223" s="67" t="n">
        <x:v>-0.2</x:v>
      </x:c>
      <x:c r="H1223"/>
      <x:c r="I1223" s="65" t="n">
        <x:v>1054</x:v>
      </x:c>
      <x:c r="J1223" s="65" t="str">
        <x:v>奥哈卡（Alebrijes de Oaxaca）</x:v>
      </x:c>
      <x:c r="K1223" s="82" t="n">
        <x:v>3</x:v>
      </x:c>
      <x:c r="L1223" s="82" t="n">
        <x:v>3</x:v>
      </x:c>
      <x:c r="M1223" s="67" t="n">
        <x:v>-1</x:v>
      </x:c>
      <x:c r="N1223" s="181" t="n">
        <x:v>0.3333333333333333</x:v>
      </x:c>
      <x:c r="O1223" s="67" t="n">
        <x:v>-0.3333333333333333</x:v>
      </x:c>
    </x:row>
    <x:row r="1224" ht="24" customHeight="1">
      <x:c r="A1224" s="65" t="n">
        <x:v>1055</x:v>
      </x:c>
      <x:c r="B1224" s="65" t="str">
        <x:v>奥罗拉（Club Aurora）</x:v>
      </x:c>
      <x:c r="C1224" s="82" t="n">
        <x:v>5</x:v>
      </x:c>
      <x:c r="D1224" s="82" t="n">
        <x:v>5</x:v>
      </x:c>
      <x:c r="E1224" s="67" t="n">
        <x:v>-1</x:v>
      </x:c>
      <x:c r="F1224" s="181" t="n">
        <x:v>0.4</x:v>
      </x:c>
      <x:c r="G1224" s="67" t="n">
        <x:v>-0.2</x:v>
      </x:c>
      <x:c r="H1224"/>
      <x:c r="I1224" s="65" t="n">
        <x:v>1055</x:v>
      </x:c>
      <x:c r="J1224" s="65" t="str">
        <x:v>巴西</x:v>
      </x:c>
      <x:c r="K1224" s="82" t="n">
        <x:v>3</x:v>
      </x:c>
      <x:c r="L1224" s="82" t="n">
        <x:v>3</x:v>
      </x:c>
      <x:c r="M1224" s="67" t="n">
        <x:v>-1</x:v>
      </x:c>
      <x:c r="N1224" s="181" t="n">
        <x:v>0.3333333333333333</x:v>
      </x:c>
      <x:c r="O1224" s="67" t="n">
        <x:v>-0.3333333333333333</x:v>
      </x:c>
    </x:row>
    <x:row r="1225" ht="24" customHeight="1">
      <x:c r="A1225" s="65" t="n">
        <x:v>1056</x:v>
      </x:c>
      <x:c r="B1225" s="65" t="str">
        <x:v>德瓦联</x:v>
      </x:c>
      <x:c r="C1225" s="82" t="n">
        <x:v>5</x:v>
      </x:c>
      <x:c r="D1225" s="82" t="n">
        <x:v>5</x:v>
      </x:c>
      <x:c r="E1225" s="67" t="n">
        <x:v>-1</x:v>
      </x:c>
      <x:c r="F1225" s="181" t="n">
        <x:v>0.4</x:v>
      </x:c>
      <x:c r="G1225" s="67" t="n">
        <x:v>-0.2</x:v>
      </x:c>
      <x:c r="H1225"/>
      <x:c r="I1225" s="65" t="n">
        <x:v>1056</x:v>
      </x:c>
      <x:c r="J1225" s="65" t="str">
        <x:v>布莱克本流浪者（Blackburn Rovers）</x:v>
      </x:c>
      <x:c r="K1225" s="82" t="n">
        <x:v>3</x:v>
      </x:c>
      <x:c r="L1225" s="82" t="n">
        <x:v>3</x:v>
      </x:c>
      <x:c r="M1225" s="67" t="n">
        <x:v>-1</x:v>
      </x:c>
      <x:c r="N1225" s="181" t="n">
        <x:v>0.3333333333333333</x:v>
      </x:c>
      <x:c r="O1225" s="67" t="n">
        <x:v>-0.3333333333333333</x:v>
      </x:c>
    </x:row>
    <x:row r="1226" ht="24" customHeight="1">
      <x:c r="A1226" s="65" t="n">
        <x:v>1057</x:v>
      </x:c>
      <x:c r="B1226" s="65" t="str">
        <x:v>朴茨茅斯</x:v>
      </x:c>
      <x:c r="C1226" s="82" t="n">
        <x:v>5</x:v>
      </x:c>
      <x:c r="D1226" s="82" t="n">
        <x:v>5</x:v>
      </x:c>
      <x:c r="E1226" s="67" t="n">
        <x:v>-1</x:v>
      </x:c>
      <x:c r="F1226" s="181" t="n">
        <x:v>0.4</x:v>
      </x:c>
      <x:c r="G1226" s="67" t="n">
        <x:v>-0.2</x:v>
      </x:c>
      <x:c r="H1226"/>
      <x:c r="I1226" s="65" t="n">
        <x:v>1057</x:v>
      </x:c>
      <x:c r="J1226" s="65" t="str">
        <x:v>帕丘卡（Pachuca）</x:v>
      </x:c>
      <x:c r="K1226" s="82" t="n">
        <x:v>3</x:v>
      </x:c>
      <x:c r="L1226" s="82" t="n">
        <x:v>3</x:v>
      </x:c>
      <x:c r="M1226" s="67" t="n">
        <x:v>-1</x:v>
      </x:c>
      <x:c r="N1226" s="181" t="n">
        <x:v>0.3333333333333333</x:v>
      </x:c>
      <x:c r="O1226" s="67" t="n">
        <x:v>-0.3333333333333333</x:v>
      </x:c>
    </x:row>
    <x:row r="1227" ht="24" customHeight="1">
      <x:c r="A1227" s="65" t="n">
        <x:v>1058</x:v>
      </x:c>
      <x:c r="B1227" s="65" t="str">
        <x:v>米德尔斯堡（Middlesbrough）</x:v>
      </x:c>
      <x:c r="C1227" s="82" t="n">
        <x:v>5</x:v>
      </x:c>
      <x:c r="D1227" s="82" t="n">
        <x:v>5</x:v>
      </x:c>
      <x:c r="E1227" s="67" t="n">
        <x:v>-1</x:v>
      </x:c>
      <x:c r="F1227" s="181" t="n">
        <x:v>0.4</x:v>
      </x:c>
      <x:c r="G1227" s="67" t="n">
        <x:v>-0.2</x:v>
      </x:c>
      <x:c r="H1227"/>
      <x:c r="I1227" s="65" t="n">
        <x:v>1058</x:v>
      </x:c>
      <x:c r="J1227" s="65" t="str">
        <x:v>弗拉门戈</x:v>
      </x:c>
      <x:c r="K1227" s="82" t="n">
        <x:v>3</x:v>
      </x:c>
      <x:c r="L1227" s="82" t="n">
        <x:v>3</x:v>
      </x:c>
      <x:c r="M1227" s="67" t="n">
        <x:v>-1</x:v>
      </x:c>
      <x:c r="N1227" s="181" t="n">
        <x:v>0.3333333333333333</x:v>
      </x:c>
      <x:c r="O1227" s="67" t="n">
        <x:v>-0.3333333333333333</x:v>
      </x:c>
    </x:row>
    <x:row r="1228" ht="24" customHeight="1">
      <x:c r="A1228" s="65" t="n">
        <x:v>1059</x:v>
      </x:c>
      <x:c r="B1228" s="65" t="str">
        <x:v>莫亨巴根超级巨人（Mohun Bagan Super Giant）</x:v>
      </x:c>
      <x:c r="C1228" s="82" t="n">
        <x:v>5</x:v>
      </x:c>
      <x:c r="D1228" s="82" t="n">
        <x:v>5</x:v>
      </x:c>
      <x:c r="E1228" s="67" t="n">
        <x:v>-1</x:v>
      </x:c>
      <x:c r="F1228" s="181" t="n">
        <x:v>0.4</x:v>
      </x:c>
      <x:c r="G1228" s="67" t="n">
        <x:v>-0.2</x:v>
      </x:c>
      <x:c r="H1228"/>
      <x:c r="I1228" s="65" t="n">
        <x:v>1059</x:v>
      </x:c>
      <x:c r="J1228" s="65" t="str">
        <x:v>托卢卡（Toluca）</x:v>
      </x:c>
      <x:c r="K1228" s="82" t="n">
        <x:v>3</x:v>
      </x:c>
      <x:c r="L1228" s="82" t="n">
        <x:v>3</x:v>
      </x:c>
      <x:c r="M1228" s="67" t="n">
        <x:v>-1</x:v>
      </x:c>
      <x:c r="N1228" s="181" t="n">
        <x:v>0.3333333333333333</x:v>
      </x:c>
      <x:c r="O1228" s="67" t="n">
        <x:v>-0.3333333333333333</x:v>
      </x:c>
    </x:row>
    <x:row r="1229" ht="24" customHeight="1">
      <x:c r="A1229" s="65" t="n">
        <x:v>1060</x:v>
      </x:c>
      <x:c r="B1229" s="65" t="str">
        <x:v>阿德莱德联（Adelaide United）</x:v>
      </x:c>
      <x:c r="C1229" s="82" t="n">
        <x:v>5</x:v>
      </x:c>
      <x:c r="D1229" s="82" t="n">
        <x:v>5</x:v>
      </x:c>
      <x:c r="E1229" s="67" t="n">
        <x:v>-1</x:v>
      </x:c>
      <x:c r="F1229" s="181" t="n">
        <x:v>0.4</x:v>
      </x:c>
      <x:c r="G1229" s="67" t="n">
        <x:v>-0.2</x:v>
      </x:c>
      <x:c r="H1229"/>
      <x:c r="I1229" s="65" t="n">
        <x:v>1060</x:v>
      </x:c>
      <x:c r="J1229" s="65" t="str">
        <x:v>拉普拉塔大学生</x:v>
      </x:c>
      <x:c r="K1229" s="82" t="n">
        <x:v>6</x:v>
      </x:c>
      <x:c r="L1229" s="82" t="n">
        <x:v>6</x:v>
      </x:c>
      <x:c r="M1229" s="67" t="n">
        <x:v>-1</x:v>
      </x:c>
      <x:c r="N1229" s="181" t="n">
        <x:v>0.3333333333333333</x:v>
      </x:c>
      <x:c r="O1229" s="67" t="n">
        <x:v>-0.16666666666666666</x:v>
      </x:c>
    </x:row>
    <x:row r="1230" ht="24" customHeight="1">
      <x:c r="A1230" s="65" t="n">
        <x:v>1061</x:v>
      </x:c>
      <x:c r="B1230" s="65" t="str">
        <x:v>上海海港</x:v>
      </x:c>
      <x:c r="C1230" s="82" t="n">
        <x:v>3</x:v>
      </x:c>
      <x:c r="D1230" s="82" t="n">
        <x:v>3</x:v>
      </x:c>
      <x:c r="E1230" s="67" t="n">
        <x:v>-1</x:v>
      </x:c>
      <x:c r="F1230" s="181" t="n">
        <x:v>0.3333333333333333</x:v>
      </x:c>
      <x:c r="G1230" s="67" t="n">
        <x:v>-0.3333333333333333</x:v>
      </x:c>
      <x:c r="H1230"/>
      <x:c r="I1230" s="65" t="n">
        <x:v>1061</x:v>
      </x:c>
      <x:c r="J1230" s="65" t="str">
        <x:v>柏太阳神（Kashiwa Reysol）</x:v>
      </x:c>
      <x:c r="K1230" s="82" t="n">
        <x:v>3</x:v>
      </x:c>
      <x:c r="L1230" s="82" t="n">
        <x:v>3</x:v>
      </x:c>
      <x:c r="M1230" s="67" t="n">
        <x:v>-1</x:v>
      </x:c>
      <x:c r="N1230" s="181" t="n">
        <x:v>0.3333333333333333</x:v>
      </x:c>
      <x:c r="O1230" s="67" t="n">
        <x:v>-0.3333333333333333</x:v>
      </x:c>
    </x:row>
    <x:row r="1231" ht="24" customHeight="1">
      <x:c r="A1231" s="65" t="n">
        <x:v>1062</x:v>
      </x:c>
      <x:c r="B1231" s="65" t="str">
        <x:v>代格福什（Degerfors IF）</x:v>
      </x:c>
      <x:c r="C1231" s="82" t="n">
        <x:v>3</x:v>
      </x:c>
      <x:c r="D1231" s="82" t="n">
        <x:v>3</x:v>
      </x:c>
      <x:c r="E1231" s="67" t="n">
        <x:v>-1</x:v>
      </x:c>
      <x:c r="F1231" s="181" t="n">
        <x:v>0.3333333333333333</x:v>
      </x:c>
      <x:c r="G1231" s="67" t="n">
        <x:v>-0.3333333333333333</x:v>
      </x:c>
      <x:c r="H1231"/>
      <x:c r="I1231" s="65" t="n">
        <x:v>1062</x:v>
      </x:c>
      <x:c r="J1231" s="65" t="str">
        <x:v>横滨FC</x:v>
      </x:c>
      <x:c r="K1231" s="82" t="n">
        <x:v>3</x:v>
      </x:c>
      <x:c r="L1231" s="82" t="n">
        <x:v>3</x:v>
      </x:c>
      <x:c r="M1231" s="67" t="n">
        <x:v>-1</x:v>
      </x:c>
      <x:c r="N1231" s="181" t="n">
        <x:v>0.3333333333333333</x:v>
      </x:c>
      <x:c r="O1231" s="67" t="n">
        <x:v>-0.3333333333333333</x:v>
      </x:c>
    </x:row>
    <x:row r="1232" ht="24" customHeight="1">
      <x:c r="A1232" s="65" t="n">
        <x:v>1063</x:v>
      </x:c>
      <x:c r="B1232" s="65" t="str">
        <x:v>伊拉克</x:v>
      </x:c>
      <x:c r="C1232" s="82" t="n">
        <x:v>3</x:v>
      </x:c>
      <x:c r="D1232" s="82" t="n">
        <x:v>3</x:v>
      </x:c>
      <x:c r="E1232" s="67" t="n">
        <x:v>-1</x:v>
      </x:c>
      <x:c r="F1232" s="181" t="n">
        <x:v>0.3333333333333333</x:v>
      </x:c>
      <x:c r="G1232" s="67" t="n">
        <x:v>-0.3333333333333333</x:v>
      </x:c>
      <x:c r="H1232"/>
      <x:c r="I1232" s="65" t="n">
        <x:v>1063</x:v>
      </x:c>
      <x:c r="J1232" s="65" t="str">
        <x:v>横滨水手（Yokohama F. Marinos）</x:v>
      </x:c>
      <x:c r="K1232" s="82" t="n">
        <x:v>3</x:v>
      </x:c>
      <x:c r="L1232" s="82" t="n">
        <x:v>3</x:v>
      </x:c>
      <x:c r="M1232" s="67" t="n">
        <x:v>-1</x:v>
      </x:c>
      <x:c r="N1232" s="181" t="n">
        <x:v>0.3333333333333333</x:v>
      </x:c>
      <x:c r="O1232" s="67" t="n">
        <x:v>-0.3333333333333333</x:v>
      </x:c>
    </x:row>
    <x:row r="1233" ht="24" customHeight="1">
      <x:c r="A1233" s="65" t="n">
        <x:v>1064</x:v>
      </x:c>
      <x:c r="B1233" s="65" t="str">
        <x:v>伯希索罗（Persis Solo）</x:v>
      </x:c>
      <x:c r="C1233" s="82" t="n">
        <x:v>3</x:v>
      </x:c>
      <x:c r="D1233" s="82" t="n">
        <x:v>3</x:v>
      </x:c>
      <x:c r="E1233" s="67" t="n">
        <x:v>-1</x:v>
      </x:c>
      <x:c r="F1233" s="181" t="n">
        <x:v>0.3333333333333333</x:v>
      </x:c>
      <x:c r="G1233" s="67" t="n">
        <x:v>-0.3333333333333333</x:v>
      </x:c>
      <x:c r="H1233"/>
      <x:c r="I1233" s="65" t="n">
        <x:v>1064</x:v>
      </x:c>
      <x:c r="J1233" s="65" t="str">
        <x:v>武里南联</x:v>
      </x:c>
      <x:c r="K1233" s="82" t="n">
        <x:v>3</x:v>
      </x:c>
      <x:c r="L1233" s="82" t="n">
        <x:v>3</x:v>
      </x:c>
      <x:c r="M1233" s="67" t="n">
        <x:v>-1</x:v>
      </x:c>
      <x:c r="N1233" s="181" t="n">
        <x:v>0.3333333333333333</x:v>
      </x:c>
      <x:c r="O1233" s="67" t="n">
        <x:v>-0.3333333333333333</x:v>
      </x:c>
    </x:row>
    <x:row r="1234" ht="24" customHeight="1">
      <x:c r="A1234" s="65" t="n">
        <x:v>1065</x:v>
      </x:c>
      <x:c r="B1234" s="65" t="str">
        <x:v>伯恩利（Burnley）</x:v>
      </x:c>
      <x:c r="C1234" s="82" t="n">
        <x:v>4</x:v>
      </x:c>
      <x:c r="D1234" s="82" t="n">
        <x:v>3</x:v>
      </x:c>
      <x:c r="E1234" s="67" t="n">
        <x:v>-1</x:v>
      </x:c>
      <x:c r="F1234" s="181" t="n">
        <x:v>0.3333333333333333</x:v>
      </x:c>
      <x:c r="G1234" s="67" t="n">
        <x:v>-0.3333333333333333</x:v>
      </x:c>
      <x:c r="H1234"/>
      <x:c r="I1234" s="65" t="n">
        <x:v>1065</x:v>
      </x:c>
      <x:c r="J1234" s="65" t="str">
        <x:v>汉诺威96（Hannover 96）</x:v>
      </x:c>
      <x:c r="K1234" s="82" t="n">
        <x:v>3</x:v>
      </x:c>
      <x:c r="L1234" s="82" t="n">
        <x:v>3</x:v>
      </x:c>
      <x:c r="M1234" s="67" t="n">
        <x:v>-1</x:v>
      </x:c>
      <x:c r="N1234" s="181" t="n">
        <x:v>0.3333333333333333</x:v>
      </x:c>
      <x:c r="O1234" s="67" t="n">
        <x:v>-0.3333333333333333</x:v>
      </x:c>
    </x:row>
    <x:row r="1235" ht="24" customHeight="1">
      <x:c r="A1235" s="68" t="n">
        <x:v>1066</x:v>
      </x:c>
      <x:c r="B1235" s="68" t="str">
        <x:v>佩西塔坦格朗</x:v>
      </x:c>
      <x:c r="C1235" s="83" t="n">
        <x:v>3</x:v>
      </x:c>
      <x:c r="D1235" s="83" t="n">
        <x:v>3</x:v>
      </x:c>
      <x:c r="E1235" s="70" t="n">
        <x:v>-1</x:v>
      </x:c>
      <x:c r="F1235" s="182" t="n">
        <x:v>0.3333333333333333</x:v>
      </x:c>
      <x:c r="G1235" s="70" t="n">
        <x:v>-0.3333333333333333</x:v>
      </x:c>
      <x:c r="H1235"/>
      <x:c r="I1235" s="68" t="n">
        <x:v>1066</x:v>
      </x:c>
      <x:c r="J1235" s="68" t="str">
        <x:v>沙佩科恩斯</x:v>
      </x:c>
      <x:c r="K1235" s="83" t="n">
        <x:v>3</x:v>
      </x:c>
      <x:c r="L1235" s="83" t="n">
        <x:v>3</x:v>
      </x:c>
      <x:c r="M1235" s="70" t="n">
        <x:v>-1</x:v>
      </x:c>
      <x:c r="N1235" s="182" t="n">
        <x:v>0.3333333333333333</x:v>
      </x:c>
      <x:c r="O1235" s="70" t="n">
        <x:v>-0.3333333333333333</x:v>
      </x:c>
    </x:row>
    <x:row r="1236" ht="18" customHeight="1">
      <x:c r="A1236" s="534" t="n">
        <x:v>1067</x:v>
      </x:c>
      <x:c r="B1236" s="534" t="str">
        <x:v>佩雷拉（Deportivo Pereira）</x:v>
      </x:c>
      <x:c r="C1236" s="535" t="n">
        <x:v>6</x:v>
      </x:c>
      <x:c r="D1236" s="535" t="n">
        <x:v>6</x:v>
      </x:c>
      <x:c r="E1236" s="542" t="n">
        <x:v>-1</x:v>
      </x:c>
      <x:c r="F1236" s="538" t="n">
        <x:v>0.3333333333333333</x:v>
      </x:c>
      <x:c r="G1236" s="537" t="n">
        <x:v>-0.16666666666666666</x:v>
      </x:c>
      <x:c r="H1236" s="531"/>
      <x:c r="I1236" s="534" t="n">
        <x:v>1067</x:v>
      </x:c>
      <x:c r="J1236" s="534" t="str">
        <x:v>浙江队</x:v>
      </x:c>
      <x:c r="K1236" s="535" t="n">
        <x:v>3</x:v>
      </x:c>
      <x:c r="L1236" s="535" t="n">
        <x:v>3</x:v>
      </x:c>
      <x:c r="M1236" s="542" t="n">
        <x:v>-1</x:v>
      </x:c>
      <x:c r="N1236" s="538" t="n">
        <x:v>0.3333333333333333</x:v>
      </x:c>
      <x:c r="O1236" s="537" t="n">
        <x:v>-0.3333333333333333</x:v>
      </x:c>
    </x:row>
    <x:row r="1237" ht="18" customHeight="1">
      <x:c r="A1237" s="534" t="n">
        <x:v>1068</x:v>
      </x:c>
      <x:c r="B1237" s="534" t="str">
        <x:v>内卡萨（Necaxa）</x:v>
      </x:c>
      <x:c r="C1237" s="535" t="n">
        <x:v>3</x:v>
      </x:c>
      <x:c r="D1237" s="535" t="n">
        <x:v>3</x:v>
      </x:c>
      <x:c r="E1237" s="542" t="n">
        <x:v>-1</x:v>
      </x:c>
      <x:c r="F1237" s="538" t="n">
        <x:v>0.3333333333333333</x:v>
      </x:c>
      <x:c r="G1237" s="537" t="n">
        <x:v>-0.3333333333333333</x:v>
      </x:c>
      <x:c r="H1237" s="531"/>
      <x:c r="I1237" s="534" t="n">
        <x:v>1068</x:v>
      </x:c>
      <x:c r="J1237" s="534" t="str">
        <x:v>滋贺湖王（Reilac Shiga FC）</x:v>
      </x:c>
      <x:c r="K1237" s="535" t="n">
        <x:v>3</x:v>
      </x:c>
      <x:c r="L1237" s="535" t="n">
        <x:v>3</x:v>
      </x:c>
      <x:c r="M1237" s="542" t="n">
        <x:v>-1</x:v>
      </x:c>
      <x:c r="N1237" s="538" t="n">
        <x:v>0.3333333333333333</x:v>
      </x:c>
      <x:c r="O1237" s="537" t="n">
        <x:v>-0.3333333333333333</x:v>
      </x:c>
    </x:row>
    <x:row r="1238" ht="18" customHeight="1">
      <x:c r="A1238" s="534" t="n">
        <x:v>1069</x:v>
      </x:c>
      <x:c r="B1238" s="534" t="str">
        <x:v>凤凰重生（Phoenix Rising FC）</x:v>
      </x:c>
      <x:c r="C1238" s="535" t="n">
        <x:v>3</x:v>
      </x:c>
      <x:c r="D1238" s="535" t="n">
        <x:v>3</x:v>
      </x:c>
      <x:c r="E1238" s="542" t="n">
        <x:v>-1</x:v>
      </x:c>
      <x:c r="F1238" s="538" t="n">
        <x:v>0.3333333333333333</x:v>
      </x:c>
      <x:c r="G1238" s="537" t="n">
        <x:v>-0.3333333333333333</x:v>
      </x:c>
      <x:c r="H1238" s="531"/>
      <x:c r="I1238" s="534" t="n">
        <x:v>1069</x:v>
      </x:c>
      <x:c r="J1238" s="534" t="str">
        <x:v>牛津联（Oxford United）</x:v>
      </x:c>
      <x:c r="K1238" s="535" t="n">
        <x:v>3</x:v>
      </x:c>
      <x:c r="L1238" s="535" t="n">
        <x:v>3</x:v>
      </x:c>
      <x:c r="M1238" s="542" t="n">
        <x:v>-1</x:v>
      </x:c>
      <x:c r="N1238" s="538" t="n">
        <x:v>0.3333333333333333</x:v>
      </x:c>
      <x:c r="O1238" s="537" t="n">
        <x:v>-0.3333333333333333</x:v>
      </x:c>
    </x:row>
    <x:row r="1239" ht="18" customHeight="1">
      <x:c r="A1239" s="534" t="n">
        <x:v>1070</x:v>
      </x:c>
      <x:c r="B1239" s="534" t="str">
        <x:v>加拿大</x:v>
      </x:c>
      <x:c r="C1239" s="535" t="n">
        <x:v>3</x:v>
      </x:c>
      <x:c r="D1239" s="535" t="n">
        <x:v>3</x:v>
      </x:c>
      <x:c r="E1239" s="542" t="n">
        <x:v>-1</x:v>
      </x:c>
      <x:c r="F1239" s="538" t="n">
        <x:v>0.3333333333333333</x:v>
      </x:c>
      <x:c r="G1239" s="537" t="n">
        <x:v>-0.3333333333333333</x:v>
      </x:c>
      <x:c r="H1239" s="531"/>
      <x:c r="I1239" s="534" t="n">
        <x:v>1070</x:v>
      </x:c>
      <x:c r="J1239" s="534" t="str">
        <x:v>科尔多巴老虎（Jaguares de Córdoba）</x:v>
      </x:c>
      <x:c r="K1239" s="535" t="n">
        <x:v>3</x:v>
      </x:c>
      <x:c r="L1239" s="535" t="n">
        <x:v>3</x:v>
      </x:c>
      <x:c r="M1239" s="542" t="n">
        <x:v>-1</x:v>
      </x:c>
      <x:c r="N1239" s="538" t="n">
        <x:v>0.3333333333333333</x:v>
      </x:c>
      <x:c r="O1239" s="537" t="n">
        <x:v>-0.3333333333333333</x:v>
      </x:c>
    </x:row>
    <x:row r="1240" ht="18" customHeight="1">
      <x:c r="A1240" s="534" t="n">
        <x:v>1071</x:v>
      </x:c>
      <x:c r="B1240" s="534" t="str">
        <x:v>土耳其</x:v>
      </x:c>
      <x:c r="C1240" s="535" t="n">
        <x:v>3</x:v>
      </x:c>
      <x:c r="D1240" s="535" t="n">
        <x:v>3</x:v>
      </x:c>
      <x:c r="E1240" s="542" t="n">
        <x:v>-1</x:v>
      </x:c>
      <x:c r="F1240" s="538" t="n">
        <x:v>0.3333333333333333</x:v>
      </x:c>
      <x:c r="G1240" s="537" t="n">
        <x:v>-0.3333333333333333</x:v>
      </x:c>
      <x:c r="H1240" s="531"/>
      <x:c r="I1240" s="534" t="n">
        <x:v>1071</x:v>
      </x:c>
      <x:c r="J1240" s="534" t="str">
        <x:v>科尔多瓦中央</x:v>
      </x:c>
      <x:c r="K1240" s="535" t="n">
        <x:v>3</x:v>
      </x:c>
      <x:c r="L1240" s="535" t="n">
        <x:v>3</x:v>
      </x:c>
      <x:c r="M1240" s="542" t="n">
        <x:v>-1</x:v>
      </x:c>
      <x:c r="N1240" s="538" t="n">
        <x:v>0.3333333333333333</x:v>
      </x:c>
      <x:c r="O1240" s="537" t="n">
        <x:v>-0.3333333333333333</x:v>
      </x:c>
    </x:row>
    <x:row r="1241" ht="18" customHeight="1">
      <x:c r="A1241" s="534" t="n">
        <x:v>1072</x:v>
      </x:c>
      <x:c r="B1241" s="534" t="str">
        <x:v>圣保罗（São Paulo）</x:v>
      </x:c>
      <x:c r="C1241" s="535" t="n">
        <x:v>3</x:v>
      </x:c>
      <x:c r="D1241" s="535" t="n">
        <x:v>3</x:v>
      </x:c>
      <x:c r="E1241" s="542" t="n">
        <x:v>-1</x:v>
      </x:c>
      <x:c r="F1241" s="538" t="n">
        <x:v>0.3333333333333333</x:v>
      </x:c>
      <x:c r="G1241" s="537" t="n">
        <x:v>-0.3333333333333333</x:v>
      </x:c>
      <x:c r="H1241" s="531"/>
      <x:c r="I1241" s="534" t="n">
        <x:v>1072</x:v>
      </x:c>
      <x:c r="J1241" s="534" t="str">
        <x:v>菲尔特（Greuther Fürth）</x:v>
      </x:c>
      <x:c r="K1241" s="535" t="n">
        <x:v>3</x:v>
      </x:c>
      <x:c r="L1241" s="535" t="n">
        <x:v>3</x:v>
      </x:c>
      <x:c r="M1241" s="542" t="n">
        <x:v>-1</x:v>
      </x:c>
      <x:c r="N1241" s="538" t="n">
        <x:v>0.3333333333333333</x:v>
      </x:c>
      <x:c r="O1241" s="537" t="n">
        <x:v>-0.3333333333333333</x:v>
      </x:c>
    </x:row>
    <x:row r="1242" ht="18" customHeight="1">
      <x:c r="A1242" s="534" t="n">
        <x:v>1073</x:v>
      </x:c>
      <x:c r="B1242" s="534" t="str">
        <x:v>圣塔菲独立</x:v>
      </x:c>
      <x:c r="C1242" s="535" t="n">
        <x:v>3</x:v>
      </x:c>
      <x:c r="D1242" s="535" t="n">
        <x:v>3</x:v>
      </x:c>
      <x:c r="E1242" s="542" t="n">
        <x:v>-1</x:v>
      </x:c>
      <x:c r="F1242" s="538" t="n">
        <x:v>0.3333333333333333</x:v>
      </x:c>
      <x:c r="G1242" s="537" t="n">
        <x:v>-0.3333333333333333</x:v>
      </x:c>
      <x:c r="H1242" s="531"/>
      <x:c r="I1242" s="534" t="n">
        <x:v>1073</x:v>
      </x:c>
      <x:c r="J1242" s="534" t="str">
        <x:v>西悉尼流浪者（Western Sydney Wanderers）</x:v>
      </x:c>
      <x:c r="K1242" s="535" t="n">
        <x:v>3</x:v>
      </x:c>
      <x:c r="L1242" s="535" t="n">
        <x:v>3</x:v>
      </x:c>
      <x:c r="M1242" s="542" t="n">
        <x:v>-1</x:v>
      </x:c>
      <x:c r="N1242" s="538" t="n">
        <x:v>0.3333333333333333</x:v>
      </x:c>
      <x:c r="O1242" s="537" t="n">
        <x:v>-0.3333333333333333</x:v>
      </x:c>
    </x:row>
    <x:row r="1243" ht="18" customHeight="1">
      <x:c r="A1243" s="534" t="n">
        <x:v>1074</x:v>
      </x:c>
      <x:c r="B1243" s="534" t="str">
        <x:v>塞罗拉尔戈（Cerro Largo）</x:v>
      </x:c>
      <x:c r="C1243" s="535" t="n">
        <x:v>3</x:v>
      </x:c>
      <x:c r="D1243" s="535" t="n">
        <x:v>3</x:v>
      </x:c>
      <x:c r="E1243" s="542" t="n">
        <x:v>-1</x:v>
      </x:c>
      <x:c r="F1243" s="538" t="n">
        <x:v>0.3333333333333333</x:v>
      </x:c>
      <x:c r="G1243" s="537" t="n">
        <x:v>-0.3333333333333333</x:v>
      </x:c>
      <x:c r="H1243" s="531"/>
      <x:c r="I1243" s="534" t="n">
        <x:v>1074</x:v>
      </x:c>
      <x:c r="J1243" s="534" t="str">
        <x:v>赛曼巴东（Semen Padang）</x:v>
      </x:c>
      <x:c r="K1243" s="535" t="n">
        <x:v>3</x:v>
      </x:c>
      <x:c r="L1243" s="535" t="n">
        <x:v>3</x:v>
      </x:c>
      <x:c r="M1243" s="542" t="n">
        <x:v>-1</x:v>
      </x:c>
      <x:c r="N1243" s="538" t="n">
        <x:v>0.3333333333333333</x:v>
      </x:c>
      <x:c r="O1243" s="537" t="n">
        <x:v>-0.3333333333333333</x:v>
      </x:c>
    </x:row>
    <x:row r="1244" ht="18" customHeight="1">
      <x:c r="A1244" s="534" t="n">
        <x:v>1075</x:v>
      </x:c>
      <x:c r="B1244" s="534" t="str">
        <x:v>奥兰多城（Orlando City SC）</x:v>
      </x:c>
      <x:c r="C1244" s="535" t="n">
        <x:v>3</x:v>
      </x:c>
      <x:c r="D1244" s="535" t="n">
        <x:v>3</x:v>
      </x:c>
      <x:c r="E1244" s="542" t="n">
        <x:v>-1</x:v>
      </x:c>
      <x:c r="F1244" s="538" t="n">
        <x:v>0.3333333333333333</x:v>
      </x:c>
      <x:c r="G1244" s="537" t="n">
        <x:v>-0.3333333333333333</x:v>
      </x:c>
      <x:c r="H1244" s="531"/>
      <x:c r="I1244" s="534" t="n">
        <x:v>1075</x:v>
      </x:c>
      <x:c r="J1244" s="534" t="str">
        <x:v>阿特拉斯（Atlas）</x:v>
      </x:c>
      <x:c r="K1244" s="535" t="n">
        <x:v>3</x:v>
      </x:c>
      <x:c r="L1244" s="535" t="n">
        <x:v>3</x:v>
      </x:c>
      <x:c r="M1244" s="542" t="n">
        <x:v>-1</x:v>
      </x:c>
      <x:c r="N1244" s="538" t="n">
        <x:v>0.3333333333333333</x:v>
      </x:c>
      <x:c r="O1244" s="537" t="n">
        <x:v>-0.3333333333333333</x:v>
      </x:c>
    </x:row>
    <x:row r="1245" ht="18" customHeight="1">
      <x:c r="A1245" s="534" t="n">
        <x:v>1076</x:v>
      </x:c>
      <x:c r="B1245" s="534" t="str">
        <x:v>奥迪萨（Odisha FC）</x:v>
      </x:c>
      <x:c r="C1245" s="535" t="n">
        <x:v>3</x:v>
      </x:c>
      <x:c r="D1245" s="535" t="n">
        <x:v>3</x:v>
      </x:c>
      <x:c r="E1245" s="542" t="n">
        <x:v>-1</x:v>
      </x:c>
      <x:c r="F1245" s="538" t="n">
        <x:v>0.3333333333333333</x:v>
      </x:c>
      <x:c r="G1245" s="537" t="n">
        <x:v>-0.3333333333333333</x:v>
      </x:c>
      <x:c r="H1245" s="531"/>
      <x:c r="I1245" s="534" t="n">
        <x:v>1076</x:v>
      </x:c>
      <x:c r="J1245" s="534" t="str">
        <x:v>雷克瑟姆（Wrexham）</x:v>
      </x:c>
      <x:c r="K1245" s="535" t="n">
        <x:v>3</x:v>
      </x:c>
      <x:c r="L1245" s="535" t="n">
        <x:v>3</x:v>
      </x:c>
      <x:c r="M1245" s="542" t="n">
        <x:v>-1</x:v>
      </x:c>
      <x:c r="N1245" s="538" t="n">
        <x:v>0.3333333333333333</x:v>
      </x:c>
      <x:c r="O1245" s="537" t="n">
        <x:v>-0.3333333333333333</x:v>
      </x:c>
    </x:row>
    <x:row r="1246" ht="18" customHeight="1">
      <x:c r="A1246" s="534" t="n">
        <x:v>1077</x:v>
      </x:c>
      <x:c r="B1246" s="534" t="str">
        <x:v>奥迪萨FC</x:v>
      </x:c>
      <x:c r="C1246" s="535" t="n">
        <x:v>6</x:v>
      </x:c>
      <x:c r="D1246" s="535" t="n">
        <x:v>6</x:v>
      </x:c>
      <x:c r="E1246" s="542" t="n">
        <x:v>-1</x:v>
      </x:c>
      <x:c r="F1246" s="538" t="n">
        <x:v>0.3333333333333333</x:v>
      </x:c>
      <x:c r="G1246" s="537" t="n">
        <x:v>-0.16666666666666666</x:v>
      </x:c>
      <x:c r="H1246" s="531"/>
      <x:c r="I1246" s="534" t="n">
        <x:v>1077</x:v>
      </x:c>
      <x:c r="J1246" s="534" t="str">
        <x:v>首尔FC</x:v>
      </x:c>
      <x:c r="K1246" s="535" t="n">
        <x:v>3</x:v>
      </x:c>
      <x:c r="L1246" s="535" t="n">
        <x:v>3</x:v>
      </x:c>
      <x:c r="M1246" s="542" t="n">
        <x:v>-1</x:v>
      </x:c>
      <x:c r="N1246" s="538" t="n">
        <x:v>0.3333333333333333</x:v>
      </x:c>
      <x:c r="O1246" s="537" t="n">
        <x:v>-0.3333333333333333</x:v>
      </x:c>
    </x:row>
    <x:row r="1247" ht="18" customHeight="1">
      <x:c r="A1247" s="534" t="n">
        <x:v>1078</x:v>
      </x:c>
      <x:c r="B1247" s="534" t="str">
        <x:v>巴兰基亚青年（Junior Barranquilla）</x:v>
      </x:c>
      <x:c r="C1247" s="535" t="n">
        <x:v>3</x:v>
      </x:c>
      <x:c r="D1247" s="535" t="n">
        <x:v>3</x:v>
      </x:c>
      <x:c r="E1247" s="542" t="n">
        <x:v>-1</x:v>
      </x:c>
      <x:c r="F1247" s="538" t="n">
        <x:v>0.3333333333333333</x:v>
      </x:c>
      <x:c r="G1247" s="537" t="n">
        <x:v>-0.3333333333333333</x:v>
      </x:c>
      <x:c r="H1247" s="531"/>
      <x:c r="I1247" s="534" t="n">
        <x:v>1078</x:v>
      </x:c>
      <x:c r="J1247" s="534" t="str">
        <x:v>首尔FC（FC Seoul）</x:v>
      </x:c>
      <x:c r="K1247" s="535" t="n">
        <x:v>3</x:v>
      </x:c>
      <x:c r="L1247" s="535" t="n">
        <x:v>3</x:v>
      </x:c>
      <x:c r="M1247" s="542" t="n">
        <x:v>-1</x:v>
      </x:c>
      <x:c r="N1247" s="538" t="n">
        <x:v>0.3333333333333333</x:v>
      </x:c>
      <x:c r="O1247" s="537" t="n">
        <x:v>-0.3333333333333333</x:v>
      </x:c>
    </x:row>
    <x:row r="1248" ht="18" customHeight="1">
      <x:c r="A1248" s="534" t="n">
        <x:v>1079</x:v>
      </x:c>
      <x:c r="B1248" s="534" t="str">
        <x:v>德比郡（Derby County）</x:v>
      </x:c>
      <x:c r="C1248" s="535" t="n">
        <x:v>3</x:v>
      </x:c>
      <x:c r="D1248" s="535" t="n">
        <x:v>3</x:v>
      </x:c>
      <x:c r="E1248" s="542" t="n">
        <x:v>-1</x:v>
      </x:c>
      <x:c r="F1248" s="538" t="n">
        <x:v>0.3333333333333333</x:v>
      </x:c>
      <x:c r="G1248" s="537" t="n">
        <x:v>-0.3333333333333333</x:v>
      </x:c>
      <x:c r="H1248" s="531"/>
      <x:c r="I1248" s="534" t="n">
        <x:v>1079</x:v>
      </x:c>
      <x:c r="J1248" s="534" t="str">
        <x:v>鹿岛鹿角（Kashima Antlers）</x:v>
      </x:c>
      <x:c r="K1248" s="535" t="n">
        <x:v>3</x:v>
      </x:c>
      <x:c r="L1248" s="535" t="n">
        <x:v>3</x:v>
      </x:c>
      <x:c r="M1248" s="542" t="n">
        <x:v>-1</x:v>
      </x:c>
      <x:c r="N1248" s="538" t="n">
        <x:v>0.3333333333333333</x:v>
      </x:c>
      <x:c r="O1248" s="537" t="n">
        <x:v>-0.3333333333333333</x:v>
      </x:c>
    </x:row>
    <x:row r="1249" ht="18" customHeight="1">
      <x:c r="A1249" s="534" t="n">
        <x:v>1080</x:v>
      </x:c>
      <x:c r="B1249" s="534" t="str">
        <x:v>拉努斯</x:v>
      </x:c>
      <x:c r="C1249" s="535" t="n">
        <x:v>3</x:v>
      </x:c>
      <x:c r="D1249" s="535" t="n">
        <x:v>3</x:v>
      </x:c>
      <x:c r="E1249" s="542" t="n">
        <x:v>-1</x:v>
      </x:c>
      <x:c r="F1249" s="538" t="n">
        <x:v>0.3333333333333333</x:v>
      </x:c>
      <x:c r="G1249" s="537" t="n">
        <x:v>-0.3333333333333333</x:v>
      </x:c>
      <x:c r="H1249" s="531"/>
      <x:c r="I1249" s="534" t="n">
        <x:v>1080</x:v>
      </x:c>
      <x:c r="J1249" s="534" t="str">
        <x:v>麦克阿瑟（Macarthur FC）</x:v>
      </x:c>
      <x:c r="K1249" s="535" t="n">
        <x:v>3</x:v>
      </x:c>
      <x:c r="L1249" s="535" t="n">
        <x:v>3</x:v>
      </x:c>
      <x:c r="M1249" s="542" t="n">
        <x:v>-1</x:v>
      </x:c>
      <x:c r="N1249" s="538" t="n">
        <x:v>0.3333333333333333</x:v>
      </x:c>
      <x:c r="O1249" s="537" t="n">
        <x:v>-0.3333333333333333</x:v>
      </x:c>
    </x:row>
    <x:row r="1250" ht="18" customHeight="1">
      <x:c r="A1250" s="534" t="n">
        <x:v>1081</x:v>
      </x:c>
      <x:c r="B1250" s="534" t="str">
        <x:v>斯旺西</x:v>
      </x:c>
      <x:c r="C1250" s="535" t="n">
        <x:v>3</x:v>
      </x:c>
      <x:c r="D1250" s="535" t="n">
        <x:v>3</x:v>
      </x:c>
      <x:c r="E1250" s="542" t="n">
        <x:v>-1</x:v>
      </x:c>
      <x:c r="F1250" s="538" t="n">
        <x:v>0.3333333333333333</x:v>
      </x:c>
      <x:c r="G1250" s="537" t="n">
        <x:v>-0.3333333333333333</x:v>
      </x:c>
      <x:c r="H1250" s="531"/>
      <x:c r="I1250" s="534" t="n">
        <x:v>1081</x:v>
      </x:c>
      <x:c r="J1250" s="534" t="str">
        <x:v>黑镇市（Blacktown City）</x:v>
      </x:c>
      <x:c r="K1250" s="535" t="n">
        <x:v>3</x:v>
      </x:c>
      <x:c r="L1250" s="535" t="n">
        <x:v>3</x:v>
      </x:c>
      <x:c r="M1250" s="542" t="n">
        <x:v>-1</x:v>
      </x:c>
      <x:c r="N1250" s="538" t="n">
        <x:v>0.3333333333333333</x:v>
      </x:c>
      <x:c r="O1250" s="537" t="n">
        <x:v>-0.3333333333333333</x:v>
      </x:c>
    </x:row>
    <x:row r="1251" ht="18" customHeight="1">
      <x:c r="A1251" s="534" t="n">
        <x:v>1082</x:v>
      </x:c>
      <x:c r="B1251" s="534" t="str">
        <x:v>新南威尔士大学（UNSW FC）</x:v>
      </x:c>
      <x:c r="C1251" s="535" t="n">
        <x:v>3</x:v>
      </x:c>
      <x:c r="D1251" s="535" t="n">
        <x:v>3</x:v>
      </x:c>
      <x:c r="E1251" s="542" t="n">
        <x:v>-1</x:v>
      </x:c>
      <x:c r="F1251" s="538" t="n">
        <x:v>0.3333333333333333</x:v>
      </x:c>
      <x:c r="G1251" s="537" t="n">
        <x:v>-0.3333333333333333</x:v>
      </x:c>
      <x:c r="H1251" s="531"/>
      <x:c r="I1251" s="534" t="n">
        <x:v>1082</x:v>
      </x:c>
      <x:c r="J1251" s="534" t="str">
        <x:v>博卡青年（Boca Juniors）</x:v>
      </x:c>
      <x:c r="K1251" s="535" t="n">
        <x:v>4</x:v>
      </x:c>
      <x:c r="L1251" s="535" t="n">
        <x:v>4</x:v>
      </x:c>
      <x:c r="M1251" s="542" t="n">
        <x:v>-1</x:v>
      </x:c>
      <x:c r="N1251" s="538" t="n">
        <x:v>0.25</x:v>
      </x:c>
      <x:c r="O1251" s="537" t="n">
        <x:v>-0.25</x:v>
      </x:c>
    </x:row>
    <x:row r="1252" ht="18" customHeight="1">
      <x:c r="A1252" s="534" t="n">
        <x:v>1083</x:v>
      </x:c>
      <x:c r="B1252" s="534" t="str">
        <x:v>普布埃拉（Puebla）</x:v>
      </x:c>
      <x:c r="C1252" s="535" t="n">
        <x:v>3</x:v>
      </x:c>
      <x:c r="D1252" s="535" t="n">
        <x:v>3</x:v>
      </x:c>
      <x:c r="E1252" s="542" t="n">
        <x:v>-1</x:v>
      </x:c>
      <x:c r="F1252" s="538" t="n">
        <x:v>0.3333333333333333</x:v>
      </x:c>
      <x:c r="G1252" s="537" t="n">
        <x:v>-0.3333333333333333</x:v>
      </x:c>
      <x:c r="H1252" s="531"/>
      <x:c r="I1252" s="534" t="n">
        <x:v>1083</x:v>
      </x:c>
      <x:c r="J1252" s="534" t="str">
        <x:v>圣塔菲</x:v>
      </x:c>
      <x:c r="K1252" s="535" t="n">
        <x:v>4</x:v>
      </x:c>
      <x:c r="L1252" s="535" t="n">
        <x:v>4</x:v>
      </x:c>
      <x:c r="M1252" s="542" t="n">
        <x:v>-1</x:v>
      </x:c>
      <x:c r="N1252" s="538" t="n">
        <x:v>0.25</x:v>
      </x:c>
      <x:c r="O1252" s="537" t="n">
        <x:v>-0.25</x:v>
      </x:c>
    </x:row>
    <x:row r="1253" ht="18" customHeight="1">
      <x:c r="A1253" s="534" t="n">
        <x:v>1084</x:v>
      </x:c>
      <x:c r="B1253" s="534" t="str">
        <x:v>朴茨茅斯（Portsmouth）</x:v>
      </x:c>
      <x:c r="C1253" s="535" t="n">
        <x:v>4</x:v>
      </x:c>
      <x:c r="D1253" s="535" t="n">
        <x:v>3</x:v>
      </x:c>
      <x:c r="E1253" s="542" t="n">
        <x:v>-1</x:v>
      </x:c>
      <x:c r="F1253" s="538" t="n">
        <x:v>0.3333333333333333</x:v>
      </x:c>
      <x:c r="G1253" s="537" t="n">
        <x:v>-0.3333333333333333</x:v>
      </x:c>
      <x:c r="H1253" s="531"/>
      <x:c r="I1253" s="534" t="n">
        <x:v>1084</x:v>
      </x:c>
      <x:c r="J1253" s="534" t="str">
        <x:v>孟买城</x:v>
      </x:c>
      <x:c r="K1253" s="535" t="n">
        <x:v>4</x:v>
      </x:c>
      <x:c r="L1253" s="535" t="n">
        <x:v>4</x:v>
      </x:c>
      <x:c r="M1253" s="542" t="n">
        <x:v>-1</x:v>
      </x:c>
      <x:c r="N1253" s="538" t="n">
        <x:v>0.25</x:v>
      </x:c>
      <x:c r="O1253" s="537" t="n">
        <x:v>-0.25</x:v>
      </x:c>
    </x:row>
    <x:row r="1254" ht="18" customHeight="1">
      <x:c r="A1254" s="534" t="n">
        <x:v>1085</x:v>
      </x:c>
      <x:c r="B1254" s="534" t="str">
        <x:v>柏太阳神（Kashiwa Reysol）</x:v>
      </x:c>
      <x:c r="C1254" s="535" t="n">
        <x:v>3</x:v>
      </x:c>
      <x:c r="D1254" s="535" t="n">
        <x:v>3</x:v>
      </x:c>
      <x:c r="E1254" s="542" t="n">
        <x:v>-1</x:v>
      </x:c>
      <x:c r="F1254" s="538" t="n">
        <x:v>0.3333333333333333</x:v>
      </x:c>
      <x:c r="G1254" s="537" t="n">
        <x:v>-0.3333333333333333</x:v>
      </x:c>
      <x:c r="H1254" s="531"/>
      <x:c r="I1254" s="534" t="n">
        <x:v>1085</x:v>
      </x:c>
      <x:c r="J1254" s="534" t="str">
        <x:v>斯托克城（Stoke City）</x:v>
      </x:c>
      <x:c r="K1254" s="535" t="n">
        <x:v>4</x:v>
      </x:c>
      <x:c r="L1254" s="535" t="n">
        <x:v>4</x:v>
      </x:c>
      <x:c r="M1254" s="542" t="n">
        <x:v>-1</x:v>
      </x:c>
      <x:c r="N1254" s="538" t="n">
        <x:v>0.25</x:v>
      </x:c>
      <x:c r="O1254" s="537" t="n">
        <x:v>-0.25</x:v>
      </x:c>
    </x:row>
    <x:row r="1255" ht="18" customHeight="1">
      <x:c r="A1255" s="534" t="n">
        <x:v>1086</x:v>
      </x:c>
      <x:c r="B1255" s="534" t="str">
        <x:v>横滨FC</x:v>
      </x:c>
      <x:c r="C1255" s="535" t="n">
        <x:v>3</x:v>
      </x:c>
      <x:c r="D1255" s="535" t="n">
        <x:v>3</x:v>
      </x:c>
      <x:c r="E1255" s="542" t="n">
        <x:v>-1</x:v>
      </x:c>
      <x:c r="F1255" s="538" t="n">
        <x:v>0.3333333333333333</x:v>
      </x:c>
      <x:c r="G1255" s="537" t="n">
        <x:v>-0.3333333333333333</x:v>
      </x:c>
      <x:c r="H1255" s="531"/>
      <x:c r="I1255" s="534" t="n">
        <x:v>1086</x:v>
      </x:c>
      <x:c r="J1255" s="534" t="str">
        <x:v>普埃布拉</x:v>
      </x:c>
      <x:c r="K1255" s="535" t="n">
        <x:v>4</x:v>
      </x:c>
      <x:c r="L1255" s="535" t="n">
        <x:v>4</x:v>
      </x:c>
      <x:c r="M1255" s="542" t="n">
        <x:v>-1</x:v>
      </x:c>
      <x:c r="N1255" s="538" t="n">
        <x:v>0.25</x:v>
      </x:c>
      <x:c r="O1255" s="537" t="n">
        <x:v>-0.25</x:v>
      </x:c>
    </x:row>
    <x:row r="1256" ht="18" customHeight="1">
      <x:c r="A1256" s="534" t="n">
        <x:v>1087</x:v>
      </x:c>
      <x:c r="B1256" s="534" t="str">
        <x:v>武里南联</x:v>
      </x:c>
      <x:c r="C1256" s="535" t="n">
        <x:v>3</x:v>
      </x:c>
      <x:c r="D1256" s="535" t="n">
        <x:v>3</x:v>
      </x:c>
      <x:c r="E1256" s="542" t="n">
        <x:v>-1</x:v>
      </x:c>
      <x:c r="F1256" s="538" t="n">
        <x:v>0.3333333333333333</x:v>
      </x:c>
      <x:c r="G1256" s="537" t="n">
        <x:v>-0.3333333333333333</x:v>
      </x:c>
      <x:c r="H1256" s="531"/>
      <x:c r="I1256" s="534" t="n">
        <x:v>1087</x:v>
      </x:c>
      <x:c r="J1256" s="534" t="str">
        <x:v>FC首尔</x:v>
      </x:c>
      <x:c r="K1256" s="535" t="n">
        <x:v>1</x:v>
      </x:c>
      <x:c r="L1256" s="535" t="n">
        <x:v>1</x:v>
      </x:c>
      <x:c r="M1256" s="542" t="n">
        <x:v>-1</x:v>
      </x:c>
      <x:c r="N1256" s="538" t="n">
        <x:v>0</x:v>
      </x:c>
      <x:c r="O1256" s="537" t="n">
        <x:v>-1</x:v>
      </x:c>
    </x:row>
    <x:row r="1257" ht="18" customHeight="1">
      <x:c r="A1257" s="534" t="n">
        <x:v>1088</x:v>
      </x:c>
      <x:c r="B1257" s="534" t="str">
        <x:v>河床</x:v>
      </x:c>
      <x:c r="C1257" s="535" t="n">
        <x:v>3</x:v>
      </x:c>
      <x:c r="D1257" s="535" t="n">
        <x:v>3</x:v>
      </x:c>
      <x:c r="E1257" s="542" t="n">
        <x:v>-1</x:v>
      </x:c>
      <x:c r="F1257" s="538" t="n">
        <x:v>0.3333333333333333</x:v>
      </x:c>
      <x:c r="G1257" s="537" t="n">
        <x:v>-0.3333333333333333</x:v>
      </x:c>
      <x:c r="H1257" s="531"/>
      <x:c r="I1257" s="534" t="n">
        <x:v>1088</x:v>
      </x:c>
      <x:c r="J1257" s="534" t="str">
        <x:v>FK贝尔格莱德（FK Beograd）</x:v>
      </x:c>
      <x:c r="K1257" s="535" t="n">
        <x:v>1</x:v>
      </x:c>
      <x:c r="L1257" s="535" t="n">
        <x:v>1</x:v>
      </x:c>
      <x:c r="M1257" s="542" t="n">
        <x:v>-1</x:v>
      </x:c>
      <x:c r="N1257" s="538" t="n">
        <x:v>0</x:v>
      </x:c>
      <x:c r="O1257" s="537" t="n">
        <x:v>-1</x:v>
      </x:c>
    </x:row>
    <x:row r="1258" ht="18" customHeight="1">
      <x:c r="A1258" s="534" t="n">
        <x:v>1089</x:v>
      </x:c>
      <x:c r="B1258" s="534" t="str">
        <x:v>波哥大国际（Internacional de Bogotá）</x:v>
      </x:c>
      <x:c r="C1258" s="535" t="n">
        <x:v>3</x:v>
      </x:c>
      <x:c r="D1258" s="535" t="n">
        <x:v>3</x:v>
      </x:c>
      <x:c r="E1258" s="542" t="n">
        <x:v>-1</x:v>
      </x:c>
      <x:c r="F1258" s="538" t="n">
        <x:v>0.3333333333333333</x:v>
      </x:c>
      <x:c r="G1258" s="537" t="n">
        <x:v>-0.3333333333333333</x:v>
      </x:c>
      <x:c r="H1258" s="531"/>
      <x:c r="I1258" s="534" t="n">
        <x:v>1089</x:v>
      </x:c>
      <x:c r="J1258" s="534" t="str">
        <x:v>PK-35万塔（PK-35 Vantaa）</x:v>
      </x:c>
      <x:c r="K1258" s="535" t="n">
        <x:v>1</x:v>
      </x:c>
      <x:c r="L1258" s="535" t="n">
        <x:v>1</x:v>
      </x:c>
      <x:c r="M1258" s="542" t="n">
        <x:v>-1</x:v>
      </x:c>
      <x:c r="N1258" s="538" t="n">
        <x:v>0</x:v>
      </x:c>
      <x:c r="O1258" s="537" t="n">
        <x:v>-1</x:v>
      </x:c>
    </x:row>
    <x:row r="1259" ht="18" customHeight="1">
      <x:c r="A1259" s="534" t="n">
        <x:v>1090</x:v>
      </x:c>
      <x:c r="B1259" s="534" t="str">
        <x:v>滋贺湖王（Reilac Shiga FC）</x:v>
      </x:c>
      <x:c r="C1259" s="535" t="n">
        <x:v>3</x:v>
      </x:c>
      <x:c r="D1259" s="535" t="n">
        <x:v>3</x:v>
      </x:c>
      <x:c r="E1259" s="542" t="n">
        <x:v>-1</x:v>
      </x:c>
      <x:c r="F1259" s="538" t="n">
        <x:v>0.3333333333333333</x:v>
      </x:c>
      <x:c r="G1259" s="537" t="n">
        <x:v>-0.3333333333333333</x:v>
      </x:c>
      <x:c r="H1259" s="531"/>
      <x:c r="I1259" s="534" t="n">
        <x:v>1090</x:v>
      </x:c>
      <x:c r="J1259" s="534" t="str">
        <x:v>PSBS巴克伦佛（PSBS Biak）</x:v>
      </x:c>
      <x:c r="K1259" s="535" t="n">
        <x:v>1</x:v>
      </x:c>
      <x:c r="L1259" s="535" t="n">
        <x:v>1</x:v>
      </x:c>
      <x:c r="M1259" s="542" t="n">
        <x:v>-1</x:v>
      </x:c>
      <x:c r="N1259" s="538" t="n">
        <x:v>0</x:v>
      </x:c>
      <x:c r="O1259" s="537" t="n">
        <x:v>-1</x:v>
      </x:c>
    </x:row>
    <x:row r="1260" ht="18" customHeight="1">
      <x:c r="A1260" s="534" t="n">
        <x:v>1091</x:v>
      </x:c>
      <x:c r="B1260" s="534" t="str">
        <x:v>玻利瓦尔（Bolívar）</x:v>
      </x:c>
      <x:c r="C1260" s="535" t="n">
        <x:v>3</x:v>
      </x:c>
      <x:c r="D1260" s="535" t="n">
        <x:v>3</x:v>
      </x:c>
      <x:c r="E1260" s="542" t="n">
        <x:v>-1</x:v>
      </x:c>
      <x:c r="F1260" s="538" t="n">
        <x:v>0.3333333333333333</x:v>
      </x:c>
      <x:c r="G1260" s="537" t="n">
        <x:v>-0.3333333333333333</x:v>
      </x:c>
      <x:c r="H1260" s="531"/>
      <x:c r="I1260" s="534" t="n">
        <x:v>1091</x:v>
      </x:c>
      <x:c r="J1260" s="534" t="str">
        <x:v>SBV精英（Excelsior）</x:v>
      </x:c>
      <x:c r="K1260" s="535" t="n">
        <x:v>1</x:v>
      </x:c>
      <x:c r="L1260" s="535" t="n">
        <x:v>1</x:v>
      </x:c>
      <x:c r="M1260" s="542" t="n">
        <x:v>-1</x:v>
      </x:c>
      <x:c r="N1260" s="538" t="n">
        <x:v>0</x:v>
      </x:c>
      <x:c r="O1260" s="537" t="n">
        <x:v>-1</x:v>
      </x:c>
    </x:row>
    <x:row r="1261" ht="18" customHeight="1">
      <x:c r="A1261" s="534" t="n">
        <x:v>1092</x:v>
      </x:c>
      <x:c r="B1261" s="534" t="str">
        <x:v>甘拿斯亚门多萨</x:v>
      </x:c>
      <x:c r="C1261" s="535" t="n">
        <x:v>3</x:v>
      </x:c>
      <x:c r="D1261" s="535" t="n">
        <x:v>3</x:v>
      </x:c>
      <x:c r="E1261" s="542" t="n">
        <x:v>-1</x:v>
      </x:c>
      <x:c r="F1261" s="538" t="n">
        <x:v>0.3333333333333333</x:v>
      </x:c>
      <x:c r="G1261" s="537" t="n">
        <x:v>-0.3333333333333333</x:v>
      </x:c>
      <x:c r="H1261" s="531"/>
      <x:c r="I1261" s="534" t="n">
        <x:v>1092</x:v>
      </x:c>
      <x:c r="J1261" s="534" t="str">
        <x:v>SC相模原（SC Sagamihara）</x:v>
      </x:c>
      <x:c r="K1261" s="535" t="n">
        <x:v>1</x:v>
      </x:c>
      <x:c r="L1261" s="535" t="n">
        <x:v>1</x:v>
      </x:c>
      <x:c r="M1261" s="542" t="n">
        <x:v>-1</x:v>
      </x:c>
      <x:c r="N1261" s="538" t="n">
        <x:v>0</x:v>
      </x:c>
      <x:c r="O1261" s="537" t="n">
        <x:v>-1</x:v>
      </x:c>
    </x:row>
    <x:row r="1262" ht="18" customHeight="1">
      <x:c r="A1262" s="534" t="n">
        <x:v>1093</x:v>
      </x:c>
      <x:c r="B1262" s="534" t="str">
        <x:v>竞技俱乐部（Racing Club）</x:v>
      </x:c>
      <x:c r="C1262" s="535" t="n">
        <x:v>3</x:v>
      </x:c>
      <x:c r="D1262" s="535" t="n">
        <x:v>3</x:v>
      </x:c>
      <x:c r="E1262" s="542" t="n">
        <x:v>-1</x:v>
      </x:c>
      <x:c r="F1262" s="538" t="n">
        <x:v>0.3333333333333333</x:v>
      </x:c>
      <x:c r="G1262" s="537" t="n">
        <x:v>-0.3333333333333333</x:v>
      </x:c>
      <x:c r="H1262" s="531"/>
      <x:c r="I1262" s="534" t="n">
        <x:v>1093</x:v>
      </x:c>
      <x:c r="J1262" s="534" t="str">
        <x:v>SD突击者（SD Raiders）</x:v>
      </x:c>
      <x:c r="K1262" s="535" t="n">
        <x:v>1</x:v>
      </x:c>
      <x:c r="L1262" s="535" t="n">
        <x:v>1</x:v>
      </x:c>
      <x:c r="M1262" s="542" t="n">
        <x:v>-1</x:v>
      </x:c>
      <x:c r="N1262" s="538" t="n">
        <x:v>0</x:v>
      </x:c>
      <x:c r="O1262" s="537" t="n">
        <x:v>-1</x:v>
      </x:c>
    </x:row>
    <x:row r="1263" ht="18" customHeight="1">
      <x:c r="A1263" s="534" t="n">
        <x:v>1094</x:v>
      </x:c>
      <x:c r="B1263" s="534" t="str">
        <x:v>维多利亚</x:v>
      </x:c>
      <x:c r="C1263" s="535" t="n">
        <x:v>3</x:v>
      </x:c>
      <x:c r="D1263" s="535" t="n">
        <x:v>3</x:v>
      </x:c>
      <x:c r="E1263" s="542" t="n">
        <x:v>-1</x:v>
      </x:c>
      <x:c r="F1263" s="538" t="n">
        <x:v>0.3333333333333333</x:v>
      </x:c>
      <x:c r="G1263" s="537" t="n">
        <x:v>-0.3333333333333333</x:v>
      </x:c>
      <x:c r="H1263" s="531"/>
      <x:c r="I1263" s="534" t="n">
        <x:v>1094</x:v>
      </x:c>
      <x:c r="J1263" s="534" t="str">
        <x:v>TPS图尔库（Turun Palloseura）</x:v>
      </x:c>
      <x:c r="K1263" s="535" t="n">
        <x:v>1</x:v>
      </x:c>
      <x:c r="L1263" s="535" t="n">
        <x:v>1</x:v>
      </x:c>
      <x:c r="M1263" s="542" t="n">
        <x:v>-1</x:v>
      </x:c>
      <x:c r="N1263" s="538" t="n">
        <x:v>0</x:v>
      </x:c>
      <x:c r="O1263" s="537" t="n">
        <x:v>-1</x:v>
      </x:c>
    </x:row>
    <x:row r="1264" ht="18" customHeight="1">
      <x:c r="A1264" s="534" t="n">
        <x:v>1095</x:v>
      </x:c>
      <x:c r="B1264" s="534" t="str">
        <x:v>西悉尼流浪者（Western Sydney Wanderers）</x:v>
      </x:c>
      <x:c r="C1264" s="535" t="n">
        <x:v>3</x:v>
      </x:c>
      <x:c r="D1264" s="535" t="n">
        <x:v>3</x:v>
      </x:c>
      <x:c r="E1264" s="542" t="n">
        <x:v>-1</x:v>
      </x:c>
      <x:c r="F1264" s="538" t="n">
        <x:v>0.3333333333333333</x:v>
      </x:c>
      <x:c r="G1264" s="537" t="n">
        <x:v>-0.3333333333333333</x:v>
      </x:c>
      <x:c r="H1264" s="531"/>
      <x:c r="I1264" s="534" t="n">
        <x:v>1095</x:v>
      </x:c>
      <x:c r="J1264" s="534" t="str">
        <x:v>VPS瓦萨（Vaasa PS）</x:v>
      </x:c>
      <x:c r="K1264" s="535" t="n">
        <x:v>1</x:v>
      </x:c>
      <x:c r="L1264" s="535" t="n">
        <x:v>1</x:v>
      </x:c>
      <x:c r="M1264" s="542" t="n">
        <x:v>-1</x:v>
      </x:c>
      <x:c r="N1264" s="538" t="n">
        <x:v>0</x:v>
      </x:c>
      <x:c r="O1264" s="537" t="n">
        <x:v>-1</x:v>
      </x:c>
    </x:row>
    <x:row r="1265" ht="18" customHeight="1">
      <x:c r="A1265" s="534" t="n">
        <x:v>1096</x:v>
      </x:c>
      <x:c r="B1265" s="534" t="str">
        <x:v>詹谢普尔（Jamshedpur FC）</x:v>
      </x:c>
      <x:c r="C1265" s="535" t="n">
        <x:v>3</x:v>
      </x:c>
      <x:c r="D1265" s="535" t="n">
        <x:v>3</x:v>
      </x:c>
      <x:c r="E1265" s="542" t="n">
        <x:v>-1</x:v>
      </x:c>
      <x:c r="F1265" s="538" t="n">
        <x:v>0.3333333333333333</x:v>
      </x:c>
      <x:c r="G1265" s="537" t="n">
        <x:v>-0.3333333333333333</x:v>
      </x:c>
      <x:c r="H1265" s="531"/>
      <x:c r="I1265" s="534" t="n">
        <x:v>1096</x:v>
      </x:c>
      <x:c r="J1265" s="534" t="str">
        <x:v>ZED（ZED FC）</x:v>
      </x:c>
      <x:c r="K1265" s="535" t="n">
        <x:v>1</x:v>
      </x:c>
      <x:c r="L1265" s="535" t="n">
        <x:v>1</x:v>
      </x:c>
      <x:c r="M1265" s="542" t="n">
        <x:v>-1</x:v>
      </x:c>
      <x:c r="N1265" s="538" t="n">
        <x:v>0</x:v>
      </x:c>
      <x:c r="O1265" s="537" t="n">
        <x:v>-1</x:v>
      </x:c>
    </x:row>
    <x:row r="1266" ht="18" customHeight="1">
      <x:c r="A1266" s="534" t="n">
        <x:v>1097</x:v>
      </x:c>
      <x:c r="B1266" s="534" t="str">
        <x:v>诺丁汉森林（Nottingham Forest）</x:v>
      </x:c>
      <x:c r="C1266" s="535" t="n">
        <x:v>3</x:v>
      </x:c>
      <x:c r="D1266" s="535" t="n">
        <x:v>3</x:v>
      </x:c>
      <x:c r="E1266" s="542" t="n">
        <x:v>-1</x:v>
      </x:c>
      <x:c r="F1266" s="538" t="n">
        <x:v>0.3333333333333333</x:v>
      </x:c>
      <x:c r="G1266" s="537" t="n">
        <x:v>-0.3333333333333333</x:v>
      </x:c>
      <x:c r="H1266" s="531"/>
      <x:c r="I1266" s="534" t="n">
        <x:v>1097</x:v>
      </x:c>
      <x:c r="J1266" s="534" t="str">
        <x:v>万隆(佩西布万隆/Persib Bandung)</x:v>
      </x:c>
      <x:c r="K1266" s="535" t="n">
        <x:v>1</x:v>
      </x:c>
      <x:c r="L1266" s="535" t="n">
        <x:v>1</x:v>
      </x:c>
      <x:c r="M1266" s="542" t="n">
        <x:v>-1</x:v>
      </x:c>
      <x:c r="N1266" s="538" t="n">
        <x:v>0</x:v>
      </x:c>
      <x:c r="O1266" s="537" t="n">
        <x:v>-1</x:v>
      </x:c>
    </x:row>
    <x:row r="1267" ht="18" customHeight="1">
      <x:c r="A1267" s="534" t="n">
        <x:v>1098</x:v>
      </x:c>
      <x:c r="B1267" s="534" t="str">
        <x:v>赫尔城</x:v>
      </x:c>
      <x:c r="C1267" s="535" t="n">
        <x:v>3</x:v>
      </x:c>
      <x:c r="D1267" s="535" t="n">
        <x:v>3</x:v>
      </x:c>
      <x:c r="E1267" s="542" t="n">
        <x:v>-1</x:v>
      </x:c>
      <x:c r="F1267" s="538" t="n">
        <x:v>0.3333333333333333</x:v>
      </x:c>
      <x:c r="G1267" s="537" t="n">
        <x:v>-0.3333333333333333</x:v>
      </x:c>
      <x:c r="H1267" s="531"/>
      <x:c r="I1267" s="534" t="n">
        <x:v>1098</x:v>
      </x:c>
      <x:c r="J1267" s="534" t="str">
        <x:v>万隆（佩西比万隆/Persib Bandung）</x:v>
      </x:c>
      <x:c r="K1267" s="535" t="n">
        <x:v>1</x:v>
      </x:c>
      <x:c r="L1267" s="535" t="n">
        <x:v>1</x:v>
      </x:c>
      <x:c r="M1267" s="542" t="n">
        <x:v>-1</x:v>
      </x:c>
      <x:c r="N1267" s="538" t="n">
        <x:v>0</x:v>
      </x:c>
      <x:c r="O1267" s="537" t="n">
        <x:v>-1</x:v>
      </x:c>
    </x:row>
    <x:row r="1268" ht="18" customHeight="1">
      <x:c r="A1268" s="534" t="n">
        <x:v>1099</x:v>
      </x:c>
      <x:c r="B1268" s="534" t="str">
        <x:v>迈阿密国际（Inter Miami CF）</x:v>
      </x:c>
      <x:c r="C1268" s="535" t="n">
        <x:v>3</x:v>
      </x:c>
      <x:c r="D1268" s="535" t="n">
        <x:v>3</x:v>
      </x:c>
      <x:c r="E1268" s="542" t="n">
        <x:v>-1</x:v>
      </x:c>
      <x:c r="F1268" s="538" t="n">
        <x:v>0.3333333333333333</x:v>
      </x:c>
      <x:c r="G1268" s="537" t="n">
        <x:v>-0.3333333333333333</x:v>
      </x:c>
      <x:c r="H1268" s="531"/>
      <x:c r="I1268" s="534" t="n">
        <x:v>1099</x:v>
      </x:c>
      <x:c r="J1268" s="534" t="str">
        <x:v>东京FC（FC Tokyo）</x:v>
      </x:c>
      <x:c r="K1268" s="535" t="n">
        <x:v>1</x:v>
      </x:c>
      <x:c r="L1268" s="535" t="n">
        <x:v>1</x:v>
      </x:c>
      <x:c r="M1268" s="542" t="n">
        <x:v>-1</x:v>
      </x:c>
      <x:c r="N1268" s="538" t="n">
        <x:v>0</x:v>
      </x:c>
      <x:c r="O1268" s="537" t="n">
        <x:v>-1</x:v>
      </x:c>
    </x:row>
    <x:row r="1269" ht="18" customHeight="1">
      <x:c r="A1269" s="534" t="n">
        <x:v>1100</x:v>
      </x:c>
      <x:c r="B1269" s="534" t="str">
        <x:v>马尔默（Malmö FF）</x:v>
      </x:c>
      <x:c r="C1269" s="535" t="n">
        <x:v>3</x:v>
      </x:c>
      <x:c r="D1269" s="535" t="n">
        <x:v>3</x:v>
      </x:c>
      <x:c r="E1269" s="542" t="n">
        <x:v>-1</x:v>
      </x:c>
      <x:c r="F1269" s="538" t="n">
        <x:v>0.3333333333333333</x:v>
      </x:c>
      <x:c r="G1269" s="537" t="n">
        <x:v>-0.3333333333333333</x:v>
      </x:c>
      <x:c r="H1269" s="531"/>
      <x:c r="I1269" s="534" t="n">
        <x:v>1100</x:v>
      </x:c>
      <x:c r="J1269" s="534" t="str">
        <x:v>东基尔布赖德（East Kilbride）</x:v>
      </x:c>
      <x:c r="K1269" s="535" t="n">
        <x:v>1</x:v>
      </x:c>
      <x:c r="L1269" s="535" t="n">
        <x:v>1</x:v>
      </x:c>
      <x:c r="M1269" s="542" t="n">
        <x:v>-1</x:v>
      </x:c>
      <x:c r="N1269" s="538" t="n">
        <x:v>0</x:v>
      </x:c>
      <x:c r="O1269" s="537" t="n">
        <x:v>-1</x:v>
      </x:c>
    </x:row>
    <x:row r="1270" ht="18" customHeight="1">
      <x:c r="A1270" s="534" t="n">
        <x:v>1101</x:v>
      </x:c>
      <x:c r="B1270" s="534" t="str">
        <x:v>马德里竞技</x:v>
      </x:c>
      <x:c r="C1270" s="535" t="n">
        <x:v>3</x:v>
      </x:c>
      <x:c r="D1270" s="535" t="n">
        <x:v>3</x:v>
      </x:c>
      <x:c r="E1270" s="542" t="n">
        <x:v>-1</x:v>
      </x:c>
      <x:c r="F1270" s="538" t="n">
        <x:v>0.3333333333333333</x:v>
      </x:c>
      <x:c r="G1270" s="537" t="n">
        <x:v>-0.3333333333333333</x:v>
      </x:c>
      <x:c r="H1270" s="531"/>
      <x:c r="I1270" s="534" t="n">
        <x:v>1101</x:v>
      </x:c>
      <x:c r="J1270" s="534" t="str">
        <x:v>东孟加拉FC（East Bengal FC）</x:v>
      </x:c>
      <x:c r="K1270" s="535" t="n">
        <x:v>1</x:v>
      </x:c>
      <x:c r="L1270" s="535" t="n">
        <x:v>1</x:v>
      </x:c>
      <x:c r="M1270" s="542" t="n">
        <x:v>-1</x:v>
      </x:c>
      <x:c r="N1270" s="538" t="n">
        <x:v>0</x:v>
      </x:c>
      <x:c r="O1270" s="537" t="n">
        <x:v>-1</x:v>
      </x:c>
    </x:row>
    <x:row r="1271" ht="18" customHeight="1">
      <x:c r="A1271" s="534" t="n">
        <x:v>1102</x:v>
      </x:c>
      <x:c r="B1271" s="534" t="str">
        <x:v>马都拉联（Madura United）</x:v>
      </x:c>
      <x:c r="C1271" s="535" t="n">
        <x:v>6</x:v>
      </x:c>
      <x:c r="D1271" s="535" t="n">
        <x:v>6</x:v>
      </x:c>
      <x:c r="E1271" s="542" t="n">
        <x:v>-1</x:v>
      </x:c>
      <x:c r="F1271" s="538" t="n">
        <x:v>0.3333333333333333</x:v>
      </x:c>
      <x:c r="G1271" s="537" t="n">
        <x:v>-0.16666666666666666</x:v>
      </x:c>
      <x:c r="H1271" s="531"/>
      <x:c r="I1271" s="534" t="n">
        <x:v>1102</x:v>
      </x:c>
      <x:c r="J1271" s="534" t="str">
        <x:v>中国香港</x:v>
      </x:c>
      <x:c r="K1271" s="535" t="n">
        <x:v>1</x:v>
      </x:c>
      <x:c r="L1271" s="535" t="n">
        <x:v>1</x:v>
      </x:c>
      <x:c r="M1271" s="542" t="n">
        <x:v>-1</x:v>
      </x:c>
      <x:c r="N1271" s="538" t="n">
        <x:v>0</x:v>
      </x:c>
      <x:c r="O1271" s="537" t="n">
        <x:v>-1</x:v>
      </x:c>
    </x:row>
    <x:row r="1272" ht="18" customHeight="1">
      <x:c r="A1272" s="534" t="n">
        <x:v>1103</x:v>
      </x:c>
      <x:c r="B1272" s="534" t="str">
        <x:v>墨尔本胜利</x:v>
      </x:c>
      <x:c r="C1272" s="535" t="n">
        <x:v>6</x:v>
      </x:c>
      <x:c r="D1272" s="535" t="n">
        <x:v>6</x:v>
      </x:c>
      <x:c r="E1272" s="542" t="n">
        <x:v>-1</x:v>
      </x:c>
      <x:c r="F1272" s="538" t="n">
        <x:v>0.3333333333333333</x:v>
      </x:c>
      <x:c r="G1272" s="537" t="n">
        <x:v>-0.16666666666666666</x:v>
      </x:c>
      <x:c r="H1272" s="531"/>
      <x:c r="I1272" s="534" t="n">
        <x:v>1103</x:v>
      </x:c>
      <x:c r="J1272" s="534" t="str">
        <x:v>丹德农迅雷</x:v>
      </x:c>
      <x:c r="K1272" s="535" t="n">
        <x:v>2</x:v>
      </x:c>
      <x:c r="L1272" s="535" t="n">
        <x:v>2</x:v>
      </x:c>
      <x:c r="M1272" s="542" t="n">
        <x:v>-1</x:v>
      </x:c>
      <x:c r="N1272" s="538" t="n">
        <x:v>0</x:v>
      </x:c>
      <x:c r="O1272" s="537" t="n">
        <x:v>-0.5</x:v>
      </x:c>
    </x:row>
    <x:row r="1273" ht="18" customHeight="1">
      <x:c r="A1273" s="534" t="n">
        <x:v>1104</x:v>
      </x:c>
      <x:c r="B1273" s="534" t="str">
        <x:v>悉尼FC（Sydney FC）</x:v>
      </x:c>
      <x:c r="C1273" s="535" t="n">
        <x:v>7</x:v>
      </x:c>
      <x:c r="D1273" s="535" t="n">
        <x:v>7</x:v>
      </x:c>
      <x:c r="E1273" s="542" t="n">
        <x:v>-1</x:v>
      </x:c>
      <x:c r="F1273" s="538" t="n">
        <x:v>0.2857142857142857</x:v>
      </x:c>
      <x:c r="G1273" s="537" t="n">
        <x:v>-0.14285714285714285</x:v>
      </x:c>
      <x:c r="H1273" s="531"/>
      <x:c r="I1273" s="534" t="n">
        <x:v>1104</x:v>
      </x:c>
      <x:c r="J1273" s="534" t="str">
        <x:v>乌拉圭</x:v>
      </x:c>
      <x:c r="K1273" s="535" t="n">
        <x:v>1</x:v>
      </x:c>
      <x:c r="L1273" s="535" t="n">
        <x:v>1</x:v>
      </x:c>
      <x:c r="M1273" s="542" t="n">
        <x:v>-1</x:v>
      </x:c>
      <x:c r="N1273" s="538" t="n">
        <x:v>0</x:v>
      </x:c>
      <x:c r="O1273" s="537" t="n">
        <x:v>-1</x:v>
      </x:c>
    </x:row>
    <x:row r="1274" ht="18" customHeight="1">
      <x:c r="A1274" s="534" t="n">
        <x:v>1105</x:v>
      </x:c>
      <x:c r="B1274" s="534" t="str">
        <x:v>西班牙</x:v>
      </x:c>
      <x:c r="C1274" s="535" t="n">
        <x:v>7</x:v>
      </x:c>
      <x:c r="D1274" s="535" t="n">
        <x:v>7</x:v>
      </x:c>
      <x:c r="E1274" s="542" t="n">
        <x:v>-1</x:v>
      </x:c>
      <x:c r="F1274" s="538" t="n">
        <x:v>0.2857142857142857</x:v>
      </x:c>
      <x:c r="G1274" s="537" t="n">
        <x:v>-0.14285714285714285</x:v>
      </x:c>
      <x:c r="H1274" s="531"/>
      <x:c r="I1274" s="534" t="n">
        <x:v>1105</x:v>
      </x:c>
      <x:c r="J1274" s="534" t="str">
        <x:v>乌迪内斯（Udinese Calcio）</x:v>
      </x:c>
      <x:c r="K1274" s="535" t="n">
        <x:v>1</x:v>
      </x:c>
      <x:c r="L1274" s="535" t="n">
        <x:v>1</x:v>
      </x:c>
      <x:c r="M1274" s="542" t="n">
        <x:v>-1</x:v>
      </x:c>
      <x:c r="N1274" s="538" t="n">
        <x:v>0</x:v>
      </x:c>
      <x:c r="O1274" s="537" t="n">
        <x:v>-1</x:v>
      </x:c>
    </x:row>
    <x:row r="1275" ht="18" customHeight="1">
      <x:c r="A1275" s="534" t="n">
        <x:v>1106</x:v>
      </x:c>
      <x:c r="B1275" s="534" t="str">
        <x:v>伊普斯维奇（Ipswich Town）</x:v>
      </x:c>
      <x:c r="C1275" s="535" t="n">
        <x:v>4</x:v>
      </x:c>
      <x:c r="D1275" s="535" t="n">
        <x:v>4</x:v>
      </x:c>
      <x:c r="E1275" s="542" t="n">
        <x:v>-1</x:v>
      </x:c>
      <x:c r="F1275" s="538" t="n">
        <x:v>0.25</x:v>
      </x:c>
      <x:c r="G1275" s="537" t="n">
        <x:v>-0.25</x:v>
      </x:c>
      <x:c r="H1275" s="531"/>
      <x:c r="I1275" s="534" t="n">
        <x:v>1106</x:v>
      </x:c>
      <x:c r="J1275" s="534" t="str">
        <x:v>云达不莱梅（Werder Bremen）</x:v>
      </x:c>
      <x:c r="K1275" s="535" t="n">
        <x:v>1</x:v>
      </x:c>
      <x:c r="L1275" s="535" t="n">
        <x:v>1</x:v>
      </x:c>
      <x:c r="M1275" s="542" t="n">
        <x:v>-1</x:v>
      </x:c>
      <x:c r="N1275" s="538" t="n">
        <x:v>0</x:v>
      </x:c>
      <x:c r="O1275" s="537" t="n">
        <x:v>-1</x:v>
      </x:c>
    </x:row>
    <x:row r="1276" ht="18" customHeight="1">
      <x:c r="A1276" s="534" t="n">
        <x:v>1107</x:v>
      </x:c>
      <x:c r="B1276" s="534" t="str">
        <x:v>博卡青年（Boca Juniors）</x:v>
      </x:c>
      <x:c r="C1276" s="535" t="n">
        <x:v>4</x:v>
      </x:c>
      <x:c r="D1276" s="535" t="n">
        <x:v>4</x:v>
      </x:c>
      <x:c r="E1276" s="542" t="n">
        <x:v>-1</x:v>
      </x:c>
      <x:c r="F1276" s="538" t="n">
        <x:v>0.25</x:v>
      </x:c>
      <x:c r="G1276" s="537" t="n">
        <x:v>-0.25</x:v>
      </x:c>
      <x:c r="H1276" s="531"/>
      <x:c r="I1276" s="534" t="n">
        <x:v>1107</x:v>
      </x:c>
      <x:c r="J1276" s="534" t="str">
        <x:v>亚松森自由</x:v>
      </x:c>
      <x:c r="K1276" s="535" t="n">
        <x:v>1</x:v>
      </x:c>
      <x:c r="L1276" s="535" t="n">
        <x:v>1</x:v>
      </x:c>
      <x:c r="M1276" s="542" t="n">
        <x:v>-1</x:v>
      </x:c>
      <x:c r="N1276" s="538" t="n">
        <x:v>0</x:v>
      </x:c>
      <x:c r="O1276" s="537" t="n">
        <x:v>-1</x:v>
      </x:c>
    </x:row>
    <x:row r="1277" ht="18" customHeight="1">
      <x:c r="A1277" s="534" t="n">
        <x:v>1108</x:v>
      </x:c>
      <x:c r="B1277" s="534" t="str">
        <x:v>坎昆FC（Cancún FC）</x:v>
      </x:c>
      <x:c r="C1277" s="535" t="n">
        <x:v>4</x:v>
      </x:c>
      <x:c r="D1277" s="535" t="n">
        <x:v>4</x:v>
      </x:c>
      <x:c r="E1277" s="542" t="n">
        <x:v>-1</x:v>
      </x:c>
      <x:c r="F1277" s="538" t="n">
        <x:v>0.25</x:v>
      </x:c>
      <x:c r="G1277" s="537" t="n">
        <x:v>-0.25</x:v>
      </x:c>
      <x:c r="H1277" s="531"/>
      <x:c r="I1277" s="534" t="n">
        <x:v>1108</x:v>
      </x:c>
      <x:c r="J1277" s="534" t="str">
        <x:v>亚特兰大(Atalanta)</x:v>
      </x:c>
      <x:c r="K1277" s="535" t="n">
        <x:v>1</x:v>
      </x:c>
      <x:c r="L1277" s="535" t="n">
        <x:v>1</x:v>
      </x:c>
      <x:c r="M1277" s="542" t="n">
        <x:v>-1</x:v>
      </x:c>
      <x:c r="N1277" s="538" t="n">
        <x:v>0</x:v>
      </x:c>
      <x:c r="O1277" s="537" t="n">
        <x:v>-1</x:v>
      </x:c>
    </x:row>
    <x:row r="1278" ht="18" customHeight="1">
      <x:c r="A1278" s="534" t="n">
        <x:v>1109</x:v>
      </x:c>
      <x:c r="B1278" s="534" t="str">
        <x:v>巴拉圭</x:v>
      </x:c>
      <x:c r="C1278" s="535" t="n">
        <x:v>4</x:v>
      </x:c>
      <x:c r="D1278" s="535" t="n">
        <x:v>4</x:v>
      </x:c>
      <x:c r="E1278" s="542" t="n">
        <x:v>-1</x:v>
      </x:c>
      <x:c r="F1278" s="538" t="n">
        <x:v>0.25</x:v>
      </x:c>
      <x:c r="G1278" s="537" t="n">
        <x:v>-0.25</x:v>
      </x:c>
      <x:c r="H1278" s="531"/>
      <x:c r="I1278" s="534" t="n">
        <x:v>1109</x:v>
      </x:c>
      <x:c r="J1278" s="534" t="str">
        <x:v>京都不死鸟（Kyoto Sanga FC）</x:v>
      </x:c>
      <x:c r="K1278" s="535" t="n">
        <x:v>1</x:v>
      </x:c>
      <x:c r="L1278" s="535" t="n">
        <x:v>1</x:v>
      </x:c>
      <x:c r="M1278" s="542" t="n">
        <x:v>-1</x:v>
      </x:c>
      <x:c r="N1278" s="538" t="n">
        <x:v>0</x:v>
      </x:c>
      <x:c r="O1278" s="537" t="n">
        <x:v>-1</x:v>
      </x:c>
    </x:row>
    <x:row r="1279" ht="18" customHeight="1">
      <x:c r="A1279" s="534" t="n">
        <x:v>1110</x:v>
      </x:c>
      <x:c r="B1279" s="534" t="str">
        <x:v>布伦瑞克</x:v>
      </x:c>
      <x:c r="C1279" s="535" t="n">
        <x:v>4</x:v>
      </x:c>
      <x:c r="D1279" s="535" t="n">
        <x:v>4</x:v>
      </x:c>
      <x:c r="E1279" s="542" t="n">
        <x:v>-1</x:v>
      </x:c>
      <x:c r="F1279" s="538" t="n">
        <x:v>0.25</x:v>
      </x:c>
      <x:c r="G1279" s="537" t="n">
        <x:v>-0.25</x:v>
      </x:c>
      <x:c r="H1279" s="531"/>
      <x:c r="I1279" s="534" t="n">
        <x:v>1110</x:v>
      </x:c>
      <x:c r="J1279" s="534" t="str">
        <x:v>仙台七夕</x:v>
      </x:c>
      <x:c r="K1279" s="535" t="n">
        <x:v>1</x:v>
      </x:c>
      <x:c r="L1279" s="535" t="n">
        <x:v>1</x:v>
      </x:c>
      <x:c r="M1279" s="542" t="n">
        <x:v>-1</x:v>
      </x:c>
      <x:c r="N1279" s="538" t="n">
        <x:v>0</x:v>
      </x:c>
      <x:c r="O1279" s="537" t="n">
        <x:v>-1</x:v>
      </x:c>
    </x:row>
    <x:row r="1280" ht="18" customHeight="1">
      <x:c r="A1280" s="534" t="n">
        <x:v>1111</x:v>
      </x:c>
      <x:c r="B1280" s="534" t="str">
        <x:v>帕德博恩（SC Paderborn 07）</x:v>
      </x:c>
      <x:c r="C1280" s="535" t="n">
        <x:v>4</x:v>
      </x:c>
      <x:c r="D1280" s="535" t="n">
        <x:v>4</x:v>
      </x:c>
      <x:c r="E1280" s="542" t="n">
        <x:v>-1</x:v>
      </x:c>
      <x:c r="F1280" s="538" t="n">
        <x:v>0.25</x:v>
      </x:c>
      <x:c r="G1280" s="537" t="n">
        <x:v>-0.25</x:v>
      </x:c>
      <x:c r="H1280" s="531"/>
      <x:c r="I1280" s="534" t="n">
        <x:v>1111</x:v>
      </x:c>
      <x:c r="J1280" s="534" t="str">
        <x:v>代格福什IF（Degerfors IF）</x:v>
      </x:c>
      <x:c r="K1280" s="535" t="n">
        <x:v>1</x:v>
      </x:c>
      <x:c r="L1280" s="535" t="n">
        <x:v>1</x:v>
      </x:c>
      <x:c r="M1280" s="542" t="n">
        <x:v>-1</x:v>
      </x:c>
      <x:c r="N1280" s="538" t="n">
        <x:v>0</x:v>
      </x:c>
      <x:c r="O1280" s="537" t="n">
        <x:v>-1</x:v>
      </x:c>
    </x:row>
    <x:row r="1281" ht="18" customHeight="1">
      <x:c r="A1281" s="534" t="n">
        <x:v>1112</x:v>
      </x:c>
      <x:c r="B1281" s="534" t="str">
        <x:v>拉巴斯竞技</x:v>
      </x:c>
      <x:c r="C1281" s="535" t="n">
        <x:v>4</x:v>
      </x:c>
      <x:c r="D1281" s="535" t="n">
        <x:v>4</x:v>
      </x:c>
      <x:c r="E1281" s="542" t="n">
        <x:v>-1</x:v>
      </x:c>
      <x:c r="F1281" s="538" t="n">
        <x:v>0.25</x:v>
      </x:c>
      <x:c r="G1281" s="537" t="n">
        <x:v>-0.25</x:v>
      </x:c>
      <x:c r="H1281" s="531"/>
      <x:c r="I1281" s="534" t="n">
        <x:v>1112</x:v>
      </x:c>
      <x:c r="J1281" s="534" t="str">
        <x:v>伊图萨因戈（Ituzaingó）</x:v>
      </x:c>
      <x:c r="K1281" s="535" t="n">
        <x:v>1</x:v>
      </x:c>
      <x:c r="L1281" s="535" t="n">
        <x:v>1</x:v>
      </x:c>
      <x:c r="M1281" s="542" t="n">
        <x:v>-1</x:v>
      </x:c>
      <x:c r="N1281" s="538" t="n">
        <x:v>0</x:v>
      </x:c>
      <x:c r="O1281" s="537" t="n">
        <x:v>-1</x:v>
      </x:c>
    </x:row>
    <x:row r="1282" ht="18" customHeight="1">
      <x:c r="A1282" s="534" t="n">
        <x:v>1113</x:v>
      </x:c>
      <x:c r="B1282" s="534" t="str">
        <x:v>河南队</x:v>
      </x:c>
      <x:c r="C1282" s="535" t="n">
        <x:v>4</x:v>
      </x:c>
      <x:c r="D1282" s="535" t="n">
        <x:v>4</x:v>
      </x:c>
      <x:c r="E1282" s="542" t="n">
        <x:v>-1</x:v>
      </x:c>
      <x:c r="F1282" s="538" t="n">
        <x:v>0.25</x:v>
      </x:c>
      <x:c r="G1282" s="537" t="n">
        <x:v>-0.25</x:v>
      </x:c>
      <x:c r="H1282" s="531"/>
      <x:c r="I1282" s="534" t="n">
        <x:v>1113</x:v>
      </x:c>
      <x:c r="J1282" s="534" t="str">
        <x:v>伊斯卡尔德斯国际（Inter Club d'Escaldes）</x:v>
      </x:c>
      <x:c r="K1282" s="535" t="n">
        <x:v>1</x:v>
      </x:c>
      <x:c r="L1282" s="535" t="n">
        <x:v>1</x:v>
      </x:c>
      <x:c r="M1282" s="542" t="n">
        <x:v>-1</x:v>
      </x:c>
      <x:c r="N1282" s="538" t="n">
        <x:v>0</x:v>
      </x:c>
      <x:c r="O1282" s="537" t="n">
        <x:v>-1</x:v>
      </x:c>
    </x:row>
    <x:row r="1283" ht="18" customHeight="1">
      <x:c r="A1283" s="534" t="n">
        <x:v>1114</x:v>
      </x:c>
      <x:c r="B1283" s="534" t="str">
        <x:v>清水心跳</x:v>
      </x:c>
      <x:c r="C1283" s="535" t="n">
        <x:v>4</x:v>
      </x:c>
      <x:c r="D1283" s="535" t="n">
        <x:v>4</x:v>
      </x:c>
      <x:c r="E1283" s="542" t="n">
        <x:v>-1</x:v>
      </x:c>
      <x:c r="F1283" s="538" t="n">
        <x:v>0.25</x:v>
      </x:c>
      <x:c r="G1283" s="537" t="n">
        <x:v>-0.25</x:v>
      </x:c>
      <x:c r="H1283" s="531"/>
      <x:c r="I1283" s="534" t="n">
        <x:v>1114</x:v>
      </x:c>
      <x:c r="J1283" s="534" t="str">
        <x:v>伊斯特恩莎沙伯（Eastern Suburbs FC）</x:v>
      </x:c>
      <x:c r="K1283" s="535" t="n">
        <x:v>1</x:v>
      </x:c>
      <x:c r="L1283" s="535" t="n">
        <x:v>1</x:v>
      </x:c>
      <x:c r="M1283" s="542" t="n">
        <x:v>-1</x:v>
      </x:c>
      <x:c r="N1283" s="538" t="n">
        <x:v>0</x:v>
      </x:c>
      <x:c r="O1283" s="537" t="n">
        <x:v>-1</x:v>
      </x:c>
    </x:row>
    <x:row r="1284" ht="18" customHeight="1">
      <x:c r="A1284" s="534" t="n">
        <x:v>1115</x:v>
      </x:c>
      <x:c r="B1284" s="534" t="str">
        <x:v>莫哈末丹</x:v>
      </x:c>
      <x:c r="C1284" s="535" t="n">
        <x:v>4</x:v>
      </x:c>
      <x:c r="D1284" s="535" t="n">
        <x:v>4</x:v>
      </x:c>
      <x:c r="E1284" s="542" t="n">
        <x:v>-1</x:v>
      </x:c>
      <x:c r="F1284" s="538" t="n">
        <x:v>0.25</x:v>
      </x:c>
      <x:c r="G1284" s="537" t="n">
        <x:v>-0.25</x:v>
      </x:c>
      <x:c r="H1284" s="531"/>
      <x:c r="I1284" s="534" t="n">
        <x:v>1115</x:v>
      </x:c>
      <x:c r="J1284" s="534" t="str">
        <x:v>伊普斯维奇城（Ipswich FC）</x:v>
      </x:c>
      <x:c r="K1284" s="535" t="n">
        <x:v>1</x:v>
      </x:c>
      <x:c r="L1284" s="535" t="n">
        <x:v>1</x:v>
      </x:c>
      <x:c r="M1284" s="542" t="n">
        <x:v>-1</x:v>
      </x:c>
      <x:c r="N1284" s="538" t="n">
        <x:v>0</x:v>
      </x:c>
      <x:c r="O1284" s="537" t="n">
        <x:v>-1</x:v>
      </x:c>
    </x:row>
    <x:row r="1285" ht="18" customHeight="1">
      <x:c r="A1285" s="534" t="n">
        <x:v>1116</x:v>
      </x:c>
      <x:c r="B1285" s="534" t="str">
        <x:v>马格德堡</x:v>
      </x:c>
      <x:c r="C1285" s="535" t="n">
        <x:v>4</x:v>
      </x:c>
      <x:c r="D1285" s="535" t="n">
        <x:v>4</x:v>
      </x:c>
      <x:c r="E1285" s="542" t="n">
        <x:v>-1</x:v>
      </x:c>
      <x:c r="F1285" s="538" t="n">
        <x:v>0.25</x:v>
      </x:c>
      <x:c r="G1285" s="537" t="n">
        <x:v>-0.25</x:v>
      </x:c>
      <x:c r="H1285" s="531"/>
      <x:c r="I1285" s="534" t="n">
        <x:v>1116</x:v>
      </x:c>
      <x:c r="J1285" s="534" t="str">
        <x:v>伊蒂哈德亚历山大（Al Ittihad Alexandria）</x:v>
      </x:c>
      <x:c r="K1285" s="535" t="n">
        <x:v>1</x:v>
      </x:c>
      <x:c r="L1285" s="535" t="n">
        <x:v>1</x:v>
      </x:c>
      <x:c r="M1285" s="542" t="n">
        <x:v>-1</x:v>
      </x:c>
      <x:c r="N1285" s="538" t="n">
        <x:v>0</x:v>
      </x:c>
      <x:c r="O1285" s="537" t="n">
        <x:v>-1</x:v>
      </x:c>
    </x:row>
    <x:row r="1286" ht="18" customHeight="1">
      <x:c r="A1286" s="534" t="n">
        <x:v>1117</x:v>
      </x:c>
      <x:c r="B1286" s="534" t="str">
        <x:v>SD公鹿（SD Raiders FC）</x:v>
      </x:c>
      <x:c r="C1286" s="535" t="n">
        <x:v>5</x:v>
      </x:c>
      <x:c r="D1286" s="535" t="n">
        <x:v>5</x:v>
      </x:c>
      <x:c r="E1286" s="542" t="n">
        <x:v>-1</x:v>
      </x:c>
      <x:c r="F1286" s="538" t="n">
        <x:v>0.2</x:v>
      </x:c>
      <x:c r="G1286" s="537" t="n">
        <x:v>-0.2</x:v>
      </x:c>
      <x:c r="H1286" s="531"/>
      <x:c r="I1286" s="534" t="n">
        <x:v>1117</x:v>
      </x:c>
      <x:c r="J1286" s="534" t="str">
        <x:v>休斯敦迪纳摩（Houston Dynamo）</x:v>
      </x:c>
      <x:c r="K1286" s="535" t="n">
        <x:v>1</x:v>
      </x:c>
      <x:c r="L1286" s="535" t="n">
        <x:v>1</x:v>
      </x:c>
      <x:c r="M1286" s="542" t="n">
        <x:v>-1</x:v>
      </x:c>
      <x:c r="N1286" s="538" t="n">
        <x:v>0</x:v>
      </x:c>
      <x:c r="O1286" s="537" t="n">
        <x:v>-1</x:v>
      </x:c>
    </x:row>
    <x:row r="1287" ht="18" customHeight="1">
      <x:c r="A1287" s="534" t="n">
        <x:v>1118</x:v>
      </x:c>
      <x:c r="B1287" s="534" t="str">
        <x:v>CD奥林匹亚</x:v>
      </x:c>
      <x:c r="C1287" s="535" t="n">
        <x:v>1</x:v>
      </x:c>
      <x:c r="D1287" s="535" t="n">
        <x:v>1</x:v>
      </x:c>
      <x:c r="E1287" s="542" t="n">
        <x:v>-1</x:v>
      </x:c>
      <x:c r="F1287" s="538" t="n">
        <x:v>0</x:v>
      </x:c>
      <x:c r="G1287" s="537" t="n">
        <x:v>-1</x:v>
      </x:c>
      <x:c r="H1287" s="531"/>
      <x:c r="I1287" s="534" t="n">
        <x:v>1118</x:v>
      </x:c>
      <x:c r="J1287" s="534" t="str">
        <x:v>伯明翰</x:v>
      </x:c>
      <x:c r="K1287" s="535" t="n">
        <x:v>1</x:v>
      </x:c>
      <x:c r="L1287" s="535" t="n">
        <x:v>1</x:v>
      </x:c>
      <x:c r="M1287" s="542" t="n">
        <x:v>-1</x:v>
      </x:c>
      <x:c r="N1287" s="538" t="n">
        <x:v>0</x:v>
      </x:c>
      <x:c r="O1287" s="537" t="n">
        <x:v>-1</x:v>
      </x:c>
    </x:row>
    <x:row r="1288" ht="18" customHeight="1">
      <x:c r="A1288" s="534" t="n">
        <x:v>1119</x:v>
      </x:c>
      <x:c r="B1288" s="534" t="str">
        <x:v>CD马拉松（Marathón）</x:v>
      </x:c>
      <x:c r="C1288" s="535" t="n">
        <x:v>1</x:v>
      </x:c>
      <x:c r="D1288" s="535" t="n">
        <x:v>1</x:v>
      </x:c>
      <x:c r="E1288" s="542" t="n">
        <x:v>-1</x:v>
      </x:c>
      <x:c r="F1288" s="538" t="n">
        <x:v>0</x:v>
      </x:c>
      <x:c r="G1288" s="537" t="n">
        <x:v>-1</x:v>
      </x:c>
      <x:c r="H1288" s="531"/>
      <x:c r="I1288" s="534" t="n">
        <x:v>1119</x:v>
      </x:c>
      <x:c r="J1288" s="534" t="str">
        <x:v>伯明翰（Birmingham City）</x:v>
      </x:c>
      <x:c r="K1288" s="535" t="n">
        <x:v>1</x:v>
      </x:c>
      <x:c r="L1288" s="535" t="n">
        <x:v>1</x:v>
      </x:c>
      <x:c r="M1288" s="542" t="n">
        <x:v>-1</x:v>
      </x:c>
      <x:c r="N1288" s="538" t="n">
        <x:v>0</x:v>
      </x:c>
      <x:c r="O1288" s="537" t="n">
        <x:v>-1</x:v>
      </x:c>
    </x:row>
    <x:row r="1289" ht="18" customHeight="1">
      <x:c r="A1289" s="534" t="n">
        <x:v>1120</x:v>
      </x:c>
      <x:c r="B1289" s="534" t="str">
        <x:v>FC琉球冲绳</x:v>
      </x:c>
      <x:c r="C1289" s="535" t="n">
        <x:v>1</x:v>
      </x:c>
      <x:c r="D1289" s="535" t="n">
        <x:v>1</x:v>
      </x:c>
      <x:c r="E1289" s="542" t="n">
        <x:v>-1</x:v>
      </x:c>
      <x:c r="F1289" s="538" t="n">
        <x:v>0</x:v>
      </x:c>
      <x:c r="G1289" s="537" t="n">
        <x:v>-1</x:v>
      </x:c>
      <x:c r="H1289" s="531"/>
      <x:c r="I1289" s="534" t="n">
        <x:v>1120</x:v>
      </x:c>
      <x:c r="J1289" s="534" t="str">
        <x:v>佩尔西斯梭罗（Persis Solo）</x:v>
      </x:c>
      <x:c r="K1289" s="535" t="n">
        <x:v>1</x:v>
      </x:c>
      <x:c r="L1289" s="535" t="n">
        <x:v>1</x:v>
      </x:c>
      <x:c r="M1289" s="542" t="n">
        <x:v>-1</x:v>
      </x:c>
      <x:c r="N1289" s="538" t="n">
        <x:v>0</x:v>
      </x:c>
      <x:c r="O1289" s="537" t="n">
        <x:v>-1</x:v>
      </x:c>
    </x:row>
    <x:row r="1290" ht="18" customHeight="1">
      <x:c r="A1290" s="534" t="n">
        <x:v>1121</x:v>
      </x:c>
      <x:c r="B1290" s="534" t="str">
        <x:v>FC首尔</x:v>
      </x:c>
      <x:c r="C1290" s="535" t="n">
        <x:v>1</x:v>
      </x:c>
      <x:c r="D1290" s="535" t="n">
        <x:v>1</x:v>
      </x:c>
      <x:c r="E1290" s="542" t="n">
        <x:v>-1</x:v>
      </x:c>
      <x:c r="F1290" s="538" t="n">
        <x:v>0</x:v>
      </x:c>
      <x:c r="G1290" s="537" t="n">
        <x:v>-1</x:v>
      </x:c>
      <x:c r="H1290" s="531"/>
      <x:c r="I1290" s="534" t="n">
        <x:v>1121</x:v>
      </x:c>
      <x:c r="J1290" s="534" t="str">
        <x:v>佩斯克谏义里(Persik Kediri)</x:v>
      </x:c>
      <x:c r="K1290" s="535" t="n">
        <x:v>1</x:v>
      </x:c>
      <x:c r="L1290" s="535" t="n">
        <x:v>1</x:v>
      </x:c>
      <x:c r="M1290" s="542" t="n">
        <x:v>-1</x:v>
      </x:c>
      <x:c r="N1290" s="538" t="n">
        <x:v>0</x:v>
      </x:c>
      <x:c r="O1290" s="537" t="n">
        <x:v>-1</x:v>
      </x:c>
    </x:row>
    <x:row r="1291" ht="18" customHeight="1">
      <x:c r="A1291" s="534" t="n">
        <x:v>1122</x:v>
      </x:c>
      <x:c r="B1291" s="534" t="str">
        <x:v>FK贝尔格莱德（FK Beograd）</x:v>
      </x:c>
      <x:c r="C1291" s="535" t="n">
        <x:v>1</x:v>
      </x:c>
      <x:c r="D1291" s="535" t="n">
        <x:v>1</x:v>
      </x:c>
      <x:c r="E1291" s="542" t="n">
        <x:v>-1</x:v>
      </x:c>
      <x:c r="F1291" s="538" t="n">
        <x:v>0</x:v>
      </x:c>
      <x:c r="G1291" s="537" t="n">
        <x:v>-1</x:v>
      </x:c>
      <x:c r="H1291" s="531"/>
      <x:c r="I1291" s="534" t="n">
        <x:v>1122</x:v>
      </x:c>
      <x:c r="J1291" s="534" t="str">
        <x:v>佩纳罗尔</x:v>
      </x:c>
      <x:c r="K1291" s="535" t="n">
        <x:v>1</x:v>
      </x:c>
      <x:c r="L1291" s="535" t="n">
        <x:v>1</x:v>
      </x:c>
      <x:c r="M1291" s="542" t="n">
        <x:v>-1</x:v>
      </x:c>
      <x:c r="N1291" s="538" t="n">
        <x:v>0</x:v>
      </x:c>
      <x:c r="O1291" s="537" t="n">
        <x:v>-1</x:v>
      </x:c>
    </x:row>
    <x:row r="1292" ht="18" customHeight="1">
      <x:c r="A1292" s="534" t="n">
        <x:v>1123</x:v>
      </x:c>
      <x:c r="B1292" s="534" t="str">
        <x:v>GV圣何塞</x:v>
      </x:c>
      <x:c r="C1292" s="535" t="n">
        <x:v>1</x:v>
      </x:c>
      <x:c r="D1292" s="535" t="n">
        <x:v>1</x:v>
      </x:c>
      <x:c r="E1292" s="542" t="n">
        <x:v>-1</x:v>
      </x:c>
      <x:c r="F1292" s="538" t="n">
        <x:v>0</x:v>
      </x:c>
      <x:c r="G1292" s="537" t="n">
        <x:v>-1</x:v>
      </x:c>
      <x:c r="H1292" s="531"/>
      <x:c r="I1292" s="534" t="n">
        <x:v>1123</x:v>
      </x:c>
      <x:c r="J1292" s="534" t="str">
        <x:v>佩纳罗尔（蒙得维的亚）（Peñarol）</x:v>
      </x:c>
      <x:c r="K1292" s="535" t="n">
        <x:v>1</x:v>
      </x:c>
      <x:c r="L1292" s="535" t="n">
        <x:v>1</x:v>
      </x:c>
      <x:c r="M1292" s="542" t="n">
        <x:v>-1</x:v>
      </x:c>
      <x:c r="N1292" s="538" t="n">
        <x:v>0</x:v>
      </x:c>
      <x:c r="O1292" s="537" t="n">
        <x:v>-1</x:v>
      </x:c>
    </x:row>
    <x:row r="1293" ht="18" customHeight="1">
      <x:c r="A1293" s="534" t="n">
        <x:v>1124</x:v>
      </x:c>
      <x:c r="B1293" s="534" t="str">
        <x:v>PSBS巴克伦佛（PSBS Biak）</x:v>
      </x:c>
      <x:c r="C1293" s="535" t="n">
        <x:v>1</x:v>
      </x:c>
      <x:c r="D1293" s="535" t="n">
        <x:v>1</x:v>
      </x:c>
      <x:c r="E1293" s="542" t="n">
        <x:v>-1</x:v>
      </x:c>
      <x:c r="F1293" s="538" t="n">
        <x:v>0</x:v>
      </x:c>
      <x:c r="G1293" s="537" t="n">
        <x:v>-1</x:v>
      </x:c>
      <x:c r="H1293" s="531"/>
      <x:c r="I1293" s="534" t="n">
        <x:v>1124</x:v>
      </x:c>
      <x:c r="J1293" s="534" t="str">
        <x:v>佩西塔唐格朗（Persita Tangerang）</x:v>
      </x:c>
      <x:c r="K1293" s="535" t="n">
        <x:v>1</x:v>
      </x:c>
      <x:c r="L1293" s="535" t="n">
        <x:v>1</x:v>
      </x:c>
      <x:c r="M1293" s="542" t="n">
        <x:v>-1</x:v>
      </x:c>
      <x:c r="N1293" s="538" t="n">
        <x:v>0</x:v>
      </x:c>
      <x:c r="O1293" s="537" t="n">
        <x:v>-1</x:v>
      </x:c>
    </x:row>
    <x:row r="1294" ht="18" customHeight="1">
      <x:c r="A1294" s="534" t="n">
        <x:v>1125</x:v>
      </x:c>
      <x:c r="B1294" s="534" t="str">
        <x:v>PSIM日惹（PSIM Yogyakarta）</x:v>
      </x:c>
      <x:c r="C1294" s="535" t="n">
        <x:v>1</x:v>
      </x:c>
      <x:c r="D1294" s="535" t="n">
        <x:v>1</x:v>
      </x:c>
      <x:c r="E1294" s="542" t="n">
        <x:v>-1</x:v>
      </x:c>
      <x:c r="F1294" s="538" t="n">
        <x:v>0</x:v>
      </x:c>
      <x:c r="G1294" s="537" t="n">
        <x:v>-1</x:v>
      </x:c>
      <x:c r="H1294" s="531"/>
      <x:c r="I1294" s="534" t="n">
        <x:v>1125</x:v>
      </x:c>
      <x:c r="J1294" s="534" t="str">
        <x:v>佩雷拉体育</x:v>
      </x:c>
      <x:c r="K1294" s="535" t="n">
        <x:v>1</x:v>
      </x:c>
      <x:c r="L1294" s="535" t="n">
        <x:v>1</x:v>
      </x:c>
      <x:c r="M1294" s="542" t="n">
        <x:v>-1</x:v>
      </x:c>
      <x:c r="N1294" s="538" t="n">
        <x:v>0</x:v>
      </x:c>
      <x:c r="O1294" s="537" t="n">
        <x:v>-1</x:v>
      </x:c>
    </x:row>
    <x:row r="1295" ht="18" customHeight="1">
      <x:c r="A1295" s="534" t="n">
        <x:v>1126</x:v>
      </x:c>
      <x:c r="B1295" s="534" t="str">
        <x:v>TPS图尔库（TPS）</x:v>
      </x:c>
      <x:c r="C1295" s="535" t="n">
        <x:v>1</x:v>
      </x:c>
      <x:c r="D1295" s="535" t="n">
        <x:v>1</x:v>
      </x:c>
      <x:c r="E1295" s="542" t="n">
        <x:v>-1</x:v>
      </x:c>
      <x:c r="F1295" s="538" t="n">
        <x:v>0</x:v>
      </x:c>
      <x:c r="G1295" s="537" t="n">
        <x:v>-1</x:v>
      </x:c>
      <x:c r="H1295" s="531"/>
      <x:c r="I1295" s="534" t="n">
        <x:v>1126</x:v>
      </x:c>
      <x:c r="J1295" s="534" t="str">
        <x:v>侨卡巴</x:v>
      </x:c>
      <x:c r="K1295" s="535" t="n">
        <x:v>1</x:v>
      </x:c>
      <x:c r="L1295" s="535" t="n">
        <x:v>1</x:v>
      </x:c>
      <x:c r="M1295" s="542" t="n">
        <x:v>-1</x:v>
      </x:c>
      <x:c r="N1295" s="538" t="n">
        <x:v>0</x:v>
      </x:c>
      <x:c r="O1295" s="537" t="n">
        <x:v>-1</x:v>
      </x:c>
    </x:row>
    <x:row r="1296" ht="18" customHeight="1">
      <x:c r="A1296" s="534" t="n">
        <x:v>1127</x:v>
      </x:c>
      <x:c r="B1296" s="534" t="str">
        <x:v>TPS图尔库（Turun Palloseura）</x:v>
      </x:c>
      <x:c r="C1296" s="535" t="n">
        <x:v>1</x:v>
      </x:c>
      <x:c r="D1296" s="535" t="n">
        <x:v>1</x:v>
      </x:c>
      <x:c r="E1296" s="542" t="n">
        <x:v>-1</x:v>
      </x:c>
      <x:c r="F1296" s="538" t="n">
        <x:v>0</x:v>
      </x:c>
      <x:c r="G1296" s="537" t="n">
        <x:v>-1</x:v>
      </x:c>
      <x:c r="H1296" s="531"/>
      <x:c r="I1296" s="534" t="n">
        <x:v>1127</x:v>
      </x:c>
      <x:c r="J1296" s="534" t="str">
        <x:v>侨卡巴（Boyacá Chicó）</x:v>
      </x:c>
      <x:c r="K1296" s="535" t="n">
        <x:v>1</x:v>
      </x:c>
      <x:c r="L1296" s="535" t="n">
        <x:v>1</x:v>
      </x:c>
      <x:c r="M1296" s="542" t="n">
        <x:v>-1</x:v>
      </x:c>
      <x:c r="N1296" s="538" t="n">
        <x:v>0</x:v>
      </x:c>
      <x:c r="O1296" s="537" t="n">
        <x:v>-1</x:v>
      </x:c>
    </x:row>
    <x:row r="1297" ht="18" customHeight="1">
      <x:c r="A1297" s="534" t="n">
        <x:v>1128</x:v>
      </x:c>
      <x:c r="B1297" s="534" t="str">
        <x:v>ZED（ZED FC）</x:v>
      </x:c>
      <x:c r="C1297" s="535" t="n">
        <x:v>1</x:v>
      </x:c>
      <x:c r="D1297" s="535" t="n">
        <x:v>1</x:v>
      </x:c>
      <x:c r="E1297" s="542" t="n">
        <x:v>-1</x:v>
      </x:c>
      <x:c r="F1297" s="538" t="n">
        <x:v>0</x:v>
      </x:c>
      <x:c r="G1297" s="537" t="n">
        <x:v>-1</x:v>
      </x:c>
      <x:c r="H1297" s="531"/>
      <x:c r="I1297" s="534" t="n">
        <x:v>1128</x:v>
      </x:c>
      <x:c r="J1297" s="534" t="str">
        <x:v>侨卡巴（博亚卡奇科/Boyacá Chicó）</x:v>
      </x:c>
      <x:c r="K1297" s="535" t="n">
        <x:v>1</x:v>
      </x:c>
      <x:c r="L1297" s="535" t="n">
        <x:v>1</x:v>
      </x:c>
      <x:c r="M1297" s="542" t="n">
        <x:v>-1</x:v>
      </x:c>
      <x:c r="N1297" s="538" t="n">
        <x:v>0</x:v>
      </x:c>
      <x:c r="O1297" s="537" t="n">
        <x:v>-1</x:v>
      </x:c>
    </x:row>
    <x:row r="1298" ht="18" customHeight="1">
      <x:c r="A1298" s="534" t="n">
        <x:v>1129</x:v>
      </x:c>
      <x:c r="B1298" s="534" t="str">
        <x:v>上海海港（上海上港）</x:v>
      </x:c>
      <x:c r="C1298" s="535" t="n">
        <x:v>1</x:v>
      </x:c>
      <x:c r="D1298" s="535" t="n">
        <x:v>1</x:v>
      </x:c>
      <x:c r="E1298" s="542" t="n">
        <x:v>-1</x:v>
      </x:c>
      <x:c r="F1298" s="538" t="n">
        <x:v>0</x:v>
      </x:c>
      <x:c r="G1298" s="537" t="n">
        <x:v>-1</x:v>
      </x:c>
      <x:c r="H1298" s="531"/>
      <x:c r="I1298" s="534" t="n">
        <x:v>1129</x:v>
      </x:c>
      <x:c r="J1298" s="534" t="str">
        <x:v>光州FC（Gwangju FC）</x:v>
      </x:c>
      <x:c r="K1298" s="535" t="n">
        <x:v>1</x:v>
      </x:c>
      <x:c r="L1298" s="535" t="n">
        <x:v>1</x:v>
      </x:c>
      <x:c r="M1298" s="542" t="n">
        <x:v>-1</x:v>
      </x:c>
      <x:c r="N1298" s="538" t="n">
        <x:v>0</x:v>
      </x:c>
      <x:c r="O1298" s="537" t="n">
        <x:v>-1</x:v>
      </x:c>
    </x:row>
    <x:row r="1299" ht="18" customHeight="1">
      <x:c r="A1299" s="534" t="n">
        <x:v>1130</x:v>
      </x:c>
      <x:c r="B1299" s="534" t="str">
        <x:v>东基尔布赖德（East Kilbride）</x:v>
      </x:c>
      <x:c r="C1299" s="535" t="n">
        <x:v>1</x:v>
      </x:c>
      <x:c r="D1299" s="535" t="n">
        <x:v>1</x:v>
      </x:c>
      <x:c r="E1299" s="542" t="n">
        <x:v>-1</x:v>
      </x:c>
      <x:c r="F1299" s="538" t="n">
        <x:v>0</x:v>
      </x:c>
      <x:c r="G1299" s="537" t="n">
        <x:v>-1</x:v>
      </x:c>
      <x:c r="H1299" s="531"/>
      <x:c r="I1299" s="534" t="n">
        <x:v>1130</x:v>
      </x:c>
      <x:c r="J1299" s="534" t="str">
        <x:v>兰沃里林（Langwarrin）</x:v>
      </x:c>
      <x:c r="K1299" s="535" t="n">
        <x:v>1</x:v>
      </x:c>
      <x:c r="L1299" s="535" t="n">
        <x:v>1</x:v>
      </x:c>
      <x:c r="M1299" s="542" t="n">
        <x:v>-1</x:v>
      </x:c>
      <x:c r="N1299" s="538" t="n">
        <x:v>0</x:v>
      </x:c>
      <x:c r="O1299" s="537" t="n">
        <x:v>-1</x:v>
      </x:c>
    </x:row>
    <x:row r="1300" ht="18" customHeight="1">
      <x:c r="A1300" s="534" t="n">
        <x:v>1131</x:v>
      </x:c>
      <x:c r="B1300" s="534" t="str">
        <x:v>东孟加拉FC（East Bengal FC）</x:v>
      </x:c>
      <x:c r="C1300" s="535" t="n">
        <x:v>1</x:v>
      </x:c>
      <x:c r="D1300" s="535" t="n">
        <x:v>1</x:v>
      </x:c>
      <x:c r="E1300" s="542" t="n">
        <x:v>-1</x:v>
      </x:c>
      <x:c r="F1300" s="538" t="n">
        <x:v>0</x:v>
      </x:c>
      <x:c r="G1300" s="537" t="n">
        <x:v>-1</x:v>
      </x:c>
      <x:c r="H1300" s="531"/>
      <x:c r="I1300" s="534" t="n">
        <x:v>1131</x:v>
      </x:c>
      <x:c r="J1300" s="534" t="str">
        <x:v>关岛</x:v>
      </x:c>
      <x:c r="K1300" s="535" t="n">
        <x:v>1</x:v>
      </x:c>
      <x:c r="L1300" s="535" t="n">
        <x:v>1</x:v>
      </x:c>
      <x:c r="M1300" s="542" t="n">
        <x:v>-1</x:v>
      </x:c>
      <x:c r="N1300" s="538" t="n">
        <x:v>0</x:v>
      </x:c>
      <x:c r="O1300" s="537" t="n">
        <x:v>-1</x:v>
      </x:c>
    </x:row>
    <x:row r="1301" ht="18" customHeight="1">
      <x:c r="A1301" s="534" t="n">
        <x:v>1132</x:v>
      </x:c>
      <x:c r="B1301" s="534" t="str">
        <x:v>东郊（布里斯班）（Eastern Suburbs）</x:v>
      </x:c>
      <x:c r="C1301" s="535" t="n">
        <x:v>1</x:v>
      </x:c>
      <x:c r="D1301" s="535" t="n">
        <x:v>1</x:v>
      </x:c>
      <x:c r="E1301" s="542" t="n">
        <x:v>-1</x:v>
      </x:c>
      <x:c r="F1301" s="538" t="n">
        <x:v>0</x:v>
      </x:c>
      <x:c r="G1301" s="537" t="n">
        <x:v>-1</x:v>
      </x:c>
      <x:c r="H1301" s="531"/>
      <x:c r="I1301" s="534" t="n">
        <x:v>1132</x:v>
      </x:c>
      <x:c r="J1301" s="534" t="str">
        <x:v>凤凰重生（Phoenix Rising）</x:v>
      </x:c>
      <x:c r="K1301" s="535" t="n">
        <x:v>1</x:v>
      </x:c>
      <x:c r="L1301" s="535" t="n">
        <x:v>1</x:v>
      </x:c>
      <x:c r="M1301" s="542" t="n">
        <x:v>-1</x:v>
      </x:c>
      <x:c r="N1301" s="538" t="n">
        <x:v>0</x:v>
      </x:c>
      <x:c r="O1301" s="537" t="n">
        <x:v>-1</x:v>
      </x:c>
    </x:row>
    <x:row r="1302" ht="18" customHeight="1">
      <x:c r="A1302" s="534" t="n">
        <x:v>1133</x:v>
      </x:c>
      <x:c r="B1302" s="534" t="str">
        <x:v>中国香港</x:v>
      </x:c>
      <x:c r="C1302" s="535" t="n">
        <x:v>1</x:v>
      </x:c>
      <x:c r="D1302" s="535" t="n">
        <x:v>1</x:v>
      </x:c>
      <x:c r="E1302" s="542" t="n">
        <x:v>-1</x:v>
      </x:c>
      <x:c r="F1302" s="538" t="n">
        <x:v>0</x:v>
      </x:c>
      <x:c r="G1302" s="537" t="n">
        <x:v>-1</x:v>
      </x:c>
      <x:c r="H1302" s="531"/>
      <x:c r="I1302" s="534" t="n">
        <x:v>1133</x:v>
      </x:c>
      <x:c r="J1302" s="534" t="str">
        <x:v>利斯特雷竞技</x:v>
      </x:c>
      <x:c r="K1302" s="535" t="n">
        <x:v>1</x:v>
      </x:c>
      <x:c r="L1302" s="535" t="n">
        <x:v>1</x:v>
      </x:c>
      <x:c r="M1302" s="542" t="n">
        <x:v>-1</x:v>
      </x:c>
      <x:c r="N1302" s="538" t="n">
        <x:v>0</x:v>
      </x:c>
      <x:c r="O1302" s="537" t="n">
        <x:v>-1</x:v>
      </x:c>
    </x:row>
    <x:row r="1303" ht="18" customHeight="1">
      <x:c r="A1303" s="534" t="n">
        <x:v>1134</x:v>
      </x:c>
      <x:c r="B1303" s="534" t="str">
        <x:v>中央科尔多瓦（圣地亚哥）</x:v>
      </x:c>
      <x:c r="C1303" s="535" t="n">
        <x:v>1</x:v>
      </x:c>
      <x:c r="D1303" s="535" t="n">
        <x:v>1</x:v>
      </x:c>
      <x:c r="E1303" s="542" t="n">
        <x:v>-1</x:v>
      </x:c>
      <x:c r="F1303" s="538" t="n">
        <x:v>0</x:v>
      </x:c>
      <x:c r="G1303" s="537" t="n">
        <x:v>-1</x:v>
      </x:c>
      <x:c r="H1303" s="531"/>
      <x:c r="I1303" s="534" t="n">
        <x:v>1134</x:v>
      </x:c>
      <x:c r="J1303" s="534" t="str">
        <x:v>利物浦</x:v>
      </x:c>
      <x:c r="K1303" s="535" t="n">
        <x:v>1</x:v>
      </x:c>
      <x:c r="L1303" s="535" t="n">
        <x:v>1</x:v>
      </x:c>
      <x:c r="M1303" s="542" t="n">
        <x:v>-1</x:v>
      </x:c>
      <x:c r="N1303" s="538" t="n">
        <x:v>0</x:v>
      </x:c>
      <x:c r="O1303" s="537" t="n">
        <x:v>-1</x:v>
      </x:c>
    </x:row>
    <x:row r="1304" ht="18" customHeight="1">
      <x:c r="A1304" s="534" t="n">
        <x:v>1135</x:v>
      </x:c>
      <x:c r="B1304" s="534" t="str">
        <x:v>乌尔基萨大学（UAI Urquiza）</x:v>
      </x:c>
      <x:c r="C1304" s="535" t="n">
        <x:v>1</x:v>
      </x:c>
      <x:c r="D1304" s="535" t="n">
        <x:v>1</x:v>
      </x:c>
      <x:c r="E1304" s="542" t="n">
        <x:v>-1</x:v>
      </x:c>
      <x:c r="F1304" s="538" t="n">
        <x:v>0</x:v>
      </x:c>
      <x:c r="G1304" s="537" t="n">
        <x:v>-1</x:v>
      </x:c>
      <x:c r="H1304" s="531"/>
      <x:c r="I1304" s="534" t="n">
        <x:v>1135</x:v>
      </x:c>
      <x:c r="J1304" s="534" t="str">
        <x:v>利物浦（Liverpool FC）</x:v>
      </x:c>
      <x:c r="K1304" s="535" t="n">
        <x:v>1</x:v>
      </x:c>
      <x:c r="L1304" s="535" t="n">
        <x:v>1</x:v>
      </x:c>
      <x:c r="M1304" s="542" t="n">
        <x:v>-1</x:v>
      </x:c>
      <x:c r="N1304" s="538" t="n">
        <x:v>0</x:v>
      </x:c>
      <x:c r="O1304" s="537" t="n">
        <x:v>-1</x:v>
      </x:c>
    </x:row>
    <x:row r="1305" ht="18" customHeight="1">
      <x:c r="A1305" s="534" t="n">
        <x:v>1136</x:v>
      </x:c>
      <x:c r="B1305" s="534" t="str">
        <x:v>乌拉圭</x:v>
      </x:c>
      <x:c r="C1305" s="535" t="n">
        <x:v>1</x:v>
      </x:c>
      <x:c r="D1305" s="535" t="n">
        <x:v>1</x:v>
      </x:c>
      <x:c r="E1305" s="542" t="n">
        <x:v>-1</x:v>
      </x:c>
      <x:c r="F1305" s="538" t="n">
        <x:v>0</x:v>
      </x:c>
      <x:c r="G1305" s="537" t="n">
        <x:v>-1</x:v>
      </x:c>
      <x:c r="H1305" s="531"/>
      <x:c r="I1305" s="534" t="n">
        <x:v>1136</x:v>
      </x:c>
      <x:c r="J1305" s="534" t="str">
        <x:v>利雅得新月(Al Hilal)</x:v>
      </x:c>
      <x:c r="K1305" s="535" t="n">
        <x:v>1</x:v>
      </x:c>
      <x:c r="L1305" s="535" t="n">
        <x:v>1</x:v>
      </x:c>
      <x:c r="M1305" s="542" t="n">
        <x:v>-1</x:v>
      </x:c>
      <x:c r="N1305" s="538" t="n">
        <x:v>0</x:v>
      </x:c>
      <x:c r="O1305" s="537" t="n">
        <x:v>-1</x:v>
      </x:c>
    </x:row>
  </x:sheetData>
  <x:mergeCells>
    <x:mergeCell ref="A1:O1"/>
    <x:mergeCell ref="A2:O2"/>
    <x:mergeCell ref="A5:C5"/>
    <x:mergeCell ref="A6:C8"/>
    <x:mergeCell ref="E5:G5"/>
    <x:mergeCell ref="E6:G8"/>
    <x:mergeCell ref="I5:K5"/>
    <x:mergeCell ref="I6:K8"/>
    <x:mergeCell ref="M5:O5"/>
    <x:mergeCell ref="M6:O8"/>
  </x:mergeCells>
  <x:conditionalFormatting sqref="E46:E166">
    <x:cfRule type="colorScale" priority="1">
      <x:colorScale>
        <x:cfvo type="min"/>
        <x:cfvo type="percentile" val="50"/>
        <x:cfvo type="max"/>
        <x:color rgb="FFD64545"/>
        <x:color rgb="FFFFFFFF"/>
        <x:color rgb="FF27AE60"/>
      </x:colorScale>
    </x:cfRule>
  </x:conditionalFormatting>
  <x:conditionalFormatting sqref="M46:M166">
    <x:cfRule type="colorScale" priority="2">
      <x:colorScale>
        <x:cfvo type="min"/>
        <x:cfvo type="percentile" val="50"/>
        <x:cfvo type="max"/>
        <x:color rgb="FFD64545"/>
        <x:color rgb="FFFFFFFF"/>
        <x:color rgb="FF27AE60"/>
      </x:colorScale>
    </x:cfRule>
  </x:conditionalFormatting>
  <x:conditionalFormatting sqref="E170:E1235">
    <x:cfRule type="colorScale" priority="3">
      <x:colorScale>
        <x:cfvo type="min"/>
        <x:cfvo type="percentile" val="50"/>
        <x:cfvo type="max"/>
        <x:color rgb="FFD64545"/>
        <x:color rgb="FFFFFFFF"/>
        <x:color rgb="FF27AE60"/>
      </x:colorScale>
    </x:cfRule>
  </x:conditionalFormatting>
  <x:conditionalFormatting sqref="M170:M1235">
    <x:cfRule type="colorScale" priority="4">
      <x:colorScale>
        <x:cfvo type="min"/>
        <x:cfvo type="percentile" val="50"/>
        <x:cfvo type="max"/>
        <x:color rgb="FFD64545"/>
        <x:color rgb="FFFFFFFF"/>
        <x:color rgb="FF27AE60"/>
      </x:colorScale>
    </x:cfRule>
  </x:conditionalFormatting>
  <x:pageMargins left="0.7" right="0.7" top="0.75" bottom="0.75" header="0.3" footer="0.3"/>
  <x:drawing xmlns:r="http://schemas.openxmlformats.org/officeDocument/2006/relationships" r:id="R164d041719794dc6"/>
  <x:tableParts count="4">
    <x:tablePart xmlns:r="http://schemas.openxmlformats.org/officeDocument/2006/relationships" r:id="R98f685d0aaa94ac1"/>
    <x:tablePart xmlns:r="http://schemas.openxmlformats.org/officeDocument/2006/relationships" r:id="Rbd0c8a410c654f4e"/>
    <x:tablePart xmlns:r="http://schemas.openxmlformats.org/officeDocument/2006/relationships" r:id="R683a74c9bb2040a7"/>
    <x:tablePart xmlns:r="http://schemas.openxmlformats.org/officeDocument/2006/relationships" r:id="Rcef897e5ace641ca"/>
  </x:tableParts>
</x:worksheet>
</file>